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essica Davila\DIRECTO Dropbox\Jessica Dávila\CONSOLIDADO PAGOS Y PEX\PEX\"/>
    </mc:Choice>
  </mc:AlternateContent>
  <xr:revisionPtr revIDLastSave="0" documentId="13_ncr:1_{113C89BD-78BE-47AC-A906-E04FA31B3D69}" xr6:coauthVersionLast="47" xr6:coauthVersionMax="47" xr10:uidLastSave="{00000000-0000-0000-0000-000000000000}"/>
  <bookViews>
    <workbookView xWindow="-108" yWindow="-108" windowWidth="23256" windowHeight="12456" tabRatio="818" firstSheet="1" activeTab="4" xr2:uid="{E34F79D0-1488-4900-8845-B5281A46420E}"/>
  </bookViews>
  <sheets>
    <sheet name="VALIDACION WARI-WALLY" sheetId="16" state="hidden" r:id="rId1"/>
    <sheet name="VALIDACION PEX" sheetId="17" r:id="rId2"/>
    <sheet name="REEMBOLSOS" sheetId="6" state="hidden" r:id="rId3"/>
    <sheet name="DESCUENTOS" sheetId="2" state="hidden" r:id="rId4"/>
    <sheet name="DESCUENTO POR FLOTAS" sheetId="10" r:id="rId5"/>
    <sheet name="CONDUCTORES" sheetId="15" r:id="rId6"/>
  </sheets>
  <externalReferences>
    <externalReference r:id="rId7"/>
  </externalReferences>
  <definedNames>
    <definedName name="_xlnm._FilterDatabase" localSheetId="5" hidden="1">CONDUCTORES!#REF!</definedName>
    <definedName name="_xlnm._FilterDatabase" localSheetId="1" hidden="1">'VALIDACION PEX'!$A$1:$D$5607</definedName>
  </definedNames>
  <calcPr calcId="191028"/>
  <pivotCaches>
    <pivotCache cacheId="11" r:id="rId8"/>
    <pivotCache cacheId="1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2" i="10"/>
  <c r="H13" i="10"/>
  <c r="H14" i="10"/>
  <c r="H15" i="10"/>
  <c r="H16" i="10"/>
  <c r="H17" i="10"/>
  <c r="H19" i="10"/>
  <c r="H21" i="10"/>
  <c r="H22" i="10"/>
  <c r="H23" i="10"/>
  <c r="H25" i="10"/>
  <c r="H26" i="10"/>
  <c r="H27" i="10"/>
  <c r="H28" i="10"/>
  <c r="H29" i="10"/>
  <c r="H31" i="10"/>
  <c r="H32" i="10"/>
  <c r="H33" i="10"/>
  <c r="H34" i="10"/>
  <c r="H35" i="10"/>
  <c r="H37" i="10"/>
  <c r="H38" i="10"/>
  <c r="H39" i="10"/>
  <c r="H40" i="10"/>
  <c r="H41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10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9" i="10"/>
  <c r="H290" i="10"/>
  <c r="H291" i="10"/>
  <c r="H292" i="10"/>
  <c r="H293" i="10"/>
  <c r="H294" i="10"/>
  <c r="H295" i="10"/>
  <c r="H296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1" i="10"/>
  <c r="H353" i="10"/>
  <c r="H354" i="10"/>
  <c r="H355" i="10"/>
  <c r="H356" i="10"/>
  <c r="H357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2" i="10"/>
  <c r="H433" i="10"/>
  <c r="H434" i="10"/>
  <c r="H435" i="10"/>
  <c r="H436" i="10"/>
  <c r="H437" i="10"/>
  <c r="H438" i="10"/>
  <c r="H439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2" i="10"/>
  <c r="B459" i="10" l="1"/>
  <c r="B460" i="10"/>
  <c r="B461" i="10"/>
  <c r="B462" i="10"/>
  <c r="B463" i="10"/>
  <c r="B464" i="10"/>
  <c r="B465" i="10"/>
  <c r="C459" i="10"/>
  <c r="C460" i="10"/>
  <c r="C461" i="10"/>
  <c r="C462" i="10"/>
  <c r="C463" i="10"/>
  <c r="C464" i="10"/>
  <c r="C465" i="10"/>
  <c r="D459" i="10"/>
  <c r="D460" i="10"/>
  <c r="D461" i="10"/>
  <c r="D462" i="10"/>
  <c r="D463" i="10"/>
  <c r="D464" i="10"/>
  <c r="D465" i="10"/>
  <c r="E459" i="10"/>
  <c r="E460" i="10"/>
  <c r="E461" i="10"/>
  <c r="E462" i="10"/>
  <c r="E463" i="10"/>
  <c r="E464" i="10"/>
  <c r="E465" i="10"/>
  <c r="B448" i="10"/>
  <c r="C448" i="10"/>
  <c r="D448" i="10"/>
  <c r="E448" i="10"/>
  <c r="F464" i="10" l="1"/>
  <c r="F465" i="10"/>
  <c r="F461" i="10"/>
  <c r="F460" i="10"/>
  <c r="F459" i="10"/>
  <c r="F463" i="10"/>
  <c r="F462" i="10"/>
  <c r="F448" i="10"/>
  <c r="D2" i="10" l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9" i="10"/>
  <c r="D450" i="10"/>
  <c r="D451" i="10"/>
  <c r="D452" i="10"/>
  <c r="D453" i="10"/>
  <c r="D454" i="10"/>
  <c r="D455" i="10"/>
  <c r="D456" i="10"/>
  <c r="D457" i="10"/>
  <c r="D458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9" i="10"/>
  <c r="C450" i="10"/>
  <c r="C451" i="10"/>
  <c r="C452" i="10"/>
  <c r="C453" i="10"/>
  <c r="C454" i="10"/>
  <c r="C455" i="10"/>
  <c r="C456" i="10"/>
  <c r="C457" i="10"/>
  <c r="C458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9" i="10"/>
  <c r="B450" i="10"/>
  <c r="B451" i="10"/>
  <c r="B452" i="10"/>
  <c r="B453" i="10"/>
  <c r="B454" i="10"/>
  <c r="B455" i="10"/>
  <c r="B456" i="10"/>
  <c r="B457" i="10"/>
  <c r="B458" i="10"/>
  <c r="E437" i="10"/>
  <c r="E438" i="10"/>
  <c r="E439" i="10"/>
  <c r="E440" i="10"/>
  <c r="E441" i="10"/>
  <c r="E442" i="10"/>
  <c r="E443" i="10"/>
  <c r="E444" i="10"/>
  <c r="E445" i="10"/>
  <c r="E446" i="10"/>
  <c r="E447" i="10"/>
  <c r="E449" i="10"/>
  <c r="E450" i="10"/>
  <c r="E451" i="10"/>
  <c r="E452" i="10"/>
  <c r="E453" i="10"/>
  <c r="E454" i="10"/>
  <c r="E455" i="10"/>
  <c r="E456" i="10"/>
  <c r="E457" i="10"/>
  <c r="E458" i="10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66" i="10" l="1"/>
  <c r="B466" i="10"/>
  <c r="C466" i="10"/>
  <c r="D466" i="10"/>
  <c r="F446" i="10"/>
  <c r="F438" i="10"/>
  <c r="F454" i="10"/>
  <c r="F457" i="10"/>
  <c r="F449" i="10"/>
  <c r="F440" i="10"/>
  <c r="F455" i="10"/>
  <c r="F456" i="10"/>
  <c r="F447" i="10"/>
  <c r="F439" i="10"/>
  <c r="F458" i="10"/>
  <c r="F450" i="10"/>
  <c r="F441" i="10"/>
  <c r="F445" i="10"/>
  <c r="F437" i="10"/>
  <c r="F452" i="10"/>
  <c r="F443" i="10"/>
  <c r="F451" i="10"/>
  <c r="F442" i="10"/>
  <c r="F453" i="10"/>
  <c r="F444" i="10"/>
  <c r="F303" i="10"/>
  <c r="F319" i="10"/>
  <c r="F335" i="10"/>
  <c r="F364" i="10"/>
  <c r="F380" i="10"/>
  <c r="F396" i="10"/>
  <c r="F388" i="10" l="1"/>
  <c r="F372" i="10"/>
  <c r="F343" i="10"/>
  <c r="F327" i="10"/>
  <c r="F311" i="10"/>
  <c r="F310" i="10"/>
  <c r="F427" i="10"/>
  <c r="F411" i="10"/>
  <c r="F395" i="10"/>
  <c r="F379" i="10"/>
  <c r="F363" i="10"/>
  <c r="F350" i="10"/>
  <c r="F334" i="10"/>
  <c r="F318" i="10"/>
  <c r="F302" i="10"/>
  <c r="F404" i="10"/>
  <c r="F428" i="10"/>
  <c r="F426" i="10"/>
  <c r="F410" i="10"/>
  <c r="F394" i="10"/>
  <c r="F378" i="10"/>
  <c r="F362" i="10"/>
  <c r="F349" i="10"/>
  <c r="F333" i="10"/>
  <c r="F317" i="10"/>
  <c r="F301" i="10"/>
  <c r="F175" i="10"/>
  <c r="F425" i="10"/>
  <c r="F409" i="10"/>
  <c r="F393" i="10"/>
  <c r="F377" i="10"/>
  <c r="F361" i="10"/>
  <c r="F348" i="10"/>
  <c r="F332" i="10"/>
  <c r="F316" i="10"/>
  <c r="F435" i="10"/>
  <c r="F412" i="10"/>
  <c r="F424" i="10"/>
  <c r="F408" i="10"/>
  <c r="F392" i="10"/>
  <c r="F376" i="10"/>
  <c r="F360" i="10"/>
  <c r="F347" i="10"/>
  <c r="F331" i="10"/>
  <c r="F315" i="10"/>
  <c r="F423" i="10"/>
  <c r="F407" i="10"/>
  <c r="F391" i="10"/>
  <c r="F375" i="10"/>
  <c r="F359" i="10"/>
  <c r="F346" i="10"/>
  <c r="F330" i="10"/>
  <c r="F314" i="10"/>
  <c r="F422" i="10"/>
  <c r="F406" i="10"/>
  <c r="F390" i="10"/>
  <c r="F374" i="10"/>
  <c r="F358" i="10"/>
  <c r="F345" i="10"/>
  <c r="F329" i="10"/>
  <c r="F313" i="10"/>
  <c r="F436" i="10"/>
  <c r="F421" i="10"/>
  <c r="F405" i="10"/>
  <c r="F389" i="10"/>
  <c r="F373" i="10"/>
  <c r="F357" i="10"/>
  <c r="F344" i="10"/>
  <c r="F328" i="10"/>
  <c r="F312" i="10"/>
  <c r="F434" i="10"/>
  <c r="F387" i="10"/>
  <c r="F326" i="10"/>
  <c r="F433" i="10"/>
  <c r="F418" i="10"/>
  <c r="F402" i="10"/>
  <c r="F386" i="10"/>
  <c r="F370" i="10"/>
  <c r="F355" i="10"/>
  <c r="F341" i="10"/>
  <c r="F325" i="10"/>
  <c r="F309" i="10"/>
  <c r="F432" i="10"/>
  <c r="F417" i="10"/>
  <c r="F401" i="10"/>
  <c r="F385" i="10"/>
  <c r="F369" i="10"/>
  <c r="F354" i="10"/>
  <c r="F340" i="10"/>
  <c r="F324" i="10"/>
  <c r="F308" i="10"/>
  <c r="F403" i="10"/>
  <c r="F342" i="10"/>
  <c r="F384" i="10"/>
  <c r="F339" i="10"/>
  <c r="F419" i="10"/>
  <c r="F356" i="10"/>
  <c r="F416" i="10"/>
  <c r="F368" i="10"/>
  <c r="F323" i="10"/>
  <c r="F431" i="10"/>
  <c r="F399" i="10"/>
  <c r="F383" i="10"/>
  <c r="F353" i="10"/>
  <c r="F322" i="10"/>
  <c r="F430" i="10"/>
  <c r="F414" i="10"/>
  <c r="F398" i="10"/>
  <c r="F382" i="10"/>
  <c r="F366" i="10"/>
  <c r="F352" i="10"/>
  <c r="F337" i="10"/>
  <c r="F321" i="10"/>
  <c r="F305" i="10"/>
  <c r="F420" i="10"/>
  <c r="F371" i="10"/>
  <c r="F400" i="10"/>
  <c r="F307" i="10"/>
  <c r="F415" i="10"/>
  <c r="F367" i="10"/>
  <c r="F338" i="10"/>
  <c r="F306" i="10"/>
  <c r="F429" i="10"/>
  <c r="F413" i="10"/>
  <c r="F397" i="10"/>
  <c r="F381" i="10"/>
  <c r="F365" i="10"/>
  <c r="F351" i="10"/>
  <c r="F336" i="10"/>
  <c r="F320" i="10"/>
  <c r="F304" i="10"/>
  <c r="F90" i="10"/>
  <c r="F100" i="10"/>
  <c r="F114" i="10"/>
  <c r="F233" i="10"/>
  <c r="D67" i="16"/>
  <c r="D68" i="16"/>
  <c r="D69" i="16"/>
  <c r="D70" i="16"/>
  <c r="D71" i="16"/>
  <c r="D72" i="16"/>
  <c r="D73" i="16"/>
  <c r="N1" i="6"/>
  <c r="F21" i="10" l="1"/>
  <c r="F206" i="10"/>
  <c r="F133" i="10"/>
  <c r="F140" i="10"/>
  <c r="F218" i="10"/>
  <c r="F93" i="10"/>
  <c r="F118" i="10"/>
  <c r="F203" i="10"/>
  <c r="F215" i="10"/>
  <c r="F51" i="10"/>
  <c r="F48" i="10"/>
  <c r="F112" i="10"/>
  <c r="F213" i="10"/>
  <c r="F166" i="10"/>
  <c r="F154" i="10"/>
  <c r="F70" i="10"/>
  <c r="F232" i="10"/>
  <c r="F34" i="10"/>
  <c r="F212" i="10"/>
  <c r="F66" i="10"/>
  <c r="F202" i="10"/>
  <c r="F149" i="10"/>
  <c r="F148" i="10"/>
  <c r="F284" i="10"/>
  <c r="F75" i="10"/>
  <c r="F239" i="10"/>
  <c r="F168" i="10"/>
  <c r="F68" i="10"/>
  <c r="F155" i="10"/>
  <c r="F225" i="10"/>
  <c r="F221" i="10"/>
  <c r="F280" i="10"/>
  <c r="F227" i="10"/>
  <c r="F279" i="10"/>
  <c r="F223" i="10"/>
  <c r="F164" i="10"/>
  <c r="F153" i="10"/>
  <c r="F60" i="10"/>
  <c r="F79" i="10"/>
  <c r="F187" i="10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F161" i="10" l="1"/>
  <c r="F192" i="10"/>
  <c r="F78" i="10"/>
  <c r="F247" i="10"/>
  <c r="F82" i="10"/>
  <c r="F204" i="10"/>
  <c r="F41" i="10"/>
  <c r="F17" i="10"/>
  <c r="F207" i="10"/>
  <c r="F50" i="10"/>
  <c r="F85" i="10"/>
  <c r="F23" i="10"/>
  <c r="F167" i="10"/>
  <c r="F200" i="10"/>
  <c r="F209" i="10"/>
  <c r="F59" i="10"/>
  <c r="F64" i="10"/>
  <c r="F58" i="10"/>
  <c r="F53" i="10"/>
  <c r="F65" i="10"/>
  <c r="F5" i="10"/>
  <c r="F6" i="10"/>
  <c r="F8" i="10"/>
  <c r="F11" i="10"/>
  <c r="F44" i="10"/>
  <c r="F46" i="10"/>
  <c r="F47" i="10"/>
  <c r="F55" i="10"/>
  <c r="F94" i="10"/>
  <c r="F97" i="10"/>
  <c r="F99" i="10"/>
  <c r="F101" i="10"/>
  <c r="F122" i="10"/>
  <c r="F123" i="10"/>
  <c r="F124" i="10"/>
  <c r="F127" i="10"/>
  <c r="F146" i="10"/>
  <c r="F147" i="10"/>
  <c r="F150" i="10"/>
  <c r="F152" i="10"/>
  <c r="F179" i="10"/>
  <c r="F180" i="10"/>
  <c r="F181" i="10"/>
  <c r="F182" i="10"/>
  <c r="F198" i="10"/>
  <c r="F199" i="10"/>
  <c r="F208" i="10"/>
  <c r="F211" i="10"/>
  <c r="F241" i="10"/>
  <c r="F242" i="10"/>
  <c r="F244" i="10"/>
  <c r="F245" i="10"/>
  <c r="F268" i="10"/>
  <c r="F269" i="10"/>
  <c r="F271" i="10"/>
  <c r="F272" i="10"/>
  <c r="F293" i="10"/>
  <c r="F296" i="10"/>
  <c r="F300" i="10"/>
  <c r="F237" i="10"/>
  <c r="F36" i="10"/>
  <c r="F226" i="10"/>
  <c r="F205" i="10"/>
  <c r="F138" i="10"/>
  <c r="F297" i="10" l="1"/>
  <c r="F115" i="10"/>
  <c r="F282" i="10"/>
  <c r="F256" i="10"/>
  <c r="F228" i="10"/>
  <c r="F189" i="10"/>
  <c r="F170" i="10"/>
  <c r="F136" i="10"/>
  <c r="F108" i="10"/>
  <c r="F72" i="10"/>
  <c r="F27" i="10"/>
  <c r="F56" i="10"/>
  <c r="F243" i="10"/>
  <c r="F194" i="10"/>
  <c r="F113" i="10"/>
  <c r="F249" i="10"/>
  <c r="F260" i="10"/>
  <c r="F257" i="10"/>
  <c r="F259" i="10"/>
  <c r="F77" i="10"/>
  <c r="F217" i="10"/>
  <c r="F286" i="10"/>
  <c r="F116" i="10"/>
  <c r="F288" i="10"/>
  <c r="F24" i="10"/>
  <c r="F139" i="10"/>
  <c r="F52" i="10"/>
  <c r="F231" i="10"/>
  <c r="F35" i="10"/>
  <c r="F285" i="10"/>
  <c r="F111" i="10"/>
  <c r="F32" i="10"/>
  <c r="F210" i="10"/>
  <c r="F219" i="10"/>
  <c r="F103" i="10"/>
  <c r="F80" i="10"/>
  <c r="F157" i="10"/>
  <c r="F81" i="10"/>
  <c r="F274" i="10"/>
  <c r="F246" i="10"/>
  <c r="F216" i="10"/>
  <c r="F183" i="10"/>
  <c r="F156" i="10"/>
  <c r="F128" i="10"/>
  <c r="F102" i="10"/>
  <c r="F57" i="10"/>
  <c r="F13" i="10"/>
  <c r="F74" i="10"/>
  <c r="F73" i="10"/>
  <c r="F214" i="10"/>
  <c r="F278" i="10"/>
  <c r="F236" i="10"/>
  <c r="F98" i="10"/>
  <c r="F141" i="10"/>
  <c r="F45" i="10"/>
  <c r="F191" i="10"/>
  <c r="F234" i="10"/>
  <c r="F275" i="10"/>
  <c r="F158" i="10"/>
  <c r="F16" i="10"/>
  <c r="F38" i="10"/>
  <c r="F30" i="10"/>
  <c r="F174" i="10"/>
  <c r="F54" i="10"/>
  <c r="F230" i="10"/>
  <c r="F29" i="10"/>
  <c r="F250" i="10"/>
  <c r="F129" i="10"/>
  <c r="F62" i="10"/>
  <c r="F4" i="10"/>
  <c r="F193" i="10"/>
  <c r="F87" i="10"/>
  <c r="F19" i="10"/>
  <c r="F295" i="10"/>
  <c r="F172" i="10"/>
  <c r="F83" i="10"/>
  <c r="F22" i="10"/>
  <c r="F184" i="10"/>
  <c r="F63" i="10"/>
  <c r="F95" i="10"/>
  <c r="F165" i="10"/>
  <c r="F151" i="10"/>
  <c r="F131" i="10"/>
  <c r="F61" i="10"/>
  <c r="F292" i="10"/>
  <c r="F298" i="10"/>
  <c r="F109" i="10"/>
  <c r="F171" i="10"/>
  <c r="F283" i="10"/>
  <c r="F76" i="10"/>
  <c r="F229" i="10"/>
  <c r="F258" i="10"/>
  <c r="F28" i="10"/>
  <c r="F110" i="10"/>
  <c r="F137" i="10"/>
  <c r="F190" i="10"/>
  <c r="F240" i="10"/>
  <c r="F121" i="10"/>
  <c r="F86" i="10"/>
  <c r="F9" i="10"/>
  <c r="F196" i="10"/>
  <c r="F89" i="10"/>
  <c r="F251" i="10"/>
  <c r="F39" i="10"/>
  <c r="F33" i="10"/>
  <c r="F287" i="10"/>
  <c r="F262" i="10"/>
  <c r="F235" i="10"/>
  <c r="F195" i="10"/>
  <c r="F176" i="10"/>
  <c r="F142" i="10"/>
  <c r="F119" i="10"/>
  <c r="F88" i="10"/>
  <c r="F37" i="10"/>
  <c r="F126" i="10"/>
  <c r="F291" i="10"/>
  <c r="F130" i="10"/>
  <c r="F252" i="10"/>
  <c r="F92" i="10"/>
  <c r="F265" i="10"/>
  <c r="F91" i="10"/>
  <c r="F277" i="10"/>
  <c r="F248" i="10"/>
  <c r="F238" i="10"/>
  <c r="F120" i="10"/>
  <c r="F197" i="10"/>
  <c r="F144" i="10"/>
  <c r="F3" i="10"/>
  <c r="F2" i="10"/>
  <c r="F289" i="10"/>
  <c r="F143" i="10"/>
  <c r="F15" i="10"/>
  <c r="F264" i="10"/>
  <c r="F290" i="10"/>
  <c r="F178" i="10"/>
  <c r="F43" i="10"/>
  <c r="F299" i="10"/>
  <c r="F263" i="10"/>
  <c r="F177" i="10"/>
  <c r="F42" i="10"/>
  <c r="F7" i="10"/>
  <c r="F224" i="10"/>
  <c r="F26" i="10"/>
  <c r="F186" i="10"/>
  <c r="F84" i="10"/>
  <c r="F117" i="10"/>
  <c r="F276" i="10"/>
  <c r="F253" i="10"/>
  <c r="F220" i="10"/>
  <c r="F185" i="10"/>
  <c r="F160" i="10"/>
  <c r="F132" i="10"/>
  <c r="F105" i="10"/>
  <c r="F67" i="10"/>
  <c r="F18" i="10"/>
  <c r="F96" i="10"/>
  <c r="F261" i="10"/>
  <c r="F25" i="10"/>
  <c r="F273" i="10"/>
  <c r="F294" i="10"/>
  <c r="F163" i="10"/>
  <c r="F188" i="10"/>
  <c r="F125" i="10"/>
  <c r="F222" i="10"/>
  <c r="F20" i="10"/>
  <c r="F159" i="10"/>
  <c r="F201" i="10"/>
  <c r="F135" i="10"/>
  <c r="F14" i="10"/>
  <c r="F173" i="10"/>
  <c r="F162" i="10"/>
  <c r="F270" i="10"/>
  <c r="F281" i="10"/>
  <c r="F169" i="10"/>
  <c r="F49" i="10"/>
  <c r="F145" i="10"/>
  <c r="F106" i="10"/>
  <c r="F40" i="10"/>
  <c r="F31" i="10"/>
  <c r="F255" i="10"/>
  <c r="F107" i="10"/>
  <c r="F10" i="10"/>
  <c r="F134" i="10"/>
  <c r="F104" i="10"/>
  <c r="F71" i="10"/>
  <c r="F266" i="10"/>
  <c r="F254" i="10"/>
  <c r="F69" i="10"/>
  <c r="F12" i="10"/>
  <c r="F267" i="10" l="1"/>
  <c r="W1" i="2"/>
  <c r="C1" i="2"/>
  <c r="D1" i="6"/>
  <c r="S1" i="2"/>
  <c r="I1" i="6"/>
  <c r="K1" i="2"/>
  <c r="O1" i="2"/>
  <c r="G1" i="2"/>
  <c r="F466" i="10" l="1"/>
</calcChain>
</file>

<file path=xl/sharedStrings.xml><?xml version="1.0" encoding="utf-8"?>
<sst xmlns="http://schemas.openxmlformats.org/spreadsheetml/2006/main" count="23069" uniqueCount="1375">
  <si>
    <t>IdServicio</t>
  </si>
  <si>
    <t>PlacaAuto</t>
  </si>
  <si>
    <t>IdMovil</t>
  </si>
  <si>
    <t>FLOTA</t>
  </si>
  <si>
    <t>REEMBOLSO</t>
  </si>
  <si>
    <t>Fecha_Servicio</t>
  </si>
  <si>
    <t>Fecha_Inicio</t>
  </si>
  <si>
    <t>Fecha_Termino</t>
  </si>
  <si>
    <t>Total_Peaje</t>
  </si>
  <si>
    <t>DescTipoPago</t>
  </si>
  <si>
    <t>Placa</t>
  </si>
  <si>
    <t>MOVIL</t>
  </si>
  <si>
    <t>DETALLE</t>
  </si>
  <si>
    <t>OBSV</t>
  </si>
  <si>
    <t>Fecha Inicio</t>
  </si>
  <si>
    <t>Hora Inicio</t>
  </si>
  <si>
    <t>Plaza</t>
  </si>
  <si>
    <t>Importe</t>
  </si>
  <si>
    <t>Nro Comprobante</t>
  </si>
  <si>
    <t>REEMBOLSOS FLOTA AEROPUERTO</t>
  </si>
  <si>
    <t>REEMBOLSOS FLOTA NO AEROPUERTO</t>
  </si>
  <si>
    <t>REEMBOLSOS FLOTA PLAZAS</t>
  </si>
  <si>
    <t>AEROPUERTO</t>
  </si>
  <si>
    <t>(Varios elementos)</t>
  </si>
  <si>
    <t>URBANO</t>
  </si>
  <si>
    <t>Movil</t>
  </si>
  <si>
    <t>Total de Servicios</t>
  </si>
  <si>
    <t>Suma Reembolso</t>
  </si>
  <si>
    <t>Total general</t>
  </si>
  <si>
    <t>DESCUENTO USO PERSONAL C/NO AEROPUERTO</t>
  </si>
  <si>
    <t>DESCUENTO USO PERSONAL C/AEROPUERTO</t>
  </si>
  <si>
    <t>DESCUENTO POR INCIDENCIA C/NO AEROPUERTO</t>
  </si>
  <si>
    <t>DESCUENTO POR INCIDENCIA C/AEROPUERTO</t>
  </si>
  <si>
    <t>DESCUENTO SRV EN EFCTIVO C/NO AEROPUERTO</t>
  </si>
  <si>
    <t>DESCUENTO SRV EN EFCTIVO C/AEROPUERTO</t>
  </si>
  <si>
    <t>DESCONTAR</t>
  </si>
  <si>
    <t>DESCONTAR POR INCIDENCIA</t>
  </si>
  <si>
    <t>DESCONTAR SERVICIO EN EFECTIVO</t>
  </si>
  <si>
    <t>DESCONTAR POR USO PERSONAL</t>
  </si>
  <si>
    <t>AREA</t>
  </si>
  <si>
    <t>CONDUCTOR NO AEROPUERTO</t>
  </si>
  <si>
    <t>CONDUCTOR AEROPUERTO</t>
  </si>
  <si>
    <t>Suma de Monto</t>
  </si>
  <si>
    <t>DESCUENTO POR USO PERSONAL PEX</t>
  </si>
  <si>
    <t>DESCUENTO POR INCIDENCIAS PEX</t>
  </si>
  <si>
    <t>DESCUENTO POR SERVICIOS EN EFECTIVO</t>
  </si>
  <si>
    <t>DESCUENTO POR NUEVA INCLUSION</t>
  </si>
  <si>
    <t>TOTAL</t>
  </si>
  <si>
    <t>PLACA</t>
  </si>
  <si>
    <t>ESTADO DE PEX</t>
  </si>
  <si>
    <t>COBRO POR NUEVA INCLUSIÓN</t>
  </si>
  <si>
    <t>ABI163</t>
  </si>
  <si>
    <t>PEX ACTIVO</t>
  </si>
  <si>
    <t>BXG178</t>
  </si>
  <si>
    <t>BFT573</t>
  </si>
  <si>
    <t>AJV272</t>
  </si>
  <si>
    <t>BEI573</t>
  </si>
  <si>
    <t>AJN307</t>
  </si>
  <si>
    <t>BNV261</t>
  </si>
  <si>
    <t>AWS012</t>
  </si>
  <si>
    <t>AMZ092</t>
  </si>
  <si>
    <t>ADZ371</t>
  </si>
  <si>
    <t>AUO087</t>
  </si>
  <si>
    <t>BKS036</t>
  </si>
  <si>
    <t>BAL462</t>
  </si>
  <si>
    <t>CBC085</t>
  </si>
  <si>
    <t>BDI691</t>
  </si>
  <si>
    <t>CCC080</t>
  </si>
  <si>
    <t>BNX279</t>
  </si>
  <si>
    <t>T5V653</t>
  </si>
  <si>
    <t>CET304</t>
  </si>
  <si>
    <t>CEF583</t>
  </si>
  <si>
    <t>Z6Z468</t>
  </si>
  <si>
    <t>BWU283</t>
  </si>
  <si>
    <t>BTI683</t>
  </si>
  <si>
    <t>BLO648</t>
  </si>
  <si>
    <t>CHT200</t>
  </si>
  <si>
    <t>CAE456</t>
  </si>
  <si>
    <t>BLF075</t>
  </si>
  <si>
    <t>BUY299</t>
  </si>
  <si>
    <t>BXF319</t>
  </si>
  <si>
    <t>BSZ102</t>
  </si>
  <si>
    <t>CCY354</t>
  </si>
  <si>
    <t>CED571</t>
  </si>
  <si>
    <t>CDB022</t>
  </si>
  <si>
    <t>BLN321</t>
  </si>
  <si>
    <t>CCI257</t>
  </si>
  <si>
    <t>CED168</t>
  </si>
  <si>
    <t>BVP590</t>
  </si>
  <si>
    <t>BUE615</t>
  </si>
  <si>
    <t>CHB475</t>
  </si>
  <si>
    <t>BDJ451</t>
  </si>
  <si>
    <t>Z7J196</t>
  </si>
  <si>
    <t>BZW495</t>
  </si>
  <si>
    <t>BRV668</t>
  </si>
  <si>
    <t>BUC448</t>
  </si>
  <si>
    <t>BLL693</t>
  </si>
  <si>
    <t>BWH102</t>
  </si>
  <si>
    <t>BDE552</t>
  </si>
  <si>
    <t>CBV125</t>
  </si>
  <si>
    <t>BXU586</t>
  </si>
  <si>
    <t>BBM080</t>
  </si>
  <si>
    <t>BWE239</t>
  </si>
  <si>
    <t>CEF599</t>
  </si>
  <si>
    <t>CBH631</t>
  </si>
  <si>
    <t>BER461</t>
  </si>
  <si>
    <t>AUR546</t>
  </si>
  <si>
    <t>ASN567</t>
  </si>
  <si>
    <t>BEU666</t>
  </si>
  <si>
    <t>BFR215</t>
  </si>
  <si>
    <t>BMX033</t>
  </si>
  <si>
    <t>BTE249</t>
  </si>
  <si>
    <t>CES183</t>
  </si>
  <si>
    <t>AUW007</t>
  </si>
  <si>
    <t>BXX289</t>
  </si>
  <si>
    <t>AZO111</t>
  </si>
  <si>
    <t>AZC196</t>
  </si>
  <si>
    <t>BDD546</t>
  </si>
  <si>
    <t>CCW017</t>
  </si>
  <si>
    <t>BBF698</t>
  </si>
  <si>
    <t>ADH572</t>
  </si>
  <si>
    <t>BYE186</t>
  </si>
  <si>
    <t>CFG461</t>
  </si>
  <si>
    <t>CBE341</t>
  </si>
  <si>
    <t>CBP025</t>
  </si>
  <si>
    <t>AYP652</t>
  </si>
  <si>
    <t>APC021</t>
  </si>
  <si>
    <t>BHW621</t>
  </si>
  <si>
    <t>ATH410</t>
  </si>
  <si>
    <t>BLW390</t>
  </si>
  <si>
    <t>BDY036</t>
  </si>
  <si>
    <t>AFF275</t>
  </si>
  <si>
    <t>BCL560</t>
  </si>
  <si>
    <t>BBG585</t>
  </si>
  <si>
    <t>AMF659</t>
  </si>
  <si>
    <t>BKP500</t>
  </si>
  <si>
    <t>CJJ327</t>
  </si>
  <si>
    <t>CKA667</t>
  </si>
  <si>
    <t>CJF618</t>
  </si>
  <si>
    <t>D0T524</t>
  </si>
  <si>
    <t>CKN347</t>
  </si>
  <si>
    <t>CKS152</t>
  </si>
  <si>
    <t>CKI005</t>
  </si>
  <si>
    <t>CDF423</t>
  </si>
  <si>
    <t>CKL500</t>
  </si>
  <si>
    <t>CKJ345</t>
  </si>
  <si>
    <t>BTE258</t>
  </si>
  <si>
    <t>CKN554</t>
  </si>
  <si>
    <t>F5M959</t>
  </si>
  <si>
    <t>CLD415</t>
  </si>
  <si>
    <t>CLC395</t>
  </si>
  <si>
    <t>W5A135</t>
  </si>
  <si>
    <t>CLG574</t>
  </si>
  <si>
    <t>CKJ159</t>
  </si>
  <si>
    <t>CKQ016</t>
  </si>
  <si>
    <t>BDQ675</t>
  </si>
  <si>
    <t>CLD091</t>
  </si>
  <si>
    <t>BDD813</t>
  </si>
  <si>
    <t>BAZ575</t>
  </si>
  <si>
    <t>CJI139</t>
  </si>
  <si>
    <t>Z7K151</t>
  </si>
  <si>
    <t>CLO365</t>
  </si>
  <si>
    <t>ATJ456</t>
  </si>
  <si>
    <t>M5H523</t>
  </si>
  <si>
    <t>AYY093</t>
  </si>
  <si>
    <t>CLK127</t>
  </si>
  <si>
    <t>BZW327</t>
  </si>
  <si>
    <t>BBC311</t>
  </si>
  <si>
    <t>BAS253</t>
  </si>
  <si>
    <t>CLR269</t>
  </si>
  <si>
    <t>AJN186</t>
  </si>
  <si>
    <t>Y2A465</t>
  </si>
  <si>
    <t>V8P301</t>
  </si>
  <si>
    <t>AJX551</t>
  </si>
  <si>
    <t>CDJ280</t>
  </si>
  <si>
    <t>CMH592</t>
  </si>
  <si>
    <t>CMR363</t>
  </si>
  <si>
    <t>Z6P126</t>
  </si>
  <si>
    <t>CJB637</t>
  </si>
  <si>
    <t>CMB350</t>
  </si>
  <si>
    <t>CHS296</t>
  </si>
  <si>
    <t>BAC609</t>
  </si>
  <si>
    <t>CHU461</t>
  </si>
  <si>
    <t>Z7N330</t>
  </si>
  <si>
    <t>CNH018</t>
  </si>
  <si>
    <t>CNJ603</t>
  </si>
  <si>
    <t>CNN058</t>
  </si>
  <si>
    <t>CMK218</t>
  </si>
  <si>
    <t>CNB512</t>
  </si>
  <si>
    <t>CCW199</t>
  </si>
  <si>
    <t>BUS331</t>
  </si>
  <si>
    <t>BFJ521</t>
  </si>
  <si>
    <t>CNI140</t>
  </si>
  <si>
    <t>ATJ016</t>
  </si>
  <si>
    <t>CNB177</t>
  </si>
  <si>
    <t>CJH446</t>
  </si>
  <si>
    <t>CMH100</t>
  </si>
  <si>
    <t>BJY328</t>
  </si>
  <si>
    <t>ALQ578</t>
  </si>
  <si>
    <t>CJH185</t>
  </si>
  <si>
    <t>CJU681</t>
  </si>
  <si>
    <t>CPA582</t>
  </si>
  <si>
    <t>BUZ053</t>
  </si>
  <si>
    <t>CPC255</t>
  </si>
  <si>
    <t>CPG686</t>
  </si>
  <si>
    <t>BJH331</t>
  </si>
  <si>
    <t>BAP782</t>
  </si>
  <si>
    <t>CPQ127</t>
  </si>
  <si>
    <t>F0R352</t>
  </si>
  <si>
    <t>CMM061</t>
  </si>
  <si>
    <t>CNW681</t>
  </si>
  <si>
    <t>CNQ366</t>
  </si>
  <si>
    <t>BVL113</t>
  </si>
  <si>
    <t>CPM017</t>
  </si>
  <si>
    <t>Z7T576</t>
  </si>
  <si>
    <t>CHM525</t>
  </si>
  <si>
    <t>VBI116</t>
  </si>
  <si>
    <t>BAP580</t>
  </si>
  <si>
    <t>CPR599</t>
  </si>
  <si>
    <t>CKR378</t>
  </si>
  <si>
    <t>CPK617</t>
  </si>
  <si>
    <t>BYY393</t>
  </si>
  <si>
    <t>BPR063</t>
  </si>
  <si>
    <t>AZK374</t>
  </si>
  <si>
    <t>BJO497</t>
  </si>
  <si>
    <t>B9L069</t>
  </si>
  <si>
    <t>CKX659</t>
  </si>
  <si>
    <t>CRC510</t>
  </si>
  <si>
    <t>CLO230</t>
  </si>
  <si>
    <t>CBL608</t>
  </si>
  <si>
    <t>CES056</t>
  </si>
  <si>
    <t>CRZ329</t>
  </si>
  <si>
    <t>CSH349</t>
  </si>
  <si>
    <t>CSH147</t>
  </si>
  <si>
    <t>CSG597</t>
  </si>
  <si>
    <t>CKP244</t>
  </si>
  <si>
    <t>CRY222</t>
  </si>
  <si>
    <t>BVF672</t>
  </si>
  <si>
    <t>CPJ695</t>
  </si>
  <si>
    <t>CAQ002</t>
  </si>
  <si>
    <t>F8N254</t>
  </si>
  <si>
    <t>CRD692</t>
  </si>
  <si>
    <t>CPF074</t>
  </si>
  <si>
    <t>CNW182</t>
  </si>
  <si>
    <t>CSI022</t>
  </si>
  <si>
    <t>BPF636</t>
  </si>
  <si>
    <t>CSI021</t>
  </si>
  <si>
    <t>CMH202</t>
  </si>
  <si>
    <t>APT266</t>
  </si>
  <si>
    <t>BDT387</t>
  </si>
  <si>
    <t>CSI194</t>
  </si>
  <si>
    <t>CFS441</t>
  </si>
  <si>
    <t>CCC507</t>
  </si>
  <si>
    <t>CSJ298</t>
  </si>
  <si>
    <t>ATS178</t>
  </si>
  <si>
    <t>BDZ606</t>
  </si>
  <si>
    <t>CMZ494</t>
  </si>
  <si>
    <t>CSV357</t>
  </si>
  <si>
    <t>CSK638</t>
  </si>
  <si>
    <t>AZS673</t>
  </si>
  <si>
    <t>CMF254</t>
  </si>
  <si>
    <t>CKQ533</t>
  </si>
  <si>
    <t>CSX581</t>
  </si>
  <si>
    <t>VCU024</t>
  </si>
  <si>
    <t>CTM178</t>
  </si>
  <si>
    <t>CCR117</t>
  </si>
  <si>
    <t>CJU471</t>
  </si>
  <si>
    <t>CPG609</t>
  </si>
  <si>
    <t>CTI293</t>
  </si>
  <si>
    <t>CSG517</t>
  </si>
  <si>
    <t>CEW028</t>
  </si>
  <si>
    <t>BSS189</t>
  </si>
  <si>
    <t>CTK464</t>
  </si>
  <si>
    <t>BWB327</t>
  </si>
  <si>
    <t>CSE239</t>
  </si>
  <si>
    <t>CTH074</t>
  </si>
  <si>
    <t>CTB513</t>
  </si>
  <si>
    <t>CPY354</t>
  </si>
  <si>
    <t>CEI542</t>
  </si>
  <si>
    <t>CLG655</t>
  </si>
  <si>
    <t>AZN469</t>
  </si>
  <si>
    <t>CSM575</t>
  </si>
  <si>
    <t>CMD089</t>
  </si>
  <si>
    <t>ACZ039</t>
  </si>
  <si>
    <t>AYJ153</t>
  </si>
  <si>
    <t>BPM133</t>
  </si>
  <si>
    <t>BYV118</t>
  </si>
  <si>
    <t>BZX033</t>
  </si>
  <si>
    <t>CAT604</t>
  </si>
  <si>
    <t>CBZ617</t>
  </si>
  <si>
    <t>CEC017</t>
  </si>
  <si>
    <t>CJZ028</t>
  </si>
  <si>
    <t>CNN010</t>
  </si>
  <si>
    <t>CPL200</t>
  </si>
  <si>
    <t>CPU467</t>
  </si>
  <si>
    <t>CRU149</t>
  </si>
  <si>
    <t>CSN414</t>
  </si>
  <si>
    <t>CSU413</t>
  </si>
  <si>
    <t>CSZ400</t>
  </si>
  <si>
    <t>CTN657</t>
  </si>
  <si>
    <t>CTR591</t>
  </si>
  <si>
    <t>CTU642</t>
  </si>
  <si>
    <t>CTY448</t>
  </si>
  <si>
    <t>CTZ008</t>
  </si>
  <si>
    <t>CTZ353</t>
  </si>
  <si>
    <t>CUC607</t>
  </si>
  <si>
    <t>CUE550</t>
  </si>
  <si>
    <t>CUH050</t>
  </si>
  <si>
    <t>CUM244</t>
  </si>
  <si>
    <t>CUS438</t>
  </si>
  <si>
    <t>H2N467</t>
  </si>
  <si>
    <t>T7E578</t>
  </si>
  <si>
    <t>M4E582</t>
  </si>
  <si>
    <t>CUP199</t>
  </si>
  <si>
    <t>CSP250</t>
  </si>
  <si>
    <t>CPH054</t>
  </si>
  <si>
    <t>CNA499</t>
  </si>
  <si>
    <t>CTZ167</t>
  </si>
  <si>
    <t>BDR487</t>
  </si>
  <si>
    <t>CTB097</t>
  </si>
  <si>
    <t>CUU094</t>
  </si>
  <si>
    <t>CVH463</t>
  </si>
  <si>
    <t>CONECTADO</t>
  </si>
  <si>
    <t>SIN CONEXIÓN</t>
  </si>
  <si>
    <t>ABG350</t>
  </si>
  <si>
    <t>BJC358</t>
  </si>
  <si>
    <t>BJT655</t>
  </si>
  <si>
    <t>BLO434</t>
  </si>
  <si>
    <t>BSF586</t>
  </si>
  <si>
    <t>BUI018</t>
  </si>
  <si>
    <t>BUR044</t>
  </si>
  <si>
    <t>BVN021</t>
  </si>
  <si>
    <t>BWC096</t>
  </si>
  <si>
    <t>CBW420</t>
  </si>
  <si>
    <t>CCX688</t>
  </si>
  <si>
    <t>CEG066</t>
  </si>
  <si>
    <t>CLZ051</t>
  </si>
  <si>
    <t>CRI080</t>
  </si>
  <si>
    <t>CUI466</t>
  </si>
  <si>
    <t>W3J514</t>
  </si>
  <si>
    <t>CTZ151</t>
  </si>
  <si>
    <t>CTZ322</t>
  </si>
  <si>
    <t>CTZ341</t>
  </si>
  <si>
    <t>CTZ449</t>
  </si>
  <si>
    <t>CUD693</t>
  </si>
  <si>
    <t>BJJ567</t>
  </si>
  <si>
    <t>CEP236</t>
  </si>
  <si>
    <t>CJN081</t>
  </si>
  <si>
    <t>CRT364</t>
  </si>
  <si>
    <t>CSH448</t>
  </si>
  <si>
    <t>CSJ054</t>
  </si>
  <si>
    <t>CUR159</t>
  </si>
  <si>
    <t>CVA181</t>
  </si>
  <si>
    <t>CVG349</t>
  </si>
  <si>
    <t>CUV084</t>
  </si>
  <si>
    <t>CVU366</t>
  </si>
  <si>
    <t>CTS479</t>
  </si>
  <si>
    <t>CCB672</t>
  </si>
  <si>
    <t>CPZ341</t>
  </si>
  <si>
    <t>CRG272</t>
  </si>
  <si>
    <t>F7M239</t>
  </si>
  <si>
    <t>Z7C417</t>
  </si>
  <si>
    <t>BJN316</t>
  </si>
  <si>
    <t>CVR156</t>
  </si>
  <si>
    <t>CLW188</t>
  </si>
  <si>
    <t>CVN594</t>
  </si>
  <si>
    <t>AUX161</t>
  </si>
  <si>
    <t>CVO556</t>
  </si>
  <si>
    <t>CCM084</t>
  </si>
  <si>
    <t>BBB758</t>
  </si>
  <si>
    <t>BPK461</t>
  </si>
  <si>
    <t>BFY368</t>
  </si>
  <si>
    <t>CUX675</t>
  </si>
  <si>
    <t>CWF217</t>
  </si>
  <si>
    <t>CVL389</t>
  </si>
  <si>
    <t>CSB042</t>
  </si>
  <si>
    <t>CCG534</t>
  </si>
  <si>
    <t>CSH376</t>
  </si>
  <si>
    <t>AUM498</t>
  </si>
  <si>
    <t>CVZ565</t>
  </si>
  <si>
    <t>CFP164</t>
  </si>
  <si>
    <t>CWD524</t>
  </si>
  <si>
    <t>BCJ418</t>
  </si>
  <si>
    <t>CUH490</t>
  </si>
  <si>
    <t>CSH416</t>
  </si>
  <si>
    <t>CUL668</t>
  </si>
  <si>
    <t>BKV429</t>
  </si>
  <si>
    <t>BZT261</t>
  </si>
  <si>
    <t>CWD205</t>
  </si>
  <si>
    <t>CAO698</t>
  </si>
  <si>
    <t>CWD320</t>
  </si>
  <si>
    <t>CVJ148</t>
  </si>
  <si>
    <t>CTX684</t>
  </si>
  <si>
    <t>BUA648</t>
  </si>
  <si>
    <t>CNZ452</t>
  </si>
  <si>
    <t>CXF418</t>
  </si>
  <si>
    <t>BVD639</t>
  </si>
  <si>
    <t>C0T281</t>
  </si>
  <si>
    <t>AVE066</t>
  </si>
  <si>
    <t>CMM587</t>
  </si>
  <si>
    <t>VCU534</t>
  </si>
  <si>
    <t>CVU263</t>
  </si>
  <si>
    <t>CSZ263</t>
  </si>
  <si>
    <t>CNN464</t>
  </si>
  <si>
    <t>BNS210</t>
  </si>
  <si>
    <t>BWJ350</t>
  </si>
  <si>
    <t>BJF390</t>
  </si>
  <si>
    <t>CEV648</t>
  </si>
  <si>
    <t>APC386</t>
  </si>
  <si>
    <t>VAV356</t>
  </si>
  <si>
    <t>BNO307</t>
  </si>
  <si>
    <t>CCH552</t>
  </si>
  <si>
    <t>CXH433</t>
  </si>
  <si>
    <t>CWT433</t>
  </si>
  <si>
    <t>BNE342</t>
  </si>
  <si>
    <t>BNG615</t>
  </si>
  <si>
    <t>CSC263</t>
  </si>
  <si>
    <t>BWX187</t>
  </si>
  <si>
    <t>BLP599</t>
  </si>
  <si>
    <t>CWL054</t>
  </si>
  <si>
    <t>AKE378</t>
  </si>
  <si>
    <t>CNN441</t>
  </si>
  <si>
    <t>BKE016</t>
  </si>
  <si>
    <t>CPP635</t>
  </si>
  <si>
    <t>CSC167</t>
  </si>
  <si>
    <t>CTS168</t>
  </si>
  <si>
    <t>CJN072</t>
  </si>
  <si>
    <t>BUE579</t>
  </si>
  <si>
    <t>CRD355</t>
  </si>
  <si>
    <t>CJV471</t>
  </si>
  <si>
    <t>CXT605</t>
  </si>
  <si>
    <t>BPM524</t>
  </si>
  <si>
    <t>CUD310</t>
  </si>
  <si>
    <t>CKL081</t>
  </si>
  <si>
    <t>CUF563</t>
  </si>
  <si>
    <t>CSY519</t>
  </si>
  <si>
    <t>CWH324</t>
  </si>
  <si>
    <t>CUI301</t>
  </si>
  <si>
    <t>CRM208</t>
  </si>
  <si>
    <t>CCR442</t>
  </si>
  <si>
    <t>CTH234</t>
  </si>
  <si>
    <t>CJM455</t>
  </si>
  <si>
    <t>BNH668</t>
  </si>
  <si>
    <t>F2T540</t>
  </si>
  <si>
    <t>VDL619</t>
  </si>
  <si>
    <t>CRF406</t>
  </si>
  <si>
    <t>CPJ035</t>
  </si>
  <si>
    <t>BSC096</t>
  </si>
  <si>
    <t>CVS204</t>
  </si>
  <si>
    <t>CRQ588</t>
  </si>
  <si>
    <t>CWA458</t>
  </si>
  <si>
    <t>CWI518</t>
  </si>
  <si>
    <t>CFP116</t>
  </si>
  <si>
    <t>CVU180</t>
  </si>
  <si>
    <t>CWF053</t>
  </si>
  <si>
    <t>BDX196</t>
  </si>
  <si>
    <t>CXR674</t>
  </si>
  <si>
    <t>CVT080</t>
  </si>
  <si>
    <t>CVK629</t>
  </si>
  <si>
    <t>CWH512</t>
  </si>
  <si>
    <t>CVV674</t>
  </si>
  <si>
    <t>BSZ306</t>
  </si>
  <si>
    <t>CUV555</t>
  </si>
  <si>
    <t>CWZ460</t>
  </si>
  <si>
    <t>CLK097</t>
  </si>
  <si>
    <t>BYV175</t>
  </si>
  <si>
    <t>CXF217</t>
  </si>
  <si>
    <t>CXJ322</t>
  </si>
  <si>
    <t>CXL075</t>
  </si>
  <si>
    <t>CST304</t>
  </si>
  <si>
    <t>ANR204</t>
  </si>
  <si>
    <t>CDK426</t>
  </si>
  <si>
    <t>CWS583</t>
  </si>
  <si>
    <t>CXF547</t>
  </si>
  <si>
    <t>CWS313</t>
  </si>
  <si>
    <t>AZW626</t>
  </si>
  <si>
    <t>CWS467</t>
  </si>
  <si>
    <t>BMX496</t>
  </si>
  <si>
    <t>CDS187</t>
  </si>
  <si>
    <t>CVR636</t>
  </si>
  <si>
    <t>CRG420</t>
  </si>
  <si>
    <t>CYF502</t>
  </si>
  <si>
    <t>CFA126</t>
  </si>
  <si>
    <t>CSX360</t>
  </si>
  <si>
    <t>Z6D031</t>
  </si>
  <si>
    <t>CNB415</t>
  </si>
  <si>
    <t>BUY682</t>
  </si>
  <si>
    <t>CPB035</t>
  </si>
  <si>
    <t>CND019</t>
  </si>
  <si>
    <t>BUW402</t>
  </si>
  <si>
    <t>CXO136</t>
  </si>
  <si>
    <t>CNO525</t>
  </si>
  <si>
    <t>CONEXIÓN SEM 20</t>
  </si>
  <si>
    <t>AXC501</t>
  </si>
  <si>
    <t>BYF337</t>
  </si>
  <si>
    <t>CHZ028</t>
  </si>
  <si>
    <t>CPJ630</t>
  </si>
  <si>
    <t>CUL264</t>
  </si>
  <si>
    <t>CVC101</t>
  </si>
  <si>
    <t>D0D172</t>
  </si>
  <si>
    <t>BLL611</t>
  </si>
  <si>
    <t>BJR597</t>
  </si>
  <si>
    <t>Z7B239</t>
  </si>
  <si>
    <t>AHO333</t>
  </si>
  <si>
    <t>CSH676</t>
  </si>
  <si>
    <t>2829444-2</t>
  </si>
  <si>
    <t>2829408-28</t>
  </si>
  <si>
    <t>2834134-1</t>
  </si>
  <si>
    <t>2835492-1</t>
  </si>
  <si>
    <t>B012-110350</t>
  </si>
  <si>
    <t>B012-110582</t>
  </si>
  <si>
    <t>B012-112041</t>
  </si>
  <si>
    <t>B012-111566</t>
  </si>
  <si>
    <t>B012-111038</t>
  </si>
  <si>
    <t>B012-112143</t>
  </si>
  <si>
    <t>F012-26840</t>
  </si>
  <si>
    <t>F012-26936</t>
  </si>
  <si>
    <t>F012-26937</t>
  </si>
  <si>
    <t>B012-110765</t>
  </si>
  <si>
    <t>B012-111890</t>
  </si>
  <si>
    <t>B012-110781</t>
  </si>
  <si>
    <t>B012-112287</t>
  </si>
  <si>
    <t>F012-26733</t>
  </si>
  <si>
    <t>B012-110244</t>
  </si>
  <si>
    <t>F012-26789</t>
  </si>
  <si>
    <t>B012-110394</t>
  </si>
  <si>
    <t>B012-110949</t>
  </si>
  <si>
    <t>F012-27105</t>
  </si>
  <si>
    <t>F012-27299</t>
  </si>
  <si>
    <t>B012-111434</t>
  </si>
  <si>
    <t>B012-110007</t>
  </si>
  <si>
    <t>F012-27203</t>
  </si>
  <si>
    <t>B012-109810</t>
  </si>
  <si>
    <t>B012-111520</t>
  </si>
  <si>
    <t>F012-26940</t>
  </si>
  <si>
    <t>B012-110728</t>
  </si>
  <si>
    <t>B012-111881</t>
  </si>
  <si>
    <t>F012-27324</t>
  </si>
  <si>
    <t>B012-110355</t>
  </si>
  <si>
    <t>B012-111064</t>
  </si>
  <si>
    <t>B012-111690</t>
  </si>
  <si>
    <t>B012-111773</t>
  </si>
  <si>
    <t>B012-112082</t>
  </si>
  <si>
    <t>B012-111455</t>
  </si>
  <si>
    <t>B012-112195</t>
  </si>
  <si>
    <t>2835368-6</t>
  </si>
  <si>
    <t>2835369-13</t>
  </si>
  <si>
    <t>2825892-5</t>
  </si>
  <si>
    <t>2826578-2</t>
  </si>
  <si>
    <t>B012-110902</t>
  </si>
  <si>
    <t>B012-110324</t>
  </si>
  <si>
    <t>B012-109844</t>
  </si>
  <si>
    <t>B012-109948</t>
  </si>
  <si>
    <t>F012-26961</t>
  </si>
  <si>
    <t>B012-112205</t>
  </si>
  <si>
    <t>F012-27270</t>
  </si>
  <si>
    <t>F012-26921</t>
  </si>
  <si>
    <t>B012-111097</t>
  </si>
  <si>
    <t>F012-27118</t>
  </si>
  <si>
    <t>B012-112253</t>
  </si>
  <si>
    <t>B012-111653</t>
  </si>
  <si>
    <t>B012-111525</t>
  </si>
  <si>
    <t>B012-111904</t>
  </si>
  <si>
    <t>B012-111935</t>
  </si>
  <si>
    <t>B012-112048</t>
  </si>
  <si>
    <t>CCO641</t>
  </si>
  <si>
    <t>B012-110169</t>
  </si>
  <si>
    <t>B012-111365</t>
  </si>
  <si>
    <t>B012-111682</t>
  </si>
  <si>
    <t>F012-26827</t>
  </si>
  <si>
    <t>B012-109861</t>
  </si>
  <si>
    <t>B012-111084</t>
  </si>
  <si>
    <t>F012-26760</t>
  </si>
  <si>
    <t>B012-110423</t>
  </si>
  <si>
    <t>B012-112279</t>
  </si>
  <si>
    <t>B012-110124</t>
  </si>
  <si>
    <t>B012-110992</t>
  </si>
  <si>
    <t>B012-110306</t>
  </si>
  <si>
    <t>F012-26976</t>
  </si>
  <si>
    <t>B012-112017</t>
  </si>
  <si>
    <t>B012-111655</t>
  </si>
  <si>
    <t>B012-109851</t>
  </si>
  <si>
    <t>B012-110017</t>
  </si>
  <si>
    <t>F012-27262</t>
  </si>
  <si>
    <t>B012-111017</t>
  </si>
  <si>
    <t>F012-27159</t>
  </si>
  <si>
    <t>CKT419</t>
  </si>
  <si>
    <t>F012-26896</t>
  </si>
  <si>
    <t>B012-112050</t>
  </si>
  <si>
    <t>F012-27320</t>
  </si>
  <si>
    <t>B012-112013</t>
  </si>
  <si>
    <t>F012-26745</t>
  </si>
  <si>
    <t>B012-111815</t>
  </si>
  <si>
    <t>B012-110238</t>
  </si>
  <si>
    <t>B012-110948</t>
  </si>
  <si>
    <t>B012-112025</t>
  </si>
  <si>
    <t>F012-26923</t>
  </si>
  <si>
    <t>B012-111814</t>
  </si>
  <si>
    <t>F012-26787</t>
  </si>
  <si>
    <t>B012-112031</t>
  </si>
  <si>
    <t>F012-27040</t>
  </si>
  <si>
    <t>B012-110797</t>
  </si>
  <si>
    <t>B012-110842</t>
  </si>
  <si>
    <t>F012-27234</t>
  </si>
  <si>
    <t>B012-112311</t>
  </si>
  <si>
    <t>B012-111093</t>
  </si>
  <si>
    <t>F012-27028</t>
  </si>
  <si>
    <t>B012-111846</t>
  </si>
  <si>
    <t>F012-27290</t>
  </si>
  <si>
    <t>F012-26981</t>
  </si>
  <si>
    <t>B012-111495</t>
  </si>
  <si>
    <t>B012-111075</t>
  </si>
  <si>
    <t>B012-112170</t>
  </si>
  <si>
    <t>B012-111307</t>
  </si>
  <si>
    <t>B012-112092</t>
  </si>
  <si>
    <t>B012-112148</t>
  </si>
  <si>
    <t>B012-112292</t>
  </si>
  <si>
    <t>F012-26812</t>
  </si>
  <si>
    <t>2831853-5</t>
  </si>
  <si>
    <t>2835142-2</t>
  </si>
  <si>
    <t>2831841-1</t>
  </si>
  <si>
    <t>2831965-3</t>
  </si>
  <si>
    <t>2835772-7</t>
  </si>
  <si>
    <t>2835699-1</t>
  </si>
  <si>
    <t>B012-111145</t>
  </si>
  <si>
    <t>BW01-00000009</t>
  </si>
  <si>
    <t>B012-111630</t>
  </si>
  <si>
    <t>B012-111736</t>
  </si>
  <si>
    <t>F012-27214</t>
  </si>
  <si>
    <t>B012-112076</t>
  </si>
  <si>
    <t>B012-110003</t>
  </si>
  <si>
    <t>B012-111489</t>
  </si>
  <si>
    <t>B012-111695</t>
  </si>
  <si>
    <t>B012-110494</t>
  </si>
  <si>
    <t>F012-27144</t>
  </si>
  <si>
    <t>B012-111885</t>
  </si>
  <si>
    <t>F012-26780</t>
  </si>
  <si>
    <t>B012-111081</t>
  </si>
  <si>
    <t>B012-111868</t>
  </si>
  <si>
    <t>B012-112236</t>
  </si>
  <si>
    <t>F012-26676</t>
  </si>
  <si>
    <t>B012-109904</t>
  </si>
  <si>
    <t>F012-27110</t>
  </si>
  <si>
    <t>B012-111919</t>
  </si>
  <si>
    <t>F012-27247</t>
  </si>
  <si>
    <t>F012-26747</t>
  </si>
  <si>
    <t>B012-110505</t>
  </si>
  <si>
    <t>F012-26938</t>
  </si>
  <si>
    <t>B012-112204</t>
  </si>
  <si>
    <t>B012-111913</t>
  </si>
  <si>
    <t>2834085-1</t>
  </si>
  <si>
    <t>2835742-1</t>
  </si>
  <si>
    <t>2823095-1</t>
  </si>
  <si>
    <t>2824163-38</t>
  </si>
  <si>
    <t>2824648-3</t>
  </si>
  <si>
    <t>2824550-1</t>
  </si>
  <si>
    <t>2828095-4</t>
  </si>
  <si>
    <t>2829870-3</t>
  </si>
  <si>
    <t>2832261-1</t>
  </si>
  <si>
    <t>2831873-9</t>
  </si>
  <si>
    <t>2832825-2</t>
  </si>
  <si>
    <t>B012-111091</t>
  </si>
  <si>
    <t>B012-109796</t>
  </si>
  <si>
    <t>B012-111261</t>
  </si>
  <si>
    <t>B012-110520</t>
  </si>
  <si>
    <t>2827673-24</t>
  </si>
  <si>
    <t>B012-111633</t>
  </si>
  <si>
    <t>2824592-3</t>
  </si>
  <si>
    <t>2824564-4</t>
  </si>
  <si>
    <t>2826347-5</t>
  </si>
  <si>
    <t>2831929-5</t>
  </si>
  <si>
    <t>B012-110180</t>
  </si>
  <si>
    <t>B012-112131</t>
  </si>
  <si>
    <t>2833989-15</t>
  </si>
  <si>
    <t>B012-109792</t>
  </si>
  <si>
    <t>B012-110531</t>
  </si>
  <si>
    <t>2835739-1</t>
  </si>
  <si>
    <t>2828039-12</t>
  </si>
  <si>
    <t>2829586-2</t>
  </si>
  <si>
    <t>2832344-2</t>
  </si>
  <si>
    <t>2835743-3</t>
  </si>
  <si>
    <t>2835773-5</t>
  </si>
  <si>
    <t>B012-112210</t>
  </si>
  <si>
    <t>B012-112297</t>
  </si>
  <si>
    <t>B012-110318</t>
  </si>
  <si>
    <t>2824587-4</t>
  </si>
  <si>
    <t>2824540-2</t>
  </si>
  <si>
    <t>2826255-1</t>
  </si>
  <si>
    <t>2828072-2</t>
  </si>
  <si>
    <t>2828010-1</t>
  </si>
  <si>
    <t>2829784-1</t>
  </si>
  <si>
    <t>2829860-2</t>
  </si>
  <si>
    <t>2829809-4</t>
  </si>
  <si>
    <t>B012-109910</t>
  </si>
  <si>
    <t>F012-26739</t>
  </si>
  <si>
    <t>B012-110245</t>
  </si>
  <si>
    <t>F012-26875</t>
  </si>
  <si>
    <t>B012-111270</t>
  </si>
  <si>
    <t>B012-111428</t>
  </si>
  <si>
    <t>2824524-4</t>
  </si>
  <si>
    <t>2824254-1</t>
  </si>
  <si>
    <t>2824557-8</t>
  </si>
  <si>
    <t>2824633-1</t>
  </si>
  <si>
    <t>2827294-1</t>
  </si>
  <si>
    <t>2827728-30</t>
  </si>
  <si>
    <t>2827984-8</t>
  </si>
  <si>
    <t>2827672-7</t>
  </si>
  <si>
    <t>2834026-2</t>
  </si>
  <si>
    <t>2834120-1</t>
  </si>
  <si>
    <t>2834857-5</t>
  </si>
  <si>
    <t>F012-26881</t>
  </si>
  <si>
    <t>2824640-3</t>
  </si>
  <si>
    <t>2824116-1</t>
  </si>
  <si>
    <t>2826222-4</t>
  </si>
  <si>
    <t>2828042-4</t>
  </si>
  <si>
    <t>2827711-3</t>
  </si>
  <si>
    <t>2827679-2</t>
  </si>
  <si>
    <t>2829459-1</t>
  </si>
  <si>
    <t>2832001-3</t>
  </si>
  <si>
    <t>2831862-3</t>
  </si>
  <si>
    <t>2832248-2</t>
  </si>
  <si>
    <t>2831875-1</t>
  </si>
  <si>
    <t>2834162-2</t>
  </si>
  <si>
    <t>2833989-1</t>
  </si>
  <si>
    <t>2833998-8</t>
  </si>
  <si>
    <t>2835818-1</t>
  </si>
  <si>
    <t>2835490-2</t>
  </si>
  <si>
    <t>2835466-4</t>
  </si>
  <si>
    <t>2835697-11</t>
  </si>
  <si>
    <t>B012-109854</t>
  </si>
  <si>
    <t>B012-111264</t>
  </si>
  <si>
    <t>B012-110282</t>
  </si>
  <si>
    <t>B012-111570</t>
  </si>
  <si>
    <t>2829794-7</t>
  </si>
  <si>
    <t>B012-111074</t>
  </si>
  <si>
    <t>F012-27033</t>
  </si>
  <si>
    <t>F012-27226</t>
  </si>
  <si>
    <t>B012-109932</t>
  </si>
  <si>
    <t>B012-111918</t>
  </si>
  <si>
    <t>B012-109766</t>
  </si>
  <si>
    <t>B012-110400</t>
  </si>
  <si>
    <t>B012-111819</t>
  </si>
  <si>
    <t>2827973-1</t>
  </si>
  <si>
    <t>2828409-1</t>
  </si>
  <si>
    <t>2829857-1</t>
  </si>
  <si>
    <t>2829778-1</t>
  </si>
  <si>
    <t>2829884-2</t>
  </si>
  <si>
    <t>2831852-45</t>
  </si>
  <si>
    <t>2834116-4</t>
  </si>
  <si>
    <t>2834009-3</t>
  </si>
  <si>
    <t>2835736-2</t>
  </si>
  <si>
    <t>B012-111006</t>
  </si>
  <si>
    <t>2835506-1</t>
  </si>
  <si>
    <t>B012-109782</t>
  </si>
  <si>
    <t>B012-111246</t>
  </si>
  <si>
    <t>F012-27079</t>
  </si>
  <si>
    <t>F012-27236</t>
  </si>
  <si>
    <t>B012-112066</t>
  </si>
  <si>
    <t>2827679-3</t>
  </si>
  <si>
    <t>2829941-3</t>
  </si>
  <si>
    <t>2833993-5</t>
  </si>
  <si>
    <t>2834144-5</t>
  </si>
  <si>
    <t>2833974-4</t>
  </si>
  <si>
    <t>B012-109777</t>
  </si>
  <si>
    <t>B012-110085</t>
  </si>
  <si>
    <t>B012-110743</t>
  </si>
  <si>
    <t>B012-111467</t>
  </si>
  <si>
    <t>B012-111848</t>
  </si>
  <si>
    <t>B012-111016</t>
  </si>
  <si>
    <t>B012-111355</t>
  </si>
  <si>
    <t>B012-111674</t>
  </si>
  <si>
    <t>B012-111822</t>
  </si>
  <si>
    <t>B012-111895</t>
  </si>
  <si>
    <t>B012-112242</t>
  </si>
  <si>
    <t>B012-110198</t>
  </si>
  <si>
    <t>B012-111429</t>
  </si>
  <si>
    <t>B012-112034</t>
  </si>
  <si>
    <t>F012-27287</t>
  </si>
  <si>
    <t>2824545-7</t>
  </si>
  <si>
    <t>2824614-4</t>
  </si>
  <si>
    <t>2830356-1</t>
  </si>
  <si>
    <t>2827963-1</t>
  </si>
  <si>
    <t>2828080-4</t>
  </si>
  <si>
    <t>2833023-4</t>
  </si>
  <si>
    <t>2831851-6</t>
  </si>
  <si>
    <t>2824163-37</t>
  </si>
  <si>
    <t>2828110-3</t>
  </si>
  <si>
    <t>2829420-20</t>
  </si>
  <si>
    <t>2831852-7</t>
  </si>
  <si>
    <t>2831863-12</t>
  </si>
  <si>
    <t>2834030-7</t>
  </si>
  <si>
    <t>B012-111571</t>
  </si>
  <si>
    <t>B012-111661</t>
  </si>
  <si>
    <t>2835742-3</t>
  </si>
  <si>
    <t>2826243-1</t>
  </si>
  <si>
    <t>2826321-2</t>
  </si>
  <si>
    <t>2826248-3</t>
  </si>
  <si>
    <t>2828414-1</t>
  </si>
  <si>
    <t>2828024-2</t>
  </si>
  <si>
    <t>2827710-3</t>
  </si>
  <si>
    <t>2827673-23</t>
  </si>
  <si>
    <t>2829877-8</t>
  </si>
  <si>
    <t>2829800-5</t>
  </si>
  <si>
    <t>B012-111604</t>
  </si>
  <si>
    <t>F012-27322</t>
  </si>
  <si>
    <t>2834033-2</t>
  </si>
  <si>
    <t>2834161-4</t>
  </si>
  <si>
    <t>2833987-1</t>
  </si>
  <si>
    <t>2824555-150</t>
  </si>
  <si>
    <t>2824253-1</t>
  </si>
  <si>
    <t>2824251-1</t>
  </si>
  <si>
    <t>2828039-10</t>
  </si>
  <si>
    <t>2829442-4</t>
  </si>
  <si>
    <t>2831382-3</t>
  </si>
  <si>
    <t>2831208-18</t>
  </si>
  <si>
    <t>2834028-2</t>
  </si>
  <si>
    <t>2834161-3</t>
  </si>
  <si>
    <t>2833983-4</t>
  </si>
  <si>
    <t>2834863-2</t>
  </si>
  <si>
    <t>2833999-6</t>
  </si>
  <si>
    <t>2835730-1</t>
  </si>
  <si>
    <t>2835710-10</t>
  </si>
  <si>
    <t>2836943-1</t>
  </si>
  <si>
    <t>2828053-2</t>
  </si>
  <si>
    <t>2831196-34</t>
  </si>
  <si>
    <t>2826263-3</t>
  </si>
  <si>
    <t>2826330-2</t>
  </si>
  <si>
    <t>2826318-1</t>
  </si>
  <si>
    <t>2826218-3</t>
  </si>
  <si>
    <t>2826289-1</t>
  </si>
  <si>
    <t>2827992-1</t>
  </si>
  <si>
    <t>2827717-35</t>
  </si>
  <si>
    <t>2829804-6</t>
  </si>
  <si>
    <t>2829872-1</t>
  </si>
  <si>
    <t>2829839-1</t>
  </si>
  <si>
    <t>2830869-2</t>
  </si>
  <si>
    <t>2831868-4</t>
  </si>
  <si>
    <t>2824163-2</t>
  </si>
  <si>
    <t>2825904-26</t>
  </si>
  <si>
    <t>2826982-2</t>
  </si>
  <si>
    <t>2829938-3</t>
  </si>
  <si>
    <t>2829834-1</t>
  </si>
  <si>
    <t>2824163-4</t>
  </si>
  <si>
    <t>2825904-25</t>
  </si>
  <si>
    <t>2826981-1</t>
  </si>
  <si>
    <t>2826336-4</t>
  </si>
  <si>
    <t>2827966-8</t>
  </si>
  <si>
    <t>2827728-26</t>
  </si>
  <si>
    <t>2828105-4</t>
  </si>
  <si>
    <t>2829873-4</t>
  </si>
  <si>
    <t>2829837-6</t>
  </si>
  <si>
    <t>2831857-4</t>
  </si>
  <si>
    <t>2831999-4</t>
  </si>
  <si>
    <t>B012-110600</t>
  </si>
  <si>
    <t>2824550-5</t>
  </si>
  <si>
    <t>2824630-2</t>
  </si>
  <si>
    <t>2826244-2</t>
  </si>
  <si>
    <t>2826346-5</t>
  </si>
  <si>
    <t>2826230-8</t>
  </si>
  <si>
    <t>2825889-12</t>
  </si>
  <si>
    <t>2827991-7</t>
  </si>
  <si>
    <t>2828411-2</t>
  </si>
  <si>
    <t>2828425-1</t>
  </si>
  <si>
    <t>2828403-1</t>
  </si>
  <si>
    <t>2828069-3</t>
  </si>
  <si>
    <t>2829837-7</t>
  </si>
  <si>
    <t>2829464-11</t>
  </si>
  <si>
    <t>2829408-26</t>
  </si>
  <si>
    <t>2829844-2</t>
  </si>
  <si>
    <t>2831873-8</t>
  </si>
  <si>
    <t>2832005-1</t>
  </si>
  <si>
    <t>2833273-1</t>
  </si>
  <si>
    <t>2831234-3</t>
  </si>
  <si>
    <t>2831203-1</t>
  </si>
  <si>
    <t>2831989-2</t>
  </si>
  <si>
    <t>2834037-7</t>
  </si>
  <si>
    <t>2833999-3</t>
  </si>
  <si>
    <t>2835661-3</t>
  </si>
  <si>
    <t>B012-111209</t>
  </si>
  <si>
    <t>F012-27256</t>
  </si>
  <si>
    <t>2831870-1</t>
  </si>
  <si>
    <t>2826187-5</t>
  </si>
  <si>
    <t>2828251-3</t>
  </si>
  <si>
    <t>2826983-2</t>
  </si>
  <si>
    <t>2826294-1</t>
  </si>
  <si>
    <t>2828012-1</t>
  </si>
  <si>
    <t>2828075-4</t>
  </si>
  <si>
    <t>2828006-5</t>
  </si>
  <si>
    <t>2828090-1</t>
  </si>
  <si>
    <t>2829406-12</t>
  </si>
  <si>
    <t>2833389-9</t>
  </si>
  <si>
    <t>2835501-1</t>
  </si>
  <si>
    <t>2827673-28</t>
  </si>
  <si>
    <t>2831083-2</t>
  </si>
  <si>
    <t>2829408-31</t>
  </si>
  <si>
    <t>2834044-3</t>
  </si>
  <si>
    <t>2835404-2</t>
  </si>
  <si>
    <t>2835371-27</t>
  </si>
  <si>
    <t>2827728-33</t>
  </si>
  <si>
    <t>2828402-1</t>
  </si>
  <si>
    <t>2828127-1</t>
  </si>
  <si>
    <t>2829877-5</t>
  </si>
  <si>
    <t>2829796-1</t>
  </si>
  <si>
    <t>2832251-2</t>
  </si>
  <si>
    <t>2834120-3</t>
  </si>
  <si>
    <t>2834015-4</t>
  </si>
  <si>
    <t>2834000-5</t>
  </si>
  <si>
    <t>2835497-1</t>
  </si>
  <si>
    <t>2826217-7</t>
  </si>
  <si>
    <t>2828037-8</t>
  </si>
  <si>
    <t>2829801-10</t>
  </si>
  <si>
    <t>2829442-2</t>
  </si>
  <si>
    <t>2829459-3</t>
  </si>
  <si>
    <t>2831886-1</t>
  </si>
  <si>
    <t>2831999-3</t>
  </si>
  <si>
    <t>2834857-3</t>
  </si>
  <si>
    <t>2833973-2</t>
  </si>
  <si>
    <t>2834050-2</t>
  </si>
  <si>
    <t>2835728-3</t>
  </si>
  <si>
    <t>2835718-11</t>
  </si>
  <si>
    <t>2835808-2</t>
  </si>
  <si>
    <t>2823677-1</t>
  </si>
  <si>
    <t>2834100-3</t>
  </si>
  <si>
    <t>B012-111588</t>
  </si>
  <si>
    <t>2833982-6</t>
  </si>
  <si>
    <t>B012-111686</t>
  </si>
  <si>
    <t>2827831-2</t>
  </si>
  <si>
    <t>2830059-2</t>
  </si>
  <si>
    <t>2833389-5</t>
  </si>
  <si>
    <t>2835799-2</t>
  </si>
  <si>
    <t>2828590-3</t>
  </si>
  <si>
    <t>2827784-7</t>
  </si>
  <si>
    <t>2831930-5</t>
  </si>
  <si>
    <t>2831873-10</t>
  </si>
  <si>
    <t>2831303-7</t>
  </si>
  <si>
    <t>2831932-2</t>
  </si>
  <si>
    <t>2834160-1</t>
  </si>
  <si>
    <t>2834849-3</t>
  </si>
  <si>
    <t>B012-111498</t>
  </si>
  <si>
    <t>2823673-3</t>
  </si>
  <si>
    <t>2824524-9</t>
  </si>
  <si>
    <t>2824140-6</t>
  </si>
  <si>
    <t>2826339-1</t>
  </si>
  <si>
    <t>2827457-1</t>
  </si>
  <si>
    <t>2826317-1</t>
  </si>
  <si>
    <t>2826187-8</t>
  </si>
  <si>
    <t>2826254-3</t>
  </si>
  <si>
    <t>2829468-22</t>
  </si>
  <si>
    <t>2830053-1</t>
  </si>
  <si>
    <t>2834849-2</t>
  </si>
  <si>
    <t>2835422-3</t>
  </si>
  <si>
    <t>2835726-9</t>
  </si>
  <si>
    <t>2824621-1</t>
  </si>
  <si>
    <t>2826167-2</t>
  </si>
  <si>
    <t>2828133-2</t>
  </si>
  <si>
    <t>2828411-1</t>
  </si>
  <si>
    <t>2829468-35</t>
  </si>
  <si>
    <t>2830053-4</t>
  </si>
  <si>
    <t>2831928-4</t>
  </si>
  <si>
    <t>2831899-12</t>
  </si>
  <si>
    <t>2831937-3</t>
  </si>
  <si>
    <t>2834038-1</t>
  </si>
  <si>
    <t>2835497-2</t>
  </si>
  <si>
    <t>B012-110935</t>
  </si>
  <si>
    <t>2824256-1</t>
  </si>
  <si>
    <t>2824611-4</t>
  </si>
  <si>
    <t>2826285-4</t>
  </si>
  <si>
    <t>2827719-1</t>
  </si>
  <si>
    <t>2827985-4</t>
  </si>
  <si>
    <t>2828085-4</t>
  </si>
  <si>
    <t>2829884-4</t>
  </si>
  <si>
    <t>2832242-2</t>
  </si>
  <si>
    <t>2831966-3</t>
  </si>
  <si>
    <t>2833389-4</t>
  </si>
  <si>
    <t>2834089-1</t>
  </si>
  <si>
    <t>B012-110914</t>
  </si>
  <si>
    <t>F012-27305</t>
  </si>
  <si>
    <t>2826275-1</t>
  </si>
  <si>
    <t>2830663-2</t>
  </si>
  <si>
    <t>2834111-1</t>
  </si>
  <si>
    <t>2824518-4</t>
  </si>
  <si>
    <t>2827992-3</t>
  </si>
  <si>
    <t>2831857-1</t>
  </si>
  <si>
    <t>2831883-3</t>
  </si>
  <si>
    <t>2834036-5</t>
  </si>
  <si>
    <t>2835739-2</t>
  </si>
  <si>
    <t>2824537-1</t>
  </si>
  <si>
    <t>2831930-2</t>
  </si>
  <si>
    <t>2831863-9</t>
  </si>
  <si>
    <t>B012-110791</t>
  </si>
  <si>
    <t>B012-111168</t>
  </si>
  <si>
    <t>F012-26722</t>
  </si>
  <si>
    <t>F012-26766</t>
  </si>
  <si>
    <t>B012-110805</t>
  </si>
  <si>
    <t>B012-110892</t>
  </si>
  <si>
    <t>B012-110961</t>
  </si>
  <si>
    <t>F012-27228</t>
  </si>
  <si>
    <t>B012-112228</t>
  </si>
  <si>
    <t>2826529-1</t>
  </si>
  <si>
    <t>2824619-1</t>
  </si>
  <si>
    <t>2825289-1</t>
  </si>
  <si>
    <t>2826991-1</t>
  </si>
  <si>
    <t>2826347-2</t>
  </si>
  <si>
    <t>2825953-2</t>
  </si>
  <si>
    <t>2826269-7</t>
  </si>
  <si>
    <t>2830939-3</t>
  </si>
  <si>
    <t>2829414-1</t>
  </si>
  <si>
    <t>2829847-3</t>
  </si>
  <si>
    <t>2829780-4</t>
  </si>
  <si>
    <t>2829889-1</t>
  </si>
  <si>
    <t>2831196-30</t>
  </si>
  <si>
    <t>B012-110693</t>
  </si>
  <si>
    <t>B012-111029</t>
  </si>
  <si>
    <t>B012-112160</t>
  </si>
  <si>
    <t>B012-109971</t>
  </si>
  <si>
    <t>B012-112159</t>
  </si>
  <si>
    <t>2828143-3</t>
  </si>
  <si>
    <t>2828142-2</t>
  </si>
  <si>
    <t>2826262-4</t>
  </si>
  <si>
    <t>B012-110753</t>
  </si>
  <si>
    <t>B012-111371</t>
  </si>
  <si>
    <t>F012-27232</t>
  </si>
  <si>
    <t>B012-110708</t>
  </si>
  <si>
    <t>2829907-3</t>
  </si>
  <si>
    <t>2831248-28</t>
  </si>
  <si>
    <t>2831883-2</t>
  </si>
  <si>
    <t>2831247-17</t>
  </si>
  <si>
    <t>B012-110186</t>
  </si>
  <si>
    <t>B012-109840</t>
  </si>
  <si>
    <t>F012-27174</t>
  </si>
  <si>
    <t>B012-111675</t>
  </si>
  <si>
    <t>F012-27194</t>
  </si>
  <si>
    <t>B012-111469</t>
  </si>
  <si>
    <t>B012-110406</t>
  </si>
  <si>
    <t>B012-110475</t>
  </si>
  <si>
    <t>B012-110932</t>
  </si>
  <si>
    <t>F012-27073</t>
  </si>
  <si>
    <t>F012-27101</t>
  </si>
  <si>
    <t>2824621-4</t>
  </si>
  <si>
    <t>2826310-4</t>
  </si>
  <si>
    <t>2826295-4</t>
  </si>
  <si>
    <t>2828405-2</t>
  </si>
  <si>
    <t>2829444-3</t>
  </si>
  <si>
    <t>2829845-3</t>
  </si>
  <si>
    <t>F012-26844</t>
  </si>
  <si>
    <t>B012-111550</t>
  </si>
  <si>
    <t>F012-27153</t>
  </si>
  <si>
    <t>B012-111438</t>
  </si>
  <si>
    <t>B012-111479</t>
  </si>
  <si>
    <t>B012-111642</t>
  </si>
  <si>
    <t>B012-112077</t>
  </si>
  <si>
    <t>B012-110508</t>
  </si>
  <si>
    <t>F012-27089</t>
  </si>
  <si>
    <t>2824553-6</t>
  </si>
  <si>
    <t>2824636-1</t>
  </si>
  <si>
    <t>2824616-4</t>
  </si>
  <si>
    <t>2826230-7</t>
  </si>
  <si>
    <t>2826254-4</t>
  </si>
  <si>
    <t>2826217-3</t>
  </si>
  <si>
    <t>2826294-5</t>
  </si>
  <si>
    <t>2827690-26</t>
  </si>
  <si>
    <t>2828407-1</t>
  </si>
  <si>
    <t>2828415-1</t>
  </si>
  <si>
    <t>2828026-2</t>
  </si>
  <si>
    <t>2829829-6</t>
  </si>
  <si>
    <t>2830069-2</t>
  </si>
  <si>
    <t>2830060-2</t>
  </si>
  <si>
    <t>2829896-2</t>
  </si>
  <si>
    <t>2834022-1</t>
  </si>
  <si>
    <t>B012-110629</t>
  </si>
  <si>
    <t>F012-27229</t>
  </si>
  <si>
    <t>2824597-5</t>
  </si>
  <si>
    <t>2824655-5</t>
  </si>
  <si>
    <t>2826239-5</t>
  </si>
  <si>
    <t>2824644-4</t>
  </si>
  <si>
    <t>2828137-3</t>
  </si>
  <si>
    <t>2828043-1</t>
  </si>
  <si>
    <t>2831340-4</t>
  </si>
  <si>
    <t>2832954-1</t>
  </si>
  <si>
    <t>B012-109892</t>
  </si>
  <si>
    <t>B012-110565</t>
  </si>
  <si>
    <t>B012-111117</t>
  </si>
  <si>
    <t>B012-112061</t>
  </si>
  <si>
    <t>2826321-3</t>
  </si>
  <si>
    <t>2829864-4</t>
  </si>
  <si>
    <t>2829408-36</t>
  </si>
  <si>
    <t>2833986-8</t>
  </si>
  <si>
    <t>2835403-17</t>
  </si>
  <si>
    <t>2835705-3</t>
  </si>
  <si>
    <t>CMT682</t>
  </si>
  <si>
    <t>2824603-4</t>
  </si>
  <si>
    <t>2826181-1</t>
  </si>
  <si>
    <t>2825966-5</t>
  </si>
  <si>
    <t>2827973-4</t>
  </si>
  <si>
    <t>2828410-2</t>
  </si>
  <si>
    <t>2824581-4</t>
  </si>
  <si>
    <t>2824545-2</t>
  </si>
  <si>
    <t>2826218-8</t>
  </si>
  <si>
    <t>2833979-2</t>
  </si>
  <si>
    <t>2826324-4</t>
  </si>
  <si>
    <t>2826258-4</t>
  </si>
  <si>
    <t>2826202-7</t>
  </si>
  <si>
    <t>2831303-5</t>
  </si>
  <si>
    <t>2831196-36</t>
  </si>
  <si>
    <t>2831936-4</t>
  </si>
  <si>
    <t>2834938-1</t>
  </si>
  <si>
    <t>2834042-4</t>
  </si>
  <si>
    <t>2833389-10</t>
  </si>
  <si>
    <t>2835778-4</t>
  </si>
  <si>
    <t>2835699-6</t>
  </si>
  <si>
    <t>F012-26902</t>
  </si>
  <si>
    <t>B012-111811</t>
  </si>
  <si>
    <t>F012-27310</t>
  </si>
  <si>
    <t>B012-111914</t>
  </si>
  <si>
    <t>B012-111993</t>
  </si>
  <si>
    <t>B012-112268</t>
  </si>
  <si>
    <t>2834043-3</t>
  </si>
  <si>
    <t>B012-110106</t>
  </si>
  <si>
    <t>2826167-1</t>
  </si>
  <si>
    <t>2828619-5</t>
  </si>
  <si>
    <t>2831529-1</t>
  </si>
  <si>
    <t>B012-109826</t>
  </si>
  <si>
    <t>BW01-00000015</t>
  </si>
  <si>
    <t>F012-27235</t>
  </si>
  <si>
    <t>F012-26785</t>
  </si>
  <si>
    <t>F012-26951</t>
  </si>
  <si>
    <t>B012-110937</t>
  </si>
  <si>
    <t>B012-111218</t>
  </si>
  <si>
    <t>B012-111713</t>
  </si>
  <si>
    <t>2826833-2</t>
  </si>
  <si>
    <t>2827970-3</t>
  </si>
  <si>
    <t>2830054-2</t>
  </si>
  <si>
    <t>2829452-4</t>
  </si>
  <si>
    <t>2829816-2</t>
  </si>
  <si>
    <t>2829852-5</t>
  </si>
  <si>
    <t>2831910-2</t>
  </si>
  <si>
    <t>2834919-1</t>
  </si>
  <si>
    <t>2834105-1</t>
  </si>
  <si>
    <t>B012-110652</t>
  </si>
  <si>
    <t>B012-111787</t>
  </si>
  <si>
    <t>B012-112194</t>
  </si>
  <si>
    <t>F012-26793</t>
  </si>
  <si>
    <t>B012-110415</t>
  </si>
  <si>
    <t>F012-27003</t>
  </si>
  <si>
    <t>2826266-4</t>
  </si>
  <si>
    <t>2826243-7</t>
  </si>
  <si>
    <t>2825892-1</t>
  </si>
  <si>
    <t>2829873-5</t>
  </si>
  <si>
    <t>2829837-2</t>
  </si>
  <si>
    <t>2832019-4</t>
  </si>
  <si>
    <t>2826178-1</t>
  </si>
  <si>
    <t>2827977-3</t>
  </si>
  <si>
    <t>2828060-5</t>
  </si>
  <si>
    <t>2829802-4</t>
  </si>
  <si>
    <t>B012-110166</t>
  </si>
  <si>
    <t>B012-112091</t>
  </si>
  <si>
    <t>B012-111729</t>
  </si>
  <si>
    <t>B012-109955</t>
  </si>
  <si>
    <t>B012-110665</t>
  </si>
  <si>
    <t>B012-111171</t>
  </si>
  <si>
    <t>2831987-4</t>
  </si>
  <si>
    <t>2835403-8</t>
  </si>
  <si>
    <t>2824606-2</t>
  </si>
  <si>
    <t>2827474-4</t>
  </si>
  <si>
    <t>2826979-1</t>
  </si>
  <si>
    <t>2826297-3</t>
  </si>
  <si>
    <t>2828072-4</t>
  </si>
  <si>
    <t>2828005-2</t>
  </si>
  <si>
    <t>2828087-1</t>
  </si>
  <si>
    <t>2824528-2</t>
  </si>
  <si>
    <t>2824140-5</t>
  </si>
  <si>
    <t>2826328-3</t>
  </si>
  <si>
    <t>2826208-5</t>
  </si>
  <si>
    <t>2827685-19</t>
  </si>
  <si>
    <t>2829264-3</t>
  </si>
  <si>
    <t>2828406-2</t>
  </si>
  <si>
    <t>2828615-1</t>
  </si>
  <si>
    <t>2832825-1</t>
  </si>
  <si>
    <t>2833998-2</t>
  </si>
  <si>
    <t>2833415-20</t>
  </si>
  <si>
    <t>2833392-26</t>
  </si>
  <si>
    <t>2834091-2</t>
  </si>
  <si>
    <t>2835364-7</t>
  </si>
  <si>
    <t>B012-109788</t>
  </si>
  <si>
    <t>F012-27181</t>
  </si>
  <si>
    <t>F012-27242</t>
  </si>
  <si>
    <t>F012-27039</t>
  </si>
  <si>
    <t>B012-112259</t>
  </si>
  <si>
    <t>2826174-3</t>
  </si>
  <si>
    <t>2827989-4</t>
  </si>
  <si>
    <t>2824645-3</t>
  </si>
  <si>
    <t>2826270-5</t>
  </si>
  <si>
    <t>2827990-1</t>
  </si>
  <si>
    <t>2829869-3</t>
  </si>
  <si>
    <t>B012-110963</t>
  </si>
  <si>
    <t>B012-111592</t>
  </si>
  <si>
    <t>2826270-3</t>
  </si>
  <si>
    <t>2826237-1</t>
  </si>
  <si>
    <t>2824555-11</t>
  </si>
  <si>
    <t>2824589-3</t>
  </si>
  <si>
    <t>2825844-19</t>
  </si>
  <si>
    <t>2826314-3</t>
  </si>
  <si>
    <t>2827976-1</t>
  </si>
  <si>
    <t>2828044-6</t>
  </si>
  <si>
    <t>2828073-3</t>
  </si>
  <si>
    <t>2829793-3</t>
  </si>
  <si>
    <t>2832241-3</t>
  </si>
  <si>
    <t>F012-26865</t>
  </si>
  <si>
    <t>B012-110905</t>
  </si>
  <si>
    <t>F012-27064</t>
  </si>
  <si>
    <t>2824668-3</t>
  </si>
  <si>
    <t>2826271-8</t>
  </si>
  <si>
    <t>2826239-3</t>
  </si>
  <si>
    <t>F012-26784</t>
  </si>
  <si>
    <t>B012-111783</t>
  </si>
  <si>
    <t>B012-111942</t>
  </si>
  <si>
    <t>B012-112128</t>
  </si>
  <si>
    <t>2835617-4</t>
  </si>
  <si>
    <t>B012-111243</t>
  </si>
  <si>
    <t>B012-109935</t>
  </si>
  <si>
    <t>F012-27172</t>
  </si>
  <si>
    <t>2828072-3</t>
  </si>
  <si>
    <t>2836212-3</t>
  </si>
  <si>
    <t>2833392-30</t>
  </si>
  <si>
    <t>2824553-8</t>
  </si>
  <si>
    <t>2824624-1</t>
  </si>
  <si>
    <t>2826267-4</t>
  </si>
  <si>
    <t>2827000-2</t>
  </si>
  <si>
    <t>2829877-7</t>
  </si>
  <si>
    <t>2829800-7</t>
  </si>
  <si>
    <t>2829925-1</t>
  </si>
  <si>
    <t>2833576-1</t>
  </si>
  <si>
    <t>2834856-2</t>
  </si>
  <si>
    <t>2835796-3</t>
  </si>
  <si>
    <t>F012-26678</t>
  </si>
  <si>
    <t>F012-26878</t>
  </si>
  <si>
    <t>B012-110754</t>
  </si>
  <si>
    <t>B012-112223</t>
  </si>
  <si>
    <t>2834023-1</t>
  </si>
  <si>
    <t>2835744-12</t>
  </si>
  <si>
    <t>F012-26983</t>
  </si>
  <si>
    <t>2836442-1</t>
  </si>
  <si>
    <t>F012-27244</t>
  </si>
  <si>
    <t>2835706-1</t>
  </si>
  <si>
    <t>2824525-5</t>
  </si>
  <si>
    <t>2825826-10</t>
  </si>
  <si>
    <t>2829806-3</t>
  </si>
  <si>
    <t>2831294-1</t>
  </si>
  <si>
    <t>F012-27068</t>
  </si>
  <si>
    <t>2834017-8</t>
  </si>
  <si>
    <t>B012-109869</t>
  </si>
  <si>
    <t>B012-110466</t>
  </si>
  <si>
    <t>B012-110622</t>
  </si>
  <si>
    <t>F012-26987</t>
  </si>
  <si>
    <t>B012-111383</t>
  </si>
  <si>
    <t>B012-111698</t>
  </si>
  <si>
    <t>2836350-4</t>
  </si>
  <si>
    <t>F012-26886</t>
  </si>
  <si>
    <t>CLW273</t>
  </si>
  <si>
    <t>B012-110601</t>
  </si>
  <si>
    <t>B012-111981</t>
  </si>
  <si>
    <t>B012-112045</t>
  </si>
  <si>
    <t>BXK391</t>
  </si>
  <si>
    <t>2834009-5</t>
  </si>
  <si>
    <t>F012-27332</t>
  </si>
  <si>
    <t>2824109-25</t>
  </si>
  <si>
    <t>2825848-22</t>
  </si>
  <si>
    <t>2827831-1</t>
  </si>
  <si>
    <t>B012-110410</t>
  </si>
  <si>
    <t>2827685-13</t>
  </si>
  <si>
    <t>2831208-17</t>
  </si>
  <si>
    <t>B012-111337</t>
  </si>
  <si>
    <t>B012-110529</t>
  </si>
  <si>
    <t>B012-110811</t>
  </si>
  <si>
    <t>B012-111042</t>
  </si>
  <si>
    <t>B012-111334</t>
  </si>
  <si>
    <t>B012-110561</t>
  </si>
  <si>
    <t>2829533-2</t>
  </si>
  <si>
    <t>B012-110062</t>
  </si>
  <si>
    <t>F012-27077</t>
  </si>
  <si>
    <t>B012-111864</t>
  </si>
  <si>
    <t>B012-111033</t>
  </si>
  <si>
    <t>B012-111142</t>
  </si>
  <si>
    <t>B012-111886</t>
  </si>
  <si>
    <t>2831777-3</t>
  </si>
  <si>
    <t>2825260-1</t>
  </si>
  <si>
    <t>2829791-1</t>
  </si>
  <si>
    <t>2835740-2</t>
  </si>
  <si>
    <t>2835463-3</t>
  </si>
  <si>
    <t>2835839-5</t>
  </si>
  <si>
    <t>2829467-1</t>
  </si>
  <si>
    <t>2835836-1</t>
  </si>
  <si>
    <t>B012-110243</t>
  </si>
  <si>
    <t>2826016-3</t>
  </si>
  <si>
    <t>2826993-1</t>
  </si>
  <si>
    <t>2831777-1</t>
  </si>
  <si>
    <t>2832014-3</t>
  </si>
  <si>
    <t>2832245-1</t>
  </si>
  <si>
    <t>2834860-1</t>
  </si>
  <si>
    <t>2834851-1</t>
  </si>
  <si>
    <t>B012-110050</t>
  </si>
  <si>
    <t>2825836-15</t>
  </si>
  <si>
    <t>2829919-1</t>
  </si>
  <si>
    <t>2830060-4</t>
  </si>
  <si>
    <t>2829815-8</t>
  </si>
  <si>
    <t>2829893-3</t>
  </si>
  <si>
    <t>B012-110204</t>
  </si>
  <si>
    <t>F012-26852</t>
  </si>
  <si>
    <t>B012-110984</t>
  </si>
  <si>
    <t>F012-27035</t>
  </si>
  <si>
    <t>B012-111356</t>
  </si>
  <si>
    <t>F012-27215</t>
  </si>
  <si>
    <t>F012-27255</t>
  </si>
  <si>
    <t>B012-112055</t>
  </si>
  <si>
    <t>F012-26930</t>
  </si>
  <si>
    <t>F012-27111</t>
  </si>
  <si>
    <t>B012-111508</t>
  </si>
  <si>
    <t>B012-111561</t>
  </si>
  <si>
    <t>FW01-00000006</t>
  </si>
  <si>
    <t>B012-112274</t>
  </si>
  <si>
    <t>B012-109911</t>
  </si>
  <si>
    <t>B012-110133</t>
  </si>
  <si>
    <t>F012-26957</t>
  </si>
  <si>
    <t>F012-27057</t>
  </si>
  <si>
    <t>F012-27123</t>
  </si>
  <si>
    <t>B012-112011</t>
  </si>
  <si>
    <t>2834122-1</t>
  </si>
  <si>
    <t>B012-109786</t>
  </si>
  <si>
    <t>B012-110011</t>
  </si>
  <si>
    <t>B012-110364</t>
  </si>
  <si>
    <t>F012-26960</t>
  </si>
  <si>
    <t>F012-27074</t>
  </si>
  <si>
    <t>B012-110691</t>
  </si>
  <si>
    <t>B012-111057</t>
  </si>
  <si>
    <t>B012-110690</t>
  </si>
  <si>
    <t>B012-111391</t>
  </si>
  <si>
    <t>B012-111231</t>
  </si>
  <si>
    <t>2834028-4</t>
  </si>
  <si>
    <t>F012-27080</t>
  </si>
  <si>
    <t>B012-111542</t>
  </si>
  <si>
    <t>B012-112106</t>
  </si>
  <si>
    <t>B012-112177</t>
  </si>
  <si>
    <t>F012-26794</t>
  </si>
  <si>
    <t>F012-27138</t>
  </si>
  <si>
    <t>F012-27296</t>
  </si>
  <si>
    <t>F012-27309</t>
  </si>
  <si>
    <t>B012-111854</t>
  </si>
  <si>
    <t>B012-111267</t>
  </si>
  <si>
    <t>B012-111997</t>
  </si>
  <si>
    <t>B012-110067</t>
  </si>
  <si>
    <t>B012-110882</t>
  </si>
  <si>
    <t>B012-111080</t>
  </si>
  <si>
    <t>B012-110919</t>
  </si>
  <si>
    <t>F012-27112</t>
  </si>
  <si>
    <t>B012-110042</t>
  </si>
  <si>
    <t>B012-110801</t>
  </si>
  <si>
    <t>F012-26975</t>
  </si>
  <si>
    <t>B012-111849</t>
  </si>
  <si>
    <t>B012-111219</t>
  </si>
  <si>
    <t>F012-26876</t>
  </si>
  <si>
    <t xml:space="preserve">Peaje Estadio – P10   </t>
  </si>
  <si>
    <t>F300-00181608</t>
  </si>
  <si>
    <t>Peaje de Monterrico Entrada - P1</t>
  </si>
  <si>
    <t>Peaje de Monterrico Salida - P2</t>
  </si>
  <si>
    <t xml:space="preserve">Peaje Huánuco – P8   </t>
  </si>
  <si>
    <t>F300-00182269</t>
  </si>
  <si>
    <t>Peaje de Priale Salida - P7</t>
  </si>
  <si>
    <t>Peaje de Priale Entrada - P6</t>
  </si>
  <si>
    <t>Peaje de El Pino - P5</t>
  </si>
  <si>
    <t>Peaje de Separadora Salida - P3</t>
  </si>
  <si>
    <t>Peaje de Santa Anita - P4</t>
  </si>
  <si>
    <t>Peaje Puente del Ejercito – P9</t>
  </si>
  <si>
    <t>flota</t>
  </si>
  <si>
    <t>Columna1</t>
  </si>
  <si>
    <t>PLAZAS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</si>
</sst>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S/&quot;\ * #,##0.00_-;\-&quot;S/&quot;\ * #,##0.00_-;_-&quot;S/&quot;\ * &quot;-&quot;??_-;_-@_-"/>
    <numFmt numFmtId="164" formatCode="dd/mm/yyyy\ hh:mm:ss"/>
    <numFmt numFmtId="165" formatCode="[$-F400]h:mm:ss\ AM/PM"/>
    <numFmt numFmtId="166" formatCode="&quot;S/&quot;\ 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b/>
      <sz val="9"/>
      <name val="Calibri"/>
      <family val="2"/>
    </font>
    <font>
      <b/>
      <sz val="9"/>
      <color theme="0"/>
      <name val="Calibri"/>
      <family val="2"/>
    </font>
    <font>
      <sz val="9"/>
      <color theme="1"/>
      <name val="Calibri"/>
      <family val="2"/>
      <scheme val="minor"/>
    </font>
    <font>
      <sz val="9"/>
      <name val="Calibri"/>
      <family val="2"/>
    </font>
    <font>
      <b/>
      <sz val="10"/>
      <color rgb="FFC00000"/>
      <name val="Calibri Light"/>
      <family val="2"/>
    </font>
    <font>
      <sz val="1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4">
    <xf numFmtId="0" fontId="0" fillId="0" borderId="0"/>
    <xf numFmtId="0" fontId="3" fillId="0" borderId="0"/>
    <xf numFmtId="44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4" fontId="4" fillId="0" borderId="2" xfId="2" applyFont="1" applyFill="1" applyBorder="1" applyAlignment="1">
      <alignment horizontal="center" vertical="center" wrapText="1"/>
    </xf>
    <xf numFmtId="44" fontId="2" fillId="0" borderId="2" xfId="2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/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2" fontId="9" fillId="2" borderId="0" xfId="0" applyNumberFormat="1" applyFont="1" applyFill="1"/>
    <xf numFmtId="0" fontId="8" fillId="4" borderId="7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164" fontId="0" fillId="0" borderId="1" xfId="0" applyNumberFormat="1" applyBorder="1"/>
    <xf numFmtId="0" fontId="5" fillId="7" borderId="2" xfId="0" applyFont="1" applyFill="1" applyBorder="1" applyAlignment="1">
      <alignment horizontal="center"/>
    </xf>
    <xf numFmtId="2" fontId="9" fillId="6" borderId="3" xfId="0" applyNumberFormat="1" applyFont="1" applyFill="1" applyBorder="1" applyAlignment="1">
      <alignment horizontal="center"/>
    </xf>
    <xf numFmtId="2" fontId="9" fillId="6" borderId="1" xfId="0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5" fillId="7" borderId="7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0" fontId="5" fillId="7" borderId="8" xfId="0" applyFont="1" applyFill="1" applyBorder="1" applyAlignment="1">
      <alignment horizontal="center"/>
    </xf>
    <xf numFmtId="0" fontId="9" fillId="6" borderId="1" xfId="0" applyFont="1" applyFill="1" applyBorder="1"/>
    <xf numFmtId="0" fontId="9" fillId="6" borderId="3" xfId="0" applyFont="1" applyFill="1" applyBorder="1"/>
    <xf numFmtId="0" fontId="8" fillId="4" borderId="1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14" fontId="12" fillId="0" borderId="0" xfId="0" applyNumberFormat="1" applyFont="1" applyAlignment="1">
      <alignment horizontal="center"/>
    </xf>
    <xf numFmtId="14" fontId="15" fillId="0" borderId="1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8" fillId="0" borderId="9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/>
    </xf>
    <xf numFmtId="166" fontId="3" fillId="0" borderId="1" xfId="1" applyNumberFormat="1" applyBorder="1" applyAlignment="1">
      <alignment horizontal="center"/>
    </xf>
    <xf numFmtId="14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2" fontId="16" fillId="0" borderId="0" xfId="1" applyNumberFormat="1" applyFont="1" applyAlignment="1">
      <alignment horizontal="center"/>
    </xf>
    <xf numFmtId="14" fontId="17" fillId="0" borderId="10" xfId="1" applyNumberFormat="1" applyFont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14" fontId="13" fillId="0" borderId="0" xfId="1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3" fillId="0" borderId="0" xfId="1" applyFont="1" applyAlignment="1">
      <alignment horizontal="center"/>
    </xf>
    <xf numFmtId="2" fontId="13" fillId="0" borderId="0" xfId="1" applyNumberFormat="1" applyFont="1" applyAlignment="1">
      <alignment horizontal="center"/>
    </xf>
    <xf numFmtId="14" fontId="13" fillId="0" borderId="0" xfId="0" applyNumberFormat="1" applyFont="1" applyAlignment="1">
      <alignment horizontal="center"/>
    </xf>
    <xf numFmtId="14" fontId="12" fillId="9" borderId="0" xfId="0" applyNumberFormat="1" applyFont="1" applyFill="1" applyAlignment="1">
      <alignment horizontal="center"/>
    </xf>
    <xf numFmtId="165" fontId="13" fillId="0" borderId="0" xfId="1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6" fillId="0" borderId="0" xfId="1" applyNumberFormat="1" applyFont="1" applyAlignment="1">
      <alignment horizontal="center"/>
    </xf>
    <xf numFmtId="0" fontId="18" fillId="0" borderId="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4" fontId="7" fillId="0" borderId="11" xfId="1" applyNumberFormat="1" applyFont="1" applyBorder="1" applyAlignment="1">
      <alignment horizontal="center"/>
    </xf>
    <xf numFmtId="14" fontId="15" fillId="0" borderId="5" xfId="0" applyNumberFormat="1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166" fontId="7" fillId="0" borderId="5" xfId="1" applyNumberFormat="1" applyFont="1" applyBorder="1" applyAlignment="1">
      <alignment horizontal="center"/>
    </xf>
    <xf numFmtId="166" fontId="7" fillId="0" borderId="6" xfId="1" applyNumberFormat="1" applyFont="1" applyBorder="1" applyAlignment="1">
      <alignment horizontal="center"/>
    </xf>
    <xf numFmtId="14" fontId="15" fillId="5" borderId="11" xfId="0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4">
    <cellStyle name="Moneda 2 2" xfId="2" xr:uid="{CDEA0262-6594-4AAA-82D7-B53E536FA509}"/>
    <cellStyle name="Normal" xfId="0" builtinId="0"/>
    <cellStyle name="Normal 2" xfId="1" xr:uid="{017E9F87-36B8-4E83-AE52-5AC63C19F3D4}"/>
    <cellStyle name="Normal 3" xfId="3" xr:uid="{385BF93F-3BB5-4A97-B5B4-CED660C2042E}"/>
  </cellStyles>
  <dxfs count="536"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</dxf>
    <dxf>
      <font>
        <color rgb="FF9C0006"/>
      </font>
    </dxf>
    <dxf>
      <font>
        <b/>
        <i val="0"/>
        <color rgb="FF00206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numFmt numFmtId="166" formatCode="&quot;S/&quot;\ 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Calibri Light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B05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none"/>
      </font>
      <numFmt numFmtId="19" formatCode="d/mm/yyyy"/>
      <fill>
        <patternFill patternType="solid">
          <fgColor indexed="64"/>
          <bgColor theme="7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family val="2"/>
        <scheme val="maj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5" formatCode="[$-F400]h:mm:ss\ AM/PM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9" formatCode="d/mm/yyyy"/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Calibri"/>
        <family val="2"/>
      </font>
      <numFmt numFmtId="0" formatCode="General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none"/>
      </font>
      <numFmt numFmtId="19" formatCode="d/mm/yyyy"/>
      <fill>
        <patternFill patternType="none">
          <fgColor theme="4" tint="0.79998168889431442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fill>
        <patternFill patternType="none">
          <fgColor rgb="FFD9E1F2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\ hh:mm:ss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" formatCode="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fill>
        <patternFill patternType="solid">
          <fgColor indexed="64"/>
          <bgColor theme="7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7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auto="1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numFmt numFmtId="34" formatCode="_-&quot;S/&quot;\ * #,##0.00_-;\-&quot;S/&quot;\ * #,##0.00_-;_-&quot;S/&quot;\ * &quot;-&quot;??_-;_-@_-"/>
      <fill>
        <patternFill patternType="none">
          <fgColor indexed="64"/>
          <bgColor auto="1"/>
        </patternFill>
      </fill>
    </dxf>
    <dxf>
      <font>
        <sz val="10"/>
        <name val="Calibri Light"/>
        <family val="2"/>
        <scheme val="maj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mruColors>
      <color rgb="FFFFFF9F"/>
      <color rgb="FF71EE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/TODAS%20LAS%20FLOTAS/LIQ.%2023%20TODAS%20LAS%20FLOTAS%20DEL%2001%20JUNIO%20AL%2007%20JUNIO.xlsx" TargetMode="External"/><Relationship Id="rId2" Type="http://schemas.openxmlformats.org/officeDocument/2006/relationships/externalLinkPath" Target="file:///C:\Users\Jessica%20Davila\DIRECTO%20Dropbox\Jessica%20D&#225;vila\2026\TODAS%20LAS%20FLOTAS\LIQ.%2023%20TODAS%20LAS%20FLOTAS%20DEL%2001%20JUNIO%20AL%2007%20JUNIO.xlsx" TargetMode="External"/><Relationship Id="rId1" Type="http://schemas.openxmlformats.org/officeDocument/2006/relationships/externalLinkPath" Target="/Users/Jessica%20Davila/DIRECTO%20Dropbox/Jessica%20D&#225;vila/2026/TODAS%20LAS%20FLOTAS/LIQ.%2023%20TODAS%20LAS%20FLOTAS%20DEL%2001%20JUNIO%20AL%2007%20JUN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D"/>
      <sheetName val="FACTURAS"/>
      <sheetName val="FONDO INDIVIDUAL"/>
      <sheetName val="NO PAGADOS"/>
      <sheetName val="DETALLE PEX"/>
      <sheetName val="TD PEAJES"/>
      <sheetName val="SERVICIO CONTABLE"/>
      <sheetName val="DSCTS"/>
      <sheetName val="REPS"/>
      <sheetName val="WALLY PEND."/>
      <sheetName val="BONO CONDUCTOR- TRASLADO"/>
      <sheetName val="BONO DESPLAZAMIENTO 3 Y 5"/>
      <sheetName val="BENEFICIO APTO"/>
      <sheetName val="CONTROL DE CUPONES"/>
      <sheetName val="BDG W19"/>
      <sheetName val="BDG NX19"/>
      <sheetName val="HISTORIAL1"/>
      <sheetName val="TD CUPONES"/>
      <sheetName val="LIQ PEAJE"/>
      <sheetName val="LIQUIDACION"/>
      <sheetName val="LIQ. PARTICULAR"/>
      <sheetName val="SVC PLAZAS"/>
      <sheetName val="MATRIZ"/>
      <sheetName val="VALIDACION"/>
      <sheetName val="DETALLE DE PAGOS"/>
      <sheetName val="DETALLE DE SERVICIOS"/>
      <sheetName val="REPORTE FLOTA URBANO"/>
      <sheetName val="REPORTE FLOTA LATAM"/>
      <sheetName val="REPORTE FLOTA AP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">
          <cell r="B2"/>
        </row>
        <row r="3">
          <cell r="B3"/>
        </row>
        <row r="4">
          <cell r="A4">
            <v>1</v>
          </cell>
        </row>
        <row r="5">
          <cell r="A5" t="str">
            <v>PLAZAS</v>
          </cell>
          <cell r="B5" t="str">
            <v>MOVIL</v>
          </cell>
        </row>
        <row r="6">
          <cell r="A6" t="str">
            <v>MOVIL CONTINGENCIA</v>
          </cell>
          <cell r="B6">
            <v>1</v>
          </cell>
        </row>
        <row r="7">
          <cell r="A7" t="str">
            <v>MOVIL CONTINGENCIA</v>
          </cell>
          <cell r="B7">
            <v>2</v>
          </cell>
        </row>
        <row r="8">
          <cell r="A8" t="str">
            <v>MOVIL CONTINGENCIA</v>
          </cell>
          <cell r="B8">
            <v>3</v>
          </cell>
        </row>
        <row r="9">
          <cell r="A9" t="str">
            <v>MOVIL CONTINGENCIA</v>
          </cell>
          <cell r="B9">
            <v>4</v>
          </cell>
        </row>
        <row r="10">
          <cell r="A10" t="str">
            <v>MOVIL CONTINGENCIA</v>
          </cell>
          <cell r="B10">
            <v>5</v>
          </cell>
        </row>
        <row r="11">
          <cell r="A11" t="str">
            <v>MOVIL CONTINGENCIA</v>
          </cell>
          <cell r="B11">
            <v>6</v>
          </cell>
        </row>
        <row r="12">
          <cell r="A12" t="str">
            <v>MOVIL CONTINGENCIA</v>
          </cell>
          <cell r="B12">
            <v>7</v>
          </cell>
        </row>
        <row r="13">
          <cell r="A13" t="str">
            <v>MOVIL CONTINGENCIA</v>
          </cell>
          <cell r="B13">
            <v>8</v>
          </cell>
        </row>
        <row r="14">
          <cell r="A14" t="str">
            <v>MOVIL CONTINGENCIA</v>
          </cell>
          <cell r="B14">
            <v>9</v>
          </cell>
        </row>
        <row r="15">
          <cell r="A15" t="str">
            <v>MOVIL CONTINGENCIA</v>
          </cell>
          <cell r="B15">
            <v>12</v>
          </cell>
        </row>
        <row r="16">
          <cell r="A16" t="str">
            <v>MOVIL CONTINGENCIA</v>
          </cell>
          <cell r="B16">
            <v>13</v>
          </cell>
        </row>
        <row r="17">
          <cell r="A17" t="str">
            <v>MOVIL CONTINGENCIA</v>
          </cell>
          <cell r="B17">
            <v>15</v>
          </cell>
        </row>
        <row r="18">
          <cell r="A18" t="str">
            <v>MOVIL CONTINGENCIA</v>
          </cell>
          <cell r="B18">
            <v>16</v>
          </cell>
        </row>
        <row r="19">
          <cell r="A19" t="str">
            <v>MOVIL CONTINGENCIA</v>
          </cell>
          <cell r="B19">
            <v>17</v>
          </cell>
        </row>
        <row r="20">
          <cell r="A20" t="str">
            <v>MOVIL CONTINGENCIA</v>
          </cell>
          <cell r="B20">
            <v>18</v>
          </cell>
        </row>
        <row r="21">
          <cell r="A21" t="str">
            <v>MOVIL CONTINGENCIA</v>
          </cell>
          <cell r="B21">
            <v>19</v>
          </cell>
        </row>
        <row r="22">
          <cell r="A22" t="str">
            <v>MOVIL CONTINGENCIA</v>
          </cell>
          <cell r="B22">
            <v>20</v>
          </cell>
        </row>
        <row r="23">
          <cell r="A23" t="str">
            <v>MOVIL CONTINGENCIA</v>
          </cell>
          <cell r="B23">
            <v>21</v>
          </cell>
        </row>
        <row r="24">
          <cell r="A24" t="str">
            <v>MOVIL CONTINGENCIA</v>
          </cell>
          <cell r="B24">
            <v>22</v>
          </cell>
        </row>
        <row r="25">
          <cell r="A25" t="str">
            <v>MOVIL CONTINGENCIA</v>
          </cell>
          <cell r="B25">
            <v>23</v>
          </cell>
        </row>
        <row r="26">
          <cell r="A26" t="str">
            <v>MOVIL CONTINGENCIA</v>
          </cell>
          <cell r="B26">
            <v>25</v>
          </cell>
        </row>
        <row r="27">
          <cell r="A27" t="str">
            <v>MOVIL CONTINGENCIA</v>
          </cell>
          <cell r="B27">
            <v>26</v>
          </cell>
        </row>
        <row r="28">
          <cell r="A28" t="str">
            <v>MOVIL CONTINGENCIA</v>
          </cell>
          <cell r="B28">
            <v>27</v>
          </cell>
        </row>
        <row r="29">
          <cell r="A29" t="str">
            <v>MOVIL CONTINGENCIA</v>
          </cell>
          <cell r="B29">
            <v>30</v>
          </cell>
        </row>
        <row r="30">
          <cell r="A30" t="str">
            <v>MOVIL CONTINGENCIA</v>
          </cell>
          <cell r="B30">
            <v>31</v>
          </cell>
        </row>
        <row r="31">
          <cell r="A31" t="str">
            <v>MOVIL CONTINGENCIA</v>
          </cell>
          <cell r="B31">
            <v>32</v>
          </cell>
        </row>
        <row r="32">
          <cell r="A32" t="str">
            <v>MOVIL CONTINGENCIA</v>
          </cell>
          <cell r="B32">
            <v>33</v>
          </cell>
        </row>
        <row r="33">
          <cell r="A33" t="str">
            <v>MOVIL CONTINGENCIA</v>
          </cell>
          <cell r="B33">
            <v>36</v>
          </cell>
        </row>
        <row r="34">
          <cell r="A34" t="str">
            <v>MOVIL CONTINGENCIA</v>
          </cell>
          <cell r="B34">
            <v>39</v>
          </cell>
        </row>
        <row r="35">
          <cell r="A35" t="str">
            <v>MOVIL CONTINGENCIA</v>
          </cell>
          <cell r="B35">
            <v>40</v>
          </cell>
        </row>
        <row r="36">
          <cell r="A36" t="str">
            <v>MOVIL CONTINGENCIA</v>
          </cell>
          <cell r="B36">
            <v>41</v>
          </cell>
        </row>
        <row r="37">
          <cell r="A37" t="str">
            <v>MOVIL CONTINGENCIA</v>
          </cell>
          <cell r="B37">
            <v>42</v>
          </cell>
        </row>
        <row r="38">
          <cell r="A38" t="str">
            <v>MOVIL CONTINGENCIA</v>
          </cell>
          <cell r="B38">
            <v>43</v>
          </cell>
        </row>
        <row r="39">
          <cell r="A39" t="str">
            <v>MOVIL CONTINGENCIA</v>
          </cell>
          <cell r="B39">
            <v>49</v>
          </cell>
        </row>
        <row r="40">
          <cell r="A40" t="str">
            <v>MOVIL CONTINGENCIA</v>
          </cell>
          <cell r="B40">
            <v>50</v>
          </cell>
        </row>
        <row r="41">
          <cell r="A41" t="str">
            <v>MOVIL CONTINGENCIA</v>
          </cell>
          <cell r="B41">
            <v>52</v>
          </cell>
        </row>
        <row r="42">
          <cell r="A42" t="str">
            <v>AEROLINEAS</v>
          </cell>
          <cell r="B42">
            <v>104</v>
          </cell>
        </row>
        <row r="43">
          <cell r="A43" t="str">
            <v>URBANO</v>
          </cell>
          <cell r="B43">
            <v>105</v>
          </cell>
        </row>
        <row r="44">
          <cell r="A44" t="str">
            <v>URBANO</v>
          </cell>
          <cell r="B44">
            <v>108</v>
          </cell>
        </row>
        <row r="45">
          <cell r="A45" t="str">
            <v>URBANO</v>
          </cell>
          <cell r="B45">
            <v>125</v>
          </cell>
        </row>
        <row r="46">
          <cell r="A46" t="str">
            <v>AEROLINEAS</v>
          </cell>
          <cell r="B46">
            <v>126</v>
          </cell>
        </row>
        <row r="47">
          <cell r="A47" t="str">
            <v>AEROLINEAS</v>
          </cell>
          <cell r="B47">
            <v>127</v>
          </cell>
        </row>
        <row r="48">
          <cell r="A48" t="str">
            <v>URBANO</v>
          </cell>
          <cell r="B48">
            <v>129</v>
          </cell>
        </row>
        <row r="49">
          <cell r="A49" t="str">
            <v>AEROPUERTO</v>
          </cell>
          <cell r="B49">
            <v>200</v>
          </cell>
        </row>
        <row r="50">
          <cell r="A50" t="str">
            <v>AEROPUERTO</v>
          </cell>
          <cell r="B50">
            <v>203</v>
          </cell>
        </row>
        <row r="51">
          <cell r="A51" t="str">
            <v>AEROPUERTO</v>
          </cell>
          <cell r="B51">
            <v>204</v>
          </cell>
        </row>
        <row r="52">
          <cell r="A52" t="str">
            <v>AEROPUERTO</v>
          </cell>
          <cell r="B52">
            <v>205</v>
          </cell>
        </row>
        <row r="53">
          <cell r="A53" t="str">
            <v>AEROPUERTO</v>
          </cell>
          <cell r="B53">
            <v>207</v>
          </cell>
        </row>
        <row r="54">
          <cell r="A54" t="str">
            <v>URBANO</v>
          </cell>
          <cell r="B54">
            <v>208</v>
          </cell>
        </row>
        <row r="55">
          <cell r="A55" t="str">
            <v>AEROPUERTO</v>
          </cell>
          <cell r="B55">
            <v>210</v>
          </cell>
        </row>
        <row r="56">
          <cell r="A56" t="str">
            <v>AEROPUERTO</v>
          </cell>
          <cell r="B56">
            <v>212</v>
          </cell>
        </row>
        <row r="57">
          <cell r="A57" t="str">
            <v>AEROPUERTO</v>
          </cell>
          <cell r="B57">
            <v>213</v>
          </cell>
        </row>
        <row r="58">
          <cell r="A58" t="str">
            <v>URBANO</v>
          </cell>
          <cell r="B58">
            <v>216</v>
          </cell>
        </row>
        <row r="59">
          <cell r="A59" t="str">
            <v>AEROPUERTO</v>
          </cell>
          <cell r="B59">
            <v>217</v>
          </cell>
        </row>
        <row r="60">
          <cell r="A60" t="str">
            <v>AEROPUERTO</v>
          </cell>
          <cell r="B60">
            <v>219</v>
          </cell>
        </row>
        <row r="61">
          <cell r="A61" t="str">
            <v>AEROPUERTO</v>
          </cell>
          <cell r="B61">
            <v>220</v>
          </cell>
        </row>
        <row r="62">
          <cell r="A62" t="str">
            <v>AEROPUERTO</v>
          </cell>
          <cell r="B62">
            <v>221</v>
          </cell>
        </row>
        <row r="63">
          <cell r="A63" t="str">
            <v>AEROPUERTO</v>
          </cell>
          <cell r="B63">
            <v>222</v>
          </cell>
        </row>
        <row r="64">
          <cell r="A64" t="str">
            <v>AEROPUERTO</v>
          </cell>
          <cell r="B64">
            <v>223</v>
          </cell>
        </row>
        <row r="65">
          <cell r="A65" t="str">
            <v>URBANO PARTNER</v>
          </cell>
          <cell r="B65">
            <v>224</v>
          </cell>
        </row>
        <row r="66">
          <cell r="A66" t="str">
            <v>AEROPUERTO</v>
          </cell>
          <cell r="B66">
            <v>226</v>
          </cell>
        </row>
        <row r="67">
          <cell r="A67" t="str">
            <v>AEROPUERTO</v>
          </cell>
          <cell r="B67">
            <v>227</v>
          </cell>
        </row>
        <row r="68">
          <cell r="A68" t="str">
            <v>AEROPUERTO</v>
          </cell>
          <cell r="B68">
            <v>230</v>
          </cell>
        </row>
        <row r="69">
          <cell r="A69" t="str">
            <v>AEROPUERTO</v>
          </cell>
          <cell r="B69">
            <v>233</v>
          </cell>
        </row>
        <row r="70">
          <cell r="A70" t="str">
            <v>URBANO PARTNER</v>
          </cell>
          <cell r="B70">
            <v>234</v>
          </cell>
        </row>
        <row r="71">
          <cell r="A71" t="str">
            <v>AEROPUERTO</v>
          </cell>
          <cell r="B71">
            <v>238</v>
          </cell>
        </row>
        <row r="72">
          <cell r="A72" t="str">
            <v>AEROPUERTO</v>
          </cell>
          <cell r="B72">
            <v>239</v>
          </cell>
        </row>
        <row r="73">
          <cell r="A73" t="str">
            <v>AEROPUERTO</v>
          </cell>
          <cell r="B73">
            <v>240</v>
          </cell>
        </row>
        <row r="74">
          <cell r="A74" t="str">
            <v>URBANO</v>
          </cell>
          <cell r="B74">
            <v>241</v>
          </cell>
        </row>
        <row r="75">
          <cell r="A75" t="str">
            <v>AEROPUERTO</v>
          </cell>
          <cell r="B75">
            <v>243</v>
          </cell>
        </row>
        <row r="76">
          <cell r="A76" t="str">
            <v>AEROPUERTO</v>
          </cell>
          <cell r="B76">
            <v>245</v>
          </cell>
        </row>
        <row r="77">
          <cell r="A77" t="str">
            <v>AEROPUERTO</v>
          </cell>
          <cell r="B77">
            <v>247</v>
          </cell>
        </row>
        <row r="78">
          <cell r="A78" t="str">
            <v>AEROPUERTO</v>
          </cell>
          <cell r="B78">
            <v>248</v>
          </cell>
        </row>
        <row r="79">
          <cell r="A79" t="str">
            <v>AEROPUERTO</v>
          </cell>
          <cell r="B79">
            <v>250</v>
          </cell>
        </row>
        <row r="80">
          <cell r="A80" t="str">
            <v>AEROPUERTO</v>
          </cell>
          <cell r="B80">
            <v>251</v>
          </cell>
        </row>
        <row r="81">
          <cell r="A81" t="str">
            <v>URBANO</v>
          </cell>
          <cell r="B81">
            <v>258</v>
          </cell>
        </row>
        <row r="82">
          <cell r="A82" t="str">
            <v>AEROPUERTO</v>
          </cell>
          <cell r="B82">
            <v>260</v>
          </cell>
        </row>
        <row r="83">
          <cell r="A83" t="str">
            <v>URBANO</v>
          </cell>
          <cell r="B83">
            <v>267</v>
          </cell>
        </row>
        <row r="84">
          <cell r="A84" t="str">
            <v>URBANO</v>
          </cell>
          <cell r="B84">
            <v>269</v>
          </cell>
        </row>
        <row r="85">
          <cell r="A85" t="str">
            <v>URBANO PARTNER</v>
          </cell>
          <cell r="B85">
            <v>271</v>
          </cell>
        </row>
        <row r="86">
          <cell r="A86" t="str">
            <v>AEROPUERTO</v>
          </cell>
          <cell r="B86">
            <v>279</v>
          </cell>
        </row>
        <row r="87">
          <cell r="A87" t="str">
            <v>AEROPUERTO</v>
          </cell>
          <cell r="B87">
            <v>282</v>
          </cell>
        </row>
        <row r="88">
          <cell r="A88" t="str">
            <v>AEROPUERTO</v>
          </cell>
          <cell r="B88">
            <v>283</v>
          </cell>
        </row>
        <row r="89">
          <cell r="A89" t="str">
            <v>MEMBRESÍA DIURNA</v>
          </cell>
          <cell r="B89">
            <v>286</v>
          </cell>
        </row>
        <row r="90">
          <cell r="A90" t="str">
            <v>AEROPUERTO</v>
          </cell>
          <cell r="B90">
            <v>290</v>
          </cell>
        </row>
        <row r="91">
          <cell r="A91" t="str">
            <v>AEROPUERTO</v>
          </cell>
          <cell r="B91">
            <v>291</v>
          </cell>
        </row>
        <row r="92">
          <cell r="A92" t="str">
            <v>AEROPUERTO</v>
          </cell>
          <cell r="B92">
            <v>292</v>
          </cell>
        </row>
        <row r="93">
          <cell r="A93" t="str">
            <v>AEROPUERTO</v>
          </cell>
          <cell r="B93">
            <v>294</v>
          </cell>
        </row>
        <row r="94">
          <cell r="A94" t="str">
            <v>AEROPUERTO</v>
          </cell>
          <cell r="B94">
            <v>295</v>
          </cell>
        </row>
        <row r="95">
          <cell r="A95" t="str">
            <v>URBANO</v>
          </cell>
          <cell r="B95">
            <v>301</v>
          </cell>
        </row>
        <row r="96">
          <cell r="A96" t="str">
            <v>URBANO</v>
          </cell>
          <cell r="B96">
            <v>302</v>
          </cell>
        </row>
        <row r="97">
          <cell r="A97" t="str">
            <v>URBANO</v>
          </cell>
          <cell r="B97">
            <v>304</v>
          </cell>
        </row>
        <row r="98">
          <cell r="A98" t="str">
            <v>URBANO</v>
          </cell>
          <cell r="B98">
            <v>307</v>
          </cell>
        </row>
        <row r="99">
          <cell r="A99" t="str">
            <v>URBANO PARTNER</v>
          </cell>
          <cell r="B99">
            <v>315</v>
          </cell>
        </row>
        <row r="100">
          <cell r="A100" t="str">
            <v>URBANO PARTNER</v>
          </cell>
          <cell r="B100">
            <v>319</v>
          </cell>
        </row>
        <row r="101">
          <cell r="A101" t="str">
            <v>AEROPUERTO</v>
          </cell>
          <cell r="B101">
            <v>321</v>
          </cell>
        </row>
        <row r="102">
          <cell r="A102" t="str">
            <v>URBANO PARTNER</v>
          </cell>
          <cell r="B102">
            <v>323</v>
          </cell>
        </row>
        <row r="103">
          <cell r="A103" t="str">
            <v>URBANO</v>
          </cell>
          <cell r="B103">
            <v>330</v>
          </cell>
        </row>
        <row r="104">
          <cell r="A104" t="str">
            <v>URBANO PARTNER</v>
          </cell>
          <cell r="B104">
            <v>331</v>
          </cell>
        </row>
        <row r="105">
          <cell r="A105" t="str">
            <v>URBANO PARTNER</v>
          </cell>
          <cell r="B105">
            <v>349</v>
          </cell>
        </row>
        <row r="106">
          <cell r="A106" t="str">
            <v>URBANO</v>
          </cell>
          <cell r="B106">
            <v>361</v>
          </cell>
        </row>
        <row r="107">
          <cell r="A107" t="str">
            <v>URBANO</v>
          </cell>
          <cell r="B107">
            <v>365</v>
          </cell>
        </row>
        <row r="108">
          <cell r="A108" t="str">
            <v>MEMBRESÍA URBANO</v>
          </cell>
          <cell r="B108">
            <v>373</v>
          </cell>
        </row>
        <row r="109">
          <cell r="A109" t="str">
            <v>MEMBRESÍA URBANO</v>
          </cell>
          <cell r="B109">
            <v>380</v>
          </cell>
        </row>
        <row r="110">
          <cell r="A110" t="str">
            <v>URBANO PARTNER</v>
          </cell>
          <cell r="B110">
            <v>388</v>
          </cell>
        </row>
        <row r="111">
          <cell r="A111" t="str">
            <v>URBANO</v>
          </cell>
          <cell r="B111">
            <v>392</v>
          </cell>
        </row>
        <row r="112">
          <cell r="A112" t="str">
            <v>URBANO</v>
          </cell>
          <cell r="B112">
            <v>396</v>
          </cell>
        </row>
        <row r="113">
          <cell r="A113" t="str">
            <v>URBANO PARTNER</v>
          </cell>
          <cell r="B113">
            <v>398</v>
          </cell>
        </row>
        <row r="114">
          <cell r="A114" t="str">
            <v>URBANO</v>
          </cell>
          <cell r="B114">
            <v>404</v>
          </cell>
        </row>
        <row r="115">
          <cell r="A115" t="str">
            <v>URBANO</v>
          </cell>
          <cell r="B115">
            <v>407</v>
          </cell>
        </row>
        <row r="116">
          <cell r="A116" t="str">
            <v>AEROLINEAS</v>
          </cell>
          <cell r="B116">
            <v>408</v>
          </cell>
        </row>
        <row r="117">
          <cell r="A117" t="str">
            <v>URBANO</v>
          </cell>
          <cell r="B117">
            <v>411</v>
          </cell>
        </row>
        <row r="118">
          <cell r="A118" t="str">
            <v>MEMBRESÍA URBANO</v>
          </cell>
          <cell r="B118">
            <v>412</v>
          </cell>
        </row>
        <row r="119">
          <cell r="A119" t="str">
            <v>URBANO</v>
          </cell>
          <cell r="B119">
            <v>420</v>
          </cell>
        </row>
        <row r="120">
          <cell r="A120" t="str">
            <v>MEMBRESÍA URBANO</v>
          </cell>
          <cell r="B120">
            <v>423</v>
          </cell>
        </row>
        <row r="121">
          <cell r="A121" t="str">
            <v>URBANO</v>
          </cell>
          <cell r="B121">
            <v>434</v>
          </cell>
        </row>
        <row r="122">
          <cell r="A122" t="str">
            <v>URBANO</v>
          </cell>
          <cell r="B122">
            <v>460</v>
          </cell>
        </row>
        <row r="123">
          <cell r="A123" t="str">
            <v>URBANO</v>
          </cell>
          <cell r="B123">
            <v>467</v>
          </cell>
        </row>
        <row r="124">
          <cell r="A124" t="str">
            <v>URBANO PARTNER</v>
          </cell>
          <cell r="B124">
            <v>474</v>
          </cell>
        </row>
        <row r="125">
          <cell r="A125" t="str">
            <v>URBANO</v>
          </cell>
          <cell r="B125">
            <v>479</v>
          </cell>
        </row>
        <row r="126">
          <cell r="A126" t="str">
            <v>MEMBRESÍA NOCTURNA - APTO</v>
          </cell>
          <cell r="B126">
            <v>498</v>
          </cell>
        </row>
        <row r="127">
          <cell r="A127" t="str">
            <v>URBANO</v>
          </cell>
          <cell r="B127">
            <v>504</v>
          </cell>
        </row>
        <row r="128">
          <cell r="A128" t="str">
            <v>URBANO</v>
          </cell>
          <cell r="B128">
            <v>507</v>
          </cell>
        </row>
        <row r="129">
          <cell r="A129" t="str">
            <v>URBANO</v>
          </cell>
          <cell r="B129">
            <v>515</v>
          </cell>
        </row>
        <row r="130">
          <cell r="A130" t="str">
            <v>URBANO PARTNER</v>
          </cell>
          <cell r="B130">
            <v>517</v>
          </cell>
        </row>
        <row r="131">
          <cell r="A131" t="str">
            <v>URBANO</v>
          </cell>
          <cell r="B131">
            <v>519</v>
          </cell>
        </row>
        <row r="132">
          <cell r="A132" t="str">
            <v>URBANO</v>
          </cell>
          <cell r="B132">
            <v>521</v>
          </cell>
        </row>
        <row r="133">
          <cell r="A133" t="str">
            <v>URBANO</v>
          </cell>
          <cell r="B133">
            <v>523</v>
          </cell>
        </row>
        <row r="134">
          <cell r="A134" t="str">
            <v>URBANO</v>
          </cell>
          <cell r="B134">
            <v>528</v>
          </cell>
        </row>
        <row r="135">
          <cell r="A135" t="str">
            <v>URBANO</v>
          </cell>
          <cell r="B135">
            <v>529</v>
          </cell>
        </row>
        <row r="136">
          <cell r="A136" t="str">
            <v>URBANO PARTNER</v>
          </cell>
          <cell r="B136">
            <v>530</v>
          </cell>
        </row>
        <row r="137">
          <cell r="A137" t="str">
            <v>URBANO</v>
          </cell>
          <cell r="B137">
            <v>532</v>
          </cell>
        </row>
        <row r="138">
          <cell r="A138" t="str">
            <v>URBANO</v>
          </cell>
          <cell r="B138">
            <v>539</v>
          </cell>
        </row>
        <row r="139">
          <cell r="A139" t="str">
            <v>URBANO</v>
          </cell>
          <cell r="B139">
            <v>541</v>
          </cell>
        </row>
        <row r="140">
          <cell r="A140" t="str">
            <v>URBANO</v>
          </cell>
          <cell r="B140">
            <v>553</v>
          </cell>
        </row>
        <row r="141">
          <cell r="A141" t="str">
            <v>URBANO</v>
          </cell>
          <cell r="B141">
            <v>557</v>
          </cell>
        </row>
        <row r="142">
          <cell r="A142" t="str">
            <v>URBANO</v>
          </cell>
          <cell r="B142">
            <v>559</v>
          </cell>
        </row>
        <row r="143">
          <cell r="A143" t="str">
            <v>MEMBRESÍA URBANO</v>
          </cell>
          <cell r="B143">
            <v>561</v>
          </cell>
        </row>
        <row r="144">
          <cell r="A144" t="str">
            <v>URBANO</v>
          </cell>
          <cell r="B144">
            <v>571</v>
          </cell>
        </row>
        <row r="145">
          <cell r="A145" t="str">
            <v>URBANO PARTNER</v>
          </cell>
          <cell r="B145">
            <v>583</v>
          </cell>
        </row>
        <row r="146">
          <cell r="A146" t="str">
            <v>URBANO PARTNER</v>
          </cell>
          <cell r="B146">
            <v>591</v>
          </cell>
        </row>
        <row r="147">
          <cell r="A147" t="str">
            <v>URBANO</v>
          </cell>
          <cell r="B147">
            <v>596</v>
          </cell>
        </row>
        <row r="148">
          <cell r="A148" t="str">
            <v>URBANO</v>
          </cell>
          <cell r="B148">
            <v>602</v>
          </cell>
        </row>
        <row r="149">
          <cell r="A149" t="str">
            <v>AEROPUERTO</v>
          </cell>
          <cell r="B149">
            <v>621</v>
          </cell>
        </row>
        <row r="150">
          <cell r="A150" t="str">
            <v>URBANO</v>
          </cell>
          <cell r="B150">
            <v>627</v>
          </cell>
        </row>
        <row r="151">
          <cell r="A151" t="str">
            <v>AEROLINEAS</v>
          </cell>
          <cell r="B151">
            <v>629</v>
          </cell>
        </row>
        <row r="152">
          <cell r="A152" t="str">
            <v>URBANO</v>
          </cell>
          <cell r="B152">
            <v>633</v>
          </cell>
        </row>
        <row r="153">
          <cell r="A153" t="str">
            <v>MEMBRESÍA URBANO</v>
          </cell>
          <cell r="B153">
            <v>643</v>
          </cell>
        </row>
        <row r="154">
          <cell r="A154" t="str">
            <v>URBANO</v>
          </cell>
          <cell r="B154">
            <v>658</v>
          </cell>
        </row>
        <row r="155">
          <cell r="A155" t="str">
            <v>URBANO</v>
          </cell>
          <cell r="B155">
            <v>659</v>
          </cell>
        </row>
        <row r="156">
          <cell r="A156" t="str">
            <v>URBANO</v>
          </cell>
          <cell r="B156">
            <v>660</v>
          </cell>
        </row>
        <row r="157">
          <cell r="A157" t="str">
            <v>URBANO PARTNER</v>
          </cell>
          <cell r="B157">
            <v>661</v>
          </cell>
        </row>
        <row r="158">
          <cell r="A158" t="str">
            <v>URBANO PARTNER</v>
          </cell>
          <cell r="B158">
            <v>662</v>
          </cell>
        </row>
        <row r="159">
          <cell r="A159" t="str">
            <v>URBANO</v>
          </cell>
          <cell r="B159">
            <v>666</v>
          </cell>
        </row>
        <row r="160">
          <cell r="A160" t="str">
            <v>URBANO</v>
          </cell>
          <cell r="B160">
            <v>674</v>
          </cell>
        </row>
        <row r="161">
          <cell r="A161" t="str">
            <v>URBANO</v>
          </cell>
          <cell r="B161">
            <v>675</v>
          </cell>
        </row>
        <row r="162">
          <cell r="A162" t="str">
            <v>URBANO PARTNER</v>
          </cell>
          <cell r="B162">
            <v>676</v>
          </cell>
        </row>
        <row r="163">
          <cell r="A163" t="str">
            <v>AEROPUERTO</v>
          </cell>
          <cell r="B163">
            <v>677</v>
          </cell>
        </row>
        <row r="164">
          <cell r="A164" t="str">
            <v>URBANO</v>
          </cell>
          <cell r="B164">
            <v>678</v>
          </cell>
        </row>
        <row r="165">
          <cell r="A165" t="str">
            <v>AEROPUERTO</v>
          </cell>
          <cell r="B165">
            <v>679</v>
          </cell>
        </row>
        <row r="166">
          <cell r="A166" t="str">
            <v>URBANO</v>
          </cell>
          <cell r="B166">
            <v>680</v>
          </cell>
        </row>
        <row r="167">
          <cell r="A167" t="str">
            <v>URBANO</v>
          </cell>
          <cell r="B167">
            <v>684</v>
          </cell>
        </row>
        <row r="168">
          <cell r="A168" t="str">
            <v>URBANO</v>
          </cell>
          <cell r="B168">
            <v>688</v>
          </cell>
        </row>
        <row r="169">
          <cell r="A169" t="str">
            <v>AEROPUERTO</v>
          </cell>
          <cell r="B169">
            <v>690</v>
          </cell>
        </row>
        <row r="170">
          <cell r="A170" t="str">
            <v>URBANO</v>
          </cell>
          <cell r="B170">
            <v>692</v>
          </cell>
        </row>
        <row r="171">
          <cell r="A171" t="str">
            <v>AEROPUERTO</v>
          </cell>
          <cell r="B171">
            <v>702</v>
          </cell>
        </row>
        <row r="172">
          <cell r="A172" t="str">
            <v>AEROPUERTO</v>
          </cell>
          <cell r="B172">
            <v>706</v>
          </cell>
        </row>
        <row r="173">
          <cell r="A173" t="str">
            <v>AEROPUERTO</v>
          </cell>
          <cell r="B173">
            <v>707</v>
          </cell>
        </row>
        <row r="174">
          <cell r="A174" t="str">
            <v>AEROPUERTO</v>
          </cell>
          <cell r="B174">
            <v>708</v>
          </cell>
        </row>
        <row r="175">
          <cell r="A175" t="str">
            <v>AEROLINEAS</v>
          </cell>
          <cell r="B175">
            <v>709</v>
          </cell>
        </row>
        <row r="176">
          <cell r="A176" t="str">
            <v>AEROPUERTO</v>
          </cell>
          <cell r="B176">
            <v>713</v>
          </cell>
        </row>
        <row r="177">
          <cell r="A177" t="str">
            <v>AEROPUERTO</v>
          </cell>
          <cell r="B177">
            <v>715</v>
          </cell>
        </row>
        <row r="178">
          <cell r="A178" t="str">
            <v>AEROPUERTO</v>
          </cell>
          <cell r="B178">
            <v>717</v>
          </cell>
        </row>
        <row r="179">
          <cell r="A179" t="str">
            <v>MEMBRESÍA URBANO</v>
          </cell>
          <cell r="B179">
            <v>722</v>
          </cell>
        </row>
        <row r="180">
          <cell r="A180" t="str">
            <v>AEROPUERTO</v>
          </cell>
          <cell r="B180">
            <v>730</v>
          </cell>
        </row>
        <row r="181">
          <cell r="A181" t="str">
            <v>AEROPUERTO</v>
          </cell>
          <cell r="B181">
            <v>735</v>
          </cell>
        </row>
        <row r="182">
          <cell r="A182" t="str">
            <v>AEROPUERTO</v>
          </cell>
          <cell r="B182">
            <v>737</v>
          </cell>
        </row>
        <row r="183">
          <cell r="A183" t="str">
            <v>URBANO PARTNER</v>
          </cell>
          <cell r="B183">
            <v>747</v>
          </cell>
        </row>
        <row r="184">
          <cell r="A184" t="str">
            <v>URBANO PARTNER</v>
          </cell>
          <cell r="B184">
            <v>748</v>
          </cell>
        </row>
        <row r="185">
          <cell r="A185" t="str">
            <v>AEROPUERTO</v>
          </cell>
          <cell r="B185">
            <v>754</v>
          </cell>
        </row>
        <row r="186">
          <cell r="A186" t="str">
            <v>URBANO</v>
          </cell>
          <cell r="B186">
            <v>755</v>
          </cell>
        </row>
        <row r="187">
          <cell r="A187" t="str">
            <v>AEROPUERTO</v>
          </cell>
          <cell r="B187">
            <v>756</v>
          </cell>
        </row>
        <row r="188">
          <cell r="A188" t="str">
            <v>AEROPUERTO</v>
          </cell>
          <cell r="B188">
            <v>757</v>
          </cell>
        </row>
        <row r="189">
          <cell r="A189" t="str">
            <v>AEROPUERTO</v>
          </cell>
          <cell r="B189">
            <v>760</v>
          </cell>
        </row>
        <row r="190">
          <cell r="A190" t="str">
            <v>URBANO</v>
          </cell>
          <cell r="B190">
            <v>761</v>
          </cell>
        </row>
        <row r="191">
          <cell r="A191" t="str">
            <v>AEROPUERTO</v>
          </cell>
          <cell r="B191">
            <v>763</v>
          </cell>
        </row>
        <row r="192">
          <cell r="A192" t="str">
            <v>AEROPUERTO</v>
          </cell>
          <cell r="B192">
            <v>766</v>
          </cell>
        </row>
        <row r="193">
          <cell r="A193" t="str">
            <v>AEROPUERTO</v>
          </cell>
          <cell r="B193">
            <v>769</v>
          </cell>
        </row>
        <row r="194">
          <cell r="A194" t="str">
            <v>AEROPUERTO</v>
          </cell>
          <cell r="B194">
            <v>772</v>
          </cell>
        </row>
        <row r="195">
          <cell r="A195" t="str">
            <v>AEROPUERTO</v>
          </cell>
          <cell r="B195">
            <v>774</v>
          </cell>
        </row>
        <row r="196">
          <cell r="A196" t="str">
            <v>AEROPUERTO</v>
          </cell>
          <cell r="B196">
            <v>781</v>
          </cell>
        </row>
        <row r="197">
          <cell r="A197" t="str">
            <v>AEROPUERTO</v>
          </cell>
          <cell r="B197">
            <v>784</v>
          </cell>
        </row>
        <row r="198">
          <cell r="A198" t="str">
            <v>AEROPUERTO</v>
          </cell>
          <cell r="B198">
            <v>785</v>
          </cell>
        </row>
        <row r="199">
          <cell r="A199" t="str">
            <v>AEROPUERTO</v>
          </cell>
          <cell r="B199">
            <v>790</v>
          </cell>
        </row>
        <row r="200">
          <cell r="A200" t="str">
            <v>AEROPUERTO</v>
          </cell>
          <cell r="B200">
            <v>793</v>
          </cell>
        </row>
        <row r="201">
          <cell r="A201" t="str">
            <v>AEROPUERTO</v>
          </cell>
          <cell r="B201">
            <v>794</v>
          </cell>
        </row>
        <row r="202">
          <cell r="A202" t="str">
            <v>AEROPUERTO</v>
          </cell>
          <cell r="B202">
            <v>795</v>
          </cell>
        </row>
        <row r="203">
          <cell r="A203" t="str">
            <v>URBANO PARTNER</v>
          </cell>
          <cell r="B203">
            <v>797</v>
          </cell>
        </row>
        <row r="204">
          <cell r="A204" t="str">
            <v>AEROPUERTO</v>
          </cell>
          <cell r="B204">
            <v>800</v>
          </cell>
        </row>
        <row r="205">
          <cell r="A205" t="str">
            <v>AEROPUERTO</v>
          </cell>
          <cell r="B205">
            <v>807</v>
          </cell>
        </row>
        <row r="206">
          <cell r="A206" t="str">
            <v>URBANO PARTNER</v>
          </cell>
          <cell r="B206">
            <v>808</v>
          </cell>
        </row>
        <row r="207">
          <cell r="A207" t="str">
            <v>AEROPUERTO</v>
          </cell>
          <cell r="B207">
            <v>803</v>
          </cell>
        </row>
        <row r="208">
          <cell r="A208" t="str">
            <v>AEROPUERTO</v>
          </cell>
          <cell r="B208">
            <v>818</v>
          </cell>
        </row>
        <row r="209">
          <cell r="A209" t="str">
            <v>AEROPUERTO</v>
          </cell>
          <cell r="B209">
            <v>821</v>
          </cell>
        </row>
        <row r="210">
          <cell r="A210" t="str">
            <v>AEROPUERTO</v>
          </cell>
          <cell r="B210">
            <v>823</v>
          </cell>
        </row>
        <row r="211">
          <cell r="A211" t="str">
            <v>AEROPUERTO</v>
          </cell>
          <cell r="B211">
            <v>826</v>
          </cell>
        </row>
        <row r="212">
          <cell r="A212" t="str">
            <v>URBANO PARTNER</v>
          </cell>
          <cell r="B212">
            <v>828</v>
          </cell>
        </row>
        <row r="213">
          <cell r="A213" t="str">
            <v>AEROPUERTO</v>
          </cell>
          <cell r="B213">
            <v>830</v>
          </cell>
        </row>
        <row r="214">
          <cell r="A214" t="str">
            <v>AEROPUERTO</v>
          </cell>
          <cell r="B214">
            <v>831</v>
          </cell>
        </row>
        <row r="215">
          <cell r="A215" t="str">
            <v>AEROPUERTO</v>
          </cell>
          <cell r="B215">
            <v>836</v>
          </cell>
        </row>
        <row r="216">
          <cell r="A216" t="str">
            <v>AEROPUERTO</v>
          </cell>
          <cell r="B216">
            <v>837</v>
          </cell>
        </row>
        <row r="217">
          <cell r="A217" t="str">
            <v>AEROPUERTO</v>
          </cell>
          <cell r="B217">
            <v>838</v>
          </cell>
        </row>
        <row r="218">
          <cell r="A218" t="str">
            <v>AEROPUERTO</v>
          </cell>
          <cell r="B218">
            <v>839</v>
          </cell>
        </row>
        <row r="219">
          <cell r="A219" t="str">
            <v>AEROPUERTO</v>
          </cell>
          <cell r="B219">
            <v>840</v>
          </cell>
        </row>
        <row r="220">
          <cell r="A220" t="str">
            <v>AEROPUERTO</v>
          </cell>
          <cell r="B220">
            <v>846</v>
          </cell>
        </row>
        <row r="221">
          <cell r="A221" t="str">
            <v>AEROPUERTO</v>
          </cell>
          <cell r="B221">
            <v>847</v>
          </cell>
        </row>
        <row r="222">
          <cell r="A222" t="str">
            <v>URBANO PARTNER</v>
          </cell>
          <cell r="B222">
            <v>858</v>
          </cell>
        </row>
        <row r="223">
          <cell r="A223" t="str">
            <v>AEROPUERTO</v>
          </cell>
          <cell r="B223">
            <v>859</v>
          </cell>
        </row>
        <row r="224">
          <cell r="A224" t="str">
            <v>AEROPUERTO</v>
          </cell>
          <cell r="B224">
            <v>865</v>
          </cell>
        </row>
        <row r="225">
          <cell r="A225" t="str">
            <v>AEROPUERTO</v>
          </cell>
          <cell r="B225">
            <v>868</v>
          </cell>
        </row>
        <row r="226">
          <cell r="A226" t="str">
            <v>AEROPUERTO</v>
          </cell>
          <cell r="B226">
            <v>870</v>
          </cell>
        </row>
        <row r="227">
          <cell r="A227" t="str">
            <v>AEROPUERTO</v>
          </cell>
          <cell r="B227">
            <v>877</v>
          </cell>
        </row>
        <row r="228">
          <cell r="A228" t="str">
            <v>AEROPUERTO</v>
          </cell>
          <cell r="B228">
            <v>879</v>
          </cell>
        </row>
        <row r="229">
          <cell r="A229" t="str">
            <v>URBANO</v>
          </cell>
          <cell r="B229">
            <v>898</v>
          </cell>
        </row>
        <row r="230">
          <cell r="A230" t="str">
            <v>AEROPUERTO</v>
          </cell>
          <cell r="B230">
            <v>899</v>
          </cell>
        </row>
        <row r="231">
          <cell r="A231" t="str">
            <v>AEROPUERTO</v>
          </cell>
          <cell r="B231">
            <v>902</v>
          </cell>
        </row>
        <row r="232">
          <cell r="A232" t="str">
            <v>URBANO PARTNER</v>
          </cell>
          <cell r="B232">
            <v>903</v>
          </cell>
        </row>
        <row r="233">
          <cell r="A233" t="str">
            <v>AEROPUERTO</v>
          </cell>
          <cell r="B233">
            <v>917</v>
          </cell>
        </row>
        <row r="234">
          <cell r="A234" t="str">
            <v>AEROPUERTO</v>
          </cell>
          <cell r="B234">
            <v>923</v>
          </cell>
        </row>
        <row r="235">
          <cell r="A235" t="str">
            <v>AEROPUERTO</v>
          </cell>
          <cell r="B235">
            <v>926</v>
          </cell>
        </row>
        <row r="236">
          <cell r="A236" t="str">
            <v>AEROPUERTO</v>
          </cell>
          <cell r="B236">
            <v>927</v>
          </cell>
        </row>
        <row r="237">
          <cell r="A237" t="str">
            <v>AEROPUERTO</v>
          </cell>
          <cell r="B237">
            <v>939</v>
          </cell>
        </row>
        <row r="238">
          <cell r="A238" t="str">
            <v>URBANO PARTNER</v>
          </cell>
          <cell r="B238">
            <v>950</v>
          </cell>
        </row>
        <row r="239">
          <cell r="A239" t="str">
            <v>AEROPUERTO</v>
          </cell>
          <cell r="B239">
            <v>951</v>
          </cell>
        </row>
        <row r="240">
          <cell r="A240" t="str">
            <v>AEROLINEAS</v>
          </cell>
          <cell r="B240">
            <v>952</v>
          </cell>
        </row>
        <row r="241">
          <cell r="A241" t="str">
            <v>URBANO PARTNER</v>
          </cell>
          <cell r="B241">
            <v>953</v>
          </cell>
        </row>
        <row r="242">
          <cell r="A242" t="str">
            <v>AEROLINEAS</v>
          </cell>
          <cell r="B242">
            <v>957</v>
          </cell>
        </row>
        <row r="243">
          <cell r="A243" t="str">
            <v>AEROPUERTO</v>
          </cell>
          <cell r="B243">
            <v>959</v>
          </cell>
        </row>
        <row r="244">
          <cell r="A244" t="str">
            <v>AEROPUERTO</v>
          </cell>
          <cell r="B244">
            <v>960</v>
          </cell>
        </row>
        <row r="245">
          <cell r="A245" t="str">
            <v>AEROPUERTO</v>
          </cell>
          <cell r="B245">
            <v>970</v>
          </cell>
        </row>
        <row r="246">
          <cell r="A246" t="str">
            <v>AEROPUERTO</v>
          </cell>
          <cell r="B246">
            <v>979</v>
          </cell>
        </row>
        <row r="247">
          <cell r="A247" t="str">
            <v>AEROPUERTO</v>
          </cell>
          <cell r="B247">
            <v>985</v>
          </cell>
        </row>
        <row r="248">
          <cell r="A248" t="str">
            <v>URBANO</v>
          </cell>
          <cell r="B248">
            <v>987</v>
          </cell>
        </row>
        <row r="249">
          <cell r="A249" t="str">
            <v>AEROPUERTO</v>
          </cell>
          <cell r="B249">
            <v>988</v>
          </cell>
        </row>
        <row r="250">
          <cell r="A250" t="str">
            <v>AEROPUERTO</v>
          </cell>
          <cell r="B250">
            <v>989</v>
          </cell>
        </row>
        <row r="251">
          <cell r="A251" t="str">
            <v>AEROPUERTO</v>
          </cell>
          <cell r="B251">
            <v>990</v>
          </cell>
        </row>
        <row r="252">
          <cell r="A252" t="str">
            <v>AEROPUERTO</v>
          </cell>
          <cell r="B252">
            <v>991</v>
          </cell>
        </row>
        <row r="253">
          <cell r="A253" t="str">
            <v>AEROPUERTO</v>
          </cell>
          <cell r="B253">
            <v>996</v>
          </cell>
        </row>
        <row r="254">
          <cell r="A254" t="str">
            <v>AEROLINEAS</v>
          </cell>
          <cell r="B254">
            <v>1028</v>
          </cell>
        </row>
        <row r="255">
          <cell r="A255" t="str">
            <v>AEROLINEAS</v>
          </cell>
          <cell r="B255">
            <v>1080</v>
          </cell>
        </row>
        <row r="256">
          <cell r="A256" t="str">
            <v>URBANO PARTNER</v>
          </cell>
          <cell r="B256">
            <v>1087</v>
          </cell>
        </row>
        <row r="257">
          <cell r="A257" t="str">
            <v>URBANO</v>
          </cell>
          <cell r="B257">
            <v>1131</v>
          </cell>
        </row>
        <row r="258">
          <cell r="A258" t="str">
            <v>AEROPUERTO</v>
          </cell>
          <cell r="B258">
            <v>1146</v>
          </cell>
        </row>
        <row r="259">
          <cell r="A259" t="str">
            <v>AEROLINEAS</v>
          </cell>
          <cell r="B259">
            <v>1175</v>
          </cell>
        </row>
        <row r="260">
          <cell r="A260" t="str">
            <v>URBANO PARTNER</v>
          </cell>
          <cell r="B260">
            <v>1209</v>
          </cell>
        </row>
        <row r="261">
          <cell r="A261" t="str">
            <v>URBANO PARTNER</v>
          </cell>
          <cell r="B261">
            <v>1212</v>
          </cell>
        </row>
        <row r="262">
          <cell r="A262" t="str">
            <v>URBANO PARTNER</v>
          </cell>
          <cell r="B262">
            <v>1224</v>
          </cell>
        </row>
        <row r="263">
          <cell r="A263" t="str">
            <v>AEROPUERTO</v>
          </cell>
          <cell r="B263">
            <v>1226</v>
          </cell>
        </row>
        <row r="264">
          <cell r="A264" t="str">
            <v>AEROPUERTO</v>
          </cell>
          <cell r="B264">
            <v>1227</v>
          </cell>
        </row>
        <row r="265">
          <cell r="A265" t="str">
            <v>AEROLINEAS</v>
          </cell>
          <cell r="B265">
            <v>1279</v>
          </cell>
        </row>
        <row r="266">
          <cell r="A266" t="str">
            <v>MEMBRESÍA NOCTURNA - APTO</v>
          </cell>
          <cell r="B266">
            <v>1291</v>
          </cell>
        </row>
        <row r="267">
          <cell r="A267" t="str">
            <v>AEROPUERTO</v>
          </cell>
          <cell r="B267">
            <v>1297</v>
          </cell>
        </row>
        <row r="268">
          <cell r="A268" t="str">
            <v>AEROPUERTO</v>
          </cell>
          <cell r="B268">
            <v>1400</v>
          </cell>
        </row>
        <row r="269">
          <cell r="A269" t="str">
            <v>AEROPUERTO</v>
          </cell>
          <cell r="B269">
            <v>1401</v>
          </cell>
        </row>
        <row r="270">
          <cell r="A270" t="str">
            <v>URBANO PARTNER</v>
          </cell>
          <cell r="B270">
            <v>1402</v>
          </cell>
        </row>
        <row r="271">
          <cell r="A271" t="str">
            <v>AEROPUERTO</v>
          </cell>
          <cell r="B271">
            <v>1403</v>
          </cell>
        </row>
        <row r="272">
          <cell r="A272" t="str">
            <v>URBANO</v>
          </cell>
          <cell r="B272">
            <v>1406</v>
          </cell>
        </row>
        <row r="273">
          <cell r="A273" t="str">
            <v>AEROPUERTO</v>
          </cell>
          <cell r="B273">
            <v>1407</v>
          </cell>
        </row>
        <row r="274">
          <cell r="A274" t="str">
            <v>AEROPUERTO</v>
          </cell>
          <cell r="B274">
            <v>1410</v>
          </cell>
        </row>
        <row r="275">
          <cell r="A275" t="str">
            <v>AEROPUERTO</v>
          </cell>
          <cell r="B275">
            <v>1411</v>
          </cell>
        </row>
        <row r="276">
          <cell r="A276" t="str">
            <v>AEROLINEAS</v>
          </cell>
          <cell r="B276">
            <v>1413</v>
          </cell>
        </row>
        <row r="277">
          <cell r="A277" t="str">
            <v>AEROPUERTO</v>
          </cell>
          <cell r="B277">
            <v>1415</v>
          </cell>
        </row>
        <row r="278">
          <cell r="A278" t="str">
            <v>AEROPUERTO</v>
          </cell>
          <cell r="B278">
            <v>1416</v>
          </cell>
        </row>
        <row r="279">
          <cell r="A279" t="str">
            <v>AEROPUERTO</v>
          </cell>
          <cell r="B279">
            <v>1420</v>
          </cell>
        </row>
        <row r="280">
          <cell r="A280" t="str">
            <v>URBANO PARTNER</v>
          </cell>
          <cell r="B280">
            <v>1421</v>
          </cell>
        </row>
        <row r="281">
          <cell r="A281" t="str">
            <v>AEROPUERTO</v>
          </cell>
          <cell r="B281">
            <v>1422</v>
          </cell>
        </row>
        <row r="282">
          <cell r="A282" t="str">
            <v>URBANO PARTNER</v>
          </cell>
          <cell r="B282">
            <v>1423</v>
          </cell>
        </row>
        <row r="283">
          <cell r="A283" t="str">
            <v>URBANO</v>
          </cell>
          <cell r="B283">
            <v>1424</v>
          </cell>
        </row>
        <row r="284">
          <cell r="A284" t="str">
            <v>AEROLINEAS</v>
          </cell>
          <cell r="B284">
            <v>1425</v>
          </cell>
        </row>
        <row r="285">
          <cell r="A285" t="str">
            <v>AEROPUERTO</v>
          </cell>
          <cell r="B285">
            <v>1429</v>
          </cell>
        </row>
        <row r="286">
          <cell r="A286" t="str">
            <v>URBANO PARTNER</v>
          </cell>
          <cell r="B286">
            <v>1433</v>
          </cell>
        </row>
        <row r="287">
          <cell r="A287" t="str">
            <v>AEROPUERTO</v>
          </cell>
          <cell r="B287">
            <v>1434</v>
          </cell>
        </row>
        <row r="288">
          <cell r="A288" t="str">
            <v>AEROPUERTO</v>
          </cell>
          <cell r="B288">
            <v>1437</v>
          </cell>
        </row>
        <row r="289">
          <cell r="A289" t="str">
            <v>URBANO PARTNER</v>
          </cell>
          <cell r="B289">
            <v>1440</v>
          </cell>
        </row>
        <row r="290">
          <cell r="A290" t="str">
            <v>AEROPUERTO</v>
          </cell>
          <cell r="B290">
            <v>1441</v>
          </cell>
        </row>
        <row r="291">
          <cell r="A291" t="str">
            <v>AEROPUERTO</v>
          </cell>
          <cell r="B291">
            <v>1443</v>
          </cell>
        </row>
        <row r="292">
          <cell r="A292" t="str">
            <v>AEROPUERTO</v>
          </cell>
          <cell r="B292">
            <v>1445</v>
          </cell>
        </row>
        <row r="293">
          <cell r="A293" t="str">
            <v>AEROPUERTO</v>
          </cell>
          <cell r="B293">
            <v>1447</v>
          </cell>
        </row>
        <row r="294">
          <cell r="A294" t="str">
            <v>URBANO PARTNER</v>
          </cell>
          <cell r="B294">
            <v>1448</v>
          </cell>
        </row>
        <row r="295">
          <cell r="A295" t="str">
            <v>AEROPUERTO</v>
          </cell>
          <cell r="B295">
            <v>1451</v>
          </cell>
        </row>
        <row r="296">
          <cell r="A296" t="str">
            <v>AEROPUERTO</v>
          </cell>
          <cell r="B296">
            <v>1453</v>
          </cell>
        </row>
        <row r="297">
          <cell r="A297" t="str">
            <v>AEROPUERTO</v>
          </cell>
          <cell r="B297">
            <v>1456</v>
          </cell>
        </row>
        <row r="298">
          <cell r="A298" t="str">
            <v>AEROPUERTO</v>
          </cell>
          <cell r="B298">
            <v>1458</v>
          </cell>
        </row>
        <row r="299">
          <cell r="A299" t="str">
            <v>URBANO</v>
          </cell>
          <cell r="B299">
            <v>1459</v>
          </cell>
        </row>
        <row r="300">
          <cell r="A300" t="str">
            <v>URBANO PARTNER</v>
          </cell>
          <cell r="B300">
            <v>1460</v>
          </cell>
        </row>
        <row r="301">
          <cell r="A301" t="str">
            <v>AEROPUERTO</v>
          </cell>
          <cell r="B301">
            <v>1462</v>
          </cell>
        </row>
        <row r="302">
          <cell r="A302" t="str">
            <v>URBANO</v>
          </cell>
          <cell r="B302">
            <v>1463</v>
          </cell>
        </row>
        <row r="303">
          <cell r="A303" t="str">
            <v>AEROPUERTO</v>
          </cell>
          <cell r="B303">
            <v>1466</v>
          </cell>
        </row>
        <row r="304">
          <cell r="A304" t="str">
            <v>URBANO</v>
          </cell>
          <cell r="B304">
            <v>1467</v>
          </cell>
        </row>
        <row r="305">
          <cell r="A305" t="str">
            <v>AEROPUERTO</v>
          </cell>
          <cell r="B305">
            <v>1468</v>
          </cell>
        </row>
        <row r="306">
          <cell r="A306" t="str">
            <v>AEROPUERTO</v>
          </cell>
          <cell r="B306">
            <v>1469</v>
          </cell>
        </row>
        <row r="307">
          <cell r="A307" t="str">
            <v>AEROPUERTO</v>
          </cell>
          <cell r="B307">
            <v>1470</v>
          </cell>
        </row>
        <row r="308">
          <cell r="A308" t="str">
            <v>URBANO</v>
          </cell>
          <cell r="B308">
            <v>1471</v>
          </cell>
        </row>
        <row r="309">
          <cell r="A309" t="str">
            <v>AEROPUERTO</v>
          </cell>
          <cell r="B309">
            <v>1472</v>
          </cell>
        </row>
        <row r="310">
          <cell r="A310" t="str">
            <v>AEROPUERTO</v>
          </cell>
          <cell r="B310">
            <v>1480</v>
          </cell>
        </row>
        <row r="311">
          <cell r="A311" t="str">
            <v>AEROPUERTO</v>
          </cell>
          <cell r="B311">
            <v>1482</v>
          </cell>
        </row>
        <row r="312">
          <cell r="A312" t="str">
            <v>AEROPUERTO</v>
          </cell>
          <cell r="B312">
            <v>1484</v>
          </cell>
        </row>
        <row r="313">
          <cell r="A313" t="str">
            <v>AEROPUERTO</v>
          </cell>
          <cell r="B313">
            <v>1485</v>
          </cell>
        </row>
        <row r="314">
          <cell r="A314" t="str">
            <v>AEROPUERTO</v>
          </cell>
          <cell r="B314">
            <v>1487</v>
          </cell>
        </row>
        <row r="315">
          <cell r="A315" t="str">
            <v>AEROPUERTO</v>
          </cell>
          <cell r="B315">
            <v>1489</v>
          </cell>
        </row>
        <row r="316">
          <cell r="A316" t="str">
            <v>AEROPUERTO</v>
          </cell>
          <cell r="B316">
            <v>1496</v>
          </cell>
        </row>
        <row r="317">
          <cell r="A317" t="str">
            <v>AEROPUERTO VAN</v>
          </cell>
          <cell r="B317">
            <v>1502</v>
          </cell>
        </row>
        <row r="318">
          <cell r="A318" t="str">
            <v>AEROLINEAS</v>
          </cell>
          <cell r="B318">
            <v>1506</v>
          </cell>
        </row>
        <row r="319">
          <cell r="A319" t="str">
            <v>AEROPUERTO</v>
          </cell>
          <cell r="B319">
            <v>1507</v>
          </cell>
        </row>
        <row r="320">
          <cell r="A320" t="str">
            <v>AEROPUERTO VAN</v>
          </cell>
          <cell r="B320">
            <v>1524</v>
          </cell>
        </row>
        <row r="321">
          <cell r="A321" t="str">
            <v>AEROLINEAS</v>
          </cell>
          <cell r="B321">
            <v>1532</v>
          </cell>
        </row>
        <row r="322">
          <cell r="A322" t="str">
            <v>AEROLINEAS</v>
          </cell>
          <cell r="B322">
            <v>1534</v>
          </cell>
        </row>
        <row r="323">
          <cell r="A323" t="str">
            <v>AEROLINEAS</v>
          </cell>
          <cell r="B323">
            <v>1537</v>
          </cell>
        </row>
        <row r="324">
          <cell r="A324" t="str">
            <v>AEROLINEAS</v>
          </cell>
          <cell r="B324">
            <v>1538</v>
          </cell>
        </row>
        <row r="325">
          <cell r="A325" t="str">
            <v>URBANO PARTNER</v>
          </cell>
          <cell r="B325">
            <v>1540</v>
          </cell>
        </row>
        <row r="326">
          <cell r="A326" t="str">
            <v>AEROPUERTO</v>
          </cell>
          <cell r="B326">
            <v>1541</v>
          </cell>
        </row>
        <row r="327">
          <cell r="A327" t="str">
            <v>URBANO</v>
          </cell>
          <cell r="B327">
            <v>1542</v>
          </cell>
        </row>
        <row r="328">
          <cell r="A328" t="str">
            <v>URBANO</v>
          </cell>
          <cell r="B328">
            <v>1543</v>
          </cell>
        </row>
        <row r="329">
          <cell r="A329" t="str">
            <v>URBANO</v>
          </cell>
          <cell r="B329">
            <v>1544</v>
          </cell>
        </row>
        <row r="330">
          <cell r="A330" t="str">
            <v>URBANO</v>
          </cell>
          <cell r="B330">
            <v>1545</v>
          </cell>
        </row>
        <row r="331">
          <cell r="A331" t="str">
            <v>URBANO</v>
          </cell>
          <cell r="B331">
            <v>1546</v>
          </cell>
        </row>
        <row r="332">
          <cell r="A332" t="str">
            <v>URBANO</v>
          </cell>
          <cell r="B332">
            <v>1547</v>
          </cell>
        </row>
        <row r="333">
          <cell r="A333" t="str">
            <v>URBANO</v>
          </cell>
          <cell r="B333">
            <v>1548</v>
          </cell>
        </row>
        <row r="334">
          <cell r="A334" t="str">
            <v>MEMBRESÍA URBANO</v>
          </cell>
          <cell r="B334">
            <v>1549</v>
          </cell>
        </row>
        <row r="335">
          <cell r="A335" t="str">
            <v>AEROPUERTO</v>
          </cell>
          <cell r="B335">
            <v>1550</v>
          </cell>
        </row>
        <row r="336">
          <cell r="A336" t="str">
            <v>AEROPUERTO</v>
          </cell>
          <cell r="B336">
            <v>1551</v>
          </cell>
        </row>
        <row r="337">
          <cell r="A337" t="str">
            <v>AEROPUERTO</v>
          </cell>
          <cell r="B337">
            <v>1552</v>
          </cell>
        </row>
        <row r="338">
          <cell r="A338" t="str">
            <v>AEROPUERTO</v>
          </cell>
          <cell r="B338">
            <v>1553</v>
          </cell>
        </row>
        <row r="339">
          <cell r="A339" t="str">
            <v>AEROPUERTO VAN</v>
          </cell>
          <cell r="B339">
            <v>1567</v>
          </cell>
        </row>
        <row r="340">
          <cell r="A340" t="str">
            <v>URBANO PARTNER</v>
          </cell>
          <cell r="B340">
            <v>1573</v>
          </cell>
        </row>
        <row r="341">
          <cell r="A341" t="str">
            <v>AEROLINEAS</v>
          </cell>
          <cell r="B341">
            <v>1576</v>
          </cell>
        </row>
        <row r="342">
          <cell r="A342" t="str">
            <v>AEROPUERTO VAN</v>
          </cell>
          <cell r="B342">
            <v>1579</v>
          </cell>
        </row>
        <row r="343">
          <cell r="A343" t="str">
            <v>URBANO</v>
          </cell>
          <cell r="B343">
            <v>1580</v>
          </cell>
        </row>
        <row r="344">
          <cell r="A344" t="str">
            <v>AEROLINEAS</v>
          </cell>
          <cell r="B344">
            <v>1583</v>
          </cell>
        </row>
        <row r="345">
          <cell r="A345" t="str">
            <v>AEROPUERTO VAN</v>
          </cell>
          <cell r="B345">
            <v>1584</v>
          </cell>
        </row>
        <row r="346">
          <cell r="A346" t="str">
            <v>AEROLINEAS</v>
          </cell>
          <cell r="B346">
            <v>1591</v>
          </cell>
        </row>
        <row r="347">
          <cell r="A347" t="str">
            <v>AEROPUERTO VAN</v>
          </cell>
          <cell r="B347">
            <v>1592</v>
          </cell>
        </row>
        <row r="348">
          <cell r="A348" t="str">
            <v>AEROPUERTO</v>
          </cell>
          <cell r="B348">
            <v>1594</v>
          </cell>
        </row>
        <row r="349">
          <cell r="A349" t="str">
            <v>AEROPUERTO</v>
          </cell>
          <cell r="B349">
            <v>1595</v>
          </cell>
        </row>
        <row r="350">
          <cell r="A350" t="str">
            <v>AEROLINEAS</v>
          </cell>
          <cell r="B350">
            <v>1597</v>
          </cell>
        </row>
        <row r="351">
          <cell r="A351" t="str">
            <v>AEROLINEAS</v>
          </cell>
          <cell r="B351">
            <v>1598</v>
          </cell>
        </row>
        <row r="352">
          <cell r="A352" t="str">
            <v>AEROLINEAS</v>
          </cell>
          <cell r="B352">
            <v>1599</v>
          </cell>
        </row>
        <row r="353">
          <cell r="A353" t="str">
            <v>AEROPUERTO VAN</v>
          </cell>
          <cell r="B353">
            <v>1601</v>
          </cell>
        </row>
        <row r="354">
          <cell r="A354" t="str">
            <v>AEROPUERTO VAN</v>
          </cell>
          <cell r="B354">
            <v>1603</v>
          </cell>
        </row>
        <row r="355">
          <cell r="A355" t="str">
            <v>URBANO PARTNER</v>
          </cell>
          <cell r="B355">
            <v>1604</v>
          </cell>
        </row>
        <row r="356">
          <cell r="A356" t="str">
            <v>URBANO</v>
          </cell>
          <cell r="B356">
            <v>1607</v>
          </cell>
        </row>
        <row r="357">
          <cell r="A357" t="str">
            <v>AEROPUERTO VAN</v>
          </cell>
          <cell r="B357">
            <v>1615</v>
          </cell>
        </row>
        <row r="358">
          <cell r="A358" t="str">
            <v>AEROPUERTO VAN</v>
          </cell>
          <cell r="B358">
            <v>1624</v>
          </cell>
        </row>
        <row r="359">
          <cell r="A359" t="str">
            <v>URBANO</v>
          </cell>
          <cell r="B359">
            <v>1631</v>
          </cell>
        </row>
        <row r="360">
          <cell r="A360" t="str">
            <v>AEROPUERTO</v>
          </cell>
          <cell r="B360">
            <v>1633</v>
          </cell>
        </row>
        <row r="361">
          <cell r="A361" t="str">
            <v>AEROPUERTO</v>
          </cell>
          <cell r="B361">
            <v>1665</v>
          </cell>
        </row>
        <row r="362">
          <cell r="A362" t="str">
            <v>AEROPUERTO VAN</v>
          </cell>
          <cell r="B362">
            <v>1673</v>
          </cell>
        </row>
        <row r="363">
          <cell r="A363" t="str">
            <v>AEROPUERTO VAN</v>
          </cell>
          <cell r="B363">
            <v>1675</v>
          </cell>
        </row>
        <row r="364">
          <cell r="A364" t="str">
            <v>AEROLINEAS</v>
          </cell>
          <cell r="B364">
            <v>1695</v>
          </cell>
        </row>
        <row r="365">
          <cell r="A365" t="str">
            <v>AEROPUERTO VAN</v>
          </cell>
          <cell r="B365">
            <v>1698</v>
          </cell>
        </row>
        <row r="366">
          <cell r="A366" t="str">
            <v>AEROPUERTO</v>
          </cell>
          <cell r="B366">
            <v>1699</v>
          </cell>
        </row>
        <row r="367">
          <cell r="A367" t="str">
            <v>FLOTA PROPIA</v>
          </cell>
          <cell r="B367">
            <v>1711</v>
          </cell>
        </row>
        <row r="368">
          <cell r="A368" t="str">
            <v>URBANO</v>
          </cell>
          <cell r="B368">
            <v>1712</v>
          </cell>
        </row>
        <row r="369">
          <cell r="A369" t="str">
            <v>URBANO</v>
          </cell>
          <cell r="B369">
            <v>1713</v>
          </cell>
        </row>
        <row r="370">
          <cell r="A370" t="str">
            <v>URBANO</v>
          </cell>
          <cell r="B370">
            <v>1714</v>
          </cell>
        </row>
        <row r="371">
          <cell r="A371" t="str">
            <v>URBANO</v>
          </cell>
          <cell r="B371">
            <v>1715</v>
          </cell>
        </row>
        <row r="372">
          <cell r="A372" t="str">
            <v>URBANO</v>
          </cell>
          <cell r="B372">
            <v>1716</v>
          </cell>
        </row>
        <row r="373">
          <cell r="A373" t="str">
            <v>AEROLINEAS</v>
          </cell>
          <cell r="B373">
            <v>1717</v>
          </cell>
        </row>
        <row r="374">
          <cell r="A374" t="str">
            <v>URBANO</v>
          </cell>
          <cell r="B374">
            <v>1718</v>
          </cell>
        </row>
        <row r="375">
          <cell r="A375" t="str">
            <v>URBANO PARTNER</v>
          </cell>
          <cell r="B375">
            <v>1719</v>
          </cell>
        </row>
        <row r="376">
          <cell r="A376" t="str">
            <v>AEROLINEAS</v>
          </cell>
          <cell r="B376">
            <v>1720</v>
          </cell>
        </row>
        <row r="377">
          <cell r="A377" t="str">
            <v>AEROPUERTO</v>
          </cell>
          <cell r="B377">
            <v>1736</v>
          </cell>
        </row>
        <row r="378">
          <cell r="A378" t="str">
            <v>AEROPUERTO</v>
          </cell>
          <cell r="B378">
            <v>1737</v>
          </cell>
        </row>
        <row r="379">
          <cell r="A379" t="str">
            <v>AEROLINEAS</v>
          </cell>
          <cell r="B379">
            <v>1738</v>
          </cell>
        </row>
        <row r="380">
          <cell r="A380" t="str">
            <v>AEROPUERTO</v>
          </cell>
          <cell r="B380">
            <v>1740</v>
          </cell>
        </row>
        <row r="381">
          <cell r="A381" t="str">
            <v>AEROPUERTO</v>
          </cell>
          <cell r="B381">
            <v>1741</v>
          </cell>
        </row>
        <row r="382">
          <cell r="A382" t="str">
            <v>AEROPUERTO VAN</v>
          </cell>
          <cell r="B382">
            <v>1742</v>
          </cell>
        </row>
        <row r="383">
          <cell r="A383" t="str">
            <v>URBANO</v>
          </cell>
          <cell r="B383">
            <v>1744</v>
          </cell>
        </row>
        <row r="384">
          <cell r="A384" t="str">
            <v>URBANO</v>
          </cell>
          <cell r="B384">
            <v>1745</v>
          </cell>
        </row>
        <row r="385">
          <cell r="A385" t="str">
            <v>URBANO</v>
          </cell>
          <cell r="B385">
            <v>1746</v>
          </cell>
        </row>
        <row r="386">
          <cell r="A386" t="str">
            <v>URBANO</v>
          </cell>
          <cell r="B386">
            <v>1747</v>
          </cell>
        </row>
        <row r="387">
          <cell r="A387" t="str">
            <v>AEROLINEAS</v>
          </cell>
          <cell r="B387">
            <v>1771</v>
          </cell>
        </row>
        <row r="388">
          <cell r="A388" t="str">
            <v>AEROLINEAS</v>
          </cell>
          <cell r="B388">
            <v>1772</v>
          </cell>
        </row>
        <row r="389">
          <cell r="A389" t="str">
            <v>AEROPUERTO</v>
          </cell>
          <cell r="B389">
            <v>1773</v>
          </cell>
        </row>
        <row r="390">
          <cell r="A390" t="str">
            <v>AEROPUERTO</v>
          </cell>
          <cell r="B390">
            <v>1774</v>
          </cell>
        </row>
        <row r="391">
          <cell r="A391" t="str">
            <v>AEROPUERTO</v>
          </cell>
          <cell r="B391">
            <v>1775</v>
          </cell>
        </row>
        <row r="392">
          <cell r="A392" t="str">
            <v>AEROPUERTO</v>
          </cell>
          <cell r="B392">
            <v>1776</v>
          </cell>
        </row>
        <row r="393">
          <cell r="A393" t="str">
            <v>URBANO</v>
          </cell>
          <cell r="B393">
            <v>1778</v>
          </cell>
        </row>
        <row r="394">
          <cell r="A394" t="str">
            <v>URBANO</v>
          </cell>
          <cell r="B394">
            <v>1779</v>
          </cell>
        </row>
        <row r="395">
          <cell r="A395" t="str">
            <v>URBANO</v>
          </cell>
          <cell r="B395">
            <v>1780</v>
          </cell>
        </row>
        <row r="396">
          <cell r="A396" t="str">
            <v>URBANO</v>
          </cell>
          <cell r="B396">
            <v>1781</v>
          </cell>
        </row>
        <row r="397">
          <cell r="A397" t="str">
            <v>AEROPUERTO</v>
          </cell>
          <cell r="B397">
            <v>1782</v>
          </cell>
        </row>
        <row r="398">
          <cell r="A398" t="str">
            <v>URBANO PARTNER</v>
          </cell>
          <cell r="B398">
            <v>1785</v>
          </cell>
        </row>
        <row r="399">
          <cell r="A399" t="str">
            <v>URBANO</v>
          </cell>
          <cell r="B399">
            <v>1786</v>
          </cell>
        </row>
        <row r="400">
          <cell r="A400" t="str">
            <v>URBANO</v>
          </cell>
          <cell r="B400">
            <v>1787</v>
          </cell>
        </row>
        <row r="401">
          <cell r="A401" t="str">
            <v>URBANO</v>
          </cell>
          <cell r="B401">
            <v>1789</v>
          </cell>
        </row>
        <row r="402">
          <cell r="A402" t="str">
            <v>URBANO</v>
          </cell>
          <cell r="B402">
            <v>1790</v>
          </cell>
        </row>
        <row r="403">
          <cell r="A403" t="str">
            <v>URBANO</v>
          </cell>
          <cell r="B403">
            <v>1791</v>
          </cell>
        </row>
        <row r="404">
          <cell r="A404" t="str">
            <v>AEROPUERTO</v>
          </cell>
          <cell r="B404">
            <v>1792</v>
          </cell>
        </row>
        <row r="405">
          <cell r="A405" t="str">
            <v>AEROPUERTO</v>
          </cell>
          <cell r="B405">
            <v>1793</v>
          </cell>
        </row>
        <row r="406">
          <cell r="A406" t="str">
            <v>AEROPUERTO</v>
          </cell>
          <cell r="B406">
            <v>1794</v>
          </cell>
        </row>
        <row r="407">
          <cell r="A407" t="str">
            <v>AEROPUERTO</v>
          </cell>
          <cell r="B407">
            <v>1795</v>
          </cell>
        </row>
        <row r="408">
          <cell r="A408" t="str">
            <v>URBANO</v>
          </cell>
          <cell r="B408">
            <v>1796</v>
          </cell>
        </row>
        <row r="409">
          <cell r="A409" t="str">
            <v>URBANO PARTNER</v>
          </cell>
          <cell r="B409">
            <v>1797</v>
          </cell>
        </row>
        <row r="410">
          <cell r="A410" t="str">
            <v>AEROPUERTO</v>
          </cell>
          <cell r="B410">
            <v>1798</v>
          </cell>
        </row>
        <row r="411">
          <cell r="A411" t="str">
            <v>URBANO PARTNER</v>
          </cell>
          <cell r="B411">
            <v>1799</v>
          </cell>
        </row>
        <row r="412">
          <cell r="A412" t="str">
            <v>URBANO PARTNER</v>
          </cell>
          <cell r="B412">
            <v>1806</v>
          </cell>
        </row>
        <row r="413">
          <cell r="A413" t="str">
            <v>URBANO PARTNER</v>
          </cell>
          <cell r="B413">
            <v>1808</v>
          </cell>
        </row>
        <row r="414">
          <cell r="A414" t="str">
            <v>AEROLINEAS</v>
          </cell>
          <cell r="B414">
            <v>1809</v>
          </cell>
        </row>
        <row r="415">
          <cell r="A415" t="str">
            <v>AEROPUERTO</v>
          </cell>
          <cell r="B415">
            <v>1812</v>
          </cell>
        </row>
        <row r="416">
          <cell r="A416" t="str">
            <v>AEROPUERTO</v>
          </cell>
          <cell r="B416">
            <v>1813</v>
          </cell>
        </row>
        <row r="417">
          <cell r="A417" t="str">
            <v>AEROPUERTO</v>
          </cell>
          <cell r="B417">
            <v>1814</v>
          </cell>
        </row>
        <row r="418">
          <cell r="A418" t="str">
            <v>AEROPUERTO VAN</v>
          </cell>
          <cell r="B418">
            <v>1815</v>
          </cell>
        </row>
        <row r="419">
          <cell r="A419" t="str">
            <v>AEROPUERTO</v>
          </cell>
          <cell r="B419">
            <v>1816</v>
          </cell>
        </row>
        <row r="420">
          <cell r="A420" t="str">
            <v>AEROPUERTO</v>
          </cell>
          <cell r="B420">
            <v>1817</v>
          </cell>
        </row>
        <row r="421">
          <cell r="A421" t="str">
            <v>URBANO PARTNER</v>
          </cell>
          <cell r="B421">
            <v>1818</v>
          </cell>
        </row>
        <row r="422">
          <cell r="A422" t="str">
            <v>URBANO PARTNER</v>
          </cell>
          <cell r="B422">
            <v>1819</v>
          </cell>
        </row>
        <row r="423">
          <cell r="A423" t="str">
            <v>URBANO PARTNER</v>
          </cell>
          <cell r="B423">
            <v>1820</v>
          </cell>
        </row>
        <row r="424">
          <cell r="A424" t="str">
            <v>URBANO PARTNER</v>
          </cell>
          <cell r="B424">
            <v>1822</v>
          </cell>
        </row>
        <row r="425">
          <cell r="A425" t="str">
            <v>AEROLINEAS</v>
          </cell>
          <cell r="B425">
            <v>1823</v>
          </cell>
        </row>
        <row r="426">
          <cell r="A426" t="str">
            <v>AEROLINEAS</v>
          </cell>
          <cell r="B426">
            <v>1824</v>
          </cell>
        </row>
        <row r="427">
          <cell r="A427" t="str">
            <v>AEROLINEAS</v>
          </cell>
          <cell r="B427">
            <v>1825</v>
          </cell>
        </row>
        <row r="428">
          <cell r="A428" t="str">
            <v>URBANO PARTNER</v>
          </cell>
          <cell r="B428">
            <v>1826</v>
          </cell>
        </row>
        <row r="429">
          <cell r="A429" t="str">
            <v>URBANO PARTNER</v>
          </cell>
          <cell r="B429">
            <v>1827</v>
          </cell>
        </row>
        <row r="430">
          <cell r="A430" t="str">
            <v>AEROPUERTO</v>
          </cell>
          <cell r="B430">
            <v>1828</v>
          </cell>
        </row>
        <row r="431">
          <cell r="A431" t="str">
            <v>AEROPUERTO</v>
          </cell>
          <cell r="B431">
            <v>1829</v>
          </cell>
        </row>
        <row r="432">
          <cell r="A432" t="str">
            <v>URBANO PARTNER</v>
          </cell>
          <cell r="B432">
            <v>1831</v>
          </cell>
        </row>
        <row r="433">
          <cell r="A433" t="str">
            <v>URBANO PARTNER</v>
          </cell>
          <cell r="B433">
            <v>1832</v>
          </cell>
        </row>
        <row r="434">
          <cell r="A434" t="str">
            <v>URBANO PARTNER</v>
          </cell>
          <cell r="B434">
            <v>1833</v>
          </cell>
        </row>
        <row r="435">
          <cell r="A435" t="str">
            <v>URBANO PARTNER</v>
          </cell>
          <cell r="B435">
            <v>1834</v>
          </cell>
        </row>
        <row r="436">
          <cell r="A436" t="str">
            <v>URBANO PARTNER</v>
          </cell>
          <cell r="B436">
            <v>1835</v>
          </cell>
        </row>
        <row r="437">
          <cell r="A437" t="str">
            <v>URBANO PARTNER</v>
          </cell>
          <cell r="B437">
            <v>1836</v>
          </cell>
        </row>
        <row r="438">
          <cell r="A438" t="str">
            <v>URBANO PARTNER</v>
          </cell>
          <cell r="B438">
            <v>1839</v>
          </cell>
        </row>
        <row r="439">
          <cell r="A439" t="str">
            <v>AEROLINEAS</v>
          </cell>
          <cell r="B439">
            <v>1841</v>
          </cell>
        </row>
        <row r="440">
          <cell r="A440" t="str">
            <v>AEROLINEAS</v>
          </cell>
          <cell r="B440">
            <v>1842</v>
          </cell>
        </row>
        <row r="441">
          <cell r="A441" t="str">
            <v>AEROLINEAS</v>
          </cell>
          <cell r="B441">
            <v>1843</v>
          </cell>
        </row>
        <row r="442">
          <cell r="A442" t="str">
            <v>AEROLINEAS</v>
          </cell>
          <cell r="B442">
            <v>1844</v>
          </cell>
        </row>
        <row r="443">
          <cell r="A443" t="str">
            <v>AEROPUERTO</v>
          </cell>
          <cell r="B443">
            <v>1845</v>
          </cell>
        </row>
        <row r="444">
          <cell r="A444" t="str">
            <v>AEROLINEAS</v>
          </cell>
          <cell r="B444">
            <v>1846</v>
          </cell>
        </row>
        <row r="445">
          <cell r="A445" t="str">
            <v>AEROPUERTO</v>
          </cell>
          <cell r="B445">
            <v>1847</v>
          </cell>
        </row>
        <row r="446">
          <cell r="A446" t="str">
            <v>AEROPUERTO</v>
          </cell>
          <cell r="B446">
            <v>1848</v>
          </cell>
        </row>
        <row r="447">
          <cell r="A447" t="str">
            <v>URBANO PARTNER</v>
          </cell>
          <cell r="B447">
            <v>1850</v>
          </cell>
        </row>
        <row r="448">
          <cell r="A448" t="str">
            <v>URBANO PARTNER</v>
          </cell>
          <cell r="B448">
            <v>1851</v>
          </cell>
        </row>
        <row r="449">
          <cell r="A449" t="str">
            <v>URBANO PARTNER</v>
          </cell>
          <cell r="B449">
            <v>1852</v>
          </cell>
        </row>
        <row r="450">
          <cell r="A450" t="str">
            <v>URBANO PARTNER</v>
          </cell>
          <cell r="B450">
            <v>1853</v>
          </cell>
        </row>
        <row r="451">
          <cell r="A451" t="str">
            <v>URBANO PARTNER</v>
          </cell>
          <cell r="B451">
            <v>1854</v>
          </cell>
        </row>
        <row r="452">
          <cell r="A452" t="str">
            <v>AEROPUERTO</v>
          </cell>
          <cell r="B452">
            <v>1855</v>
          </cell>
        </row>
        <row r="453">
          <cell r="A453" t="str">
            <v>AEROPUERTO</v>
          </cell>
          <cell r="B453">
            <v>1856</v>
          </cell>
        </row>
        <row r="454">
          <cell r="A454" t="str">
            <v>AEROPUERTO</v>
          </cell>
          <cell r="B454">
            <v>1858</v>
          </cell>
        </row>
        <row r="455">
          <cell r="A455" t="str">
            <v>AEROLINEAS</v>
          </cell>
          <cell r="B455">
            <v>1859</v>
          </cell>
        </row>
        <row r="456">
          <cell r="A456" t="str">
            <v>AEROLINEAS</v>
          </cell>
          <cell r="B456">
            <v>1860</v>
          </cell>
        </row>
        <row r="457">
          <cell r="A457" t="str">
            <v>AEROLINEAS</v>
          </cell>
          <cell r="B457">
            <v>1861</v>
          </cell>
        </row>
        <row r="458">
          <cell r="A458" t="str">
            <v>AEROLINEAS</v>
          </cell>
          <cell r="B458">
            <v>1862</v>
          </cell>
        </row>
        <row r="459">
          <cell r="A459" t="str">
            <v>AEROLINEAS</v>
          </cell>
          <cell r="B459">
            <v>1863</v>
          </cell>
        </row>
        <row r="460">
          <cell r="A460" t="str">
            <v>AEROLINEAS</v>
          </cell>
          <cell r="B460">
            <v>1864</v>
          </cell>
        </row>
        <row r="461">
          <cell r="A461" t="str">
            <v>AEROPUERTO</v>
          </cell>
          <cell r="B461">
            <v>1866</v>
          </cell>
        </row>
        <row r="462">
          <cell r="A462" t="str">
            <v>AEROPUERTO</v>
          </cell>
          <cell r="B462">
            <v>1867</v>
          </cell>
        </row>
        <row r="463">
          <cell r="A463" t="str">
            <v>URBANO PARTNER</v>
          </cell>
          <cell r="B463">
            <v>1868</v>
          </cell>
        </row>
        <row r="464">
          <cell r="A464" t="str">
            <v>URBANO PARTNER</v>
          </cell>
          <cell r="B464">
            <v>1869</v>
          </cell>
        </row>
        <row r="465">
          <cell r="A465" t="str">
            <v>URBANO PARTNER</v>
          </cell>
          <cell r="B465">
            <v>1870</v>
          </cell>
        </row>
        <row r="466">
          <cell r="A466" t="str">
            <v>URBANO PARTNER</v>
          </cell>
          <cell r="B466">
            <v>1871</v>
          </cell>
        </row>
        <row r="467">
          <cell r="A467" t="str">
            <v>AEROLINEAS</v>
          </cell>
          <cell r="B467">
            <v>1872</v>
          </cell>
        </row>
        <row r="468">
          <cell r="A468" t="str">
            <v>AEROLINEAS</v>
          </cell>
          <cell r="B468">
            <v>1873</v>
          </cell>
        </row>
        <row r="469">
          <cell r="A469" t="str">
            <v>AEROLINEAS</v>
          </cell>
          <cell r="B469">
            <v>1874</v>
          </cell>
        </row>
        <row r="470">
          <cell r="A470" t="str">
            <v>AEROLINEAS</v>
          </cell>
          <cell r="B470">
            <v>1875</v>
          </cell>
        </row>
        <row r="471">
          <cell r="A471" t="str">
            <v>AEROPUERTO</v>
          </cell>
          <cell r="B471">
            <v>1876</v>
          </cell>
        </row>
        <row r="472">
          <cell r="A472" t="str">
            <v>AEROPUERTO</v>
          </cell>
          <cell r="B472">
            <v>1877</v>
          </cell>
        </row>
        <row r="473">
          <cell r="A473" t="str">
            <v>AEROPUERTO</v>
          </cell>
          <cell r="B473">
            <v>1878</v>
          </cell>
        </row>
        <row r="474">
          <cell r="A474" t="str">
            <v>AEROPUERTO</v>
          </cell>
          <cell r="B474">
            <v>1879</v>
          </cell>
        </row>
        <row r="475">
          <cell r="A475" t="str">
            <v>URBANO PARTNER</v>
          </cell>
          <cell r="B475">
            <v>1881</v>
          </cell>
        </row>
        <row r="476">
          <cell r="A476" t="str">
            <v>URBANO PARTNER</v>
          </cell>
          <cell r="B476">
            <v>1882</v>
          </cell>
        </row>
        <row r="477">
          <cell r="A477" t="str">
            <v>URBANO PARTNER</v>
          </cell>
          <cell r="B477">
            <v>1883</v>
          </cell>
        </row>
        <row r="478">
          <cell r="A478" t="str">
            <v>URBANO PARTNER</v>
          </cell>
          <cell r="B478">
            <v>1884</v>
          </cell>
        </row>
        <row r="479">
          <cell r="A479" t="str">
            <v>URBANO PARTNER</v>
          </cell>
          <cell r="B479">
            <v>1886</v>
          </cell>
        </row>
        <row r="480">
          <cell r="A480" t="str">
            <v>URBANO PARTNER</v>
          </cell>
          <cell r="B480">
            <v>1887</v>
          </cell>
        </row>
        <row r="481">
          <cell r="A481" t="str">
            <v>AEROPUERTO</v>
          </cell>
          <cell r="B481">
            <v>1888</v>
          </cell>
        </row>
        <row r="482">
          <cell r="A482" t="str">
            <v>AEROPUERTO</v>
          </cell>
          <cell r="B482">
            <v>1890</v>
          </cell>
        </row>
        <row r="483">
          <cell r="A483" t="str">
            <v>AEROPUERTO</v>
          </cell>
          <cell r="B483">
            <v>1891</v>
          </cell>
        </row>
        <row r="484">
          <cell r="A484" t="str">
            <v>AEROLINEAS</v>
          </cell>
          <cell r="B484">
            <v>1892</v>
          </cell>
        </row>
        <row r="485">
          <cell r="A485" t="str">
            <v>AEROLINEAS</v>
          </cell>
          <cell r="B485">
            <v>1893</v>
          </cell>
        </row>
        <row r="486">
          <cell r="A486" t="str">
            <v>AEROLINEAS</v>
          </cell>
          <cell r="B486">
            <v>1894</v>
          </cell>
        </row>
        <row r="487">
          <cell r="A487" t="str">
            <v>AEROLINEAS</v>
          </cell>
          <cell r="B487">
            <v>1895</v>
          </cell>
        </row>
        <row r="488">
          <cell r="A488" t="str">
            <v>AEROLINEAS</v>
          </cell>
          <cell r="B488">
            <v>1896</v>
          </cell>
        </row>
        <row r="489">
          <cell r="A489" t="str">
            <v>URBANO PARTNER</v>
          </cell>
          <cell r="B489">
            <v>1899</v>
          </cell>
        </row>
        <row r="490">
          <cell r="A490" t="str">
            <v>URBANO</v>
          </cell>
          <cell r="B490">
            <v>1915</v>
          </cell>
        </row>
        <row r="491">
          <cell r="A491" t="str">
            <v>URBANO</v>
          </cell>
          <cell r="B491">
            <v>1981</v>
          </cell>
        </row>
        <row r="492">
          <cell r="A492" t="str">
            <v>AEROLINEAS</v>
          </cell>
          <cell r="B492">
            <v>1997</v>
          </cell>
        </row>
        <row r="493">
          <cell r="A493" t="str">
            <v>MEMBRESÍA URBANO</v>
          </cell>
          <cell r="B493">
            <v>2005</v>
          </cell>
        </row>
        <row r="494">
          <cell r="A494" t="str">
            <v>URBANO</v>
          </cell>
          <cell r="B494">
            <v>2006</v>
          </cell>
        </row>
        <row r="495">
          <cell r="A495" t="str">
            <v>URBANO PARTNER</v>
          </cell>
          <cell r="B495">
            <v>2008</v>
          </cell>
        </row>
        <row r="496">
          <cell r="A496" t="str">
            <v>URBANO</v>
          </cell>
          <cell r="B496">
            <v>2011</v>
          </cell>
        </row>
        <row r="497">
          <cell r="A497" t="str">
            <v>AEROPUERTO</v>
          </cell>
          <cell r="B497">
            <v>2014</v>
          </cell>
        </row>
        <row r="498">
          <cell r="A498" t="str">
            <v>MEMBRESÍA URBANO</v>
          </cell>
          <cell r="B498">
            <v>2020</v>
          </cell>
        </row>
        <row r="499">
          <cell r="A499" t="str">
            <v>AEROLINEAS</v>
          </cell>
          <cell r="B499">
            <v>2023</v>
          </cell>
        </row>
        <row r="500">
          <cell r="A500" t="str">
            <v>URBANO</v>
          </cell>
          <cell r="B500">
            <v>2030</v>
          </cell>
        </row>
        <row r="501">
          <cell r="A501" t="str">
            <v>URBANO</v>
          </cell>
          <cell r="B501">
            <v>2031</v>
          </cell>
        </row>
        <row r="502">
          <cell r="A502" t="str">
            <v>AEROLINEAS</v>
          </cell>
          <cell r="B502">
            <v>2035</v>
          </cell>
        </row>
        <row r="503">
          <cell r="A503" t="str">
            <v>MEMBRESÍA URBANO</v>
          </cell>
          <cell r="B503">
            <v>2039</v>
          </cell>
        </row>
        <row r="504">
          <cell r="A504" t="str">
            <v>URBANO</v>
          </cell>
          <cell r="B504">
            <v>2047</v>
          </cell>
        </row>
        <row r="505">
          <cell r="A505" t="str">
            <v>URBANO</v>
          </cell>
          <cell r="B505">
            <v>2050</v>
          </cell>
        </row>
        <row r="506">
          <cell r="A506" t="str">
            <v>AEROPUERTO</v>
          </cell>
          <cell r="B506">
            <v>2051</v>
          </cell>
        </row>
        <row r="507">
          <cell r="A507" t="str">
            <v>URBANO PARTNER</v>
          </cell>
          <cell r="B507">
            <v>2060</v>
          </cell>
        </row>
        <row r="508">
          <cell r="A508" t="str">
            <v>URBANO PARTNER</v>
          </cell>
          <cell r="B508">
            <v>2061</v>
          </cell>
        </row>
        <row r="509">
          <cell r="A509" t="str">
            <v>URBANO</v>
          </cell>
          <cell r="B509">
            <v>2082</v>
          </cell>
        </row>
        <row r="510">
          <cell r="A510" t="str">
            <v>AEROLINEAS</v>
          </cell>
          <cell r="B510">
            <v>2085</v>
          </cell>
        </row>
        <row r="511">
          <cell r="A511" t="str">
            <v>URBANO PARTNER</v>
          </cell>
          <cell r="B511">
            <v>2086</v>
          </cell>
        </row>
        <row r="512">
          <cell r="A512" t="str">
            <v>AEROPUERTO</v>
          </cell>
          <cell r="B512">
            <v>2089</v>
          </cell>
        </row>
        <row r="513">
          <cell r="A513" t="str">
            <v>AEROPUERTO</v>
          </cell>
          <cell r="B513">
            <v>2093</v>
          </cell>
        </row>
        <row r="514">
          <cell r="A514" t="str">
            <v>URBANO PARTNER</v>
          </cell>
          <cell r="B514">
            <v>2096</v>
          </cell>
        </row>
        <row r="515">
          <cell r="A515" t="str">
            <v>URBANO PARTNER</v>
          </cell>
          <cell r="B515">
            <v>2098</v>
          </cell>
        </row>
        <row r="516">
          <cell r="A516" t="str">
            <v>URBANO PARTNER</v>
          </cell>
          <cell r="B516">
            <v>2099</v>
          </cell>
        </row>
        <row r="517">
          <cell r="A517" t="str">
            <v>URBANO</v>
          </cell>
          <cell r="B517">
            <v>2102</v>
          </cell>
        </row>
        <row r="518">
          <cell r="A518" t="str">
            <v>URBANO</v>
          </cell>
          <cell r="B518">
            <v>2104</v>
          </cell>
        </row>
        <row r="519">
          <cell r="A519" t="str">
            <v>URBANO</v>
          </cell>
          <cell r="B519">
            <v>2110</v>
          </cell>
        </row>
        <row r="520">
          <cell r="A520" t="str">
            <v>AEROLINEAS</v>
          </cell>
          <cell r="B520">
            <v>2118</v>
          </cell>
        </row>
        <row r="521">
          <cell r="A521" t="str">
            <v>AEROLINEAS</v>
          </cell>
          <cell r="B521">
            <v>2122</v>
          </cell>
        </row>
        <row r="522">
          <cell r="A522" t="str">
            <v>URBANO</v>
          </cell>
          <cell r="B522">
            <v>2135</v>
          </cell>
        </row>
        <row r="523">
          <cell r="A523" t="str">
            <v>URBANO</v>
          </cell>
          <cell r="B523">
            <v>2163</v>
          </cell>
        </row>
        <row r="524">
          <cell r="A524" t="str">
            <v>MEMBRESÍA URBANO</v>
          </cell>
          <cell r="B524">
            <v>2168</v>
          </cell>
        </row>
        <row r="525">
          <cell r="A525" t="str">
            <v>MEMBRESÍA NOCTURNA - APTO</v>
          </cell>
          <cell r="B525">
            <v>2170</v>
          </cell>
        </row>
        <row r="526">
          <cell r="A526" t="str">
            <v>URBANO</v>
          </cell>
          <cell r="B526">
            <v>2186</v>
          </cell>
        </row>
        <row r="527">
          <cell r="A527" t="str">
            <v>MEMBRESÍA URBANO</v>
          </cell>
          <cell r="B527">
            <v>2189</v>
          </cell>
        </row>
        <row r="528">
          <cell r="A528" t="str">
            <v>MEMBRESÍA URBANO</v>
          </cell>
          <cell r="B528">
            <v>2190</v>
          </cell>
        </row>
        <row r="529">
          <cell r="A529" t="str">
            <v>URBANO PARTNER</v>
          </cell>
          <cell r="B529">
            <v>2191</v>
          </cell>
        </row>
        <row r="530">
          <cell r="A530" t="str">
            <v>URBANO</v>
          </cell>
          <cell r="B530">
            <v>2194</v>
          </cell>
        </row>
        <row r="531">
          <cell r="A531" t="str">
            <v>URBANO PARTNER</v>
          </cell>
          <cell r="B531">
            <v>2197</v>
          </cell>
        </row>
        <row r="532">
          <cell r="A532" t="str">
            <v>AEROLINEAS</v>
          </cell>
          <cell r="B532">
            <v>2210</v>
          </cell>
        </row>
        <row r="533">
          <cell r="A533" t="str">
            <v>URBANO PARTNER</v>
          </cell>
          <cell r="B533">
            <v>2212</v>
          </cell>
        </row>
        <row r="534">
          <cell r="A534" t="str">
            <v>URBANO</v>
          </cell>
          <cell r="B534">
            <v>2213</v>
          </cell>
        </row>
        <row r="535">
          <cell r="A535" t="str">
            <v>MEMBRESÍA URBANO</v>
          </cell>
          <cell r="B535">
            <v>2218</v>
          </cell>
        </row>
        <row r="536">
          <cell r="A536" t="str">
            <v>MEMBRESÍA URBANO</v>
          </cell>
          <cell r="B536">
            <v>2220</v>
          </cell>
        </row>
        <row r="537">
          <cell r="A537" t="str">
            <v>URBANO PARTNER</v>
          </cell>
          <cell r="B537">
            <v>2221</v>
          </cell>
        </row>
        <row r="538">
          <cell r="A538" t="str">
            <v>AEROLINEAS</v>
          </cell>
          <cell r="B538">
            <v>2225</v>
          </cell>
        </row>
        <row r="539">
          <cell r="A539" t="str">
            <v>URBANO</v>
          </cell>
          <cell r="B539">
            <v>2227</v>
          </cell>
        </row>
        <row r="540">
          <cell r="A540" t="str">
            <v>URBANO PARTNER</v>
          </cell>
          <cell r="B540">
            <v>2235</v>
          </cell>
        </row>
        <row r="541">
          <cell r="A541" t="str">
            <v>URBANO</v>
          </cell>
          <cell r="B541">
            <v>2237</v>
          </cell>
        </row>
        <row r="542">
          <cell r="A542" t="str">
            <v>URBANO</v>
          </cell>
          <cell r="B542">
            <v>2239</v>
          </cell>
        </row>
        <row r="543">
          <cell r="A543" t="str">
            <v>URBANO</v>
          </cell>
          <cell r="B543">
            <v>2240</v>
          </cell>
        </row>
        <row r="544">
          <cell r="A544" t="str">
            <v>URBANO</v>
          </cell>
          <cell r="B544">
            <v>2242</v>
          </cell>
        </row>
        <row r="545">
          <cell r="A545" t="str">
            <v>URBANO</v>
          </cell>
          <cell r="B545">
            <v>2244</v>
          </cell>
        </row>
        <row r="546">
          <cell r="A546" t="str">
            <v>MEMBRESÍA URBANO</v>
          </cell>
          <cell r="B546">
            <v>2246</v>
          </cell>
        </row>
        <row r="547">
          <cell r="A547" t="str">
            <v>URBANO PARTNER</v>
          </cell>
          <cell r="B547">
            <v>2252</v>
          </cell>
        </row>
        <row r="548">
          <cell r="A548" t="str">
            <v>URBANO PARTNER</v>
          </cell>
          <cell r="B548">
            <v>2254</v>
          </cell>
        </row>
        <row r="549">
          <cell r="A549" t="str">
            <v>URBANO</v>
          </cell>
          <cell r="B549">
            <v>2261</v>
          </cell>
        </row>
        <row r="550">
          <cell r="A550" t="str">
            <v>URBANO PARTNER</v>
          </cell>
          <cell r="B550">
            <v>2264</v>
          </cell>
        </row>
        <row r="551">
          <cell r="A551" t="str">
            <v>URBANO PARTNER</v>
          </cell>
          <cell r="B551">
            <v>2268</v>
          </cell>
        </row>
        <row r="552">
          <cell r="A552" t="str">
            <v>AEROPUERTO</v>
          </cell>
          <cell r="B552">
            <v>2275</v>
          </cell>
        </row>
        <row r="553">
          <cell r="A553" t="str">
            <v>URBANO</v>
          </cell>
          <cell r="B553">
            <v>2277</v>
          </cell>
        </row>
        <row r="554">
          <cell r="A554" t="str">
            <v>URBANO</v>
          </cell>
          <cell r="B554">
            <v>2278</v>
          </cell>
        </row>
        <row r="555">
          <cell r="A555" t="str">
            <v>URBANO PARTNER</v>
          </cell>
          <cell r="B555">
            <v>2283</v>
          </cell>
        </row>
        <row r="556">
          <cell r="A556" t="str">
            <v>URBANO</v>
          </cell>
          <cell r="B556">
            <v>2285</v>
          </cell>
        </row>
        <row r="557">
          <cell r="A557" t="str">
            <v>URBANO PARTNER</v>
          </cell>
          <cell r="B557">
            <v>2304</v>
          </cell>
        </row>
        <row r="558">
          <cell r="A558" t="str">
            <v>URBANO</v>
          </cell>
          <cell r="B558">
            <v>2305</v>
          </cell>
        </row>
        <row r="559">
          <cell r="A559" t="str">
            <v>URBANO</v>
          </cell>
          <cell r="B559">
            <v>2308</v>
          </cell>
        </row>
        <row r="560">
          <cell r="A560" t="str">
            <v>URBANO PARTNER</v>
          </cell>
          <cell r="B560">
            <v>2309</v>
          </cell>
        </row>
        <row r="561">
          <cell r="A561" t="str">
            <v>URBANO</v>
          </cell>
          <cell r="B561">
            <v>2316</v>
          </cell>
        </row>
        <row r="562">
          <cell r="A562" t="str">
            <v>URBANO</v>
          </cell>
          <cell r="B562">
            <v>2321</v>
          </cell>
        </row>
        <row r="563">
          <cell r="A563" t="str">
            <v>URBANO</v>
          </cell>
          <cell r="B563">
            <v>2322</v>
          </cell>
        </row>
        <row r="564">
          <cell r="A564" t="str">
            <v>URBANO</v>
          </cell>
          <cell r="B564">
            <v>2325</v>
          </cell>
        </row>
        <row r="565">
          <cell r="A565" t="str">
            <v>URBANO</v>
          </cell>
          <cell r="B565">
            <v>2331</v>
          </cell>
        </row>
        <row r="566">
          <cell r="A566" t="str">
            <v>URBANO</v>
          </cell>
          <cell r="B566">
            <v>2341</v>
          </cell>
        </row>
        <row r="567">
          <cell r="A567" t="str">
            <v>URBANO</v>
          </cell>
          <cell r="B567">
            <v>2349</v>
          </cell>
        </row>
        <row r="568">
          <cell r="A568" t="str">
            <v>URBANO</v>
          </cell>
          <cell r="B568">
            <v>2352</v>
          </cell>
        </row>
        <row r="569">
          <cell r="A569" t="str">
            <v>URBANO PARTNER</v>
          </cell>
          <cell r="B569">
            <v>2355</v>
          </cell>
        </row>
        <row r="570">
          <cell r="A570" t="str">
            <v>AEROPUERTO</v>
          </cell>
          <cell r="B570">
            <v>2356</v>
          </cell>
        </row>
        <row r="571">
          <cell r="A571" t="str">
            <v>URBANO</v>
          </cell>
          <cell r="B571">
            <v>2359</v>
          </cell>
        </row>
        <row r="572">
          <cell r="A572" t="str">
            <v>URBANO</v>
          </cell>
          <cell r="B572">
            <v>2364</v>
          </cell>
        </row>
        <row r="573">
          <cell r="A573" t="str">
            <v>URBANO</v>
          </cell>
          <cell r="B573">
            <v>2367</v>
          </cell>
        </row>
        <row r="574">
          <cell r="A574" t="str">
            <v>URBANO</v>
          </cell>
          <cell r="B574">
            <v>2372</v>
          </cell>
        </row>
        <row r="575">
          <cell r="A575" t="str">
            <v>URBANO</v>
          </cell>
          <cell r="B575">
            <v>2374</v>
          </cell>
        </row>
        <row r="576">
          <cell r="A576" t="str">
            <v>URBANO</v>
          </cell>
          <cell r="B576">
            <v>2390</v>
          </cell>
        </row>
        <row r="577">
          <cell r="A577" t="str">
            <v>URBANO</v>
          </cell>
          <cell r="B577">
            <v>2392</v>
          </cell>
        </row>
        <row r="578">
          <cell r="A578" t="str">
            <v>MEMBRESÍA URBANO</v>
          </cell>
          <cell r="B578">
            <v>2394</v>
          </cell>
        </row>
        <row r="579">
          <cell r="A579" t="str">
            <v>URBANO</v>
          </cell>
          <cell r="B579">
            <v>2395</v>
          </cell>
        </row>
        <row r="580">
          <cell r="A580" t="str">
            <v>URBANO</v>
          </cell>
          <cell r="B580">
            <v>2399</v>
          </cell>
        </row>
        <row r="581">
          <cell r="A581" t="str">
            <v>URBANO PARTNER</v>
          </cell>
          <cell r="B581">
            <v>2406</v>
          </cell>
        </row>
        <row r="582">
          <cell r="A582" t="str">
            <v>URBANO PARTNER</v>
          </cell>
          <cell r="B582">
            <v>2409</v>
          </cell>
        </row>
        <row r="583">
          <cell r="A583" t="str">
            <v>URBANO PARTNER</v>
          </cell>
          <cell r="B583">
            <v>2410</v>
          </cell>
        </row>
        <row r="584">
          <cell r="A584" t="str">
            <v>URBANO</v>
          </cell>
          <cell r="B584">
            <v>2416</v>
          </cell>
        </row>
        <row r="585">
          <cell r="A585" t="str">
            <v>URBANO</v>
          </cell>
          <cell r="B585">
            <v>2417</v>
          </cell>
        </row>
        <row r="586">
          <cell r="A586" t="str">
            <v>URBANO PARTNER</v>
          </cell>
          <cell r="B586">
            <v>2421</v>
          </cell>
        </row>
        <row r="587">
          <cell r="A587" t="str">
            <v>URBANO</v>
          </cell>
          <cell r="B587">
            <v>2422</v>
          </cell>
        </row>
        <row r="588">
          <cell r="A588" t="str">
            <v>URBANO</v>
          </cell>
          <cell r="B588">
            <v>2430</v>
          </cell>
        </row>
        <row r="589">
          <cell r="A589" t="str">
            <v>AEROLINEAS</v>
          </cell>
          <cell r="B589">
            <v>2440</v>
          </cell>
        </row>
        <row r="590">
          <cell r="A590" t="str">
            <v>URBANO</v>
          </cell>
          <cell r="B590">
            <v>2441</v>
          </cell>
        </row>
        <row r="591">
          <cell r="A591" t="str">
            <v>URBANO</v>
          </cell>
          <cell r="B591">
            <v>2442</v>
          </cell>
        </row>
        <row r="592">
          <cell r="A592" t="str">
            <v>AEROLINEAS</v>
          </cell>
          <cell r="B592">
            <v>2445</v>
          </cell>
        </row>
        <row r="593">
          <cell r="A593" t="str">
            <v>URBANO</v>
          </cell>
          <cell r="B593">
            <v>2446</v>
          </cell>
        </row>
        <row r="594">
          <cell r="A594" t="str">
            <v>URBANO PARTNER</v>
          </cell>
          <cell r="B594">
            <v>2449</v>
          </cell>
        </row>
        <row r="595">
          <cell r="A595" t="str">
            <v>URBANO</v>
          </cell>
          <cell r="B595">
            <v>2450</v>
          </cell>
        </row>
        <row r="596">
          <cell r="A596" t="str">
            <v>URBANO</v>
          </cell>
          <cell r="B596">
            <v>2463</v>
          </cell>
        </row>
        <row r="597">
          <cell r="A597" t="str">
            <v>URBANO</v>
          </cell>
          <cell r="B597">
            <v>2467</v>
          </cell>
        </row>
        <row r="598">
          <cell r="A598" t="str">
            <v>AEROPUERTO</v>
          </cell>
          <cell r="B598">
            <v>2469</v>
          </cell>
        </row>
        <row r="599">
          <cell r="A599" t="str">
            <v>URBANO</v>
          </cell>
          <cell r="B599">
            <v>2473</v>
          </cell>
        </row>
        <row r="600">
          <cell r="A600" t="str">
            <v>URBANO</v>
          </cell>
          <cell r="B600">
            <v>2479</v>
          </cell>
        </row>
        <row r="601">
          <cell r="A601" t="str">
            <v>URBANO PARTNER</v>
          </cell>
          <cell r="B601">
            <v>2484</v>
          </cell>
        </row>
        <row r="602">
          <cell r="A602" t="str">
            <v>URBANO</v>
          </cell>
          <cell r="B602">
            <v>2485</v>
          </cell>
        </row>
        <row r="603">
          <cell r="A603" t="str">
            <v>AEROLINEAS</v>
          </cell>
          <cell r="B603">
            <v>2488</v>
          </cell>
        </row>
        <row r="604">
          <cell r="A604" t="str">
            <v>AEROLINEAS</v>
          </cell>
          <cell r="B604">
            <v>2492</v>
          </cell>
        </row>
        <row r="605">
          <cell r="A605" t="str">
            <v>URBANO</v>
          </cell>
          <cell r="B605">
            <v>2494</v>
          </cell>
        </row>
        <row r="606">
          <cell r="A606" t="str">
            <v>URBANO</v>
          </cell>
          <cell r="B606">
            <v>2498</v>
          </cell>
        </row>
        <row r="607">
          <cell r="A607" t="str">
            <v>URBANO</v>
          </cell>
          <cell r="B607">
            <v>2501</v>
          </cell>
        </row>
        <row r="608">
          <cell r="A608" t="str">
            <v>AEROPUERTO</v>
          </cell>
          <cell r="B608">
            <v>2502</v>
          </cell>
        </row>
        <row r="609">
          <cell r="A609" t="str">
            <v>URBANO</v>
          </cell>
          <cell r="B609">
            <v>2504</v>
          </cell>
        </row>
        <row r="610">
          <cell r="A610" t="str">
            <v>AEROPUERTO</v>
          </cell>
          <cell r="B610">
            <v>2510</v>
          </cell>
        </row>
        <row r="611">
          <cell r="A611" t="str">
            <v>URBANO</v>
          </cell>
          <cell r="B611">
            <v>2511</v>
          </cell>
        </row>
        <row r="612">
          <cell r="A612" t="str">
            <v>URBANO</v>
          </cell>
          <cell r="B612">
            <v>2512</v>
          </cell>
        </row>
        <row r="613">
          <cell r="A613" t="str">
            <v>URBANO PARTNER</v>
          </cell>
          <cell r="B613">
            <v>2516</v>
          </cell>
        </row>
        <row r="614">
          <cell r="A614" t="str">
            <v>MEMBRESÍA URBANO</v>
          </cell>
          <cell r="B614">
            <v>2520</v>
          </cell>
        </row>
        <row r="615">
          <cell r="A615" t="str">
            <v>URBANO</v>
          </cell>
          <cell r="B615">
            <v>2530</v>
          </cell>
        </row>
        <row r="616">
          <cell r="A616" t="str">
            <v>URBANO PARTNER</v>
          </cell>
          <cell r="B616">
            <v>2524</v>
          </cell>
        </row>
        <row r="617">
          <cell r="A617" t="str">
            <v>URBANO</v>
          </cell>
          <cell r="B617">
            <v>2542</v>
          </cell>
        </row>
        <row r="618">
          <cell r="A618" t="str">
            <v>AEROLINEAS</v>
          </cell>
          <cell r="B618">
            <v>2545</v>
          </cell>
        </row>
        <row r="619">
          <cell r="A619" t="str">
            <v>URBANO</v>
          </cell>
          <cell r="B619">
            <v>2546</v>
          </cell>
        </row>
        <row r="620">
          <cell r="A620" t="str">
            <v>URBANO</v>
          </cell>
          <cell r="B620">
            <v>2547</v>
          </cell>
        </row>
        <row r="621">
          <cell r="A621" t="str">
            <v>AEROPUERTO</v>
          </cell>
          <cell r="B621">
            <v>2549</v>
          </cell>
        </row>
        <row r="622">
          <cell r="A622" t="str">
            <v>AEROPUERTO</v>
          </cell>
          <cell r="B622">
            <v>2570</v>
          </cell>
        </row>
        <row r="623">
          <cell r="A623" t="str">
            <v>AEROPUERTO</v>
          </cell>
          <cell r="B623">
            <v>2573</v>
          </cell>
        </row>
        <row r="624">
          <cell r="A624" t="str">
            <v>URBANO</v>
          </cell>
          <cell r="B624">
            <v>2581</v>
          </cell>
        </row>
        <row r="625">
          <cell r="A625" t="str">
            <v>AEROPUERTO</v>
          </cell>
          <cell r="B625">
            <v>2583</v>
          </cell>
        </row>
        <row r="626">
          <cell r="A626" t="str">
            <v>URBANO</v>
          </cell>
          <cell r="B626">
            <v>2586</v>
          </cell>
        </row>
        <row r="627">
          <cell r="A627" t="str">
            <v>URBANO</v>
          </cell>
          <cell r="B627">
            <v>2587</v>
          </cell>
        </row>
        <row r="628">
          <cell r="A628" t="str">
            <v>URBANO PARTNER</v>
          </cell>
          <cell r="B628">
            <v>2594</v>
          </cell>
        </row>
        <row r="629">
          <cell r="A629" t="str">
            <v>AEROLINEAS</v>
          </cell>
          <cell r="B629">
            <v>2597</v>
          </cell>
        </row>
        <row r="630">
          <cell r="A630" t="str">
            <v>URBANO</v>
          </cell>
          <cell r="B630">
            <v>2599</v>
          </cell>
        </row>
        <row r="631">
          <cell r="A631" t="str">
            <v>URBANO PARTNER</v>
          </cell>
          <cell r="B631">
            <v>2600</v>
          </cell>
        </row>
        <row r="632">
          <cell r="A632" t="str">
            <v>URBANO</v>
          </cell>
          <cell r="B632">
            <v>2601</v>
          </cell>
        </row>
        <row r="633">
          <cell r="A633" t="str">
            <v>URBANO</v>
          </cell>
          <cell r="B633">
            <v>2604</v>
          </cell>
        </row>
        <row r="634">
          <cell r="A634" t="str">
            <v>AEROLINEAS</v>
          </cell>
          <cell r="B634">
            <v>2609</v>
          </cell>
        </row>
        <row r="635">
          <cell r="A635" t="str">
            <v>URBANO PARTNER</v>
          </cell>
          <cell r="B635">
            <v>2611</v>
          </cell>
        </row>
        <row r="636">
          <cell r="A636" t="str">
            <v>URBANO PARTNER</v>
          </cell>
          <cell r="B636">
            <v>2615</v>
          </cell>
        </row>
        <row r="637">
          <cell r="A637" t="str">
            <v>URBANO PARTNER</v>
          </cell>
          <cell r="B637">
            <v>2626</v>
          </cell>
        </row>
        <row r="638">
          <cell r="A638" t="str">
            <v>URBANO</v>
          </cell>
          <cell r="B638">
            <v>2628</v>
          </cell>
        </row>
        <row r="639">
          <cell r="A639" t="str">
            <v>URBANO</v>
          </cell>
          <cell r="B639">
            <v>2631</v>
          </cell>
        </row>
        <row r="640">
          <cell r="A640" t="str">
            <v>URBANO</v>
          </cell>
          <cell r="B640">
            <v>2632</v>
          </cell>
        </row>
        <row r="641">
          <cell r="A641" t="str">
            <v>URBANO</v>
          </cell>
          <cell r="B641">
            <v>2633</v>
          </cell>
        </row>
        <row r="642">
          <cell r="A642" t="str">
            <v>URBANO</v>
          </cell>
          <cell r="B642">
            <v>2640</v>
          </cell>
        </row>
        <row r="643">
          <cell r="A643" t="str">
            <v>URBANO</v>
          </cell>
          <cell r="B643">
            <v>2644</v>
          </cell>
        </row>
        <row r="644">
          <cell r="A644" t="str">
            <v>URBANO PARTNER</v>
          </cell>
          <cell r="B644">
            <v>2645</v>
          </cell>
        </row>
        <row r="645">
          <cell r="A645" t="str">
            <v>URBANO PARTNER</v>
          </cell>
          <cell r="B645">
            <v>2646</v>
          </cell>
        </row>
        <row r="646">
          <cell r="A646" t="str">
            <v>URBANO</v>
          </cell>
          <cell r="B646">
            <v>2649</v>
          </cell>
        </row>
        <row r="647">
          <cell r="A647" t="str">
            <v>URBANO PARTNER</v>
          </cell>
          <cell r="B647">
            <v>2652</v>
          </cell>
        </row>
        <row r="648">
          <cell r="A648" t="str">
            <v>AEROPUERTO</v>
          </cell>
          <cell r="B648">
            <v>2653</v>
          </cell>
        </row>
        <row r="649">
          <cell r="A649" t="str">
            <v>URBANO PARTNER</v>
          </cell>
          <cell r="B649">
            <v>2654</v>
          </cell>
        </row>
        <row r="650">
          <cell r="A650" t="str">
            <v>URBANO</v>
          </cell>
          <cell r="B650">
            <v>2672</v>
          </cell>
        </row>
        <row r="651">
          <cell r="A651" t="str">
            <v>URBANO</v>
          </cell>
          <cell r="B651">
            <v>2673</v>
          </cell>
        </row>
        <row r="652">
          <cell r="A652" t="str">
            <v>AEROLINEAS</v>
          </cell>
          <cell r="B652">
            <v>2674</v>
          </cell>
        </row>
        <row r="653">
          <cell r="A653" t="str">
            <v>URBANO</v>
          </cell>
          <cell r="B653">
            <v>2684</v>
          </cell>
        </row>
        <row r="654">
          <cell r="A654" t="str">
            <v>URBANO</v>
          </cell>
          <cell r="B654">
            <v>2685</v>
          </cell>
        </row>
        <row r="655">
          <cell r="A655" t="str">
            <v>URBANO</v>
          </cell>
          <cell r="B655">
            <v>2686</v>
          </cell>
        </row>
        <row r="656">
          <cell r="A656" t="str">
            <v>AEROLINEAS</v>
          </cell>
          <cell r="B656">
            <v>2687</v>
          </cell>
        </row>
        <row r="657">
          <cell r="A657" t="str">
            <v>URBANO</v>
          </cell>
          <cell r="B657">
            <v>2690</v>
          </cell>
        </row>
        <row r="658">
          <cell r="A658" t="str">
            <v>URBANO PARTNER</v>
          </cell>
          <cell r="B658">
            <v>2694</v>
          </cell>
        </row>
        <row r="659">
          <cell r="A659" t="str">
            <v>URBANO PARTNER</v>
          </cell>
          <cell r="B659">
            <v>2695</v>
          </cell>
        </row>
        <row r="660">
          <cell r="A660" t="str">
            <v>URBANO</v>
          </cell>
          <cell r="B660">
            <v>2702</v>
          </cell>
        </row>
        <row r="661">
          <cell r="A661" t="str">
            <v>AEROPUERTO VAN</v>
          </cell>
          <cell r="B661">
            <v>2703</v>
          </cell>
        </row>
        <row r="662">
          <cell r="A662" t="str">
            <v>AEROPUERTO</v>
          </cell>
          <cell r="B662">
            <v>2704</v>
          </cell>
        </row>
        <row r="663">
          <cell r="A663" t="str">
            <v>AEROPUERTO</v>
          </cell>
          <cell r="B663">
            <v>2705</v>
          </cell>
        </row>
        <row r="664">
          <cell r="A664" t="str">
            <v>URBANO PARTNER</v>
          </cell>
          <cell r="B664">
            <v>2710</v>
          </cell>
        </row>
        <row r="665">
          <cell r="A665" t="str">
            <v>URBANO PARTNER</v>
          </cell>
          <cell r="B665">
            <v>2711</v>
          </cell>
        </row>
        <row r="666">
          <cell r="A666" t="str">
            <v>URBANO PARTNER</v>
          </cell>
          <cell r="B666">
            <v>2712</v>
          </cell>
        </row>
        <row r="667">
          <cell r="A667" t="str">
            <v>URBANO PARTNER</v>
          </cell>
          <cell r="B667">
            <v>2713</v>
          </cell>
        </row>
        <row r="668">
          <cell r="A668" t="str">
            <v>AEROPUERTO</v>
          </cell>
          <cell r="B668">
            <v>2714</v>
          </cell>
        </row>
        <row r="669">
          <cell r="A669" t="str">
            <v>AEROPUERTO</v>
          </cell>
          <cell r="B669">
            <v>2715</v>
          </cell>
        </row>
        <row r="670">
          <cell r="A670" t="str">
            <v>URBANO PARTNER</v>
          </cell>
          <cell r="B670">
            <v>2716</v>
          </cell>
        </row>
        <row r="671">
          <cell r="A671" t="str">
            <v>URBANO PARTNER</v>
          </cell>
          <cell r="B671">
            <v>2717</v>
          </cell>
        </row>
        <row r="672">
          <cell r="A672" t="str">
            <v>URBANO PARTNER</v>
          </cell>
          <cell r="B672">
            <v>2718</v>
          </cell>
        </row>
        <row r="673">
          <cell r="A673" t="str">
            <v>URBANO PARTNER</v>
          </cell>
          <cell r="B673">
            <v>2719</v>
          </cell>
        </row>
        <row r="674">
          <cell r="A674" t="str">
            <v>URBANO PARTNER</v>
          </cell>
          <cell r="B674">
            <v>2720</v>
          </cell>
        </row>
        <row r="675">
          <cell r="A675" t="str">
            <v>URBANO PARTNER</v>
          </cell>
          <cell r="B675">
            <v>2721</v>
          </cell>
        </row>
        <row r="676">
          <cell r="A676" t="str">
            <v>AEROPUERTO</v>
          </cell>
          <cell r="B676">
            <v>2722</v>
          </cell>
        </row>
        <row r="677">
          <cell r="A677" t="str">
            <v>URBANO PARTNER</v>
          </cell>
          <cell r="B677">
            <v>2724</v>
          </cell>
        </row>
        <row r="678">
          <cell r="A678" t="str">
            <v>AEROPUERTO</v>
          </cell>
          <cell r="B678">
            <v>2725</v>
          </cell>
        </row>
        <row r="679">
          <cell r="A679" t="str">
            <v>AEROLINEAS</v>
          </cell>
          <cell r="B679">
            <v>2726</v>
          </cell>
        </row>
        <row r="680">
          <cell r="A680" t="str">
            <v>URBANO PARTNER</v>
          </cell>
          <cell r="B680">
            <v>2727</v>
          </cell>
        </row>
        <row r="681">
          <cell r="A681" t="str">
            <v>URBANO PARTNER</v>
          </cell>
          <cell r="B681">
            <v>2728</v>
          </cell>
        </row>
        <row r="682">
          <cell r="A682" t="str">
            <v>URBANO PARTNER</v>
          </cell>
          <cell r="B682">
            <v>2729</v>
          </cell>
        </row>
        <row r="683">
          <cell r="A683" t="str">
            <v>URBANO PARTNER</v>
          </cell>
          <cell r="B683">
            <v>2730</v>
          </cell>
        </row>
        <row r="684">
          <cell r="A684" t="str">
            <v>URBANO</v>
          </cell>
          <cell r="B684">
            <v>2735</v>
          </cell>
        </row>
        <row r="685">
          <cell r="A685" t="str">
            <v>URBANO</v>
          </cell>
          <cell r="B685">
            <v>2737</v>
          </cell>
        </row>
        <row r="686">
          <cell r="A686" t="str">
            <v>URBANO</v>
          </cell>
          <cell r="B686">
            <v>2740</v>
          </cell>
        </row>
        <row r="687">
          <cell r="A687" t="str">
            <v>MEMBRESÍA URBANO</v>
          </cell>
          <cell r="B687">
            <v>2746</v>
          </cell>
        </row>
        <row r="688">
          <cell r="A688" t="str">
            <v>URBANO</v>
          </cell>
          <cell r="B688">
            <v>2748</v>
          </cell>
        </row>
        <row r="689">
          <cell r="A689" t="str">
            <v>URBANO PARTNER</v>
          </cell>
          <cell r="B689">
            <v>2749</v>
          </cell>
        </row>
        <row r="690">
          <cell r="A690" t="str">
            <v>URBANO</v>
          </cell>
          <cell r="B690">
            <v>2751</v>
          </cell>
        </row>
        <row r="691">
          <cell r="A691" t="str">
            <v>URBANO</v>
          </cell>
          <cell r="B691">
            <v>2753</v>
          </cell>
        </row>
        <row r="692">
          <cell r="A692" t="str">
            <v>URBANO</v>
          </cell>
          <cell r="B692">
            <v>2755</v>
          </cell>
        </row>
        <row r="693">
          <cell r="A693" t="str">
            <v>URBANO</v>
          </cell>
          <cell r="B693">
            <v>2763</v>
          </cell>
        </row>
        <row r="694">
          <cell r="A694" t="str">
            <v>URBANO</v>
          </cell>
          <cell r="B694">
            <v>2766</v>
          </cell>
        </row>
        <row r="695">
          <cell r="A695" t="str">
            <v>URBANO</v>
          </cell>
          <cell r="B695">
            <v>2776</v>
          </cell>
        </row>
        <row r="696">
          <cell r="A696" t="str">
            <v>AEROLINEAS</v>
          </cell>
          <cell r="B696">
            <v>2777</v>
          </cell>
        </row>
        <row r="697">
          <cell r="A697" t="str">
            <v>URBANO</v>
          </cell>
          <cell r="B697">
            <v>2779</v>
          </cell>
        </row>
        <row r="698">
          <cell r="A698" t="str">
            <v>URBANO</v>
          </cell>
          <cell r="B698">
            <v>2783</v>
          </cell>
        </row>
        <row r="699">
          <cell r="A699" t="str">
            <v>URBANO</v>
          </cell>
          <cell r="B699">
            <v>2784</v>
          </cell>
        </row>
        <row r="700">
          <cell r="A700" t="str">
            <v>AEROLINEAS</v>
          </cell>
          <cell r="B700">
            <v>2788</v>
          </cell>
        </row>
        <row r="701">
          <cell r="A701" t="str">
            <v>URBANO</v>
          </cell>
          <cell r="B701">
            <v>2790</v>
          </cell>
        </row>
        <row r="702">
          <cell r="A702" t="str">
            <v>URBANO</v>
          </cell>
          <cell r="B702">
            <v>2795</v>
          </cell>
        </row>
        <row r="703">
          <cell r="A703" t="str">
            <v>URBANO</v>
          </cell>
          <cell r="B703">
            <v>2797</v>
          </cell>
        </row>
        <row r="704">
          <cell r="A704" t="str">
            <v>URBANO</v>
          </cell>
          <cell r="B704">
            <v>2801</v>
          </cell>
        </row>
        <row r="705">
          <cell r="A705" t="str">
            <v>URBANO</v>
          </cell>
          <cell r="B705">
            <v>2808</v>
          </cell>
        </row>
        <row r="706">
          <cell r="A706" t="str">
            <v>AEROPUERTO</v>
          </cell>
          <cell r="B706">
            <v>2810</v>
          </cell>
        </row>
        <row r="707">
          <cell r="A707" t="str">
            <v>URBANO</v>
          </cell>
          <cell r="B707">
            <v>2813</v>
          </cell>
        </row>
        <row r="708">
          <cell r="A708" t="str">
            <v>URBANO</v>
          </cell>
          <cell r="B708">
            <v>2814</v>
          </cell>
        </row>
        <row r="709">
          <cell r="A709" t="str">
            <v>URBANO</v>
          </cell>
          <cell r="B709">
            <v>2815</v>
          </cell>
        </row>
        <row r="710">
          <cell r="A710" t="str">
            <v>URBANO</v>
          </cell>
          <cell r="B710">
            <v>2816</v>
          </cell>
        </row>
        <row r="711">
          <cell r="A711" t="str">
            <v>URBANO</v>
          </cell>
          <cell r="B711">
            <v>2819</v>
          </cell>
        </row>
        <row r="712">
          <cell r="A712" t="str">
            <v>URBANO PARTNER</v>
          </cell>
          <cell r="B712">
            <v>2823</v>
          </cell>
        </row>
        <row r="713">
          <cell r="A713" t="str">
            <v>URBANO</v>
          </cell>
          <cell r="B713">
            <v>2824</v>
          </cell>
        </row>
        <row r="714">
          <cell r="A714" t="str">
            <v>URBANO</v>
          </cell>
          <cell r="B714">
            <v>2825</v>
          </cell>
        </row>
        <row r="715">
          <cell r="A715" t="str">
            <v>URBANO PARTNER</v>
          </cell>
          <cell r="B715">
            <v>2826</v>
          </cell>
        </row>
        <row r="716">
          <cell r="A716" t="str">
            <v>AEROLINEAS</v>
          </cell>
          <cell r="B716">
            <v>2827</v>
          </cell>
        </row>
        <row r="717">
          <cell r="A717" t="str">
            <v>URBANO PARTNER</v>
          </cell>
          <cell r="B717">
            <v>2828</v>
          </cell>
        </row>
        <row r="718">
          <cell r="A718" t="str">
            <v>AEROPUERTO</v>
          </cell>
          <cell r="B718">
            <v>2829</v>
          </cell>
        </row>
        <row r="719">
          <cell r="A719" t="str">
            <v>URBANO</v>
          </cell>
          <cell r="B719">
            <v>2832</v>
          </cell>
        </row>
        <row r="720">
          <cell r="A720" t="str">
            <v>AEROPUERTO</v>
          </cell>
          <cell r="B720">
            <v>2835</v>
          </cell>
        </row>
        <row r="721">
          <cell r="A721" t="str">
            <v>URBANO</v>
          </cell>
          <cell r="B721">
            <v>2836</v>
          </cell>
        </row>
        <row r="722">
          <cell r="A722" t="str">
            <v>AEROPUERTO</v>
          </cell>
          <cell r="B722">
            <v>2839</v>
          </cell>
        </row>
        <row r="723">
          <cell r="A723" t="str">
            <v>AEROPUERTO</v>
          </cell>
          <cell r="B723">
            <v>2841</v>
          </cell>
        </row>
        <row r="724">
          <cell r="A724" t="str">
            <v>AEROPUERTO</v>
          </cell>
          <cell r="B724">
            <v>2842</v>
          </cell>
        </row>
        <row r="725">
          <cell r="A725" t="str">
            <v>AEROPUERTO</v>
          </cell>
          <cell r="B725">
            <v>2843</v>
          </cell>
        </row>
        <row r="726">
          <cell r="A726" t="str">
            <v>AEROLINEAS</v>
          </cell>
          <cell r="B726">
            <v>2844</v>
          </cell>
        </row>
        <row r="727">
          <cell r="A727" t="str">
            <v>URBANO PARTNER</v>
          </cell>
          <cell r="B727">
            <v>2845</v>
          </cell>
        </row>
        <row r="728">
          <cell r="A728" t="str">
            <v>URBANO PARTNER</v>
          </cell>
          <cell r="B728">
            <v>2846</v>
          </cell>
        </row>
        <row r="729">
          <cell r="A729" t="str">
            <v>AEROPUERTO</v>
          </cell>
          <cell r="B729">
            <v>2847</v>
          </cell>
        </row>
        <row r="730">
          <cell r="A730" t="str">
            <v>AEROPUERTO</v>
          </cell>
          <cell r="B730">
            <v>2848</v>
          </cell>
        </row>
        <row r="731">
          <cell r="A731" t="str">
            <v>AEROPUERTO</v>
          </cell>
          <cell r="B731">
            <v>2850</v>
          </cell>
        </row>
        <row r="732">
          <cell r="A732" t="str">
            <v>AEROPUERTO</v>
          </cell>
          <cell r="B732">
            <v>2851</v>
          </cell>
        </row>
        <row r="733">
          <cell r="A733" t="str">
            <v>AEROPUERTO</v>
          </cell>
          <cell r="B733">
            <v>2852</v>
          </cell>
        </row>
        <row r="734">
          <cell r="A734" t="str">
            <v>AEROLINEAS</v>
          </cell>
          <cell r="B734">
            <v>2854</v>
          </cell>
        </row>
        <row r="735">
          <cell r="A735" t="str">
            <v>AEROLINEAS</v>
          </cell>
          <cell r="B735">
            <v>2855</v>
          </cell>
        </row>
        <row r="736">
          <cell r="A736" t="str">
            <v>AEROPUERTO</v>
          </cell>
          <cell r="B736">
            <v>2856</v>
          </cell>
        </row>
        <row r="737">
          <cell r="A737" t="str">
            <v>AEROPUERTO VAN</v>
          </cell>
          <cell r="B737">
            <v>2857</v>
          </cell>
        </row>
        <row r="738">
          <cell r="A738" t="str">
            <v>AEROPUERTO</v>
          </cell>
          <cell r="B738">
            <v>2858</v>
          </cell>
        </row>
        <row r="739">
          <cell r="A739" t="str">
            <v>URBANO PARTNER</v>
          </cell>
          <cell r="B739">
            <v>2860</v>
          </cell>
        </row>
        <row r="740">
          <cell r="A740" t="str">
            <v>AEROPUERTO</v>
          </cell>
          <cell r="B740">
            <v>2861</v>
          </cell>
        </row>
        <row r="741">
          <cell r="A741" t="str">
            <v>AEROPUERTO</v>
          </cell>
          <cell r="B741">
            <v>2862</v>
          </cell>
        </row>
        <row r="742">
          <cell r="A742" t="str">
            <v>URBANO PARTNER</v>
          </cell>
          <cell r="B742">
            <v>2863</v>
          </cell>
        </row>
        <row r="743">
          <cell r="A743" t="str">
            <v>AEROPUERTO</v>
          </cell>
          <cell r="B743">
            <v>2865</v>
          </cell>
        </row>
        <row r="744">
          <cell r="A744" t="str">
            <v>AEROPUERTO</v>
          </cell>
          <cell r="B744">
            <v>2864</v>
          </cell>
        </row>
        <row r="745">
          <cell r="A745" t="str">
            <v>AEROPUERTO</v>
          </cell>
          <cell r="B745">
            <v>2866</v>
          </cell>
        </row>
        <row r="746">
          <cell r="A746" t="str">
            <v>AEROLINEAS</v>
          </cell>
          <cell r="B746">
            <v>2867</v>
          </cell>
        </row>
        <row r="747">
          <cell r="A747" t="str">
            <v>URBANO PARTNER</v>
          </cell>
          <cell r="B747">
            <v>2868</v>
          </cell>
        </row>
        <row r="748">
          <cell r="A748" t="str">
            <v>URBANO PARTNER</v>
          </cell>
          <cell r="B748">
            <v>2870</v>
          </cell>
        </row>
        <row r="749">
          <cell r="A749" t="str">
            <v>URBANO PARTNER</v>
          </cell>
          <cell r="B749">
            <v>2871</v>
          </cell>
        </row>
        <row r="750">
          <cell r="A750" t="str">
            <v>URBANO PARTNER</v>
          </cell>
          <cell r="B750">
            <v>2872</v>
          </cell>
        </row>
        <row r="751">
          <cell r="A751" t="str">
            <v>AEROPUERTO</v>
          </cell>
          <cell r="B751">
            <v>2874</v>
          </cell>
        </row>
        <row r="752">
          <cell r="A752" t="str">
            <v>AEROPUERTO</v>
          </cell>
          <cell r="B752">
            <v>2875</v>
          </cell>
        </row>
        <row r="753">
          <cell r="A753" t="str">
            <v>AEROLINEAS</v>
          </cell>
          <cell r="B753">
            <v>2876</v>
          </cell>
        </row>
        <row r="754">
          <cell r="A754" t="str">
            <v>AEROLINEAS</v>
          </cell>
          <cell r="B754">
            <v>2877</v>
          </cell>
        </row>
        <row r="755">
          <cell r="A755" t="str">
            <v>AEROLINEAS</v>
          </cell>
          <cell r="B755">
            <v>2878</v>
          </cell>
        </row>
        <row r="756">
          <cell r="A756" t="str">
            <v>AEROPUERTO</v>
          </cell>
          <cell r="B756">
            <v>2879</v>
          </cell>
        </row>
        <row r="757">
          <cell r="A757" t="str">
            <v>AEROPUERTO</v>
          </cell>
          <cell r="B757">
            <v>2880</v>
          </cell>
        </row>
        <row r="758">
          <cell r="A758" t="str">
            <v>AEROPUERTO</v>
          </cell>
          <cell r="B758">
            <v>2881</v>
          </cell>
        </row>
        <row r="759">
          <cell r="A759" t="str">
            <v>AEROPUERTO</v>
          </cell>
          <cell r="B759">
            <v>2882</v>
          </cell>
        </row>
        <row r="760">
          <cell r="A760" t="str">
            <v>URBANO PARTNER</v>
          </cell>
          <cell r="B760">
            <v>2883</v>
          </cell>
        </row>
        <row r="761">
          <cell r="A761" t="str">
            <v>URBANO PARTNER</v>
          </cell>
          <cell r="B761">
            <v>2884</v>
          </cell>
        </row>
        <row r="762">
          <cell r="A762" t="str">
            <v>AEROLINEAS</v>
          </cell>
          <cell r="B762">
            <v>2885</v>
          </cell>
        </row>
        <row r="763">
          <cell r="A763" t="str">
            <v>URBANO PARTNER</v>
          </cell>
          <cell r="B763">
            <v>2886</v>
          </cell>
        </row>
        <row r="764">
          <cell r="A764" t="str">
            <v>URBANO PARTNER</v>
          </cell>
          <cell r="B764">
            <v>2887</v>
          </cell>
        </row>
        <row r="765">
          <cell r="A765" t="str">
            <v>AEROLINEAS</v>
          </cell>
          <cell r="B765">
            <v>2889</v>
          </cell>
        </row>
        <row r="766">
          <cell r="A766" t="str">
            <v>FLOTA PROPIA</v>
          </cell>
          <cell r="B766">
            <v>2890</v>
          </cell>
        </row>
        <row r="767">
          <cell r="A767" t="str">
            <v>AEROPUERTO</v>
          </cell>
          <cell r="B767">
            <v>2891</v>
          </cell>
        </row>
        <row r="768">
          <cell r="A768" t="str">
            <v>AEROPUERTO</v>
          </cell>
          <cell r="B768">
            <v>2892</v>
          </cell>
        </row>
        <row r="769">
          <cell r="A769" t="str">
            <v>AEROPUERTO</v>
          </cell>
          <cell r="B769">
            <v>2893</v>
          </cell>
        </row>
        <row r="770">
          <cell r="A770" t="str">
            <v>AEROLINEAS</v>
          </cell>
          <cell r="B770">
            <v>2894</v>
          </cell>
        </row>
        <row r="771">
          <cell r="A771" t="str">
            <v>AEROLINEAS</v>
          </cell>
          <cell r="B771">
            <v>2895</v>
          </cell>
        </row>
        <row r="772">
          <cell r="A772" t="str">
            <v>URBANO PARTNER</v>
          </cell>
          <cell r="B772">
            <v>2896</v>
          </cell>
        </row>
        <row r="773">
          <cell r="A773" t="str">
            <v>URBANO PARTNER</v>
          </cell>
          <cell r="B773">
            <v>2897</v>
          </cell>
        </row>
        <row r="774">
          <cell r="A774" t="str">
            <v>URBANO PARTNER</v>
          </cell>
          <cell r="B774">
            <v>2898</v>
          </cell>
        </row>
        <row r="775">
          <cell r="A775" t="str">
            <v>URBANO PARTNER</v>
          </cell>
          <cell r="B775">
            <v>2899</v>
          </cell>
        </row>
        <row r="776">
          <cell r="A776" t="str">
            <v>AEROLINEAS</v>
          </cell>
          <cell r="B776">
            <v>2900</v>
          </cell>
        </row>
        <row r="777">
          <cell r="A777" t="str">
            <v>URBANO</v>
          </cell>
          <cell r="B777">
            <v>2904</v>
          </cell>
        </row>
        <row r="778">
          <cell r="A778" t="str">
            <v>URBANO</v>
          </cell>
          <cell r="B778">
            <v>2905</v>
          </cell>
        </row>
        <row r="779">
          <cell r="A779" t="str">
            <v>URBANO PARTNER</v>
          </cell>
          <cell r="B779">
            <v>2910</v>
          </cell>
        </row>
        <row r="780">
          <cell r="A780" t="str">
            <v>URBANO PARTNER</v>
          </cell>
          <cell r="B780">
            <v>2911</v>
          </cell>
        </row>
        <row r="781">
          <cell r="A781" t="str">
            <v>AEROLINEAS</v>
          </cell>
          <cell r="B781">
            <v>2912</v>
          </cell>
        </row>
        <row r="782">
          <cell r="A782" t="str">
            <v>URBANO PARTNER</v>
          </cell>
          <cell r="B782">
            <v>2913</v>
          </cell>
        </row>
        <row r="783">
          <cell r="A783" t="str">
            <v>URBANO PARTNER</v>
          </cell>
          <cell r="B783">
            <v>2914</v>
          </cell>
        </row>
        <row r="784">
          <cell r="A784" t="str">
            <v>URBANO</v>
          </cell>
          <cell r="B784">
            <v>2916</v>
          </cell>
        </row>
        <row r="785">
          <cell r="A785" t="str">
            <v>URBANO</v>
          </cell>
          <cell r="B785">
            <v>2918</v>
          </cell>
        </row>
        <row r="786">
          <cell r="A786" t="str">
            <v>URBANO PARTNER</v>
          </cell>
          <cell r="B786">
            <v>2922</v>
          </cell>
        </row>
        <row r="787">
          <cell r="A787" t="str">
            <v>URBANO</v>
          </cell>
          <cell r="B787">
            <v>2923</v>
          </cell>
        </row>
        <row r="788">
          <cell r="A788" t="str">
            <v>URBANO</v>
          </cell>
          <cell r="B788">
            <v>2924</v>
          </cell>
        </row>
        <row r="789">
          <cell r="A789" t="str">
            <v>URBANO PARTNER</v>
          </cell>
          <cell r="B789">
            <v>2925</v>
          </cell>
        </row>
        <row r="790">
          <cell r="A790" t="str">
            <v>URBANO PARTNER</v>
          </cell>
          <cell r="B790">
            <v>2926</v>
          </cell>
        </row>
        <row r="791">
          <cell r="A791" t="str">
            <v>URBANO PARTNER</v>
          </cell>
          <cell r="B791">
            <v>2928</v>
          </cell>
        </row>
        <row r="792">
          <cell r="A792" t="str">
            <v>URBANO PARTNER</v>
          </cell>
          <cell r="B792">
            <v>2929</v>
          </cell>
        </row>
        <row r="793">
          <cell r="A793" t="str">
            <v>AEROLINEAS</v>
          </cell>
          <cell r="B793">
            <v>2930</v>
          </cell>
        </row>
        <row r="794">
          <cell r="A794" t="str">
            <v>AEROLINEAS</v>
          </cell>
          <cell r="B794">
            <v>2931</v>
          </cell>
        </row>
        <row r="795">
          <cell r="A795" t="str">
            <v>FLOTA PROPIA</v>
          </cell>
          <cell r="B795">
            <v>2940</v>
          </cell>
        </row>
        <row r="796">
          <cell r="A796" t="str">
            <v>FLOTA PROPIA</v>
          </cell>
          <cell r="B796">
            <v>2941</v>
          </cell>
        </row>
        <row r="797">
          <cell r="A797" t="str">
            <v>FLOTA PROPIA</v>
          </cell>
          <cell r="B797">
            <v>2942</v>
          </cell>
        </row>
        <row r="798">
          <cell r="A798" t="str">
            <v>FLOTA PROPIA</v>
          </cell>
          <cell r="B798">
            <v>2943</v>
          </cell>
        </row>
        <row r="799">
          <cell r="A799" t="str">
            <v>FLOTA PROPIA</v>
          </cell>
          <cell r="B799">
            <v>2944</v>
          </cell>
        </row>
        <row r="800">
          <cell r="A800" t="str">
            <v>FLOTA PROPIA</v>
          </cell>
          <cell r="B800">
            <v>2945</v>
          </cell>
        </row>
        <row r="801">
          <cell r="A801" t="str">
            <v>FLOTA PROPIA</v>
          </cell>
          <cell r="B801">
            <v>2946</v>
          </cell>
        </row>
        <row r="802">
          <cell r="A802" t="str">
            <v>FLOTA PROPIA</v>
          </cell>
          <cell r="B802">
            <v>2947</v>
          </cell>
        </row>
        <row r="803">
          <cell r="A803" t="str">
            <v>FLOTA PROPIA</v>
          </cell>
          <cell r="B803">
            <v>2948</v>
          </cell>
        </row>
        <row r="804">
          <cell r="A804" t="str">
            <v>FLOTA PROPIA</v>
          </cell>
          <cell r="B804">
            <v>2949</v>
          </cell>
        </row>
        <row r="805">
          <cell r="A805" t="str">
            <v>FLOTA PROPIA</v>
          </cell>
          <cell r="B805">
            <v>2950</v>
          </cell>
        </row>
        <row r="806">
          <cell r="A806" t="str">
            <v>FLOTA PROPIA</v>
          </cell>
          <cell r="B806">
            <v>2951</v>
          </cell>
        </row>
        <row r="807">
          <cell r="A807" t="str">
            <v>FLOTA PROPIA</v>
          </cell>
          <cell r="B807">
            <v>2952</v>
          </cell>
        </row>
        <row r="808">
          <cell r="A808" t="str">
            <v>FLOTA PROPIA</v>
          </cell>
          <cell r="B808">
            <v>2954</v>
          </cell>
        </row>
        <row r="809">
          <cell r="A809" t="str">
            <v>FLOTA PROPIA</v>
          </cell>
          <cell r="B809">
            <v>2955</v>
          </cell>
        </row>
        <row r="810">
          <cell r="A810" t="str">
            <v>FLOTA PROPIA</v>
          </cell>
          <cell r="B810">
            <v>2956</v>
          </cell>
        </row>
        <row r="811">
          <cell r="A811" t="str">
            <v>FLOTA PROPIA</v>
          </cell>
          <cell r="B811">
            <v>2958</v>
          </cell>
        </row>
        <row r="812">
          <cell r="A812" t="str">
            <v>FLOTA PROPIA</v>
          </cell>
          <cell r="B812">
            <v>2960</v>
          </cell>
        </row>
        <row r="813">
          <cell r="A813" t="str">
            <v>AEROLINEAS</v>
          </cell>
          <cell r="B813">
            <v>2961</v>
          </cell>
        </row>
        <row r="814">
          <cell r="A814" t="str">
            <v>AEROLINEAS</v>
          </cell>
          <cell r="B814">
            <v>2962</v>
          </cell>
        </row>
        <row r="815">
          <cell r="A815" t="str">
            <v>FLOTA PROPIA</v>
          </cell>
          <cell r="B815">
            <v>2963</v>
          </cell>
        </row>
        <row r="816">
          <cell r="A816" t="str">
            <v>FLOTA PROPIA</v>
          </cell>
          <cell r="B816">
            <v>2965</v>
          </cell>
        </row>
        <row r="817">
          <cell r="A817" t="str">
            <v>AEROLINEAS</v>
          </cell>
          <cell r="B817">
            <v>2966</v>
          </cell>
        </row>
        <row r="818">
          <cell r="A818" t="str">
            <v>AEROLINEAS</v>
          </cell>
          <cell r="B818">
            <v>2967</v>
          </cell>
        </row>
        <row r="819">
          <cell r="A819" t="str">
            <v>AEROLINEAS</v>
          </cell>
          <cell r="B819">
            <v>2968</v>
          </cell>
        </row>
        <row r="820">
          <cell r="A820" t="str">
            <v>FLOTA PROPIA</v>
          </cell>
          <cell r="B820">
            <v>2969</v>
          </cell>
        </row>
        <row r="821">
          <cell r="A821" t="str">
            <v>FLOTA PROPIA</v>
          </cell>
          <cell r="B821">
            <v>2970</v>
          </cell>
        </row>
        <row r="822">
          <cell r="A822" t="str">
            <v>FLOTA PROPIA</v>
          </cell>
          <cell r="B822">
            <v>2971</v>
          </cell>
        </row>
        <row r="823">
          <cell r="A823" t="str">
            <v>FLOTA PROPIA</v>
          </cell>
          <cell r="B823">
            <v>2972</v>
          </cell>
        </row>
        <row r="824">
          <cell r="A824" t="str">
            <v>FLOTA PROPIA</v>
          </cell>
          <cell r="B824">
            <v>2973</v>
          </cell>
        </row>
        <row r="825">
          <cell r="A825" t="str">
            <v>FLOTA PROPIA</v>
          </cell>
          <cell r="B825">
            <v>2974</v>
          </cell>
        </row>
        <row r="826">
          <cell r="A826" t="str">
            <v>FLOTA PROPIA</v>
          </cell>
          <cell r="B826">
            <v>2975</v>
          </cell>
        </row>
        <row r="827">
          <cell r="A827" t="str">
            <v>FLOTA PROPIA</v>
          </cell>
          <cell r="B827">
            <v>2976</v>
          </cell>
        </row>
        <row r="828">
          <cell r="A828" t="str">
            <v>FLOTA PROPIA</v>
          </cell>
          <cell r="B828">
            <v>2977</v>
          </cell>
        </row>
        <row r="829">
          <cell r="A829" t="str">
            <v>FLOTA PROPIA</v>
          </cell>
          <cell r="B829">
            <v>2978</v>
          </cell>
        </row>
        <row r="830">
          <cell r="A830" t="str">
            <v>FLOTA PROPIA</v>
          </cell>
          <cell r="B830">
            <v>2979</v>
          </cell>
        </row>
        <row r="831">
          <cell r="A831" t="str">
            <v>FLOTA PROPIA</v>
          </cell>
          <cell r="B831">
            <v>2980</v>
          </cell>
        </row>
        <row r="832">
          <cell r="A832" t="str">
            <v>FLOTA PROPIA</v>
          </cell>
          <cell r="B832">
            <v>2981</v>
          </cell>
        </row>
        <row r="833">
          <cell r="A833" t="str">
            <v>FLOTA PROPIA</v>
          </cell>
          <cell r="B833">
            <v>2982</v>
          </cell>
        </row>
        <row r="834">
          <cell r="A834" t="str">
            <v>FLOTA PROPIA</v>
          </cell>
          <cell r="B834">
            <v>2983</v>
          </cell>
        </row>
        <row r="835">
          <cell r="A835" t="str">
            <v>FLOTA PROPIA</v>
          </cell>
          <cell r="B835">
            <v>2984</v>
          </cell>
        </row>
        <row r="836">
          <cell r="A836" t="str">
            <v>AEROLINEAS</v>
          </cell>
          <cell r="B836">
            <v>2985</v>
          </cell>
        </row>
        <row r="837">
          <cell r="A837" t="str">
            <v>FLOTA PROPIA</v>
          </cell>
          <cell r="B837">
            <v>2986</v>
          </cell>
        </row>
        <row r="838">
          <cell r="A838" t="str">
            <v>FLOTA PROPIA</v>
          </cell>
          <cell r="B838">
            <v>2987</v>
          </cell>
        </row>
        <row r="839">
          <cell r="A839" t="str">
            <v>FLOTA PROPIA</v>
          </cell>
          <cell r="B839">
            <v>2988</v>
          </cell>
        </row>
        <row r="840">
          <cell r="A840" t="str">
            <v>FLOTA PROPIA</v>
          </cell>
          <cell r="B840">
            <v>2989</v>
          </cell>
        </row>
        <row r="841">
          <cell r="A841" t="str">
            <v>FLOTA PROPIA</v>
          </cell>
          <cell r="B841">
            <v>2990</v>
          </cell>
        </row>
        <row r="842">
          <cell r="A842" t="str">
            <v>FLOTA PROPIA</v>
          </cell>
          <cell r="B842">
            <v>2991</v>
          </cell>
        </row>
        <row r="843">
          <cell r="A843" t="str">
            <v>FLOTA PROPIA</v>
          </cell>
          <cell r="B843">
            <v>2992</v>
          </cell>
        </row>
        <row r="844">
          <cell r="A844" t="str">
            <v>FLOTA PROPIA</v>
          </cell>
          <cell r="B844">
            <v>2993</v>
          </cell>
        </row>
        <row r="845">
          <cell r="A845" t="str">
            <v>FLOTA PROPIA</v>
          </cell>
          <cell r="B845">
            <v>2994</v>
          </cell>
        </row>
        <row r="846">
          <cell r="A846" t="str">
            <v>FLOTA PROPIA</v>
          </cell>
          <cell r="B846">
            <v>2995</v>
          </cell>
        </row>
        <row r="847">
          <cell r="A847" t="str">
            <v>FLOTA PROPIA</v>
          </cell>
          <cell r="B847">
            <v>2996</v>
          </cell>
        </row>
        <row r="848">
          <cell r="A848" t="str">
            <v>FLOTA PROPIA</v>
          </cell>
          <cell r="B848">
            <v>2997</v>
          </cell>
        </row>
        <row r="849">
          <cell r="A849" t="str">
            <v>FLOTA PROPIA</v>
          </cell>
          <cell r="B849">
            <v>2998</v>
          </cell>
        </row>
        <row r="850">
          <cell r="A850" t="str">
            <v>AEROLINEAS</v>
          </cell>
          <cell r="B850">
            <v>3003</v>
          </cell>
        </row>
        <row r="851">
          <cell r="A851" t="str">
            <v>AEROLINEAS</v>
          </cell>
          <cell r="B851">
            <v>3006</v>
          </cell>
        </row>
        <row r="852">
          <cell r="A852" t="str">
            <v>AEROLINEAS</v>
          </cell>
          <cell r="B852">
            <v>3014</v>
          </cell>
        </row>
        <row r="853">
          <cell r="A853" t="str">
            <v>URBANO PARTNER</v>
          </cell>
          <cell r="B853">
            <v>3016</v>
          </cell>
        </row>
        <row r="854">
          <cell r="A854" t="str">
            <v>AEROLINEAS</v>
          </cell>
          <cell r="B854">
            <v>3034</v>
          </cell>
        </row>
        <row r="855">
          <cell r="A855" t="str">
            <v>AEROLINEAS</v>
          </cell>
          <cell r="B855">
            <v>3036</v>
          </cell>
        </row>
        <row r="856">
          <cell r="A856" t="str">
            <v>AEROLINEAS</v>
          </cell>
          <cell r="B856">
            <v>3038</v>
          </cell>
        </row>
        <row r="857">
          <cell r="A857" t="str">
            <v>AEROLINEAS</v>
          </cell>
          <cell r="B857">
            <v>3039</v>
          </cell>
        </row>
        <row r="858">
          <cell r="A858" t="str">
            <v>AEROLINEAS</v>
          </cell>
          <cell r="B858">
            <v>3041</v>
          </cell>
        </row>
        <row r="859">
          <cell r="A859" t="str">
            <v>AEROLINEAS</v>
          </cell>
          <cell r="B859">
            <v>3047</v>
          </cell>
        </row>
        <row r="860">
          <cell r="A860" t="str">
            <v>URBANO</v>
          </cell>
          <cell r="B860">
            <v>3049</v>
          </cell>
        </row>
        <row r="861">
          <cell r="A861" t="str">
            <v>AEROLINEAS</v>
          </cell>
          <cell r="B861">
            <v>3061</v>
          </cell>
        </row>
        <row r="862">
          <cell r="A862" t="str">
            <v>AEROLINEAS</v>
          </cell>
          <cell r="B862">
            <v>3068</v>
          </cell>
        </row>
        <row r="863">
          <cell r="A863" t="str">
            <v>AEROLINEAS</v>
          </cell>
          <cell r="B863">
            <v>3070</v>
          </cell>
        </row>
        <row r="864">
          <cell r="A864" t="str">
            <v>AEROPUERTO</v>
          </cell>
          <cell r="B864">
            <v>3079</v>
          </cell>
        </row>
        <row r="865">
          <cell r="A865" t="str">
            <v>AEROPUERTO</v>
          </cell>
          <cell r="B865">
            <v>3081</v>
          </cell>
        </row>
        <row r="866">
          <cell r="A866" t="str">
            <v>AEROLINEAS</v>
          </cell>
          <cell r="B866">
            <v>3091</v>
          </cell>
        </row>
        <row r="867">
          <cell r="A867" t="str">
            <v>AEROLINEAS</v>
          </cell>
          <cell r="B867">
            <v>3095</v>
          </cell>
        </row>
        <row r="868">
          <cell r="A868" t="str">
            <v>AEROLINEAS</v>
          </cell>
          <cell r="B868">
            <v>3098</v>
          </cell>
        </row>
        <row r="869">
          <cell r="A869" t="str">
            <v>AEROLINEAS</v>
          </cell>
          <cell r="B869">
            <v>3102</v>
          </cell>
        </row>
        <row r="870">
          <cell r="A870" t="str">
            <v>URBANO</v>
          </cell>
          <cell r="B870">
            <v>3111</v>
          </cell>
        </row>
        <row r="871">
          <cell r="A871" t="str">
            <v>AEROLINEAS</v>
          </cell>
          <cell r="B871">
            <v>3113</v>
          </cell>
        </row>
        <row r="872">
          <cell r="A872" t="str">
            <v>URBANO PARTNER</v>
          </cell>
          <cell r="B872">
            <v>3114</v>
          </cell>
        </row>
        <row r="873">
          <cell r="A873" t="str">
            <v>AEROLINEAS</v>
          </cell>
          <cell r="B873">
            <v>3118</v>
          </cell>
        </row>
        <row r="874">
          <cell r="A874" t="str">
            <v>AEROLINEAS</v>
          </cell>
          <cell r="B874">
            <v>3123</v>
          </cell>
        </row>
        <row r="875">
          <cell r="A875" t="str">
            <v>AEROLINEAS</v>
          </cell>
          <cell r="B875">
            <v>3125</v>
          </cell>
        </row>
        <row r="876">
          <cell r="A876" t="str">
            <v>AEROLINEAS</v>
          </cell>
          <cell r="B876">
            <v>3127</v>
          </cell>
        </row>
        <row r="877">
          <cell r="A877" t="str">
            <v>AEROLINEAS</v>
          </cell>
          <cell r="B877">
            <v>3130</v>
          </cell>
        </row>
        <row r="878">
          <cell r="A878" t="str">
            <v>AEROLINEAS</v>
          </cell>
          <cell r="B878">
            <v>3132</v>
          </cell>
        </row>
        <row r="879">
          <cell r="A879" t="str">
            <v>AEROLINEAS</v>
          </cell>
          <cell r="B879">
            <v>3138</v>
          </cell>
        </row>
        <row r="880">
          <cell r="A880" t="str">
            <v>AEROLINEAS</v>
          </cell>
          <cell r="B880">
            <v>3143</v>
          </cell>
        </row>
        <row r="881">
          <cell r="A881" t="str">
            <v>AEROPUERTO</v>
          </cell>
          <cell r="B881">
            <v>3152</v>
          </cell>
        </row>
        <row r="882">
          <cell r="A882" t="str">
            <v>AEROLINEAS</v>
          </cell>
          <cell r="B882">
            <v>3153</v>
          </cell>
        </row>
        <row r="883">
          <cell r="A883" t="str">
            <v>AEROLINEAS</v>
          </cell>
          <cell r="B883">
            <v>3157</v>
          </cell>
        </row>
        <row r="884">
          <cell r="A884" t="str">
            <v>URBANO PARTNER</v>
          </cell>
          <cell r="B884">
            <v>3158</v>
          </cell>
        </row>
        <row r="885">
          <cell r="A885" t="str">
            <v>AEROLINEAS</v>
          </cell>
          <cell r="B885">
            <v>3159</v>
          </cell>
        </row>
        <row r="886">
          <cell r="A886" t="str">
            <v>AEROLINEAS</v>
          </cell>
          <cell r="B886">
            <v>3160</v>
          </cell>
        </row>
        <row r="887">
          <cell r="A887" t="str">
            <v>AEROLINEAS</v>
          </cell>
          <cell r="B887">
            <v>3167</v>
          </cell>
        </row>
        <row r="888">
          <cell r="A888" t="str">
            <v>AEROLINEAS</v>
          </cell>
          <cell r="B888">
            <v>3168</v>
          </cell>
        </row>
        <row r="889">
          <cell r="A889" t="str">
            <v>AEROLINEAS</v>
          </cell>
          <cell r="B889">
            <v>3169</v>
          </cell>
        </row>
        <row r="890">
          <cell r="A890" t="str">
            <v>AEROLINEAS</v>
          </cell>
          <cell r="B890">
            <v>3175</v>
          </cell>
        </row>
        <row r="891">
          <cell r="A891" t="str">
            <v>AEROPUERTO</v>
          </cell>
          <cell r="B891">
            <v>3176</v>
          </cell>
        </row>
        <row r="892">
          <cell r="A892" t="str">
            <v>AEROPUERTO</v>
          </cell>
          <cell r="B892">
            <v>3180</v>
          </cell>
        </row>
        <row r="893">
          <cell r="A893" t="str">
            <v>URBANO</v>
          </cell>
          <cell r="B893">
            <v>3181</v>
          </cell>
        </row>
        <row r="894">
          <cell r="A894" t="str">
            <v>URBANO PARTNER</v>
          </cell>
          <cell r="B894">
            <v>3192</v>
          </cell>
        </row>
        <row r="895">
          <cell r="A895" t="str">
            <v>AEROLINEAS</v>
          </cell>
          <cell r="B895">
            <v>3194</v>
          </cell>
        </row>
        <row r="896">
          <cell r="A896" t="str">
            <v>URBANO</v>
          </cell>
          <cell r="B896">
            <v>3196</v>
          </cell>
        </row>
        <row r="897">
          <cell r="A897" t="str">
            <v>URBANO PARTNER</v>
          </cell>
          <cell r="B897">
            <v>3198</v>
          </cell>
        </row>
        <row r="898">
          <cell r="A898" t="str">
            <v>URBANO</v>
          </cell>
          <cell r="B898">
            <v>3205</v>
          </cell>
        </row>
        <row r="899">
          <cell r="A899" t="str">
            <v>AEROLINEAS</v>
          </cell>
          <cell r="B899">
            <v>3206</v>
          </cell>
        </row>
        <row r="900">
          <cell r="A900" t="str">
            <v>AEROLINEAS</v>
          </cell>
          <cell r="B900">
            <v>3210</v>
          </cell>
        </row>
        <row r="901">
          <cell r="A901" t="str">
            <v>AEROLINEAS</v>
          </cell>
          <cell r="B901">
            <v>3215</v>
          </cell>
        </row>
        <row r="902">
          <cell r="A902" t="str">
            <v>AEROLINEAS</v>
          </cell>
          <cell r="B902">
            <v>3228</v>
          </cell>
        </row>
        <row r="903">
          <cell r="A903" t="str">
            <v>AEROLINEAS</v>
          </cell>
          <cell r="B903">
            <v>3230</v>
          </cell>
        </row>
        <row r="904">
          <cell r="A904" t="str">
            <v>AEROLINEAS</v>
          </cell>
          <cell r="B904">
            <v>3232</v>
          </cell>
        </row>
        <row r="905">
          <cell r="A905" t="str">
            <v>AEROLINEAS</v>
          </cell>
          <cell r="B905">
            <v>3233</v>
          </cell>
        </row>
        <row r="906">
          <cell r="A906" t="str">
            <v>AEROPUERTO</v>
          </cell>
          <cell r="B906">
            <v>3236</v>
          </cell>
        </row>
        <row r="907">
          <cell r="A907" t="str">
            <v>AEROLINEAS</v>
          </cell>
          <cell r="B907">
            <v>3238</v>
          </cell>
        </row>
        <row r="908">
          <cell r="A908" t="str">
            <v>AEROLINEAS</v>
          </cell>
          <cell r="B908">
            <v>3239</v>
          </cell>
        </row>
        <row r="909">
          <cell r="A909" t="str">
            <v>URBANO PARTNER</v>
          </cell>
          <cell r="B909">
            <v>3242</v>
          </cell>
        </row>
        <row r="910">
          <cell r="A910" t="str">
            <v>AEROLINEAS</v>
          </cell>
          <cell r="B910">
            <v>3243</v>
          </cell>
        </row>
        <row r="911">
          <cell r="A911" t="str">
            <v>AEROLINEAS</v>
          </cell>
          <cell r="B911">
            <v>3269</v>
          </cell>
        </row>
        <row r="912">
          <cell r="A912" t="str">
            <v>AEROPUERTO</v>
          </cell>
          <cell r="B912">
            <v>3278</v>
          </cell>
        </row>
        <row r="913">
          <cell r="A913" t="str">
            <v>AEROLINEAS</v>
          </cell>
          <cell r="B913">
            <v>3282</v>
          </cell>
        </row>
        <row r="914">
          <cell r="A914" t="str">
            <v>URBANO PARTNER</v>
          </cell>
          <cell r="B914">
            <v>3284</v>
          </cell>
        </row>
        <row r="915">
          <cell r="A915" t="str">
            <v>AEROLINEAS</v>
          </cell>
          <cell r="B915">
            <v>3289</v>
          </cell>
        </row>
        <row r="916">
          <cell r="A916" t="str">
            <v>AEROPUERTO</v>
          </cell>
          <cell r="B916">
            <v>3292</v>
          </cell>
        </row>
        <row r="917">
          <cell r="A917" t="str">
            <v>URBANO PARTNER</v>
          </cell>
          <cell r="B917">
            <v>3294</v>
          </cell>
        </row>
        <row r="918">
          <cell r="A918" t="str">
            <v>AEROLINEAS</v>
          </cell>
          <cell r="B918">
            <v>3299</v>
          </cell>
        </row>
        <row r="919">
          <cell r="A919" t="str">
            <v>URBANO</v>
          </cell>
          <cell r="B919">
            <v>3303</v>
          </cell>
        </row>
        <row r="920">
          <cell r="A920" t="str">
            <v>AEROLINEAS</v>
          </cell>
          <cell r="B920">
            <v>3309</v>
          </cell>
        </row>
        <row r="921">
          <cell r="A921" t="str">
            <v>URBANO</v>
          </cell>
          <cell r="B921">
            <v>3315</v>
          </cell>
        </row>
        <row r="922">
          <cell r="A922" t="str">
            <v>URBANO</v>
          </cell>
          <cell r="B922">
            <v>3326</v>
          </cell>
        </row>
        <row r="923">
          <cell r="A923" t="str">
            <v>AEROLINEAS</v>
          </cell>
          <cell r="B923">
            <v>3330</v>
          </cell>
        </row>
        <row r="924">
          <cell r="A924" t="str">
            <v>AEROLINEAS</v>
          </cell>
          <cell r="B924">
            <v>3331</v>
          </cell>
        </row>
        <row r="925">
          <cell r="A925" t="str">
            <v>AEROLINEAS</v>
          </cell>
          <cell r="B925">
            <v>3334</v>
          </cell>
        </row>
        <row r="926">
          <cell r="A926" t="str">
            <v>AEROLINEAS</v>
          </cell>
          <cell r="B926">
            <v>3335</v>
          </cell>
        </row>
        <row r="927">
          <cell r="A927" t="str">
            <v>URBANO PARTNER</v>
          </cell>
          <cell r="B927">
            <v>3336</v>
          </cell>
        </row>
        <row r="928">
          <cell r="A928" t="str">
            <v>AEROLINEAS</v>
          </cell>
          <cell r="B928">
            <v>3338</v>
          </cell>
        </row>
        <row r="929">
          <cell r="A929" t="str">
            <v>AEROLINEAS</v>
          </cell>
          <cell r="B929">
            <v>3341</v>
          </cell>
        </row>
        <row r="930">
          <cell r="A930" t="str">
            <v>AEROLINEAS</v>
          </cell>
          <cell r="B930">
            <v>3344</v>
          </cell>
        </row>
        <row r="931">
          <cell r="A931" t="str">
            <v>URBANO</v>
          </cell>
          <cell r="B931">
            <v>3346</v>
          </cell>
        </row>
        <row r="932">
          <cell r="A932" t="str">
            <v>AEROLINEAS</v>
          </cell>
          <cell r="B932">
            <v>3348</v>
          </cell>
        </row>
        <row r="933">
          <cell r="A933" t="str">
            <v>URBANO</v>
          </cell>
          <cell r="B933">
            <v>3349</v>
          </cell>
        </row>
        <row r="934">
          <cell r="A934" t="str">
            <v>AEROLINEAS</v>
          </cell>
          <cell r="B934">
            <v>3350</v>
          </cell>
        </row>
        <row r="935">
          <cell r="A935" t="str">
            <v>AEROLINEAS</v>
          </cell>
          <cell r="B935">
            <v>3357</v>
          </cell>
        </row>
        <row r="936">
          <cell r="A936" t="str">
            <v>URBANO</v>
          </cell>
          <cell r="B936">
            <v>3358</v>
          </cell>
        </row>
        <row r="937">
          <cell r="A937" t="str">
            <v>AEROLINEAS</v>
          </cell>
          <cell r="B937">
            <v>3364</v>
          </cell>
        </row>
        <row r="938">
          <cell r="A938" t="str">
            <v>AEROLINEAS</v>
          </cell>
          <cell r="B938">
            <v>3365</v>
          </cell>
        </row>
        <row r="939">
          <cell r="A939" t="str">
            <v>URBANO</v>
          </cell>
          <cell r="B939">
            <v>3368</v>
          </cell>
        </row>
        <row r="940">
          <cell r="A940" t="str">
            <v>AEROLINEAS</v>
          </cell>
          <cell r="B940">
            <v>3370</v>
          </cell>
        </row>
        <row r="941">
          <cell r="A941" t="str">
            <v>URBANO PARTNER</v>
          </cell>
          <cell r="B941">
            <v>3373</v>
          </cell>
        </row>
        <row r="942">
          <cell r="A942" t="str">
            <v>AEROLINEAS</v>
          </cell>
          <cell r="B942">
            <v>3374</v>
          </cell>
        </row>
        <row r="943">
          <cell r="A943" t="str">
            <v>URBANO</v>
          </cell>
          <cell r="B943">
            <v>3377</v>
          </cell>
        </row>
        <row r="944">
          <cell r="A944" t="str">
            <v>AEROLINEAS</v>
          </cell>
          <cell r="B944">
            <v>3378</v>
          </cell>
        </row>
        <row r="945">
          <cell r="A945" t="str">
            <v>AEROLINEAS</v>
          </cell>
          <cell r="B945">
            <v>3379</v>
          </cell>
        </row>
        <row r="946">
          <cell r="A946" t="str">
            <v>URBANO</v>
          </cell>
          <cell r="B946">
            <v>3381</v>
          </cell>
        </row>
        <row r="947">
          <cell r="A947" t="str">
            <v>URBANO PARTNER</v>
          </cell>
          <cell r="B947">
            <v>3383</v>
          </cell>
        </row>
        <row r="948">
          <cell r="A948" t="str">
            <v>AEROPUERTO VAN</v>
          </cell>
          <cell r="B948">
            <v>3386</v>
          </cell>
        </row>
        <row r="949">
          <cell r="A949" t="str">
            <v>AEROPUERTO VAN</v>
          </cell>
          <cell r="B949">
            <v>3387</v>
          </cell>
        </row>
        <row r="950">
          <cell r="A950" t="str">
            <v>MEMBRESÍA URBANO</v>
          </cell>
          <cell r="B950">
            <v>3398</v>
          </cell>
        </row>
        <row r="951">
          <cell r="A951" t="str">
            <v>MEMBRESÍA URBANO</v>
          </cell>
          <cell r="B951">
            <v>3399</v>
          </cell>
        </row>
        <row r="952">
          <cell r="A952" t="str">
            <v>URBANO</v>
          </cell>
          <cell r="B952">
            <v>3401</v>
          </cell>
        </row>
        <row r="953">
          <cell r="A953" t="str">
            <v>AEROLINEAS</v>
          </cell>
          <cell r="B953">
            <v>3402</v>
          </cell>
        </row>
        <row r="954">
          <cell r="A954" t="str">
            <v>AEROLINEAS</v>
          </cell>
          <cell r="B954">
            <v>3403</v>
          </cell>
        </row>
        <row r="955">
          <cell r="A955" t="str">
            <v>AEROLINEAS</v>
          </cell>
          <cell r="B955">
            <v>3404</v>
          </cell>
        </row>
        <row r="956">
          <cell r="A956" t="str">
            <v>AEROLINEAS</v>
          </cell>
          <cell r="B956">
            <v>3411</v>
          </cell>
        </row>
        <row r="957">
          <cell r="A957" t="str">
            <v>AEROLINEAS</v>
          </cell>
          <cell r="B957">
            <v>3414</v>
          </cell>
        </row>
        <row r="958">
          <cell r="A958" t="str">
            <v>AEROPUERTO</v>
          </cell>
          <cell r="B958">
            <v>3416</v>
          </cell>
        </row>
        <row r="959">
          <cell r="A959" t="str">
            <v>AEROLINEAS</v>
          </cell>
          <cell r="B959">
            <v>3422</v>
          </cell>
        </row>
        <row r="960">
          <cell r="A960" t="str">
            <v>AEROPUERTO VAN</v>
          </cell>
          <cell r="B960">
            <v>3424</v>
          </cell>
        </row>
        <row r="961">
          <cell r="A961" t="str">
            <v>AEROLINEAS</v>
          </cell>
          <cell r="B961">
            <v>3426</v>
          </cell>
        </row>
        <row r="962">
          <cell r="A962" t="str">
            <v>AEROLINEAS</v>
          </cell>
          <cell r="B962">
            <v>3427</v>
          </cell>
        </row>
        <row r="963">
          <cell r="A963" t="str">
            <v>AEROPUERTO VAN</v>
          </cell>
          <cell r="B963">
            <v>3428</v>
          </cell>
        </row>
        <row r="964">
          <cell r="A964" t="str">
            <v>AEROPUERTO</v>
          </cell>
          <cell r="B964">
            <v>3431</v>
          </cell>
        </row>
        <row r="965">
          <cell r="A965" t="str">
            <v>AEROLINEAS</v>
          </cell>
          <cell r="B965">
            <v>3432</v>
          </cell>
        </row>
        <row r="966">
          <cell r="A966" t="str">
            <v>AEROLINEAS</v>
          </cell>
          <cell r="B966">
            <v>3435</v>
          </cell>
        </row>
        <row r="967">
          <cell r="A967" t="str">
            <v>AEROLINEAS</v>
          </cell>
          <cell r="B967">
            <v>3442</v>
          </cell>
        </row>
        <row r="968">
          <cell r="A968" t="str">
            <v>AEROLINEAS</v>
          </cell>
          <cell r="B968">
            <v>3443</v>
          </cell>
        </row>
        <row r="969">
          <cell r="A969" t="str">
            <v>AEROLINEAS</v>
          </cell>
          <cell r="B969">
            <v>3446</v>
          </cell>
        </row>
        <row r="970">
          <cell r="A970" t="str">
            <v>AEROLINEAS</v>
          </cell>
          <cell r="B970">
            <v>3447</v>
          </cell>
        </row>
        <row r="971">
          <cell r="A971" t="str">
            <v>URBANO PARTNER</v>
          </cell>
          <cell r="B971">
            <v>3449</v>
          </cell>
        </row>
        <row r="972">
          <cell r="A972" t="str">
            <v>AEROLINEAS</v>
          </cell>
          <cell r="B972">
            <v>3451</v>
          </cell>
        </row>
        <row r="973">
          <cell r="A973" t="str">
            <v>AEROLINEAS</v>
          </cell>
          <cell r="B973">
            <v>3452</v>
          </cell>
        </row>
        <row r="974">
          <cell r="A974" t="str">
            <v>URBANO PARTNER</v>
          </cell>
          <cell r="B974">
            <v>3453</v>
          </cell>
        </row>
        <row r="975">
          <cell r="A975" t="str">
            <v>URBANO</v>
          </cell>
          <cell r="B975">
            <v>3456</v>
          </cell>
        </row>
        <row r="976">
          <cell r="A976" t="str">
            <v>AEROLINEAS</v>
          </cell>
          <cell r="B976">
            <v>3457</v>
          </cell>
        </row>
        <row r="977">
          <cell r="A977" t="str">
            <v>URBANO</v>
          </cell>
          <cell r="B977">
            <v>3458</v>
          </cell>
        </row>
        <row r="978">
          <cell r="A978" t="str">
            <v>AEROLINEAS</v>
          </cell>
          <cell r="B978">
            <v>3460</v>
          </cell>
        </row>
        <row r="979">
          <cell r="A979" t="str">
            <v>AEROLINEAS</v>
          </cell>
          <cell r="B979">
            <v>3461</v>
          </cell>
        </row>
        <row r="980">
          <cell r="A980" t="str">
            <v>AEROLINEAS</v>
          </cell>
          <cell r="B980">
            <v>3469</v>
          </cell>
        </row>
        <row r="981">
          <cell r="A981" t="str">
            <v>AEROLINEAS</v>
          </cell>
          <cell r="B981">
            <v>3471</v>
          </cell>
        </row>
        <row r="982">
          <cell r="A982" t="str">
            <v>AEROLINEAS</v>
          </cell>
          <cell r="B982">
            <v>3473</v>
          </cell>
        </row>
        <row r="983">
          <cell r="A983" t="str">
            <v>AEROLINEAS</v>
          </cell>
          <cell r="B983">
            <v>3480</v>
          </cell>
        </row>
        <row r="984">
          <cell r="A984" t="str">
            <v>AEROLINEAS</v>
          </cell>
          <cell r="B984">
            <v>3481</v>
          </cell>
        </row>
        <row r="985">
          <cell r="A985" t="str">
            <v>URBANO</v>
          </cell>
          <cell r="B985">
            <v>3483</v>
          </cell>
        </row>
        <row r="986">
          <cell r="A986" t="str">
            <v>AEROLINEAS</v>
          </cell>
          <cell r="B986">
            <v>3487</v>
          </cell>
        </row>
        <row r="987">
          <cell r="A987" t="str">
            <v>AEROLINEAS</v>
          </cell>
          <cell r="B987">
            <v>3488</v>
          </cell>
        </row>
        <row r="988">
          <cell r="A988" t="str">
            <v>AEROLINEAS</v>
          </cell>
          <cell r="B988">
            <v>3490</v>
          </cell>
        </row>
        <row r="989">
          <cell r="A989" t="str">
            <v>AEROLINEAS</v>
          </cell>
          <cell r="B989">
            <v>3493</v>
          </cell>
        </row>
        <row r="990">
          <cell r="A990" t="str">
            <v>AEROLINEAS</v>
          </cell>
          <cell r="B990">
            <v>3494</v>
          </cell>
        </row>
        <row r="991">
          <cell r="A991" t="str">
            <v>AEROLINEAS</v>
          </cell>
          <cell r="B991">
            <v>3496</v>
          </cell>
        </row>
        <row r="992">
          <cell r="A992" t="str">
            <v>AEROLINEAS</v>
          </cell>
          <cell r="B992">
            <v>3504</v>
          </cell>
        </row>
        <row r="993">
          <cell r="A993" t="str">
            <v>AEROPUERTO</v>
          </cell>
          <cell r="B993">
            <v>3508</v>
          </cell>
        </row>
        <row r="994">
          <cell r="A994" t="str">
            <v>AEROPUERTO</v>
          </cell>
          <cell r="B994">
            <v>3509</v>
          </cell>
        </row>
        <row r="995">
          <cell r="A995" t="str">
            <v>URBANO</v>
          </cell>
          <cell r="B995">
            <v>3513</v>
          </cell>
        </row>
        <row r="996">
          <cell r="A996" t="str">
            <v>AEROLINEAS</v>
          </cell>
          <cell r="B996">
            <v>3516</v>
          </cell>
        </row>
        <row r="997">
          <cell r="A997" t="str">
            <v>AEROLINEAS</v>
          </cell>
          <cell r="B997">
            <v>3517</v>
          </cell>
        </row>
        <row r="998">
          <cell r="A998" t="str">
            <v>AEROLINEAS</v>
          </cell>
          <cell r="B998">
            <v>3518</v>
          </cell>
        </row>
        <row r="999">
          <cell r="A999" t="str">
            <v>AEROLINEAS</v>
          </cell>
          <cell r="B999">
            <v>3519</v>
          </cell>
        </row>
        <row r="1000">
          <cell r="A1000" t="str">
            <v>AEROLINEAS</v>
          </cell>
          <cell r="B1000">
            <v>3520</v>
          </cell>
        </row>
        <row r="1001">
          <cell r="A1001" t="str">
            <v>AEROLINEAS</v>
          </cell>
          <cell r="B1001">
            <v>3521</v>
          </cell>
        </row>
        <row r="1002">
          <cell r="A1002" t="str">
            <v>URBANO PARTNER</v>
          </cell>
          <cell r="B1002">
            <v>3527</v>
          </cell>
        </row>
        <row r="1003">
          <cell r="A1003" t="str">
            <v>AEROPUERTO</v>
          </cell>
          <cell r="B1003">
            <v>3529</v>
          </cell>
        </row>
        <row r="1004">
          <cell r="A1004" t="str">
            <v>URBANO PARTNER</v>
          </cell>
          <cell r="B1004">
            <v>3531</v>
          </cell>
        </row>
        <row r="1005">
          <cell r="A1005" t="str">
            <v>URBANO PARTNER</v>
          </cell>
          <cell r="B1005">
            <v>3532</v>
          </cell>
        </row>
        <row r="1006">
          <cell r="A1006" t="str">
            <v>URBANO PARTNER</v>
          </cell>
          <cell r="B1006">
            <v>3533</v>
          </cell>
        </row>
        <row r="1007">
          <cell r="A1007" t="str">
            <v>URBANO PARTNER</v>
          </cell>
          <cell r="B1007">
            <v>3534</v>
          </cell>
        </row>
        <row r="1008">
          <cell r="A1008" t="str">
            <v>URBANO PARTNER</v>
          </cell>
          <cell r="B1008">
            <v>3535</v>
          </cell>
        </row>
        <row r="1009">
          <cell r="A1009" t="str">
            <v>URBANO PARTNER</v>
          </cell>
          <cell r="B1009">
            <v>3537</v>
          </cell>
        </row>
        <row r="1010">
          <cell r="A1010" t="str">
            <v>URBANO PARTNER</v>
          </cell>
          <cell r="B1010">
            <v>3538</v>
          </cell>
        </row>
        <row r="1011">
          <cell r="A1011" t="str">
            <v>URBANO PARTNER</v>
          </cell>
          <cell r="B1011">
            <v>3539</v>
          </cell>
        </row>
        <row r="1012">
          <cell r="A1012" t="str">
            <v>AEROLINEAS</v>
          </cell>
          <cell r="B1012">
            <v>3540</v>
          </cell>
        </row>
        <row r="1013">
          <cell r="A1013" t="str">
            <v>AEROPUERTO</v>
          </cell>
          <cell r="B1013">
            <v>3541</v>
          </cell>
        </row>
        <row r="1014">
          <cell r="A1014" t="str">
            <v>URBANO PARTNER</v>
          </cell>
          <cell r="B1014">
            <v>3542</v>
          </cell>
        </row>
        <row r="1015">
          <cell r="A1015" t="str">
            <v>AEROPUERTO</v>
          </cell>
          <cell r="B1015">
            <v>3543</v>
          </cell>
        </row>
        <row r="1016">
          <cell r="A1016" t="str">
            <v>AEROPUERTO</v>
          </cell>
          <cell r="B1016">
            <v>3544</v>
          </cell>
        </row>
        <row r="1017">
          <cell r="A1017" t="str">
            <v>URBANO PARTNER</v>
          </cell>
          <cell r="B1017">
            <v>3545</v>
          </cell>
        </row>
        <row r="1018">
          <cell r="A1018" t="str">
            <v>AEROPUERTO</v>
          </cell>
          <cell r="B1018">
            <v>3546</v>
          </cell>
        </row>
        <row r="1019">
          <cell r="A1019" t="str">
            <v>AEROLINEAS</v>
          </cell>
          <cell r="B1019">
            <v>3547</v>
          </cell>
        </row>
        <row r="1020">
          <cell r="A1020" t="str">
            <v>AEROLINEAS</v>
          </cell>
          <cell r="B1020">
            <v>3548</v>
          </cell>
        </row>
        <row r="1021">
          <cell r="A1021" t="str">
            <v>AEROLINEAS</v>
          </cell>
          <cell r="B1021">
            <v>3549</v>
          </cell>
        </row>
        <row r="1022">
          <cell r="A1022" t="str">
            <v>URBANO PARTNER</v>
          </cell>
          <cell r="B1022">
            <v>3550</v>
          </cell>
        </row>
        <row r="1023">
          <cell r="A1023" t="str">
            <v>URBANO PARTNER</v>
          </cell>
          <cell r="B1023">
            <v>3551</v>
          </cell>
        </row>
        <row r="1024">
          <cell r="A1024" t="str">
            <v>URBANO PARTNER</v>
          </cell>
          <cell r="B1024">
            <v>3552</v>
          </cell>
        </row>
        <row r="1025">
          <cell r="A1025" t="str">
            <v>URBANO PARTNER</v>
          </cell>
          <cell r="B1025">
            <v>3553</v>
          </cell>
        </row>
        <row r="1026">
          <cell r="A1026" t="str">
            <v>URBANO PARTNER</v>
          </cell>
          <cell r="B1026">
            <v>3555</v>
          </cell>
        </row>
        <row r="1027">
          <cell r="A1027" t="str">
            <v>URBANO PARTNER</v>
          </cell>
          <cell r="B1027">
            <v>3556</v>
          </cell>
        </row>
        <row r="1028">
          <cell r="A1028" t="str">
            <v>URBANO PARTNER</v>
          </cell>
          <cell r="B1028">
            <v>3557</v>
          </cell>
        </row>
        <row r="1029">
          <cell r="A1029" t="str">
            <v>URBANO PARTNER</v>
          </cell>
          <cell r="B1029">
            <v>3558</v>
          </cell>
        </row>
        <row r="1030">
          <cell r="A1030" t="str">
            <v>URBANO PARTNER</v>
          </cell>
          <cell r="B1030">
            <v>3559</v>
          </cell>
        </row>
        <row r="1031">
          <cell r="A1031" t="str">
            <v>URBANO PARTNER</v>
          </cell>
          <cell r="B1031">
            <v>3560</v>
          </cell>
        </row>
        <row r="1032">
          <cell r="A1032" t="str">
            <v>AEROPUERTO</v>
          </cell>
          <cell r="B1032">
            <v>3561</v>
          </cell>
        </row>
        <row r="1033">
          <cell r="A1033" t="str">
            <v>AEROPUERTO</v>
          </cell>
          <cell r="B1033">
            <v>3562</v>
          </cell>
        </row>
        <row r="1034">
          <cell r="A1034" t="str">
            <v>AEROPUERTO</v>
          </cell>
          <cell r="B1034">
            <v>3563</v>
          </cell>
        </row>
        <row r="1035">
          <cell r="A1035" t="str">
            <v>AEROPUERTO</v>
          </cell>
          <cell r="B1035">
            <v>3565</v>
          </cell>
        </row>
        <row r="1036">
          <cell r="A1036" t="str">
            <v>AEROPUERTO</v>
          </cell>
          <cell r="B1036">
            <v>3566</v>
          </cell>
        </row>
        <row r="1037">
          <cell r="A1037" t="str">
            <v>AEROLINEAS</v>
          </cell>
          <cell r="B1037">
            <v>3567</v>
          </cell>
        </row>
        <row r="1038">
          <cell r="A1038" t="str">
            <v>AEROLINEAS</v>
          </cell>
          <cell r="B1038">
            <v>3568</v>
          </cell>
        </row>
        <row r="1039">
          <cell r="A1039" t="str">
            <v>AEROPUERTO</v>
          </cell>
          <cell r="B1039">
            <v>3569</v>
          </cell>
        </row>
        <row r="1040">
          <cell r="A1040" t="str">
            <v>URBANO PARTNER</v>
          </cell>
          <cell r="B1040">
            <v>3570</v>
          </cell>
        </row>
        <row r="1041">
          <cell r="A1041" t="str">
            <v>AEROPUERTO</v>
          </cell>
          <cell r="B1041">
            <v>3571</v>
          </cell>
        </row>
        <row r="1042">
          <cell r="A1042" t="str">
            <v>URBANO PARTNER</v>
          </cell>
          <cell r="B1042">
            <v>3572</v>
          </cell>
        </row>
        <row r="1043">
          <cell r="A1043" t="str">
            <v>URBANO PARTNER</v>
          </cell>
          <cell r="B1043">
            <v>3573</v>
          </cell>
        </row>
        <row r="1044">
          <cell r="A1044" t="str">
            <v>URBANO PARTNER</v>
          </cell>
          <cell r="B1044">
            <v>3574</v>
          </cell>
        </row>
        <row r="1045">
          <cell r="A1045" t="str">
            <v>URBANO PARTNER</v>
          </cell>
          <cell r="B1045">
            <v>3575</v>
          </cell>
        </row>
        <row r="1046">
          <cell r="A1046" t="str">
            <v>AEROPUERTO</v>
          </cell>
          <cell r="B1046">
            <v>3576</v>
          </cell>
        </row>
        <row r="1047">
          <cell r="A1047" t="str">
            <v>URBANO PARTNER</v>
          </cell>
          <cell r="B1047">
            <v>3577</v>
          </cell>
        </row>
        <row r="1048">
          <cell r="A1048" t="str">
            <v>AEROPUERTO</v>
          </cell>
          <cell r="B1048">
            <v>3578</v>
          </cell>
        </row>
        <row r="1049">
          <cell r="A1049" t="str">
            <v>AEROPUERTO</v>
          </cell>
          <cell r="B1049">
            <v>3579</v>
          </cell>
        </row>
        <row r="1050">
          <cell r="A1050" t="str">
            <v>AEROPUERTO</v>
          </cell>
          <cell r="B1050">
            <v>3580</v>
          </cell>
        </row>
        <row r="1051">
          <cell r="A1051" t="str">
            <v>AEROPUERTO</v>
          </cell>
          <cell r="B1051">
            <v>3581</v>
          </cell>
        </row>
        <row r="1052">
          <cell r="A1052" t="str">
            <v>URBANO PARTNER</v>
          </cell>
          <cell r="B1052">
            <v>3582</v>
          </cell>
        </row>
        <row r="1053">
          <cell r="A1053" t="str">
            <v>URBANO PARTNER</v>
          </cell>
          <cell r="B1053">
            <v>3584</v>
          </cell>
        </row>
        <row r="1054">
          <cell r="A1054" t="str">
            <v>URBANO PARTNER</v>
          </cell>
          <cell r="B1054">
            <v>3585</v>
          </cell>
        </row>
        <row r="1055">
          <cell r="A1055" t="str">
            <v>URBANO PARTNER</v>
          </cell>
          <cell r="B1055">
            <v>3586</v>
          </cell>
        </row>
        <row r="1056">
          <cell r="A1056" t="str">
            <v>URBANO PARTNER</v>
          </cell>
          <cell r="B1056">
            <v>3587</v>
          </cell>
        </row>
        <row r="1057">
          <cell r="A1057" t="str">
            <v>URBANO PARTNER</v>
          </cell>
          <cell r="B1057">
            <v>3588</v>
          </cell>
        </row>
        <row r="1058">
          <cell r="A1058" t="str">
            <v>URBANO PARTNER</v>
          </cell>
          <cell r="B1058">
            <v>3589</v>
          </cell>
        </row>
        <row r="1059">
          <cell r="A1059" t="str">
            <v>AEROPUERTO</v>
          </cell>
          <cell r="B1059">
            <v>3590</v>
          </cell>
        </row>
        <row r="1060">
          <cell r="A1060" t="str">
            <v>AEROLINEAS</v>
          </cell>
          <cell r="B1060">
            <v>3591</v>
          </cell>
        </row>
        <row r="1061">
          <cell r="A1061" t="str">
            <v>AEROPUERTO</v>
          </cell>
          <cell r="B1061">
            <v>3592</v>
          </cell>
        </row>
        <row r="1062">
          <cell r="A1062" t="str">
            <v>URBANO PARTNER</v>
          </cell>
          <cell r="B1062">
            <v>3593</v>
          </cell>
        </row>
        <row r="1063">
          <cell r="A1063" t="str">
            <v>AEROLINEAS</v>
          </cell>
          <cell r="B1063">
            <v>3594</v>
          </cell>
        </row>
        <row r="1064">
          <cell r="A1064" t="str">
            <v>AEROPUERTO</v>
          </cell>
          <cell r="B1064">
            <v>3595</v>
          </cell>
        </row>
        <row r="1065">
          <cell r="A1065" t="str">
            <v>AEROPUERTO</v>
          </cell>
          <cell r="B1065">
            <v>3596</v>
          </cell>
        </row>
        <row r="1066">
          <cell r="A1066" t="str">
            <v>URBANO PARTNER</v>
          </cell>
          <cell r="B1066">
            <v>3598</v>
          </cell>
        </row>
        <row r="1067">
          <cell r="A1067" t="str">
            <v>AEROPUERTO</v>
          </cell>
          <cell r="B1067">
            <v>3599</v>
          </cell>
        </row>
        <row r="1068">
          <cell r="A1068" t="str">
            <v>AEROLINEAS</v>
          </cell>
          <cell r="B1068">
            <v>3606</v>
          </cell>
        </row>
        <row r="1069">
          <cell r="A1069" t="str">
            <v>AEROLINEAS</v>
          </cell>
          <cell r="B1069">
            <v>3601</v>
          </cell>
        </row>
        <row r="1070">
          <cell r="A1070" t="str">
            <v>AEROLINEAS</v>
          </cell>
          <cell r="B1070">
            <v>3607</v>
          </cell>
        </row>
        <row r="1071">
          <cell r="A1071" t="str">
            <v>AEROLINEAS</v>
          </cell>
          <cell r="B1071">
            <v>3613</v>
          </cell>
        </row>
        <row r="1072">
          <cell r="A1072" t="str">
            <v>AEROLINEAS</v>
          </cell>
          <cell r="B1072">
            <v>3614</v>
          </cell>
        </row>
        <row r="1073">
          <cell r="A1073" t="str">
            <v>AEROLINEAS</v>
          </cell>
          <cell r="B1073">
            <v>3616</v>
          </cell>
        </row>
        <row r="1074">
          <cell r="A1074" t="str">
            <v>URBANO PARTNER</v>
          </cell>
          <cell r="B1074">
            <v>3619</v>
          </cell>
        </row>
        <row r="1075">
          <cell r="A1075" t="str">
            <v>AEROLINEAS</v>
          </cell>
          <cell r="B1075">
            <v>3620</v>
          </cell>
        </row>
        <row r="1076">
          <cell r="A1076" t="str">
            <v>AEROLINEAS</v>
          </cell>
          <cell r="B1076">
            <v>3621</v>
          </cell>
        </row>
        <row r="1077">
          <cell r="A1077" t="str">
            <v>AEROLINEAS</v>
          </cell>
          <cell r="B1077">
            <v>3623</v>
          </cell>
        </row>
        <row r="1078">
          <cell r="A1078" t="str">
            <v>URBANO PARTNER</v>
          </cell>
          <cell r="B1078">
            <v>3624</v>
          </cell>
        </row>
        <row r="1079">
          <cell r="A1079" t="str">
            <v>URBANO PARTNER</v>
          </cell>
          <cell r="B1079">
            <v>3625</v>
          </cell>
        </row>
        <row r="1080">
          <cell r="A1080" t="str">
            <v>URBANO PARTNER</v>
          </cell>
          <cell r="B1080">
            <v>3627</v>
          </cell>
        </row>
        <row r="1081">
          <cell r="A1081" t="str">
            <v>URBANO PARTNER</v>
          </cell>
          <cell r="B1081">
            <v>3628</v>
          </cell>
        </row>
        <row r="1082">
          <cell r="A1082" t="str">
            <v>URBANO PARTNER</v>
          </cell>
          <cell r="B1082">
            <v>3629</v>
          </cell>
        </row>
        <row r="1083">
          <cell r="A1083" t="str">
            <v>URBANO PARTNER</v>
          </cell>
          <cell r="B1083">
            <v>3630</v>
          </cell>
        </row>
        <row r="1084">
          <cell r="A1084" t="str">
            <v>AEROLINEAS</v>
          </cell>
          <cell r="B1084">
            <v>3631</v>
          </cell>
        </row>
        <row r="1085">
          <cell r="A1085" t="str">
            <v>AEROPUERTO</v>
          </cell>
          <cell r="B1085">
            <v>3632</v>
          </cell>
        </row>
        <row r="1086">
          <cell r="A1086" t="str">
            <v>AEROPUERTO</v>
          </cell>
          <cell r="B1086">
            <v>3633</v>
          </cell>
        </row>
        <row r="1087">
          <cell r="A1087" t="str">
            <v>AEROLINEAS</v>
          </cell>
          <cell r="B1087">
            <v>3634</v>
          </cell>
        </row>
        <row r="1088">
          <cell r="A1088" t="str">
            <v>URBANO PARTNER</v>
          </cell>
          <cell r="B1088">
            <v>3635</v>
          </cell>
        </row>
        <row r="1089">
          <cell r="A1089" t="str">
            <v>URBANO PARTNER</v>
          </cell>
          <cell r="B1089">
            <v>3636</v>
          </cell>
        </row>
        <row r="1090">
          <cell r="A1090" t="str">
            <v>URBANO PARTNER</v>
          </cell>
          <cell r="B1090">
            <v>3637</v>
          </cell>
        </row>
        <row r="1091">
          <cell r="A1091" t="str">
            <v>AEROLINEAS</v>
          </cell>
          <cell r="B1091">
            <v>3638</v>
          </cell>
        </row>
        <row r="1092">
          <cell r="A1092" t="str">
            <v>URBANO PARTNER</v>
          </cell>
          <cell r="B1092">
            <v>3641</v>
          </cell>
        </row>
        <row r="1093">
          <cell r="A1093" t="str">
            <v>URBANO PARTNER</v>
          </cell>
          <cell r="B1093">
            <v>3642</v>
          </cell>
        </row>
        <row r="1094">
          <cell r="A1094" t="str">
            <v>AEROPUERTO</v>
          </cell>
          <cell r="B1094">
            <v>3643</v>
          </cell>
        </row>
        <row r="1095">
          <cell r="A1095" t="str">
            <v>AEROPUERTO</v>
          </cell>
          <cell r="B1095">
            <v>3644</v>
          </cell>
        </row>
        <row r="1096">
          <cell r="A1096" t="str">
            <v>AEROPUERTO</v>
          </cell>
          <cell r="B1096">
            <v>3645</v>
          </cell>
        </row>
        <row r="1097">
          <cell r="A1097" t="str">
            <v>URBANO PARTNER</v>
          </cell>
          <cell r="B1097">
            <v>3646</v>
          </cell>
        </row>
        <row r="1098">
          <cell r="A1098" t="str">
            <v>AEROPUERTO</v>
          </cell>
          <cell r="B1098">
            <v>3647</v>
          </cell>
        </row>
        <row r="1099">
          <cell r="A1099" t="str">
            <v>AEROLINEAS</v>
          </cell>
          <cell r="B1099">
            <v>3648</v>
          </cell>
        </row>
        <row r="1100">
          <cell r="A1100" t="str">
            <v>AEROLINEAS</v>
          </cell>
          <cell r="B1100">
            <v>3649</v>
          </cell>
        </row>
        <row r="1101">
          <cell r="A1101" t="str">
            <v>AEROLINEAS</v>
          </cell>
          <cell r="B1101">
            <v>3650</v>
          </cell>
        </row>
        <row r="1102">
          <cell r="A1102" t="str">
            <v>URBANO PARTNER</v>
          </cell>
          <cell r="B1102">
            <v>3651</v>
          </cell>
        </row>
        <row r="1103">
          <cell r="A1103" t="str">
            <v>AEROLINEAS</v>
          </cell>
          <cell r="B1103">
            <v>3652</v>
          </cell>
        </row>
        <row r="1104">
          <cell r="A1104" t="str">
            <v>URBANO PARTNER</v>
          </cell>
          <cell r="B1104">
            <v>3654</v>
          </cell>
        </row>
        <row r="1105">
          <cell r="A1105" t="str">
            <v>URBANO PARTNER</v>
          </cell>
          <cell r="B1105">
            <v>3655</v>
          </cell>
        </row>
        <row r="1106">
          <cell r="A1106" t="str">
            <v>URBANO PARTNER</v>
          </cell>
          <cell r="B1106">
            <v>3656</v>
          </cell>
        </row>
        <row r="1107">
          <cell r="A1107" t="str">
            <v>URBANO PARTNER</v>
          </cell>
          <cell r="B1107">
            <v>3657</v>
          </cell>
        </row>
        <row r="1108">
          <cell r="A1108" t="str">
            <v>URBANO PARTNER</v>
          </cell>
          <cell r="B1108">
            <v>3658</v>
          </cell>
        </row>
        <row r="1109">
          <cell r="A1109" t="str">
            <v>URBANO PARTNER</v>
          </cell>
          <cell r="B1109">
            <v>3659</v>
          </cell>
        </row>
        <row r="1110">
          <cell r="A1110" t="str">
            <v>URBANO PARTNER</v>
          </cell>
          <cell r="B1110">
            <v>3660</v>
          </cell>
        </row>
        <row r="1111">
          <cell r="A1111" t="str">
            <v>AEROPUERTO</v>
          </cell>
          <cell r="B1111">
            <v>3661</v>
          </cell>
        </row>
        <row r="1112">
          <cell r="A1112" t="str">
            <v>AEROPUERTO</v>
          </cell>
          <cell r="B1112">
            <v>3662</v>
          </cell>
        </row>
        <row r="1113">
          <cell r="A1113" t="str">
            <v>AEROPUERTO</v>
          </cell>
          <cell r="B1113">
            <v>3663</v>
          </cell>
        </row>
        <row r="1114">
          <cell r="A1114" t="str">
            <v>AEROPUERTO</v>
          </cell>
          <cell r="B1114">
            <v>3664</v>
          </cell>
        </row>
        <row r="1115">
          <cell r="A1115" t="str">
            <v>AEROPUERTO</v>
          </cell>
          <cell r="B1115">
            <v>3665</v>
          </cell>
        </row>
        <row r="1116">
          <cell r="A1116" t="str">
            <v>AEROPUERTO</v>
          </cell>
          <cell r="B1116">
            <v>3666</v>
          </cell>
        </row>
        <row r="1117">
          <cell r="A1117" t="str">
            <v>AEROPUERTO</v>
          </cell>
          <cell r="B1117">
            <v>3668</v>
          </cell>
        </row>
        <row r="1118">
          <cell r="A1118" t="str">
            <v>AEROPUERTO</v>
          </cell>
          <cell r="B1118">
            <v>3669</v>
          </cell>
        </row>
        <row r="1119">
          <cell r="A1119" t="str">
            <v>AEROLINEAS</v>
          </cell>
          <cell r="B1119">
            <v>3671</v>
          </cell>
        </row>
        <row r="1120">
          <cell r="A1120" t="str">
            <v>URBANO PARTNER</v>
          </cell>
          <cell r="B1120">
            <v>3672</v>
          </cell>
        </row>
        <row r="1121">
          <cell r="A1121" t="str">
            <v>AEROLINEAS</v>
          </cell>
          <cell r="B1121">
            <v>3673</v>
          </cell>
        </row>
        <row r="1122">
          <cell r="A1122" t="str">
            <v>AEROLINEAS</v>
          </cell>
          <cell r="B1122">
            <v>3674</v>
          </cell>
        </row>
        <row r="1123">
          <cell r="A1123" t="str">
            <v>AEROLINEAS</v>
          </cell>
          <cell r="B1123">
            <v>3675</v>
          </cell>
        </row>
        <row r="1124">
          <cell r="A1124" t="str">
            <v>AEROPUERTO</v>
          </cell>
          <cell r="B1124">
            <v>3676</v>
          </cell>
        </row>
        <row r="1125">
          <cell r="A1125" t="str">
            <v>AEROPUERTO</v>
          </cell>
          <cell r="B1125">
            <v>3677</v>
          </cell>
        </row>
        <row r="1126">
          <cell r="A1126" t="str">
            <v>AEROLINEAS</v>
          </cell>
          <cell r="B1126">
            <v>3679</v>
          </cell>
        </row>
        <row r="1127">
          <cell r="A1127" t="str">
            <v>AEROLINEAS</v>
          </cell>
          <cell r="B1127">
            <v>3680</v>
          </cell>
        </row>
        <row r="1128">
          <cell r="A1128" t="str">
            <v>AEROLINEAS</v>
          </cell>
          <cell r="B1128">
            <v>3681</v>
          </cell>
        </row>
        <row r="1129">
          <cell r="A1129" t="str">
            <v>AEROLINEAS</v>
          </cell>
          <cell r="B1129">
            <v>3682</v>
          </cell>
        </row>
        <row r="1130">
          <cell r="A1130" t="str">
            <v>AEROLINEAS</v>
          </cell>
          <cell r="B1130">
            <v>3683</v>
          </cell>
        </row>
        <row r="1131">
          <cell r="A1131" t="str">
            <v>AEROLINEAS</v>
          </cell>
          <cell r="B1131">
            <v>3685</v>
          </cell>
        </row>
        <row r="1132">
          <cell r="A1132" t="str">
            <v>AEROLINEAS</v>
          </cell>
          <cell r="B1132">
            <v>3686</v>
          </cell>
        </row>
        <row r="1133">
          <cell r="A1133" t="str">
            <v>URBANO PARTNER</v>
          </cell>
          <cell r="B1133">
            <v>3687</v>
          </cell>
        </row>
        <row r="1134">
          <cell r="A1134" t="str">
            <v>URBANO PARTNER</v>
          </cell>
          <cell r="B1134">
            <v>3688</v>
          </cell>
        </row>
        <row r="1135">
          <cell r="A1135" t="str">
            <v>URBANO PARTNER</v>
          </cell>
          <cell r="B1135">
            <v>3689</v>
          </cell>
        </row>
        <row r="1136">
          <cell r="A1136" t="str">
            <v>URBANO PARTNER</v>
          </cell>
          <cell r="B1136">
            <v>3690</v>
          </cell>
        </row>
        <row r="1137">
          <cell r="A1137" t="str">
            <v>AEROPUERTO</v>
          </cell>
          <cell r="B1137">
            <v>3691</v>
          </cell>
        </row>
        <row r="1138">
          <cell r="A1138" t="str">
            <v>AEROPUERTO</v>
          </cell>
          <cell r="B1138">
            <v>3692</v>
          </cell>
        </row>
        <row r="1139">
          <cell r="A1139" t="str">
            <v>AEROPUERTO</v>
          </cell>
          <cell r="B1139">
            <v>3693</v>
          </cell>
        </row>
        <row r="1140">
          <cell r="A1140" t="str">
            <v>AEROPUERTO</v>
          </cell>
          <cell r="B1140">
            <v>3694</v>
          </cell>
        </row>
        <row r="1141">
          <cell r="A1141" t="str">
            <v>AEROPUERTO</v>
          </cell>
          <cell r="B1141">
            <v>3695</v>
          </cell>
        </row>
        <row r="1142">
          <cell r="A1142" t="str">
            <v>URBANO PARTNER</v>
          </cell>
          <cell r="B1142">
            <v>3696</v>
          </cell>
        </row>
        <row r="1143">
          <cell r="A1143" t="str">
            <v>AEROPUERTO</v>
          </cell>
          <cell r="B1143">
            <v>3697</v>
          </cell>
        </row>
        <row r="1144">
          <cell r="A1144" t="str">
            <v>URBANO PARTNER</v>
          </cell>
          <cell r="B1144">
            <v>3698</v>
          </cell>
        </row>
        <row r="1145">
          <cell r="A1145" t="str">
            <v>URBANO PARTNER</v>
          </cell>
          <cell r="B1145">
            <v>3699</v>
          </cell>
        </row>
        <row r="1146">
          <cell r="A1146" t="str">
            <v>URBANO PARTNER</v>
          </cell>
          <cell r="B1146">
            <v>3700</v>
          </cell>
        </row>
        <row r="1147">
          <cell r="A1147" t="str">
            <v>AEROPUERTO</v>
          </cell>
          <cell r="B1147">
            <v>3701</v>
          </cell>
        </row>
        <row r="1148">
          <cell r="A1148" t="str">
            <v>AEROLINEAS</v>
          </cell>
          <cell r="B1148">
            <v>3702</v>
          </cell>
        </row>
        <row r="1149">
          <cell r="A1149" t="str">
            <v>AEROLINEAS</v>
          </cell>
          <cell r="B1149">
            <v>3703</v>
          </cell>
        </row>
        <row r="1150">
          <cell r="A1150" t="str">
            <v>AEROLINEAS</v>
          </cell>
          <cell r="B1150">
            <v>3705</v>
          </cell>
        </row>
        <row r="1151">
          <cell r="A1151" t="str">
            <v>URBANO PARTNER</v>
          </cell>
          <cell r="B1151">
            <v>3706</v>
          </cell>
        </row>
        <row r="1152">
          <cell r="A1152" t="str">
            <v>AEROLINEAS</v>
          </cell>
          <cell r="B1152">
            <v>3707</v>
          </cell>
        </row>
        <row r="1153">
          <cell r="A1153" t="str">
            <v>AEROLINEAS</v>
          </cell>
          <cell r="B1153">
            <v>3708</v>
          </cell>
        </row>
        <row r="1154">
          <cell r="A1154" t="str">
            <v>AEROLINEAS</v>
          </cell>
          <cell r="B1154">
            <v>3713</v>
          </cell>
        </row>
        <row r="1155">
          <cell r="A1155" t="str">
            <v>AEROLINEAS</v>
          </cell>
          <cell r="B1155">
            <v>3715</v>
          </cell>
        </row>
        <row r="1156">
          <cell r="A1156" t="str">
            <v>AEROLINEAS</v>
          </cell>
          <cell r="B1156">
            <v>3716</v>
          </cell>
        </row>
        <row r="1157">
          <cell r="A1157" t="str">
            <v>AEROLINEAS</v>
          </cell>
          <cell r="B1157">
            <v>3718</v>
          </cell>
        </row>
        <row r="1158">
          <cell r="A1158" t="str">
            <v>MEMBRESÍA URBANO</v>
          </cell>
          <cell r="B1158">
            <v>3719</v>
          </cell>
        </row>
        <row r="1159">
          <cell r="A1159" t="str">
            <v>AEROLINEAS</v>
          </cell>
          <cell r="B1159">
            <v>3724</v>
          </cell>
        </row>
        <row r="1160">
          <cell r="A1160" t="str">
            <v>AEROLINEAS</v>
          </cell>
          <cell r="B1160">
            <v>3725</v>
          </cell>
        </row>
        <row r="1161">
          <cell r="A1161" t="str">
            <v>AEROLINEAS</v>
          </cell>
          <cell r="B1161">
            <v>3726</v>
          </cell>
        </row>
        <row r="1162">
          <cell r="A1162" t="str">
            <v>AEROLINEAS</v>
          </cell>
          <cell r="B1162">
            <v>3727</v>
          </cell>
        </row>
        <row r="1163">
          <cell r="A1163" t="str">
            <v>AEROLINEAS</v>
          </cell>
          <cell r="B1163">
            <v>3728</v>
          </cell>
        </row>
        <row r="1164">
          <cell r="A1164" t="str">
            <v>AEROLINEAS</v>
          </cell>
          <cell r="B1164">
            <v>3729</v>
          </cell>
        </row>
        <row r="1165">
          <cell r="A1165" t="str">
            <v>AEROLINEAS</v>
          </cell>
          <cell r="B1165">
            <v>3730</v>
          </cell>
        </row>
        <row r="1166">
          <cell r="A1166" t="str">
            <v>AEROPUERTO</v>
          </cell>
          <cell r="B1166">
            <v>3731</v>
          </cell>
        </row>
        <row r="1167">
          <cell r="A1167" t="str">
            <v>AEROPUERTO</v>
          </cell>
          <cell r="B1167">
            <v>3732</v>
          </cell>
        </row>
        <row r="1168">
          <cell r="A1168" t="str">
            <v>AEROPUERTO</v>
          </cell>
          <cell r="B1168">
            <v>3733</v>
          </cell>
        </row>
        <row r="1169">
          <cell r="A1169" t="str">
            <v>AEROPUERTO</v>
          </cell>
          <cell r="B1169">
            <v>3734</v>
          </cell>
        </row>
        <row r="1170">
          <cell r="A1170" t="str">
            <v>AEROPUERTO</v>
          </cell>
          <cell r="B1170">
            <v>3735</v>
          </cell>
        </row>
        <row r="1171">
          <cell r="A1171" t="str">
            <v>AEROPUERTO</v>
          </cell>
          <cell r="B1171">
            <v>3736</v>
          </cell>
        </row>
        <row r="1172">
          <cell r="A1172" t="str">
            <v>AEROLINEAS</v>
          </cell>
          <cell r="B1172">
            <v>3737</v>
          </cell>
        </row>
        <row r="1173">
          <cell r="A1173" t="str">
            <v>MOVIL CONTINGENCIA</v>
          </cell>
          <cell r="B1173">
            <v>3738</v>
          </cell>
        </row>
        <row r="1174">
          <cell r="A1174" t="str">
            <v>MOVIL CONTINGENCIA</v>
          </cell>
          <cell r="B1174">
            <v>3739</v>
          </cell>
        </row>
        <row r="1175">
          <cell r="A1175" t="str">
            <v>AEROPUERTO</v>
          </cell>
          <cell r="B1175">
            <v>3740</v>
          </cell>
        </row>
        <row r="1176">
          <cell r="A1176" t="str">
            <v>AEROPUERTO</v>
          </cell>
          <cell r="B1176">
            <v>3741</v>
          </cell>
        </row>
        <row r="1177">
          <cell r="A1177" t="str">
            <v>AEROPUERTO</v>
          </cell>
          <cell r="B1177">
            <v>3742</v>
          </cell>
        </row>
        <row r="1178">
          <cell r="A1178" t="str">
            <v>AEROPUERTO</v>
          </cell>
          <cell r="B1178">
            <v>3744</v>
          </cell>
        </row>
        <row r="1179">
          <cell r="A1179" t="str">
            <v>AEROPUERTO</v>
          </cell>
          <cell r="B1179">
            <v>3747</v>
          </cell>
        </row>
        <row r="1180">
          <cell r="A1180" t="str">
            <v>AEROLINEAS</v>
          </cell>
          <cell r="B1180">
            <v>3748</v>
          </cell>
        </row>
        <row r="1181">
          <cell r="A1181" t="str">
            <v>URBANO PARTNER</v>
          </cell>
          <cell r="B1181">
            <v>3750</v>
          </cell>
        </row>
        <row r="1182">
          <cell r="A1182" t="str">
            <v>AEROLINEAS</v>
          </cell>
          <cell r="B1182">
            <v>3751</v>
          </cell>
        </row>
        <row r="1183">
          <cell r="A1183" t="str">
            <v>URBANO PARTNER</v>
          </cell>
          <cell r="B1183">
            <v>3752</v>
          </cell>
        </row>
        <row r="1184">
          <cell r="A1184" t="str">
            <v>URBANO PARTNER</v>
          </cell>
          <cell r="B1184">
            <v>3753</v>
          </cell>
        </row>
        <row r="1185">
          <cell r="A1185" t="str">
            <v>URBANO PARTNER</v>
          </cell>
          <cell r="B1185">
            <v>3754</v>
          </cell>
        </row>
        <row r="1186">
          <cell r="A1186" t="str">
            <v>URBANO PARTNER</v>
          </cell>
          <cell r="B1186">
            <v>3755</v>
          </cell>
        </row>
        <row r="1187">
          <cell r="A1187" t="str">
            <v>URBANO PARTNER</v>
          </cell>
          <cell r="B1187">
            <v>3756</v>
          </cell>
        </row>
        <row r="1188">
          <cell r="A1188" t="str">
            <v>AEROLINEAS</v>
          </cell>
          <cell r="B1188">
            <v>3758</v>
          </cell>
        </row>
        <row r="1189">
          <cell r="A1189" t="str">
            <v>AEROLINEAS</v>
          </cell>
          <cell r="B1189">
            <v>3760</v>
          </cell>
        </row>
        <row r="1190">
          <cell r="A1190" t="str">
            <v>AEROLINEAS</v>
          </cell>
          <cell r="B1190">
            <v>3761</v>
          </cell>
        </row>
        <row r="1191">
          <cell r="A1191" t="str">
            <v>AEROLINEAS</v>
          </cell>
          <cell r="B1191">
            <v>3762</v>
          </cell>
        </row>
        <row r="1192">
          <cell r="A1192" t="str">
            <v>AEROPUERTO</v>
          </cell>
          <cell r="B1192">
            <v>3763</v>
          </cell>
        </row>
        <row r="1193">
          <cell r="A1193" t="str">
            <v>AEROPUERTO</v>
          </cell>
          <cell r="B1193">
            <v>3764</v>
          </cell>
        </row>
        <row r="1194">
          <cell r="A1194" t="str">
            <v>AEROPUERTO</v>
          </cell>
          <cell r="B1194">
            <v>3765</v>
          </cell>
        </row>
        <row r="1195">
          <cell r="A1195" t="str">
            <v>AEROPUERTO</v>
          </cell>
          <cell r="B1195">
            <v>3766</v>
          </cell>
        </row>
        <row r="1196">
          <cell r="A1196" t="str">
            <v>AEROPUERTO</v>
          </cell>
          <cell r="B1196">
            <v>3768</v>
          </cell>
        </row>
        <row r="1197">
          <cell r="A1197" t="str">
            <v>AEROPUERTO</v>
          </cell>
          <cell r="B1197">
            <v>3769</v>
          </cell>
        </row>
        <row r="1198">
          <cell r="A1198" t="str">
            <v>AEROPUERTO</v>
          </cell>
          <cell r="B1198">
            <v>3770</v>
          </cell>
        </row>
        <row r="1199">
          <cell r="A1199" t="str">
            <v>AEROPUERTO</v>
          </cell>
          <cell r="B1199">
            <v>3771</v>
          </cell>
        </row>
        <row r="1200">
          <cell r="A1200" t="str">
            <v>AEROPUERTO</v>
          </cell>
          <cell r="B1200">
            <v>3772</v>
          </cell>
        </row>
        <row r="1201">
          <cell r="A1201" t="str">
            <v>AEROPUERTO</v>
          </cell>
          <cell r="B1201">
            <v>3773</v>
          </cell>
        </row>
        <row r="1202">
          <cell r="A1202" t="str">
            <v>URBANO PARTNER</v>
          </cell>
          <cell r="B1202">
            <v>3774</v>
          </cell>
        </row>
        <row r="1203">
          <cell r="A1203" t="str">
            <v>URBANO PARTNER</v>
          </cell>
          <cell r="B1203">
            <v>3775</v>
          </cell>
        </row>
        <row r="1204">
          <cell r="A1204" t="str">
            <v>URBANO PARTNER</v>
          </cell>
          <cell r="B1204">
            <v>3777</v>
          </cell>
        </row>
        <row r="1205">
          <cell r="A1205" t="str">
            <v>URBANO PARTNER</v>
          </cell>
          <cell r="B1205">
            <v>3778</v>
          </cell>
        </row>
        <row r="1206">
          <cell r="A1206" t="str">
            <v>URBANO PARTNER</v>
          </cell>
          <cell r="B1206">
            <v>3780</v>
          </cell>
        </row>
        <row r="1207">
          <cell r="A1207" t="str">
            <v>URBANO PARTNER</v>
          </cell>
          <cell r="B1207">
            <v>3781</v>
          </cell>
        </row>
        <row r="1208">
          <cell r="A1208" t="str">
            <v>AEROLINEAS</v>
          </cell>
          <cell r="B1208">
            <v>3782</v>
          </cell>
        </row>
        <row r="1209">
          <cell r="A1209" t="str">
            <v>AEROLINEAS</v>
          </cell>
          <cell r="B1209">
            <v>3783</v>
          </cell>
        </row>
        <row r="1210">
          <cell r="A1210" t="str">
            <v>AEROLINEAS</v>
          </cell>
          <cell r="B1210">
            <v>3784</v>
          </cell>
        </row>
        <row r="1211">
          <cell r="A1211" t="str">
            <v>AEROLINEAS</v>
          </cell>
          <cell r="B1211">
            <v>3785</v>
          </cell>
        </row>
        <row r="1212">
          <cell r="A1212" t="str">
            <v>AEROLINEAS</v>
          </cell>
          <cell r="B1212">
            <v>3786</v>
          </cell>
        </row>
        <row r="1213">
          <cell r="A1213" t="str">
            <v>AEROLINEAS</v>
          </cell>
          <cell r="B1213">
            <v>3787</v>
          </cell>
        </row>
        <row r="1214">
          <cell r="A1214" t="str">
            <v>AEROLINEAS</v>
          </cell>
          <cell r="B1214">
            <v>3788</v>
          </cell>
        </row>
        <row r="1215">
          <cell r="A1215" t="str">
            <v>AEROLINEAS</v>
          </cell>
          <cell r="B1215">
            <v>3789</v>
          </cell>
        </row>
        <row r="1216">
          <cell r="A1216" t="str">
            <v>AEROPUERTO</v>
          </cell>
          <cell r="B1216">
            <v>3790</v>
          </cell>
        </row>
        <row r="1217">
          <cell r="A1217" t="str">
            <v>AEROPUERTO</v>
          </cell>
          <cell r="B1217">
            <v>3791</v>
          </cell>
        </row>
        <row r="1218">
          <cell r="A1218" t="str">
            <v>AEROPUERTO</v>
          </cell>
          <cell r="B1218">
            <v>3792</v>
          </cell>
        </row>
        <row r="1219">
          <cell r="A1219" t="str">
            <v>AEROPUERTO</v>
          </cell>
          <cell r="B1219">
            <v>3793</v>
          </cell>
        </row>
        <row r="1220">
          <cell r="A1220" t="str">
            <v>AEROPUERTO</v>
          </cell>
          <cell r="B1220">
            <v>3794</v>
          </cell>
        </row>
        <row r="1221">
          <cell r="A1221" t="str">
            <v>AEROPUERTO</v>
          </cell>
          <cell r="B1221">
            <v>3795</v>
          </cell>
        </row>
        <row r="1222">
          <cell r="A1222" t="str">
            <v>AEROPUERTO</v>
          </cell>
          <cell r="B1222">
            <v>3796</v>
          </cell>
        </row>
        <row r="1223">
          <cell r="A1223" t="str">
            <v>AEROPUERTO</v>
          </cell>
          <cell r="B1223">
            <v>3797</v>
          </cell>
        </row>
        <row r="1224">
          <cell r="A1224" t="str">
            <v>AEROPUERTO</v>
          </cell>
          <cell r="B1224">
            <v>3798</v>
          </cell>
        </row>
        <row r="1225">
          <cell r="A1225" t="str">
            <v>URBANO PARTNER</v>
          </cell>
          <cell r="B1225">
            <v>3799</v>
          </cell>
        </row>
        <row r="1226">
          <cell r="A1226" t="str">
            <v>AEROLINEAS</v>
          </cell>
          <cell r="B1226">
            <v>3800</v>
          </cell>
        </row>
        <row r="1227">
          <cell r="A1227" t="str">
            <v>URBANO PARTNER</v>
          </cell>
          <cell r="B1227">
            <v>3801</v>
          </cell>
        </row>
        <row r="1228">
          <cell r="A1228" t="str">
            <v>URBANO PARTNER</v>
          </cell>
          <cell r="B1228">
            <v>3802</v>
          </cell>
        </row>
        <row r="1229">
          <cell r="A1229" t="str">
            <v>URBANO PARTNER</v>
          </cell>
          <cell r="B1229">
            <v>3803</v>
          </cell>
        </row>
        <row r="1230">
          <cell r="A1230" t="str">
            <v>AEROLINEAS</v>
          </cell>
          <cell r="B1230">
            <v>3804</v>
          </cell>
        </row>
        <row r="1231">
          <cell r="A1231" t="str">
            <v>AEROLINEAS</v>
          </cell>
          <cell r="B1231">
            <v>3805</v>
          </cell>
        </row>
        <row r="1232">
          <cell r="A1232" t="str">
            <v>AEROLINEAS</v>
          </cell>
          <cell r="B1232">
            <v>3806</v>
          </cell>
        </row>
        <row r="1233">
          <cell r="A1233" t="str">
            <v>AEROPUERTO</v>
          </cell>
          <cell r="B1233">
            <v>3809</v>
          </cell>
        </row>
        <row r="1234">
          <cell r="A1234" t="str">
            <v>AEROPUERTO</v>
          </cell>
          <cell r="B1234">
            <v>3810</v>
          </cell>
        </row>
        <row r="1235">
          <cell r="A1235" t="str">
            <v>AEROPUERTO</v>
          </cell>
          <cell r="B1235">
            <v>3811</v>
          </cell>
        </row>
        <row r="1236">
          <cell r="A1236" t="str">
            <v>AEROPUERTO</v>
          </cell>
          <cell r="B1236">
            <v>3812</v>
          </cell>
        </row>
        <row r="1237">
          <cell r="A1237" t="str">
            <v>AEROLINEAS</v>
          </cell>
          <cell r="B1237">
            <v>3813</v>
          </cell>
        </row>
        <row r="1238">
          <cell r="A1238" t="str">
            <v>AEROPUERTO</v>
          </cell>
          <cell r="B1238">
            <v>3814</v>
          </cell>
        </row>
        <row r="1239">
          <cell r="A1239" t="str">
            <v>AEROPUERTO</v>
          </cell>
          <cell r="B1239">
            <v>3815</v>
          </cell>
        </row>
        <row r="1240">
          <cell r="A1240" t="str">
            <v>AEROPUERTO</v>
          </cell>
          <cell r="B1240">
            <v>3816</v>
          </cell>
        </row>
        <row r="1241">
          <cell r="A1241" t="str">
            <v>AEROPUERTO</v>
          </cell>
          <cell r="B1241">
            <v>3817</v>
          </cell>
        </row>
        <row r="1242">
          <cell r="A1242" t="str">
            <v>AEROPUERTO</v>
          </cell>
          <cell r="B1242">
            <v>3818</v>
          </cell>
        </row>
        <row r="1243">
          <cell r="A1243" t="str">
            <v>AEROPUERTO</v>
          </cell>
          <cell r="B1243">
            <v>3819</v>
          </cell>
        </row>
        <row r="1244">
          <cell r="A1244" t="str">
            <v>URBANO PARTNER</v>
          </cell>
          <cell r="B1244">
            <v>3820</v>
          </cell>
        </row>
        <row r="1245">
          <cell r="A1245" t="str">
            <v>URBANO PARTNER</v>
          </cell>
          <cell r="B1245">
            <v>3821</v>
          </cell>
        </row>
        <row r="1246">
          <cell r="A1246" t="str">
            <v>URBANO PARTNER</v>
          </cell>
          <cell r="B1246">
            <v>3822</v>
          </cell>
        </row>
        <row r="1247">
          <cell r="A1247" t="str">
            <v>URBANO PARTNER</v>
          </cell>
          <cell r="B1247">
            <v>3823</v>
          </cell>
        </row>
        <row r="1248">
          <cell r="A1248" t="str">
            <v>URBANO PARTNER</v>
          </cell>
          <cell r="B1248">
            <v>3824</v>
          </cell>
        </row>
        <row r="1249">
          <cell r="A1249" t="str">
            <v>AEROLINEAS</v>
          </cell>
          <cell r="B1249">
            <v>3827</v>
          </cell>
        </row>
        <row r="1250">
          <cell r="A1250" t="str">
            <v>AEROLINEAS</v>
          </cell>
          <cell r="B1250">
            <v>3828</v>
          </cell>
        </row>
        <row r="1251">
          <cell r="A1251" t="str">
            <v>AEROLINEAS</v>
          </cell>
          <cell r="B1251">
            <v>3829</v>
          </cell>
        </row>
        <row r="1252">
          <cell r="A1252" t="str">
            <v>AEROLINEAS</v>
          </cell>
          <cell r="B1252">
            <v>3830</v>
          </cell>
        </row>
        <row r="1253">
          <cell r="A1253" t="str">
            <v>AEROPUERTO</v>
          </cell>
          <cell r="B1253">
            <v>3831</v>
          </cell>
        </row>
        <row r="1254">
          <cell r="A1254" t="str">
            <v>AEROPUERTO</v>
          </cell>
          <cell r="B1254">
            <v>3832</v>
          </cell>
        </row>
        <row r="1255">
          <cell r="A1255" t="str">
            <v>AEROPUERTO</v>
          </cell>
          <cell r="B1255">
            <v>3833</v>
          </cell>
        </row>
        <row r="1256">
          <cell r="A1256" t="str">
            <v>URBANO PARTNER</v>
          </cell>
          <cell r="B1256">
            <v>3834</v>
          </cell>
        </row>
        <row r="1257">
          <cell r="A1257" t="str">
            <v>MOVIL CONTINGENCIA</v>
          </cell>
          <cell r="B1257">
            <v>3836</v>
          </cell>
        </row>
        <row r="1258">
          <cell r="A1258" t="str">
            <v>AEROPUERTO</v>
          </cell>
          <cell r="B1258">
            <v>3837</v>
          </cell>
        </row>
        <row r="1259">
          <cell r="A1259" t="str">
            <v>AEROPUERTO</v>
          </cell>
          <cell r="B1259">
            <v>3838</v>
          </cell>
        </row>
        <row r="1260">
          <cell r="A1260" t="str">
            <v>AEROPUERTO</v>
          </cell>
          <cell r="B1260">
            <v>3839</v>
          </cell>
        </row>
        <row r="1261">
          <cell r="A1261" t="str">
            <v>AEROPUERTO</v>
          </cell>
          <cell r="B1261">
            <v>3840</v>
          </cell>
        </row>
        <row r="1262">
          <cell r="A1262" t="str">
            <v>AEROPUERTO</v>
          </cell>
          <cell r="B1262">
            <v>3841</v>
          </cell>
        </row>
        <row r="1263">
          <cell r="A1263" t="str">
            <v>AEROPUERTO</v>
          </cell>
          <cell r="B1263">
            <v>3842</v>
          </cell>
        </row>
        <row r="1264">
          <cell r="A1264" t="str">
            <v>AEROPUERTO</v>
          </cell>
          <cell r="B1264">
            <v>3843</v>
          </cell>
        </row>
        <row r="1265">
          <cell r="A1265" t="str">
            <v>URBANO PARTNER</v>
          </cell>
          <cell r="B1265">
            <v>3846</v>
          </cell>
        </row>
        <row r="1266">
          <cell r="A1266" t="str">
            <v>URBANO PARTNER</v>
          </cell>
          <cell r="B1266">
            <v>3847</v>
          </cell>
        </row>
        <row r="1267">
          <cell r="A1267" t="str">
            <v>URBANO PARTNER</v>
          </cell>
          <cell r="B1267">
            <v>3848</v>
          </cell>
        </row>
        <row r="1268">
          <cell r="A1268" t="str">
            <v>AEROLINEAS</v>
          </cell>
          <cell r="B1268">
            <v>3849</v>
          </cell>
        </row>
        <row r="1269">
          <cell r="A1269" t="str">
            <v>AEROLINEAS</v>
          </cell>
          <cell r="B1269">
            <v>3850</v>
          </cell>
        </row>
        <row r="1270">
          <cell r="A1270" t="str">
            <v>AEROPUERTO</v>
          </cell>
          <cell r="B1270">
            <v>3851</v>
          </cell>
        </row>
        <row r="1271">
          <cell r="A1271" t="str">
            <v>AEROPUERTO</v>
          </cell>
          <cell r="B1271">
            <v>3852</v>
          </cell>
        </row>
        <row r="1272">
          <cell r="A1272" t="str">
            <v>AEROPUERTO</v>
          </cell>
          <cell r="B1272">
            <v>3853</v>
          </cell>
        </row>
        <row r="1273">
          <cell r="A1273" t="str">
            <v>AEROPUERTO</v>
          </cell>
          <cell r="B1273">
            <v>3855</v>
          </cell>
        </row>
        <row r="1274">
          <cell r="A1274" t="str">
            <v>URBANO PARTNER</v>
          </cell>
          <cell r="B1274">
            <v>3856</v>
          </cell>
        </row>
        <row r="1275">
          <cell r="A1275" t="str">
            <v>URBANO PARTNER</v>
          </cell>
          <cell r="B1275">
            <v>3857</v>
          </cell>
        </row>
        <row r="1276">
          <cell r="A1276" t="str">
            <v>URBANO PARTNER</v>
          </cell>
          <cell r="B1276">
            <v>3858</v>
          </cell>
        </row>
        <row r="1277">
          <cell r="A1277" t="str">
            <v>URBANO PARTNER</v>
          </cell>
          <cell r="B1277">
            <v>3859</v>
          </cell>
        </row>
        <row r="1278">
          <cell r="A1278" t="str">
            <v>AEROPUERTO</v>
          </cell>
          <cell r="B1278">
            <v>3860</v>
          </cell>
        </row>
        <row r="1279">
          <cell r="A1279" t="str">
            <v>AEROPUERTO</v>
          </cell>
          <cell r="B1279">
            <v>3861</v>
          </cell>
        </row>
        <row r="1280">
          <cell r="A1280" t="str">
            <v>MEMBRESÍA NOCTURNA - APTO</v>
          </cell>
          <cell r="B1280">
            <v>3862</v>
          </cell>
        </row>
        <row r="1281">
          <cell r="A1281" t="str">
            <v>URBANO PARTNER</v>
          </cell>
          <cell r="B1281">
            <v>3863</v>
          </cell>
        </row>
        <row r="1282">
          <cell r="A1282" t="str">
            <v>AEROPUERTO</v>
          </cell>
          <cell r="B1282">
            <v>3864</v>
          </cell>
        </row>
        <row r="1283">
          <cell r="A1283" t="str">
            <v>AEROPUERTO</v>
          </cell>
          <cell r="B1283">
            <v>3865</v>
          </cell>
        </row>
        <row r="1284">
          <cell r="A1284" t="str">
            <v>AEROPUERTO</v>
          </cell>
          <cell r="B1284">
            <v>3866</v>
          </cell>
        </row>
        <row r="1285">
          <cell r="A1285" t="str">
            <v>AEROPUERTO</v>
          </cell>
          <cell r="B1285">
            <v>3868</v>
          </cell>
        </row>
        <row r="1286">
          <cell r="A1286" t="str">
            <v>AEROPUERTO</v>
          </cell>
          <cell r="B1286">
            <v>3870</v>
          </cell>
        </row>
        <row r="1287">
          <cell r="A1287" t="str">
            <v>AEROPUERTO</v>
          </cell>
          <cell r="B1287">
            <v>3871</v>
          </cell>
        </row>
        <row r="1288">
          <cell r="A1288" t="str">
            <v>AEROPUERTO</v>
          </cell>
          <cell r="B1288">
            <v>3872</v>
          </cell>
        </row>
        <row r="1289">
          <cell r="A1289" t="str">
            <v>AEROPUERTO</v>
          </cell>
          <cell r="B1289">
            <v>3874</v>
          </cell>
        </row>
        <row r="1290">
          <cell r="A1290" t="str">
            <v>URBANO PARTNER</v>
          </cell>
          <cell r="B1290">
            <v>3875</v>
          </cell>
        </row>
        <row r="1291">
          <cell r="A1291" t="str">
            <v>URBANO PARTNER</v>
          </cell>
          <cell r="B1291">
            <v>3876</v>
          </cell>
        </row>
        <row r="1292">
          <cell r="A1292" t="str">
            <v>URBANO PARTNER</v>
          </cell>
          <cell r="B1292">
            <v>3877</v>
          </cell>
        </row>
        <row r="1293">
          <cell r="A1293" t="str">
            <v>URBANO PARTNER</v>
          </cell>
          <cell r="B1293">
            <v>3878</v>
          </cell>
        </row>
        <row r="1294">
          <cell r="A1294" t="str">
            <v>URBANO PARTNER</v>
          </cell>
          <cell r="B1294">
            <v>3879</v>
          </cell>
        </row>
        <row r="1295">
          <cell r="A1295" t="str">
            <v>URBANO PARTNER</v>
          </cell>
          <cell r="B1295">
            <v>3880</v>
          </cell>
        </row>
        <row r="1296">
          <cell r="A1296" t="str">
            <v>AEROLINEAS</v>
          </cell>
          <cell r="B1296">
            <v>3881</v>
          </cell>
        </row>
        <row r="1297">
          <cell r="A1297" t="str">
            <v>AEROLINEAS</v>
          </cell>
          <cell r="B1297">
            <v>3882</v>
          </cell>
        </row>
        <row r="1298">
          <cell r="A1298" t="str">
            <v>AEROLINEAS</v>
          </cell>
          <cell r="B1298">
            <v>3883</v>
          </cell>
        </row>
        <row r="1299">
          <cell r="A1299" t="str">
            <v>AEROPUERTO</v>
          </cell>
          <cell r="B1299">
            <v>3884</v>
          </cell>
        </row>
        <row r="1300">
          <cell r="A1300" t="str">
            <v>AEROLINEAS</v>
          </cell>
          <cell r="B1300">
            <v>3885</v>
          </cell>
        </row>
        <row r="1301">
          <cell r="A1301" t="str">
            <v>URBANO PARTNER</v>
          </cell>
          <cell r="B1301">
            <v>3887</v>
          </cell>
        </row>
        <row r="1302">
          <cell r="A1302" t="str">
            <v>AEROLINEAS</v>
          </cell>
          <cell r="B1302">
            <v>3888</v>
          </cell>
        </row>
        <row r="1303">
          <cell r="A1303" t="str">
            <v>AEROPUERTO</v>
          </cell>
          <cell r="B1303">
            <v>3889</v>
          </cell>
        </row>
        <row r="1304">
          <cell r="A1304" t="str">
            <v>AEROPUERTO</v>
          </cell>
          <cell r="B1304">
            <v>3891</v>
          </cell>
        </row>
        <row r="1305">
          <cell r="A1305" t="str">
            <v>AEROPUERTO</v>
          </cell>
          <cell r="B1305">
            <v>3893</v>
          </cell>
        </row>
        <row r="1306">
          <cell r="A1306" t="str">
            <v>AEROPUERTO</v>
          </cell>
          <cell r="B1306">
            <v>3894</v>
          </cell>
        </row>
        <row r="1307">
          <cell r="A1307" t="str">
            <v>AEROPUERTO</v>
          </cell>
          <cell r="B1307">
            <v>3896</v>
          </cell>
        </row>
        <row r="1308">
          <cell r="A1308" t="str">
            <v>URBANO PARTNER</v>
          </cell>
          <cell r="B1308">
            <v>3897</v>
          </cell>
        </row>
        <row r="1309">
          <cell r="A1309" t="str">
            <v>URBANO PARTNER</v>
          </cell>
          <cell r="B1309">
            <v>3898</v>
          </cell>
        </row>
        <row r="1310">
          <cell r="A1310" t="str">
            <v>URBANO PARTNER</v>
          </cell>
          <cell r="B1310">
            <v>3899</v>
          </cell>
        </row>
        <row r="1311">
          <cell r="A1311" t="str">
            <v>URBANO PARTNER</v>
          </cell>
          <cell r="B1311">
            <v>3900</v>
          </cell>
        </row>
        <row r="1312">
          <cell r="A1312" t="str">
            <v>URBANO PARTNER</v>
          </cell>
          <cell r="B1312">
            <v>3901</v>
          </cell>
        </row>
        <row r="1313">
          <cell r="A1313" t="str">
            <v>URBANO PARTNER</v>
          </cell>
          <cell r="B1313">
            <v>3902</v>
          </cell>
        </row>
        <row r="1314">
          <cell r="A1314" t="str">
            <v>URBANO PARTNER</v>
          </cell>
          <cell r="B1314">
            <v>3903</v>
          </cell>
        </row>
        <row r="1315">
          <cell r="A1315" t="str">
            <v>URBANO PARTNER</v>
          </cell>
          <cell r="B1315">
            <v>3904</v>
          </cell>
        </row>
        <row r="1316">
          <cell r="A1316" t="str">
            <v>AEROLINEAS</v>
          </cell>
          <cell r="B1316">
            <v>3905</v>
          </cell>
        </row>
        <row r="1317">
          <cell r="A1317" t="str">
            <v>AEROLINEAS</v>
          </cell>
          <cell r="B1317">
            <v>3906</v>
          </cell>
        </row>
        <row r="1318">
          <cell r="A1318" t="str">
            <v>URBANO PARTNER</v>
          </cell>
          <cell r="B1318">
            <v>3907</v>
          </cell>
        </row>
        <row r="1319">
          <cell r="A1319" t="str">
            <v>AEROLINEAS</v>
          </cell>
          <cell r="B1319">
            <v>3908</v>
          </cell>
        </row>
        <row r="1320">
          <cell r="A1320" t="str">
            <v>URBANO PARTNER</v>
          </cell>
          <cell r="B1320">
            <v>3909</v>
          </cell>
        </row>
        <row r="1321">
          <cell r="A1321" t="str">
            <v>AEROLINEAS</v>
          </cell>
          <cell r="B1321">
            <v>3910</v>
          </cell>
        </row>
        <row r="1322">
          <cell r="A1322" t="str">
            <v>MEMBRESÍA NOCTURNA - APTO</v>
          </cell>
          <cell r="B1322">
            <v>3911</v>
          </cell>
        </row>
        <row r="1323">
          <cell r="A1323" t="str">
            <v>MEMBRESÍA NOCTURNA - APTO</v>
          </cell>
          <cell r="B1323">
            <v>3912</v>
          </cell>
        </row>
        <row r="1324">
          <cell r="A1324" t="str">
            <v>MEMBRESÍA NOCTURNA - APTO</v>
          </cell>
          <cell r="B1324">
            <v>3913</v>
          </cell>
        </row>
        <row r="1325">
          <cell r="A1325" t="str">
            <v>MEMBRESÍA NOCTURNA - APTO</v>
          </cell>
          <cell r="B1325">
            <v>3914</v>
          </cell>
        </row>
        <row r="1326">
          <cell r="A1326" t="str">
            <v>URBANO PARTNER</v>
          </cell>
          <cell r="B1326">
            <v>3915</v>
          </cell>
        </row>
        <row r="1327">
          <cell r="A1327" t="str">
            <v>URBANO PARTNER</v>
          </cell>
          <cell r="B1327">
            <v>3916</v>
          </cell>
        </row>
        <row r="1328">
          <cell r="A1328" t="str">
            <v>URBANO PARTNER</v>
          </cell>
          <cell r="B1328">
            <v>3917</v>
          </cell>
        </row>
        <row r="1329">
          <cell r="A1329" t="str">
            <v>URBANO PARTNER</v>
          </cell>
          <cell r="B1329">
            <v>3918</v>
          </cell>
        </row>
        <row r="1330">
          <cell r="A1330" t="str">
            <v>URBANO PARTNER</v>
          </cell>
          <cell r="B1330">
            <v>3919</v>
          </cell>
        </row>
        <row r="1331">
          <cell r="A1331" t="str">
            <v>AEROLINEAS</v>
          </cell>
          <cell r="B1331">
            <v>3920</v>
          </cell>
        </row>
        <row r="1332">
          <cell r="A1332" t="str">
            <v>AEROLINEAS</v>
          </cell>
          <cell r="B1332">
            <v>3921</v>
          </cell>
        </row>
        <row r="1333">
          <cell r="A1333" t="str">
            <v>AEROLINEAS</v>
          </cell>
          <cell r="B1333">
            <v>3922</v>
          </cell>
        </row>
        <row r="1334">
          <cell r="A1334" t="str">
            <v>AEROLINEAS</v>
          </cell>
          <cell r="B1334">
            <v>3923</v>
          </cell>
        </row>
        <row r="1335">
          <cell r="A1335" t="str">
            <v>AEROLINEAS</v>
          </cell>
          <cell r="B1335">
            <v>3924</v>
          </cell>
        </row>
        <row r="1336">
          <cell r="A1336" t="str">
            <v>AEROLINEAS</v>
          </cell>
          <cell r="B1336">
            <v>3925</v>
          </cell>
        </row>
        <row r="1337">
          <cell r="A1337" t="str">
            <v>MEMBRESÍA NOCTURNA - APTO</v>
          </cell>
          <cell r="B1337">
            <v>3926</v>
          </cell>
        </row>
        <row r="1338">
          <cell r="A1338" t="str">
            <v>MEMBRESÍA NOCTURNA - APTO</v>
          </cell>
          <cell r="B1338">
            <v>3927</v>
          </cell>
        </row>
        <row r="1339">
          <cell r="A1339" t="str">
            <v>URBANO PARTNER</v>
          </cell>
          <cell r="B1339">
            <v>3928</v>
          </cell>
        </row>
        <row r="1340">
          <cell r="A1340" t="str">
            <v>URBANO PARTNER</v>
          </cell>
          <cell r="B1340">
            <v>3929</v>
          </cell>
        </row>
        <row r="1341">
          <cell r="A1341" t="str">
            <v>URBANO PARTNER</v>
          </cell>
          <cell r="B1341">
            <v>3930</v>
          </cell>
        </row>
        <row r="1342">
          <cell r="A1342" t="str">
            <v>URBANO PARTNER</v>
          </cell>
          <cell r="B1342">
            <v>3932</v>
          </cell>
        </row>
        <row r="1343">
          <cell r="A1343" t="str">
            <v>URBANO PARTNER</v>
          </cell>
          <cell r="B1343">
            <v>3933</v>
          </cell>
        </row>
        <row r="1344">
          <cell r="A1344" t="str">
            <v>AEROLINEAS</v>
          </cell>
          <cell r="B1344">
            <v>3934</v>
          </cell>
        </row>
        <row r="1345">
          <cell r="A1345" t="str">
            <v>AEROLINEAS</v>
          </cell>
          <cell r="B1345">
            <v>3935</v>
          </cell>
        </row>
        <row r="1346">
          <cell r="A1346" t="str">
            <v>AEROLINEAS</v>
          </cell>
          <cell r="B1346">
            <v>3936</v>
          </cell>
        </row>
        <row r="1347">
          <cell r="A1347" t="str">
            <v>AEROLINEAS</v>
          </cell>
          <cell r="B1347">
            <v>3937</v>
          </cell>
        </row>
        <row r="1348">
          <cell r="A1348" t="str">
            <v>AEROLINEAS</v>
          </cell>
          <cell r="B1348">
            <v>3938</v>
          </cell>
        </row>
        <row r="1349">
          <cell r="A1349" t="str">
            <v>MEMBRESÍA NOCTURNA - APTO</v>
          </cell>
          <cell r="B1349">
            <v>3939</v>
          </cell>
        </row>
        <row r="1350">
          <cell r="A1350" t="str">
            <v>URBANO PARTNER</v>
          </cell>
          <cell r="B1350">
            <v>3940</v>
          </cell>
        </row>
        <row r="1351">
          <cell r="A1351" t="str">
            <v>URBANO PARTNER</v>
          </cell>
          <cell r="B1351">
            <v>3941</v>
          </cell>
        </row>
        <row r="1352">
          <cell r="A1352" t="str">
            <v>URBANO PARTNER</v>
          </cell>
          <cell r="B1352">
            <v>3942</v>
          </cell>
        </row>
        <row r="1353">
          <cell r="A1353" t="str">
            <v>URBANO PARTNER</v>
          </cell>
          <cell r="B1353">
            <v>3943</v>
          </cell>
        </row>
        <row r="1354">
          <cell r="A1354" t="str">
            <v>URBANO PARTNER</v>
          </cell>
          <cell r="B1354">
            <v>3944</v>
          </cell>
        </row>
        <row r="1355">
          <cell r="A1355" t="str">
            <v>AEROLINEAS</v>
          </cell>
          <cell r="B1355">
            <v>3945</v>
          </cell>
        </row>
        <row r="1356">
          <cell r="A1356" t="str">
            <v>AEROLINEAS</v>
          </cell>
          <cell r="B1356">
            <v>3947</v>
          </cell>
        </row>
        <row r="1357">
          <cell r="A1357" t="str">
            <v>AEROLINEAS</v>
          </cell>
          <cell r="B1357">
            <v>3948</v>
          </cell>
        </row>
        <row r="1358">
          <cell r="A1358" t="str">
            <v>AEROLINEAS</v>
          </cell>
          <cell r="B1358">
            <v>3950</v>
          </cell>
        </row>
        <row r="1359">
          <cell r="A1359" t="str">
            <v>AEROLINEAS</v>
          </cell>
          <cell r="B1359">
            <v>3951</v>
          </cell>
        </row>
        <row r="1360">
          <cell r="A1360" t="str">
            <v>AEROLINEAS</v>
          </cell>
          <cell r="B1360">
            <v>3952</v>
          </cell>
        </row>
        <row r="1361">
          <cell r="A1361" t="str">
            <v>URBANO PARTNER</v>
          </cell>
          <cell r="B1361">
            <v>3953</v>
          </cell>
        </row>
        <row r="1362">
          <cell r="A1362" t="str">
            <v>AEROLINEAS</v>
          </cell>
          <cell r="B1362">
            <v>3954</v>
          </cell>
        </row>
        <row r="1363">
          <cell r="A1363" t="str">
            <v>MEMBRESÍA NOCTURNA - APTO</v>
          </cell>
          <cell r="B1363">
            <v>3955</v>
          </cell>
        </row>
        <row r="1364">
          <cell r="A1364" t="str">
            <v>MEMBRESÍA NOCTURNA - APTO</v>
          </cell>
          <cell r="B1364">
            <v>3956</v>
          </cell>
        </row>
        <row r="1365">
          <cell r="A1365" t="str">
            <v>MEMBRESÍA NOCTURNA - APTO</v>
          </cell>
          <cell r="B1365">
            <v>3958</v>
          </cell>
        </row>
        <row r="1366">
          <cell r="A1366" t="str">
            <v>URBANO PARTNER</v>
          </cell>
          <cell r="B1366">
            <v>3960</v>
          </cell>
        </row>
        <row r="1367">
          <cell r="A1367" t="str">
            <v>URBANO PARTNER</v>
          </cell>
          <cell r="B1367">
            <v>3961</v>
          </cell>
        </row>
        <row r="1368">
          <cell r="A1368" t="str">
            <v>URBANO PARTNER</v>
          </cell>
          <cell r="B1368">
            <v>3962</v>
          </cell>
        </row>
        <row r="1369">
          <cell r="A1369" t="str">
            <v>URBANO PARTNER</v>
          </cell>
          <cell r="B1369">
            <v>3963</v>
          </cell>
        </row>
        <row r="1370">
          <cell r="A1370" t="str">
            <v>URBANO PARTNER</v>
          </cell>
          <cell r="B1370">
            <v>3964</v>
          </cell>
        </row>
        <row r="1371">
          <cell r="A1371" t="str">
            <v>URBANO PARTNER</v>
          </cell>
          <cell r="B1371">
            <v>3965</v>
          </cell>
        </row>
        <row r="1372">
          <cell r="A1372" t="str">
            <v>URBANO PARTNER</v>
          </cell>
          <cell r="B1372">
            <v>3966</v>
          </cell>
        </row>
        <row r="1373">
          <cell r="A1373" t="str">
            <v>URBANO PARTNER</v>
          </cell>
          <cell r="B1373">
            <v>3967</v>
          </cell>
        </row>
        <row r="1374">
          <cell r="A1374" t="str">
            <v>URBANO PARTNER</v>
          </cell>
          <cell r="B1374">
            <v>3968</v>
          </cell>
        </row>
        <row r="1375">
          <cell r="A1375" t="str">
            <v>URBANO PARTNER</v>
          </cell>
          <cell r="B1375">
            <v>3969</v>
          </cell>
        </row>
        <row r="1376">
          <cell r="A1376" t="str">
            <v>AEROLINEAS</v>
          </cell>
          <cell r="B1376">
            <v>3971</v>
          </cell>
        </row>
        <row r="1377">
          <cell r="A1377" t="str">
            <v>AEROLINEAS</v>
          </cell>
          <cell r="B1377">
            <v>3972</v>
          </cell>
        </row>
        <row r="1378">
          <cell r="A1378" t="str">
            <v>AEROLINEAS</v>
          </cell>
          <cell r="B1378">
            <v>3973</v>
          </cell>
        </row>
        <row r="1379">
          <cell r="A1379" t="str">
            <v>MEMBRESÍA NOCTURNA - APTO</v>
          </cell>
          <cell r="B1379">
            <v>3974</v>
          </cell>
        </row>
        <row r="1380">
          <cell r="A1380" t="str">
            <v>URBANO PARTNER</v>
          </cell>
          <cell r="B1380">
            <v>3976</v>
          </cell>
        </row>
        <row r="1381">
          <cell r="A1381" t="str">
            <v>URBANO PARTNER</v>
          </cell>
          <cell r="B1381">
            <v>3977</v>
          </cell>
        </row>
        <row r="1382">
          <cell r="A1382" t="str">
            <v>URBANO PARTNER</v>
          </cell>
          <cell r="B1382">
            <v>3978</v>
          </cell>
        </row>
        <row r="1383">
          <cell r="A1383" t="str">
            <v>URBANO PARTNER</v>
          </cell>
          <cell r="B1383">
            <v>3979</v>
          </cell>
        </row>
        <row r="1384">
          <cell r="A1384" t="str">
            <v>URBANO PARTNER</v>
          </cell>
          <cell r="B1384">
            <v>3980</v>
          </cell>
        </row>
        <row r="1385">
          <cell r="A1385" t="str">
            <v>AEROLINEAS</v>
          </cell>
          <cell r="B1385">
            <v>3982</v>
          </cell>
        </row>
        <row r="1386">
          <cell r="A1386" t="str">
            <v>MEMBRESÍA NOCTURNA - APTO</v>
          </cell>
          <cell r="B1386">
            <v>3984</v>
          </cell>
        </row>
        <row r="1387">
          <cell r="A1387" t="str">
            <v>MEMBRESÍA NOCTURNA - APTO</v>
          </cell>
          <cell r="B1387">
            <v>3985</v>
          </cell>
        </row>
        <row r="1388">
          <cell r="A1388" t="str">
            <v>MEMBRESÍA NOCTURNA - APTO</v>
          </cell>
          <cell r="B1388">
            <v>3986</v>
          </cell>
        </row>
        <row r="1389">
          <cell r="A1389" t="str">
            <v>MEMBRESÍA NOCTURNA - APTO</v>
          </cell>
          <cell r="B1389">
            <v>3987</v>
          </cell>
        </row>
        <row r="1390">
          <cell r="A1390" t="str">
            <v>MEMBRESÍA NOCTURNA - APTO</v>
          </cell>
          <cell r="B1390">
            <v>3988</v>
          </cell>
        </row>
        <row r="1391">
          <cell r="A1391" t="str">
            <v>URBANO PARTNER</v>
          </cell>
          <cell r="B1391">
            <v>3989</v>
          </cell>
        </row>
        <row r="1392">
          <cell r="A1392" t="str">
            <v>URBANO PARTNER</v>
          </cell>
          <cell r="B1392">
            <v>3990</v>
          </cell>
        </row>
        <row r="1393">
          <cell r="A1393" t="str">
            <v>URBANO PARTNER</v>
          </cell>
          <cell r="B1393">
            <v>3991</v>
          </cell>
        </row>
        <row r="1394">
          <cell r="A1394" t="str">
            <v>URBANO PARTNER</v>
          </cell>
          <cell r="B1394">
            <v>3992</v>
          </cell>
        </row>
        <row r="1395">
          <cell r="A1395" t="str">
            <v>URBANO PARTNER</v>
          </cell>
          <cell r="B1395">
            <v>3993</v>
          </cell>
        </row>
        <row r="1396">
          <cell r="A1396" t="str">
            <v>URBANO PARTNER</v>
          </cell>
          <cell r="B1396">
            <v>3994</v>
          </cell>
        </row>
        <row r="1397">
          <cell r="A1397" t="str">
            <v>URBANO PARTNER</v>
          </cell>
          <cell r="B1397">
            <v>3995</v>
          </cell>
        </row>
        <row r="1398">
          <cell r="A1398" t="str">
            <v>AEROLINEAS</v>
          </cell>
          <cell r="B1398">
            <v>3997</v>
          </cell>
        </row>
        <row r="1399">
          <cell r="A1399" t="str">
            <v>AEROLINEAS</v>
          </cell>
          <cell r="B1399">
            <v>3998</v>
          </cell>
        </row>
        <row r="1400">
          <cell r="A1400" t="str">
            <v>URBANO PARTNER</v>
          </cell>
          <cell r="B1400">
            <v>4025</v>
          </cell>
        </row>
        <row r="1401">
          <cell r="A1401" t="str">
            <v>AEROLINEAS</v>
          </cell>
          <cell r="B1401">
            <v>4026</v>
          </cell>
        </row>
        <row r="1402">
          <cell r="A1402" t="str">
            <v>AEROLINEAS</v>
          </cell>
          <cell r="B1402">
            <v>4027</v>
          </cell>
        </row>
        <row r="1403">
          <cell r="A1403" t="str">
            <v>URBANO PARTNER</v>
          </cell>
          <cell r="B1403">
            <v>4028</v>
          </cell>
        </row>
        <row r="1404">
          <cell r="A1404" t="str">
            <v>MEMBRESÍA NOCTURNA - APTO</v>
          </cell>
          <cell r="B1404">
            <v>4029</v>
          </cell>
        </row>
        <row r="1405">
          <cell r="A1405" t="str">
            <v>MEMBRESÍA NOCTURNA - APTO</v>
          </cell>
          <cell r="B1405">
            <v>4030</v>
          </cell>
        </row>
        <row r="1406">
          <cell r="A1406" t="str">
            <v>URBANO PARTNER</v>
          </cell>
          <cell r="B1406">
            <v>4031</v>
          </cell>
        </row>
        <row r="1407">
          <cell r="A1407" t="str">
            <v>MEMBRESÍA NOCTURNA - APTO</v>
          </cell>
          <cell r="B1407">
            <v>4032</v>
          </cell>
        </row>
        <row r="1408">
          <cell r="A1408" t="str">
            <v>MEMBRESÍA NOCTURNA - APTO</v>
          </cell>
          <cell r="B1408">
            <v>4033</v>
          </cell>
        </row>
        <row r="1409">
          <cell r="A1409" t="str">
            <v>MEMBRESÍA NOCTURNA - APTO</v>
          </cell>
          <cell r="B1409">
            <v>4034</v>
          </cell>
        </row>
        <row r="1410">
          <cell r="A1410" t="str">
            <v>URBANO PARTNER</v>
          </cell>
          <cell r="B1410">
            <v>4036</v>
          </cell>
        </row>
        <row r="1411">
          <cell r="A1411" t="str">
            <v>URBANO PARTNER</v>
          </cell>
          <cell r="B1411">
            <v>4037</v>
          </cell>
        </row>
        <row r="1412">
          <cell r="A1412" t="str">
            <v>URBANO PARTNER</v>
          </cell>
          <cell r="B1412">
            <v>4038</v>
          </cell>
        </row>
        <row r="1413">
          <cell r="A1413" t="str">
            <v>URBANO PARTNER</v>
          </cell>
          <cell r="B1413">
            <v>4040</v>
          </cell>
        </row>
        <row r="1414">
          <cell r="A1414" t="str">
            <v>AEROLINEAS</v>
          </cell>
          <cell r="B1414">
            <v>4041</v>
          </cell>
        </row>
        <row r="1415">
          <cell r="A1415" t="str">
            <v>MEMBRESÍA NOCTURNA - APTO</v>
          </cell>
          <cell r="B1415">
            <v>4042</v>
          </cell>
        </row>
        <row r="1416">
          <cell r="A1416" t="str">
            <v>URBANO PARTNER</v>
          </cell>
          <cell r="B1416">
            <v>4043</v>
          </cell>
        </row>
        <row r="1417">
          <cell r="A1417" t="str">
            <v>AEROPUERTO VAN</v>
          </cell>
          <cell r="B1417">
            <v>4044</v>
          </cell>
        </row>
        <row r="1418">
          <cell r="A1418" t="str">
            <v>MEMBRESÍA NOCTURNA - APTO</v>
          </cell>
          <cell r="B1418">
            <v>4045</v>
          </cell>
        </row>
        <row r="1419">
          <cell r="A1419" t="str">
            <v>URBANO PARTNER</v>
          </cell>
          <cell r="B1419">
            <v>4046</v>
          </cell>
        </row>
        <row r="1420">
          <cell r="A1420" t="str">
            <v>URBANO PARTNER</v>
          </cell>
          <cell r="B1420">
            <v>4047</v>
          </cell>
        </row>
        <row r="1421">
          <cell r="A1421" t="str">
            <v>URBANO PARTNER</v>
          </cell>
          <cell r="B1421">
            <v>4048</v>
          </cell>
        </row>
        <row r="1422">
          <cell r="A1422" t="str">
            <v>AEROLINEAS</v>
          </cell>
          <cell r="B1422">
            <v>4049</v>
          </cell>
        </row>
        <row r="1423">
          <cell r="A1423" t="str">
            <v>AEROLINEAS</v>
          </cell>
          <cell r="B1423">
            <v>4050</v>
          </cell>
        </row>
        <row r="1424">
          <cell r="A1424" t="str">
            <v>URBANO PARTNER</v>
          </cell>
          <cell r="B1424">
            <v>4051</v>
          </cell>
        </row>
        <row r="1425">
          <cell r="A1425" t="str">
            <v>URBANO PARTNER</v>
          </cell>
          <cell r="B1425">
            <v>4052</v>
          </cell>
        </row>
        <row r="1426">
          <cell r="A1426" t="str">
            <v>URBANO PARTNER</v>
          </cell>
          <cell r="B1426">
            <v>4053</v>
          </cell>
        </row>
        <row r="1427">
          <cell r="A1427" t="str">
            <v>URBANO PARTNER</v>
          </cell>
          <cell r="B1427">
            <v>4054</v>
          </cell>
        </row>
        <row r="1428">
          <cell r="A1428" t="str">
            <v>MEMBRESÍA NOCTURNA - APTO</v>
          </cell>
          <cell r="B1428">
            <v>4055</v>
          </cell>
        </row>
        <row r="1429">
          <cell r="A1429" t="str">
            <v>MEMBRESÍA NOCTURNA - APTO</v>
          </cell>
          <cell r="B1429">
            <v>4056</v>
          </cell>
        </row>
        <row r="1430">
          <cell r="A1430" t="str">
            <v>MEMBRESÍA NOCTURNA - APTO</v>
          </cell>
          <cell r="B1430">
            <v>4057</v>
          </cell>
        </row>
        <row r="1431">
          <cell r="A1431" t="str">
            <v>URBANO PARTNER</v>
          </cell>
          <cell r="B1431">
            <v>4061</v>
          </cell>
        </row>
        <row r="1432">
          <cell r="A1432" t="str">
            <v>URBANO PARTNER</v>
          </cell>
          <cell r="B1432">
            <v>4062</v>
          </cell>
        </row>
        <row r="1433">
          <cell r="A1433" t="str">
            <v>URBANO PARTNER</v>
          </cell>
          <cell r="B1433">
            <v>4063</v>
          </cell>
        </row>
        <row r="1434">
          <cell r="A1434" t="str">
            <v>AEROLINEAS</v>
          </cell>
          <cell r="B1434">
            <v>4064</v>
          </cell>
        </row>
        <row r="1435">
          <cell r="A1435" t="str">
            <v>MEMBRESÍA NOCTURNA - APTO</v>
          </cell>
          <cell r="B1435">
            <v>4067</v>
          </cell>
        </row>
        <row r="1436">
          <cell r="A1436" t="str">
            <v>MEMBRESÍA NOCTURNA - APTO</v>
          </cell>
          <cell r="B1436">
            <v>4068</v>
          </cell>
        </row>
        <row r="1437">
          <cell r="A1437" t="str">
            <v>MEMBRESÍA DIURNA</v>
          </cell>
          <cell r="B1437">
            <v>4070</v>
          </cell>
        </row>
        <row r="1438">
          <cell r="A1438" t="str">
            <v>AEROLINEAS</v>
          </cell>
          <cell r="B1438">
            <v>4072</v>
          </cell>
        </row>
        <row r="1439">
          <cell r="A1439" t="str">
            <v>AEROLINEAS</v>
          </cell>
          <cell r="B1439">
            <v>4073</v>
          </cell>
        </row>
        <row r="1440">
          <cell r="A1440" t="str">
            <v>URBANO PARTNER</v>
          </cell>
          <cell r="B1440">
            <v>4076</v>
          </cell>
        </row>
        <row r="1441">
          <cell r="A1441" t="str">
            <v>URBANO PARTNER</v>
          </cell>
          <cell r="B1441">
            <v>4077</v>
          </cell>
        </row>
        <row r="1442">
          <cell r="A1442" t="str">
            <v>URBANO PARTNER</v>
          </cell>
          <cell r="B1442">
            <v>4078</v>
          </cell>
        </row>
        <row r="1443">
          <cell r="A1443" t="str">
            <v>URBANO PARTNER</v>
          </cell>
          <cell r="B1443">
            <v>4079</v>
          </cell>
        </row>
        <row r="1444">
          <cell r="A1444" t="str">
            <v>URBANO PARTNER</v>
          </cell>
          <cell r="B1444">
            <v>4080</v>
          </cell>
        </row>
        <row r="1445">
          <cell r="A1445" t="str">
            <v>URBANO PARTNER</v>
          </cell>
          <cell r="B1445">
            <v>4081</v>
          </cell>
        </row>
        <row r="1446">
          <cell r="A1446" t="str">
            <v>URBANO PARTNER</v>
          </cell>
          <cell r="B1446">
            <v>4082</v>
          </cell>
        </row>
        <row r="1447">
          <cell r="A1447" t="str">
            <v>URBANO PARTNER</v>
          </cell>
          <cell r="B1447">
            <v>4085</v>
          </cell>
        </row>
        <row r="1448">
          <cell r="A1448" t="str">
            <v>AEROLINEAS</v>
          </cell>
          <cell r="B1448">
            <v>4086</v>
          </cell>
        </row>
        <row r="1449">
          <cell r="A1449" t="str">
            <v>MEMBRESÍA NOCTURNA - APTO</v>
          </cell>
          <cell r="B1449">
            <v>4089</v>
          </cell>
        </row>
        <row r="1450">
          <cell r="A1450" t="str">
            <v>URBANO PARTNER</v>
          </cell>
          <cell r="B1450">
            <v>4090</v>
          </cell>
        </row>
        <row r="1451">
          <cell r="A1451" t="str">
            <v>URBANO PARTNER</v>
          </cell>
          <cell r="B1451">
            <v>4091</v>
          </cell>
        </row>
        <row r="1452">
          <cell r="A1452" t="str">
            <v>URBANO PARTNER</v>
          </cell>
          <cell r="B1452">
            <v>4092</v>
          </cell>
        </row>
        <row r="1453">
          <cell r="A1453" t="str">
            <v>URBANO PARTNER</v>
          </cell>
          <cell r="B1453">
            <v>4093</v>
          </cell>
        </row>
        <row r="1454">
          <cell r="A1454" t="str">
            <v>AEROPUERTO VAN</v>
          </cell>
          <cell r="B1454">
            <v>4094</v>
          </cell>
        </row>
        <row r="1455">
          <cell r="A1455" t="str">
            <v>MEMBRESÍA NOCTURNA - APTO</v>
          </cell>
          <cell r="B1455">
            <v>4095</v>
          </cell>
        </row>
        <row r="1456">
          <cell r="A1456" t="str">
            <v>MEMBRESÍA NOCTURNA - APTO</v>
          </cell>
          <cell r="B1456">
            <v>4096</v>
          </cell>
        </row>
        <row r="1457">
          <cell r="A1457" t="str">
            <v>MEMBRESÍA NOCTURNA - APTO</v>
          </cell>
          <cell r="B1457">
            <v>4097</v>
          </cell>
        </row>
        <row r="1458">
          <cell r="A1458" t="str">
            <v>MEMBRESÍA NOCTURNA - APTO</v>
          </cell>
          <cell r="B1458">
            <v>4099</v>
          </cell>
        </row>
        <row r="1459">
          <cell r="A1459" t="str">
            <v>MEMBRESÍA DIURNA</v>
          </cell>
          <cell r="B1459">
            <v>4100</v>
          </cell>
        </row>
        <row r="1460">
          <cell r="A1460" t="str">
            <v>URBANO PARTNER</v>
          </cell>
          <cell r="B1460">
            <v>4102</v>
          </cell>
        </row>
        <row r="1461">
          <cell r="A1461" t="str">
            <v>AEROPUERTO</v>
          </cell>
          <cell r="B1461">
            <v>4103</v>
          </cell>
        </row>
        <row r="1462">
          <cell r="A1462" t="str">
            <v>URBANO PARTNER</v>
          </cell>
          <cell r="B1462">
            <v>4105</v>
          </cell>
        </row>
        <row r="1463">
          <cell r="A1463" t="str">
            <v>AEROLINEAS</v>
          </cell>
          <cell r="B1463">
            <v>4106</v>
          </cell>
        </row>
        <row r="1464">
          <cell r="A1464" t="str">
            <v>URBANO PARTNER</v>
          </cell>
          <cell r="B1464">
            <v>4108</v>
          </cell>
        </row>
        <row r="1465">
          <cell r="A1465" t="str">
            <v>AEROLINEAS</v>
          </cell>
          <cell r="B1465">
            <v>4109</v>
          </cell>
        </row>
        <row r="1466">
          <cell r="A1466" t="str">
            <v>MEMBRESÍA NOCTURNA - APTO</v>
          </cell>
          <cell r="B1466">
            <v>4111</v>
          </cell>
        </row>
        <row r="1467">
          <cell r="A1467" t="str">
            <v>MEMBRESÍA NOCTURNA - APTO</v>
          </cell>
          <cell r="B1467">
            <v>4112</v>
          </cell>
        </row>
        <row r="1468">
          <cell r="A1468" t="str">
            <v>AEROLINEAS</v>
          </cell>
          <cell r="B1468">
            <v>4113</v>
          </cell>
        </row>
        <row r="1469">
          <cell r="A1469" t="str">
            <v>URBANO PARTNER</v>
          </cell>
          <cell r="B1469">
            <v>4115</v>
          </cell>
        </row>
        <row r="1470">
          <cell r="A1470" t="str">
            <v>URBANO PARTNER</v>
          </cell>
          <cell r="B1470">
            <v>4116</v>
          </cell>
        </row>
        <row r="1471">
          <cell r="A1471" t="str">
            <v>URBANO PARTNER</v>
          </cell>
          <cell r="B1471">
            <v>4117</v>
          </cell>
        </row>
        <row r="1472">
          <cell r="A1472" t="str">
            <v>URBANO PARTNER</v>
          </cell>
          <cell r="B1472">
            <v>4119</v>
          </cell>
        </row>
        <row r="1473">
          <cell r="A1473" t="str">
            <v>URBANO PARTNER</v>
          </cell>
          <cell r="B1473">
            <v>4120</v>
          </cell>
        </row>
        <row r="1474">
          <cell r="A1474" t="str">
            <v>URBANO PARTNER</v>
          </cell>
          <cell r="B1474">
            <v>4121</v>
          </cell>
        </row>
        <row r="1475">
          <cell r="A1475" t="str">
            <v>URBANO PARTNER</v>
          </cell>
          <cell r="B1475">
            <v>4122</v>
          </cell>
        </row>
        <row r="1476">
          <cell r="A1476" t="str">
            <v>URBANO PARTNER</v>
          </cell>
          <cell r="B1476">
            <v>4128</v>
          </cell>
        </row>
        <row r="1477">
          <cell r="A1477" t="str">
            <v>MEMBRESÍA DIURNA</v>
          </cell>
          <cell r="B1477">
            <v>4131</v>
          </cell>
        </row>
        <row r="1478">
          <cell r="A1478" t="str">
            <v>MEMBRESÍA NOCTURNA - APTO</v>
          </cell>
          <cell r="B1478">
            <v>4132</v>
          </cell>
        </row>
        <row r="1479">
          <cell r="A1479" t="str">
            <v>AEROLINEAS</v>
          </cell>
          <cell r="B1479">
            <v>4133</v>
          </cell>
        </row>
        <row r="1480">
          <cell r="A1480" t="str">
            <v>AEROLINEAS</v>
          </cell>
          <cell r="B1480">
            <v>4134</v>
          </cell>
        </row>
        <row r="1481">
          <cell r="A1481" t="str">
            <v>AEROLINEAS</v>
          </cell>
          <cell r="B1481">
            <v>4135</v>
          </cell>
        </row>
        <row r="1482">
          <cell r="A1482" t="str">
            <v>URBANO PARTNER</v>
          </cell>
          <cell r="B1482">
            <v>4136</v>
          </cell>
        </row>
        <row r="1483">
          <cell r="A1483" t="str">
            <v>AEROLINEAS</v>
          </cell>
          <cell r="B1483">
            <v>4138</v>
          </cell>
        </row>
        <row r="1484">
          <cell r="A1484" t="str">
            <v>URBANO PARTNER</v>
          </cell>
          <cell r="B1484">
            <v>4139</v>
          </cell>
        </row>
        <row r="1485">
          <cell r="A1485" t="str">
            <v>URBANO PARTNER</v>
          </cell>
          <cell r="B1485">
            <v>4140</v>
          </cell>
        </row>
        <row r="1486">
          <cell r="A1486" t="str">
            <v>URBANO PARTNER</v>
          </cell>
          <cell r="B1486">
            <v>4141</v>
          </cell>
        </row>
        <row r="1487">
          <cell r="A1487" t="str">
            <v>MEMBRESÍA NOCTURNA - APTO</v>
          </cell>
          <cell r="B1487">
            <v>4142</v>
          </cell>
        </row>
        <row r="1488">
          <cell r="A1488" t="str">
            <v>URBANO PARTNER</v>
          </cell>
          <cell r="B1488">
            <v>4143</v>
          </cell>
        </row>
        <row r="1489">
          <cell r="A1489" t="str">
            <v>MEMBRESÍA NOCTURNA - APTO</v>
          </cell>
          <cell r="B1489">
            <v>4144</v>
          </cell>
        </row>
        <row r="1490">
          <cell r="A1490" t="str">
            <v>MEMBRESÍA DIURNA</v>
          </cell>
          <cell r="B1490">
            <v>4145</v>
          </cell>
        </row>
        <row r="1491">
          <cell r="A1491" t="str">
            <v>AEROLINEAS</v>
          </cell>
          <cell r="B1491">
            <v>4146</v>
          </cell>
        </row>
        <row r="1492">
          <cell r="A1492" t="str">
            <v>AEROLINEAS</v>
          </cell>
          <cell r="B1492">
            <v>4147</v>
          </cell>
        </row>
        <row r="1493">
          <cell r="A1493" t="str">
            <v>AEROLINEAS</v>
          </cell>
          <cell r="B1493">
            <v>4148</v>
          </cell>
        </row>
        <row r="1494">
          <cell r="A1494" t="str">
            <v>URBANO PARTNER</v>
          </cell>
          <cell r="B1494">
            <v>4151</v>
          </cell>
        </row>
        <row r="1495">
          <cell r="A1495" t="str">
            <v>URBANO PARTNER</v>
          </cell>
          <cell r="B1495">
            <v>4152</v>
          </cell>
        </row>
        <row r="1496">
          <cell r="A1496" t="str">
            <v>URBANO PARTNER</v>
          </cell>
          <cell r="B1496">
            <v>4153</v>
          </cell>
        </row>
        <row r="1497">
          <cell r="A1497" t="str">
            <v>URBANO PARTNER</v>
          </cell>
          <cell r="B1497">
            <v>4154</v>
          </cell>
        </row>
        <row r="1498">
          <cell r="A1498" t="str">
            <v>URBANO PARTNER</v>
          </cell>
          <cell r="B1498">
            <v>4155</v>
          </cell>
        </row>
        <row r="1499">
          <cell r="A1499" t="str">
            <v>AEROLINEAS</v>
          </cell>
          <cell r="B1499">
            <v>4156</v>
          </cell>
        </row>
        <row r="1500">
          <cell r="A1500" t="str">
            <v>AEROLINEAS</v>
          </cell>
          <cell r="B1500">
            <v>4157</v>
          </cell>
        </row>
        <row r="1501">
          <cell r="A1501" t="str">
            <v>MEMBRESÍA NOCTURNA - APTO</v>
          </cell>
          <cell r="B1501">
            <v>4159</v>
          </cell>
        </row>
        <row r="1502">
          <cell r="A1502" t="str">
            <v>AEROLINEAS</v>
          </cell>
          <cell r="B1502">
            <v>4162</v>
          </cell>
        </row>
        <row r="1503">
          <cell r="A1503" t="str">
            <v>AEROLINEAS</v>
          </cell>
          <cell r="B1503">
            <v>4163</v>
          </cell>
        </row>
        <row r="1504">
          <cell r="A1504" t="str">
            <v>AEROLINEAS</v>
          </cell>
          <cell r="B1504">
            <v>4164</v>
          </cell>
        </row>
        <row r="1505">
          <cell r="A1505" t="str">
            <v>URBANO PARTNER</v>
          </cell>
          <cell r="B1505">
            <v>4165</v>
          </cell>
        </row>
        <row r="1506">
          <cell r="A1506" t="str">
            <v>AEROLINEAS</v>
          </cell>
          <cell r="B1506">
            <v>4167</v>
          </cell>
        </row>
        <row r="1507">
          <cell r="A1507" t="str">
            <v>AEROLINEAS</v>
          </cell>
          <cell r="B1507">
            <v>4168</v>
          </cell>
        </row>
        <row r="1508">
          <cell r="A1508" t="str">
            <v>AEROLINEAS</v>
          </cell>
          <cell r="B1508">
            <v>4169</v>
          </cell>
        </row>
        <row r="1509">
          <cell r="A1509" t="str">
            <v>AEROLINEAS</v>
          </cell>
          <cell r="B1509">
            <v>4170</v>
          </cell>
        </row>
        <row r="1510">
          <cell r="A1510" t="str">
            <v>URBANO PARTNER</v>
          </cell>
          <cell r="B1510">
            <v>4171</v>
          </cell>
        </row>
        <row r="1511">
          <cell r="A1511" t="str">
            <v>FLOTA PROPIA</v>
          </cell>
          <cell r="B1511">
            <v>4172</v>
          </cell>
        </row>
        <row r="1512">
          <cell r="A1512" t="str">
            <v>MEMBRESÍA NOCTURNA - APTO</v>
          </cell>
          <cell r="B1512">
            <v>4173</v>
          </cell>
        </row>
        <row r="1513">
          <cell r="A1513" t="str">
            <v>FLOTA PROPIA</v>
          </cell>
          <cell r="B1513">
            <v>4174</v>
          </cell>
        </row>
        <row r="1514">
          <cell r="A1514" t="str">
            <v>FLOTA PROPIA</v>
          </cell>
          <cell r="B1514">
            <v>4175</v>
          </cell>
        </row>
        <row r="1515">
          <cell r="A1515" t="str">
            <v>FLOTA PROPIA</v>
          </cell>
          <cell r="B1515">
            <v>4176</v>
          </cell>
        </row>
        <row r="1516">
          <cell r="A1516" t="str">
            <v>FLOTA PROPIA</v>
          </cell>
          <cell r="B1516">
            <v>4177</v>
          </cell>
        </row>
        <row r="1517">
          <cell r="A1517" t="str">
            <v>FLOTA PROPIA</v>
          </cell>
          <cell r="B1517">
            <v>4178</v>
          </cell>
        </row>
        <row r="1518">
          <cell r="A1518" t="str">
            <v>FLOTA PROPIA</v>
          </cell>
          <cell r="B1518">
            <v>4179</v>
          </cell>
        </row>
        <row r="1519">
          <cell r="A1519" t="str">
            <v>MEMBRESÍA NOCTURNA - APTO</v>
          </cell>
          <cell r="B1519">
            <v>4180</v>
          </cell>
        </row>
        <row r="1520">
          <cell r="A1520" t="str">
            <v>MEMBRESÍA NOCTURNA - APTO</v>
          </cell>
          <cell r="B1520">
            <v>4181</v>
          </cell>
        </row>
        <row r="1521">
          <cell r="A1521" t="str">
            <v>URBANO PARTNER</v>
          </cell>
          <cell r="B1521">
            <v>4183</v>
          </cell>
        </row>
        <row r="1522">
          <cell r="A1522" t="str">
            <v>URBANO PARTNER</v>
          </cell>
          <cell r="B1522">
            <v>4185</v>
          </cell>
        </row>
        <row r="1523">
          <cell r="A1523" t="str">
            <v>URBANO PARTNER</v>
          </cell>
          <cell r="B1523">
            <v>4186</v>
          </cell>
        </row>
        <row r="1524">
          <cell r="A1524" t="str">
            <v>URBANO PARTNER</v>
          </cell>
          <cell r="B1524">
            <v>4187</v>
          </cell>
        </row>
        <row r="1525">
          <cell r="A1525" t="str">
            <v>URBANO PARTNER</v>
          </cell>
          <cell r="B1525">
            <v>4188</v>
          </cell>
        </row>
        <row r="1526">
          <cell r="A1526" t="str">
            <v>AEROLINEAS</v>
          </cell>
          <cell r="B1526">
            <v>4189</v>
          </cell>
        </row>
        <row r="1527">
          <cell r="A1527" t="str">
            <v>AEROLINEAS</v>
          </cell>
          <cell r="B1527">
            <v>4190</v>
          </cell>
        </row>
        <row r="1528">
          <cell r="A1528" t="str">
            <v>AEROLINEAS</v>
          </cell>
          <cell r="B1528">
            <v>4191</v>
          </cell>
        </row>
        <row r="1529">
          <cell r="A1529" t="str">
            <v>AEROLINEAS</v>
          </cell>
          <cell r="B1529">
            <v>4192</v>
          </cell>
        </row>
        <row r="1530">
          <cell r="A1530" t="str">
            <v>AEROLINEAS</v>
          </cell>
          <cell r="B1530">
            <v>4193</v>
          </cell>
        </row>
        <row r="1531">
          <cell r="A1531" t="str">
            <v>AEROLINEAS</v>
          </cell>
          <cell r="B1531">
            <v>4194</v>
          </cell>
        </row>
        <row r="1532">
          <cell r="A1532" t="str">
            <v>AEROLINEAS</v>
          </cell>
          <cell r="B1532">
            <v>4195</v>
          </cell>
        </row>
        <row r="1533">
          <cell r="A1533" t="str">
            <v>AEROLINEAS</v>
          </cell>
          <cell r="B1533">
            <v>4196</v>
          </cell>
        </row>
        <row r="1534">
          <cell r="A1534" t="str">
            <v>MEMBRESÍA NOCTURNA - APTO</v>
          </cell>
          <cell r="B1534">
            <v>4197</v>
          </cell>
        </row>
        <row r="1535">
          <cell r="A1535" t="str">
            <v>AEROPUERTO VAN</v>
          </cell>
          <cell r="B1535">
            <v>4199</v>
          </cell>
        </row>
        <row r="1536">
          <cell r="A1536" t="str">
            <v>FLOTA PROPIA</v>
          </cell>
          <cell r="B1536">
            <v>4200</v>
          </cell>
        </row>
        <row r="1537">
          <cell r="A1537" t="str">
            <v>FLOTA PROPIA</v>
          </cell>
          <cell r="B1537">
            <v>4201</v>
          </cell>
        </row>
        <row r="1538">
          <cell r="A1538" t="str">
            <v>FLOTA PROPIA</v>
          </cell>
          <cell r="B1538">
            <v>4202</v>
          </cell>
        </row>
        <row r="1539">
          <cell r="A1539" t="str">
            <v>FLOTA PROPIA</v>
          </cell>
          <cell r="B1539">
            <v>4203</v>
          </cell>
        </row>
        <row r="1540">
          <cell r="A1540" t="str">
            <v>FLOTA PROPIA</v>
          </cell>
          <cell r="B1540">
            <v>4204</v>
          </cell>
        </row>
        <row r="1541">
          <cell r="A1541" t="str">
            <v>FLOTA PROPIA</v>
          </cell>
          <cell r="B1541">
            <v>4205</v>
          </cell>
        </row>
        <row r="1542">
          <cell r="A1542" t="str">
            <v>FLOTA PROPIA</v>
          </cell>
          <cell r="B1542">
            <v>4206</v>
          </cell>
        </row>
        <row r="1543">
          <cell r="A1543" t="str">
            <v>FLOTA PROPIA</v>
          </cell>
          <cell r="B1543">
            <v>4207</v>
          </cell>
        </row>
        <row r="1544">
          <cell r="A1544" t="str">
            <v>FLOTA PROPIA</v>
          </cell>
          <cell r="B1544">
            <v>4208</v>
          </cell>
        </row>
        <row r="1545">
          <cell r="A1545" t="str">
            <v>FLOTA PROPIA</v>
          </cell>
          <cell r="B1545">
            <v>4210</v>
          </cell>
        </row>
        <row r="1546">
          <cell r="A1546" t="str">
            <v>FLOTA PROPIA</v>
          </cell>
          <cell r="B1546">
            <v>4211</v>
          </cell>
        </row>
        <row r="1547">
          <cell r="A1547" t="str">
            <v>FLOTA PROPIA</v>
          </cell>
          <cell r="B1547">
            <v>4214</v>
          </cell>
        </row>
        <row r="1548">
          <cell r="A1548" t="str">
            <v>FLOTA PROPIA</v>
          </cell>
          <cell r="B1548">
            <v>4215</v>
          </cell>
        </row>
        <row r="1549">
          <cell r="A1549" t="str">
            <v>FLOTA PROPIA</v>
          </cell>
          <cell r="B1549">
            <v>4217</v>
          </cell>
        </row>
        <row r="1550">
          <cell r="A1550" t="str">
            <v>FLOTA PROPIA</v>
          </cell>
          <cell r="B1550">
            <v>4218</v>
          </cell>
        </row>
        <row r="1551">
          <cell r="A1551" t="str">
            <v>FLOTA PROPIA</v>
          </cell>
          <cell r="B1551">
            <v>4219</v>
          </cell>
        </row>
        <row r="1552">
          <cell r="A1552" t="str">
            <v>FLOTA PROPIA</v>
          </cell>
          <cell r="B1552">
            <v>4220</v>
          </cell>
        </row>
        <row r="1553">
          <cell r="A1553" t="str">
            <v>FLOTA PROPIA</v>
          </cell>
          <cell r="B1553">
            <v>4221</v>
          </cell>
        </row>
        <row r="1554">
          <cell r="A1554" t="str">
            <v>FLOTA PROPIA</v>
          </cell>
          <cell r="B1554">
            <v>4223</v>
          </cell>
        </row>
        <row r="1555">
          <cell r="A1555" t="str">
            <v>FLOTA PROPIA</v>
          </cell>
          <cell r="B1555">
            <v>4224</v>
          </cell>
        </row>
        <row r="1556">
          <cell r="A1556" t="str">
            <v>FLOTA PROPIA</v>
          </cell>
          <cell r="B1556">
            <v>4225</v>
          </cell>
        </row>
        <row r="1557">
          <cell r="A1557" t="str">
            <v>FLOTA PROPIA</v>
          </cell>
          <cell r="B1557">
            <v>4226</v>
          </cell>
        </row>
        <row r="1558">
          <cell r="A1558" t="str">
            <v>URBANO PARTNER</v>
          </cell>
          <cell r="B1558">
            <v>4251</v>
          </cell>
        </row>
        <row r="1559">
          <cell r="A1559" t="str">
            <v>AEROLINEAS</v>
          </cell>
          <cell r="B1559">
            <v>4252</v>
          </cell>
        </row>
        <row r="1560">
          <cell r="A1560" t="str">
            <v>AEROLINEAS</v>
          </cell>
          <cell r="B1560">
            <v>4253</v>
          </cell>
        </row>
        <row r="1561">
          <cell r="A1561" t="str">
            <v>URBANO PARTNER</v>
          </cell>
          <cell r="B1561">
            <v>4254</v>
          </cell>
        </row>
        <row r="1562">
          <cell r="A1562" t="str">
            <v>URBANO PARTNER</v>
          </cell>
          <cell r="B1562">
            <v>4255</v>
          </cell>
        </row>
        <row r="1563">
          <cell r="A1563" t="str">
            <v>URBANO PARTNER</v>
          </cell>
          <cell r="B1563">
            <v>4256</v>
          </cell>
        </row>
        <row r="1564">
          <cell r="A1564" t="str">
            <v>AEROLINEAS</v>
          </cell>
          <cell r="B1564">
            <v>4257</v>
          </cell>
        </row>
        <row r="1565">
          <cell r="A1565" t="str">
            <v>AEROLINEAS</v>
          </cell>
          <cell r="B1565">
            <v>4258</v>
          </cell>
        </row>
        <row r="1566">
          <cell r="A1566" t="str">
            <v>MEMBRESÍA NOCTURNA - APTO</v>
          </cell>
          <cell r="B1566">
            <v>4259</v>
          </cell>
        </row>
        <row r="1567">
          <cell r="A1567" t="str">
            <v>MEMBRESÍA NOCTURNA - APTO</v>
          </cell>
          <cell r="B1567">
            <v>4260</v>
          </cell>
        </row>
        <row r="1568">
          <cell r="A1568" t="str">
            <v>MEMBRESÍA NOCTURNA - APTO</v>
          </cell>
          <cell r="B1568">
            <v>4262</v>
          </cell>
        </row>
        <row r="1569">
          <cell r="A1569" t="str">
            <v>URBANO PARTNER</v>
          </cell>
          <cell r="B1569">
            <v>4264</v>
          </cell>
        </row>
        <row r="1570">
          <cell r="A1570" t="str">
            <v>MEMBRESÍA NOCTURNA - APTO</v>
          </cell>
          <cell r="B1570">
            <v>4265</v>
          </cell>
        </row>
        <row r="1571">
          <cell r="A1571" t="str">
            <v>MEMBRESÍA DIURNA</v>
          </cell>
          <cell r="B1571">
            <v>4266</v>
          </cell>
        </row>
        <row r="1572">
          <cell r="A1572" t="str">
            <v>URBANO PARTNER</v>
          </cell>
          <cell r="B1572">
            <v>4267</v>
          </cell>
        </row>
        <row r="1573">
          <cell r="A1573" t="str">
            <v>URBANO PARTNER</v>
          </cell>
          <cell r="B1573">
            <v>4268</v>
          </cell>
        </row>
        <row r="1574">
          <cell r="A1574" t="str">
            <v>URBANO PARTNER</v>
          </cell>
          <cell r="B1574">
            <v>4269</v>
          </cell>
        </row>
        <row r="1575">
          <cell r="A1575" t="str">
            <v>URBANO PARTNER</v>
          </cell>
          <cell r="B1575">
            <v>4270</v>
          </cell>
        </row>
        <row r="1576">
          <cell r="A1576" t="str">
            <v>URBANO PARTNER</v>
          </cell>
          <cell r="B1576">
            <v>4271</v>
          </cell>
        </row>
        <row r="1577">
          <cell r="A1577" t="str">
            <v>URBANO PARTNER</v>
          </cell>
          <cell r="B1577">
            <v>4272</v>
          </cell>
        </row>
        <row r="1578">
          <cell r="A1578" t="str">
            <v>AEROLINEAS</v>
          </cell>
          <cell r="B1578">
            <v>4278</v>
          </cell>
        </row>
        <row r="1579">
          <cell r="A1579" t="str">
            <v>MEMBRESÍA DIURNA</v>
          </cell>
          <cell r="B1579">
            <v>4277</v>
          </cell>
        </row>
        <row r="1580">
          <cell r="A1580" t="str">
            <v>URBANO PARTNER</v>
          </cell>
          <cell r="B1580">
            <v>4279</v>
          </cell>
        </row>
        <row r="1581">
          <cell r="A1581" t="str">
            <v>URBANO PARTNER</v>
          </cell>
          <cell r="B1581">
            <v>4280</v>
          </cell>
        </row>
        <row r="1582">
          <cell r="A1582" t="str">
            <v>URBANO PARTNER</v>
          </cell>
          <cell r="B1582">
            <v>4281</v>
          </cell>
        </row>
        <row r="1583">
          <cell r="A1583" t="str">
            <v>AEROLINEAS</v>
          </cell>
          <cell r="B1583">
            <v>4284</v>
          </cell>
        </row>
        <row r="1584">
          <cell r="A1584" t="str">
            <v>AEROLINEAS</v>
          </cell>
          <cell r="B1584">
            <v>4285</v>
          </cell>
        </row>
        <row r="1585">
          <cell r="A1585" t="str">
            <v>AEROPUERTO</v>
          </cell>
          <cell r="B1585">
            <v>4286</v>
          </cell>
        </row>
        <row r="1586">
          <cell r="A1586" t="str">
            <v>MEMBRESÍA NOCTURNA - APTO</v>
          </cell>
          <cell r="B1586">
            <v>4287</v>
          </cell>
        </row>
        <row r="1587">
          <cell r="A1587" t="str">
            <v>MEMBRESÍA NOCTURNA - APTO</v>
          </cell>
          <cell r="B1587">
            <v>4288</v>
          </cell>
        </row>
        <row r="1588">
          <cell r="A1588" t="str">
            <v>URBANO PARTNER</v>
          </cell>
          <cell r="B1588">
            <v>4289</v>
          </cell>
        </row>
        <row r="1589">
          <cell r="A1589" t="str">
            <v>MEMBRESÍA NOCTURNA - APTO</v>
          </cell>
          <cell r="B1589">
            <v>4290</v>
          </cell>
        </row>
        <row r="1590">
          <cell r="A1590" t="str">
            <v>MEMBRESÍA NOCTURNA - APTO</v>
          </cell>
          <cell r="B1590">
            <v>4291</v>
          </cell>
        </row>
        <row r="1591">
          <cell r="A1591" t="str">
            <v>URBANO PARTNER</v>
          </cell>
          <cell r="B1591">
            <v>4293</v>
          </cell>
        </row>
        <row r="1592">
          <cell r="A1592" t="str">
            <v>AEROLINEAS</v>
          </cell>
          <cell r="B1592">
            <v>4294</v>
          </cell>
        </row>
        <row r="1593">
          <cell r="A1593" t="str">
            <v>AEROLINEAS</v>
          </cell>
          <cell r="B1593">
            <v>4295</v>
          </cell>
        </row>
        <row r="1594">
          <cell r="A1594" t="str">
            <v>AEROLINEAS</v>
          </cell>
          <cell r="B1594">
            <v>4296</v>
          </cell>
        </row>
        <row r="1595">
          <cell r="A1595" t="str">
            <v>AEROLINEAS</v>
          </cell>
          <cell r="B1595">
            <v>4297</v>
          </cell>
        </row>
        <row r="1596">
          <cell r="A1596" t="str">
            <v>AEROLINEAS</v>
          </cell>
          <cell r="B1596">
            <v>4299</v>
          </cell>
        </row>
        <row r="1597">
          <cell r="A1597" t="str">
            <v>MEMBRESÍA DIURNA</v>
          </cell>
          <cell r="B1597">
            <v>4300</v>
          </cell>
        </row>
        <row r="1598">
          <cell r="A1598" t="str">
            <v>AEROLINEAS</v>
          </cell>
          <cell r="B1598">
            <v>4301</v>
          </cell>
        </row>
        <row r="1599">
          <cell r="A1599" t="str">
            <v>AEROLINEAS</v>
          </cell>
          <cell r="B1599">
            <v>4302</v>
          </cell>
        </row>
        <row r="1600">
          <cell r="A1600" t="str">
            <v>URBANO PARTNER</v>
          </cell>
          <cell r="B1600">
            <v>4303</v>
          </cell>
        </row>
        <row r="1601">
          <cell r="A1601" t="str">
            <v>AEROLINEAS</v>
          </cell>
          <cell r="B1601">
            <v>4304</v>
          </cell>
        </row>
        <row r="1602">
          <cell r="A1602" t="str">
            <v>MEMBRESÍA DIURNA</v>
          </cell>
          <cell r="B1602">
            <v>4305</v>
          </cell>
        </row>
        <row r="1603">
          <cell r="A1603" t="str">
            <v>MEMBRESÍA DIURNA</v>
          </cell>
          <cell r="B1603">
            <v>4306</v>
          </cell>
        </row>
        <row r="1604">
          <cell r="A1604" t="str">
            <v>URBANO PARTNER</v>
          </cell>
          <cell r="B1604">
            <v>4307</v>
          </cell>
        </row>
        <row r="1605">
          <cell r="A1605" t="str">
            <v>AEROLINEAS</v>
          </cell>
          <cell r="B1605">
            <v>4308</v>
          </cell>
        </row>
        <row r="1606">
          <cell r="A1606" t="str">
            <v>AEROLINEAS</v>
          </cell>
          <cell r="B1606">
            <v>4309</v>
          </cell>
        </row>
        <row r="1607">
          <cell r="A1607" t="str">
            <v>AEROLINEAS</v>
          </cell>
          <cell r="B1607">
            <v>4310</v>
          </cell>
        </row>
        <row r="1608">
          <cell r="A1608" t="str">
            <v>AEROLINEAS</v>
          </cell>
          <cell r="B1608">
            <v>4311</v>
          </cell>
        </row>
        <row r="1609">
          <cell r="A1609" t="str">
            <v>AEROLINEAS</v>
          </cell>
          <cell r="B1609">
            <v>4312</v>
          </cell>
        </row>
        <row r="1610">
          <cell r="A1610" t="str">
            <v>MEMBRESÍA NOCTURNA - APTO</v>
          </cell>
          <cell r="B1610">
            <v>4313</v>
          </cell>
        </row>
        <row r="1611">
          <cell r="A1611" t="str">
            <v>MEMBRESÍA NOCTURNA - APTO</v>
          </cell>
          <cell r="B1611">
            <v>4314</v>
          </cell>
        </row>
        <row r="1612">
          <cell r="A1612" t="str">
            <v>MEMBRESÍA NOCTURNA - APTO</v>
          </cell>
          <cell r="B1612">
            <v>4315</v>
          </cell>
        </row>
        <row r="1613">
          <cell r="A1613" t="str">
            <v>MEMBRESÍA NOCTURNA - APTO</v>
          </cell>
          <cell r="B1613">
            <v>4316</v>
          </cell>
        </row>
        <row r="1614">
          <cell r="A1614" t="str">
            <v>URBANO PARTNER</v>
          </cell>
          <cell r="B1614">
            <v>4317</v>
          </cell>
        </row>
        <row r="1615">
          <cell r="A1615" t="str">
            <v>URBANO PARTNER</v>
          </cell>
          <cell r="B1615">
            <v>4318</v>
          </cell>
        </row>
        <row r="1616">
          <cell r="A1616" t="str">
            <v>URBANO PARTNER</v>
          </cell>
          <cell r="B1616">
            <v>4319</v>
          </cell>
        </row>
        <row r="1617">
          <cell r="A1617" t="str">
            <v>URBANO PARTNER</v>
          </cell>
          <cell r="B1617">
            <v>4320</v>
          </cell>
        </row>
        <row r="1618">
          <cell r="A1618" t="str">
            <v>URBANO PARTNER</v>
          </cell>
          <cell r="B1618">
            <v>4321</v>
          </cell>
        </row>
        <row r="1619">
          <cell r="A1619" t="str">
            <v>URBANO PARTNER</v>
          </cell>
          <cell r="B1619">
            <v>4322</v>
          </cell>
        </row>
        <row r="1620">
          <cell r="A1620" t="str">
            <v>FLOTA PROPIA</v>
          </cell>
          <cell r="B1620">
            <v>4323</v>
          </cell>
        </row>
        <row r="1621">
          <cell r="A1621" t="str">
            <v>AEROLINEAS</v>
          </cell>
          <cell r="B1621">
            <v>4324</v>
          </cell>
        </row>
        <row r="1622">
          <cell r="A1622" t="str">
            <v>AEROLINEAS</v>
          </cell>
          <cell r="B1622">
            <v>4325</v>
          </cell>
        </row>
        <row r="1623">
          <cell r="A1623" t="str">
            <v>AEROLINEAS</v>
          </cell>
          <cell r="B1623">
            <v>4326</v>
          </cell>
        </row>
        <row r="1624">
          <cell r="A1624" t="str">
            <v>AEROLINEAS</v>
          </cell>
          <cell r="B1624">
            <v>4327</v>
          </cell>
        </row>
        <row r="1625">
          <cell r="A1625" t="str">
            <v>MEMBRESÍA NOCTURNA - APTO</v>
          </cell>
          <cell r="B1625">
            <v>4328</v>
          </cell>
        </row>
        <row r="1626">
          <cell r="A1626" t="str">
            <v>MEMBRESÍA NOCTURNA - APTO</v>
          </cell>
          <cell r="B1626">
            <v>4329</v>
          </cell>
        </row>
        <row r="1627">
          <cell r="A1627" t="str">
            <v>MEMBRESÍA NOCTURNA - APTO</v>
          </cell>
          <cell r="B1627">
            <v>4330</v>
          </cell>
        </row>
        <row r="1628">
          <cell r="A1628" t="str">
            <v>MEMBRESÍA NOCTURNA - APTO</v>
          </cell>
          <cell r="B1628">
            <v>4331</v>
          </cell>
        </row>
        <row r="1629">
          <cell r="A1629" t="str">
            <v>URBANO PARTNER</v>
          </cell>
          <cell r="B1629">
            <v>4332</v>
          </cell>
        </row>
        <row r="1630">
          <cell r="A1630" t="str">
            <v>URBANO PARTNER</v>
          </cell>
          <cell r="B1630">
            <v>4335</v>
          </cell>
        </row>
        <row r="1631">
          <cell r="A1631" t="str">
            <v>URBANO PARTNER</v>
          </cell>
          <cell r="B1631">
            <v>4336</v>
          </cell>
        </row>
        <row r="1632">
          <cell r="A1632" t="str">
            <v>URBANO PARTNER</v>
          </cell>
          <cell r="B1632">
            <v>4337</v>
          </cell>
        </row>
        <row r="1633">
          <cell r="A1633" t="str">
            <v>AEROPUERTO</v>
          </cell>
          <cell r="B1633">
            <v>4338</v>
          </cell>
        </row>
        <row r="1634">
          <cell r="A1634" t="str">
            <v>URBANO PARTNER</v>
          </cell>
          <cell r="B1634">
            <v>4339</v>
          </cell>
        </row>
        <row r="1635">
          <cell r="A1635" t="str">
            <v>URBANO PARTNER</v>
          </cell>
          <cell r="B1635">
            <v>4341</v>
          </cell>
        </row>
        <row r="1636">
          <cell r="A1636" t="str">
            <v>URBANO PARTNER</v>
          </cell>
          <cell r="B1636">
            <v>4342</v>
          </cell>
        </row>
        <row r="1637">
          <cell r="A1637" t="str">
            <v>URBANO PARTNER</v>
          </cell>
          <cell r="B1637">
            <v>4346</v>
          </cell>
        </row>
        <row r="1638">
          <cell r="A1638" t="str">
            <v>URBANO PARTNER</v>
          </cell>
          <cell r="B1638">
            <v>4347</v>
          </cell>
        </row>
        <row r="1639">
          <cell r="A1639" t="str">
            <v>AEROLINEAS</v>
          </cell>
          <cell r="B1639">
            <v>4348</v>
          </cell>
        </row>
        <row r="1640">
          <cell r="A1640" t="str">
            <v>MEMBRESÍA NOCTURNA - APTO</v>
          </cell>
          <cell r="B1640">
            <v>4349</v>
          </cell>
        </row>
        <row r="1641">
          <cell r="A1641" t="str">
            <v>AEROLINEAS</v>
          </cell>
          <cell r="B1641">
            <v>4350</v>
          </cell>
        </row>
        <row r="1642">
          <cell r="A1642" t="str">
            <v>AEROLINEAS</v>
          </cell>
          <cell r="B1642">
            <v>4351</v>
          </cell>
        </row>
        <row r="1643">
          <cell r="A1643" t="str">
            <v>AEROLINEAS</v>
          </cell>
          <cell r="B1643">
            <v>4352</v>
          </cell>
        </row>
        <row r="1644">
          <cell r="A1644" t="str">
            <v>AEROLINEAS</v>
          </cell>
          <cell r="B1644">
            <v>4353</v>
          </cell>
        </row>
        <row r="1645">
          <cell r="A1645" t="str">
            <v>MEMBRESÍA DIURNA</v>
          </cell>
          <cell r="B1645">
            <v>4354</v>
          </cell>
        </row>
        <row r="1646">
          <cell r="A1646" t="str">
            <v>AEROLINEAS</v>
          </cell>
          <cell r="B1646">
            <v>4355</v>
          </cell>
        </row>
        <row r="1647">
          <cell r="A1647" t="str">
            <v>MEMBRESÍA NOCTURNA - APTO</v>
          </cell>
          <cell r="B1647">
            <v>4356</v>
          </cell>
        </row>
        <row r="1648">
          <cell r="A1648" t="str">
            <v>MEMBRESÍA DIURNA</v>
          </cell>
          <cell r="B1648">
            <v>4357</v>
          </cell>
        </row>
        <row r="1649">
          <cell r="A1649" t="str">
            <v>AEROLINEAS</v>
          </cell>
          <cell r="B1649">
            <v>4358</v>
          </cell>
        </row>
        <row r="1650">
          <cell r="A1650" t="str">
            <v>URBANO PARTNER</v>
          </cell>
          <cell r="B1650">
            <v>4359</v>
          </cell>
        </row>
        <row r="1651">
          <cell r="A1651" t="str">
            <v>AEROLINEAS</v>
          </cell>
          <cell r="B1651">
            <v>4360</v>
          </cell>
        </row>
        <row r="1652">
          <cell r="A1652" t="str">
            <v>AEROLINEAS</v>
          </cell>
          <cell r="B1652">
            <v>4363</v>
          </cell>
        </row>
        <row r="1653">
          <cell r="A1653" t="str">
            <v>AEROLINEAS</v>
          </cell>
          <cell r="B1653">
            <v>4364</v>
          </cell>
        </row>
        <row r="1654">
          <cell r="A1654" t="str">
            <v>AEROLINEAS</v>
          </cell>
          <cell r="B1654">
            <v>4365</v>
          </cell>
        </row>
        <row r="1655">
          <cell r="A1655" t="str">
            <v>AEROLINEAS</v>
          </cell>
          <cell r="B1655">
            <v>4366</v>
          </cell>
        </row>
        <row r="1656">
          <cell r="A1656" t="str">
            <v>AEROLINEAS</v>
          </cell>
          <cell r="B1656">
            <v>4367</v>
          </cell>
        </row>
        <row r="1657">
          <cell r="A1657" t="str">
            <v>AEROLINEAS</v>
          </cell>
          <cell r="B1657">
            <v>4368</v>
          </cell>
        </row>
        <row r="1658">
          <cell r="A1658" t="str">
            <v>MEMBRESÍA DIURNA</v>
          </cell>
          <cell r="B1658">
            <v>4369</v>
          </cell>
        </row>
        <row r="1659">
          <cell r="A1659" t="str">
            <v>MEMBRESÍA NOCTURNA - APTO</v>
          </cell>
          <cell r="B1659">
            <v>4370</v>
          </cell>
        </row>
        <row r="1660">
          <cell r="A1660" t="str">
            <v>MEMBRESÍA NOCTURNA - APTO</v>
          </cell>
          <cell r="B1660">
            <v>4371</v>
          </cell>
        </row>
        <row r="1661">
          <cell r="A1661" t="str">
            <v>MEMBRESÍA DIURNA</v>
          </cell>
          <cell r="B1661">
            <v>4372</v>
          </cell>
        </row>
        <row r="1662">
          <cell r="A1662" t="str">
            <v>MEMBRESÍA NOCTURNA - APTO</v>
          </cell>
          <cell r="B1662">
            <v>4373</v>
          </cell>
        </row>
        <row r="1663">
          <cell r="A1663" t="str">
            <v>URBANO PARTNER</v>
          </cell>
          <cell r="B1663">
            <v>4374</v>
          </cell>
        </row>
        <row r="1664">
          <cell r="A1664" t="str">
            <v>URBANO PARTNER</v>
          </cell>
          <cell r="B1664">
            <v>4375</v>
          </cell>
        </row>
        <row r="1665">
          <cell r="A1665" t="str">
            <v>URBANO PARTNER</v>
          </cell>
          <cell r="B1665">
            <v>4376</v>
          </cell>
        </row>
        <row r="1666">
          <cell r="A1666" t="str">
            <v>AEROLINEAS</v>
          </cell>
          <cell r="B1666">
            <v>4377</v>
          </cell>
        </row>
        <row r="1667">
          <cell r="A1667" t="str">
            <v>URBANO PARTNER</v>
          </cell>
          <cell r="B1667">
            <v>4379</v>
          </cell>
        </row>
        <row r="1668">
          <cell r="A1668" t="str">
            <v>AEROLINEAS</v>
          </cell>
          <cell r="B1668">
            <v>4380</v>
          </cell>
        </row>
        <row r="1669">
          <cell r="A1669" t="str">
            <v>AEROLINEAS</v>
          </cell>
          <cell r="B1669">
            <v>4381</v>
          </cell>
        </row>
        <row r="1670">
          <cell r="A1670" t="str">
            <v>AEROLINEAS</v>
          </cell>
          <cell r="B1670">
            <v>4382</v>
          </cell>
        </row>
        <row r="1671">
          <cell r="A1671" t="str">
            <v>MEMBRESÍA NOCTURNA - APTO</v>
          </cell>
          <cell r="B1671">
            <v>4383</v>
          </cell>
        </row>
        <row r="1672">
          <cell r="A1672" t="str">
            <v>MEMBRESÍA NOCTURNA - APTO</v>
          </cell>
          <cell r="B1672">
            <v>4384</v>
          </cell>
        </row>
        <row r="1673">
          <cell r="A1673" t="str">
            <v>AEROLINEAS</v>
          </cell>
          <cell r="B1673">
            <v>4385</v>
          </cell>
        </row>
        <row r="1674">
          <cell r="A1674" t="str">
            <v>AEROLINEAS</v>
          </cell>
          <cell r="B1674">
            <v>4387</v>
          </cell>
        </row>
        <row r="1675">
          <cell r="A1675" t="str">
            <v>AEROLINEAS</v>
          </cell>
          <cell r="B1675">
            <v>4388</v>
          </cell>
        </row>
        <row r="1676">
          <cell r="A1676" t="str">
            <v>AEROLINEAS</v>
          </cell>
          <cell r="B1676">
            <v>4389</v>
          </cell>
        </row>
        <row r="1677">
          <cell r="A1677" t="str">
            <v>AEROLINEAS</v>
          </cell>
          <cell r="B1677">
            <v>4390</v>
          </cell>
        </row>
        <row r="1678">
          <cell r="A1678" t="str">
            <v>MEMBRESÍA NOCTURNA - APTO</v>
          </cell>
          <cell r="B1678">
            <v>4391</v>
          </cell>
        </row>
        <row r="1679">
          <cell r="A1679" t="str">
            <v>URBANO PARTNER</v>
          </cell>
          <cell r="B1679">
            <v>4392</v>
          </cell>
        </row>
        <row r="1680">
          <cell r="A1680" t="str">
            <v>URBANO PARTNER</v>
          </cell>
          <cell r="B1680">
            <v>4394</v>
          </cell>
        </row>
        <row r="1681">
          <cell r="A1681" t="str">
            <v>URBANO PARTNER</v>
          </cell>
          <cell r="B1681">
            <v>4395</v>
          </cell>
        </row>
        <row r="1682">
          <cell r="A1682" t="str">
            <v>URBANO PARTNER</v>
          </cell>
          <cell r="B1682">
            <v>4396</v>
          </cell>
        </row>
        <row r="1683">
          <cell r="A1683" t="str">
            <v>URBANO PARTNER</v>
          </cell>
          <cell r="B1683">
            <v>4397</v>
          </cell>
        </row>
        <row r="1684">
          <cell r="A1684" t="str">
            <v>AEROLINEAS</v>
          </cell>
          <cell r="B1684">
            <v>4398</v>
          </cell>
        </row>
        <row r="1685">
          <cell r="A1685" t="str">
            <v>URBANO PARTNER</v>
          </cell>
          <cell r="B1685">
            <v>4399</v>
          </cell>
        </row>
        <row r="1686">
          <cell r="A1686" t="str">
            <v>AEROLINEAS</v>
          </cell>
          <cell r="B1686">
            <v>4400</v>
          </cell>
        </row>
        <row r="1687">
          <cell r="A1687" t="str">
            <v>AEROLINEAS</v>
          </cell>
          <cell r="B1687">
            <v>4401</v>
          </cell>
        </row>
        <row r="1688">
          <cell r="A1688" t="str">
            <v>AEROLINEAS</v>
          </cell>
          <cell r="B1688">
            <v>4402</v>
          </cell>
        </row>
        <row r="1689">
          <cell r="A1689" t="str">
            <v>MEMBRESÍA DIURNA</v>
          </cell>
          <cell r="B1689">
            <v>4403</v>
          </cell>
        </row>
        <row r="1690">
          <cell r="A1690" t="str">
            <v>MEMBRESÍA DIURNA</v>
          </cell>
          <cell r="B1690">
            <v>4404</v>
          </cell>
        </row>
        <row r="1691">
          <cell r="A1691" t="str">
            <v>URBANO PARTNER</v>
          </cell>
          <cell r="B1691">
            <v>4407</v>
          </cell>
        </row>
        <row r="1692">
          <cell r="A1692" t="str">
            <v>AEROLINEAS</v>
          </cell>
          <cell r="B1692">
            <v>4408</v>
          </cell>
        </row>
        <row r="1693">
          <cell r="A1693" t="str">
            <v>AEROLINEAS</v>
          </cell>
          <cell r="B1693">
            <v>4409</v>
          </cell>
        </row>
        <row r="1694">
          <cell r="A1694" t="str">
            <v>AEROLINEAS</v>
          </cell>
          <cell r="B1694">
            <v>4410</v>
          </cell>
        </row>
        <row r="1695">
          <cell r="A1695" t="str">
            <v>AEROLINEAS</v>
          </cell>
          <cell r="B1695">
            <v>4411</v>
          </cell>
        </row>
        <row r="1696">
          <cell r="A1696" t="str">
            <v>MEMBRESÍA NOCTURNA - APTO</v>
          </cell>
          <cell r="B1696">
            <v>4413</v>
          </cell>
        </row>
        <row r="1697">
          <cell r="A1697" t="str">
            <v>MEMBRESÍA NOCTURNA - APTO</v>
          </cell>
          <cell r="B1697">
            <v>4414</v>
          </cell>
        </row>
        <row r="1698">
          <cell r="A1698" t="str">
            <v>URBANO PARTNER</v>
          </cell>
          <cell r="B1698">
            <v>4415</v>
          </cell>
        </row>
        <row r="1699">
          <cell r="A1699" t="str">
            <v>AEROLINEAS</v>
          </cell>
          <cell r="B1699">
            <v>4417</v>
          </cell>
        </row>
        <row r="1700">
          <cell r="A1700" t="str">
            <v>AEROLINEAS</v>
          </cell>
          <cell r="B1700">
            <v>4418</v>
          </cell>
        </row>
        <row r="1701">
          <cell r="A1701" t="str">
            <v>AEROLINEAS</v>
          </cell>
          <cell r="B1701">
            <v>4419</v>
          </cell>
        </row>
        <row r="1702">
          <cell r="A1702" t="str">
            <v>AEROLINEAS</v>
          </cell>
          <cell r="B1702">
            <v>4420</v>
          </cell>
        </row>
        <row r="1703">
          <cell r="A1703" t="str">
            <v>AEROLINEAS</v>
          </cell>
          <cell r="B1703">
            <v>4421</v>
          </cell>
        </row>
        <row r="1704">
          <cell r="A1704" t="str">
            <v>AEROLINEAS</v>
          </cell>
          <cell r="B1704">
            <v>4422</v>
          </cell>
        </row>
        <row r="1705">
          <cell r="A1705" t="str">
            <v>AEROLINEAS</v>
          </cell>
          <cell r="B1705">
            <v>4423</v>
          </cell>
        </row>
        <row r="1706">
          <cell r="A1706" t="str">
            <v>AEROLINEAS</v>
          </cell>
          <cell r="B1706">
            <v>4424</v>
          </cell>
        </row>
        <row r="1707">
          <cell r="A1707" t="str">
            <v>MEMBRESÍA DIURNA</v>
          </cell>
          <cell r="B1707">
            <v>4425</v>
          </cell>
        </row>
        <row r="1708">
          <cell r="A1708" t="str">
            <v>AEROLINEAS</v>
          </cell>
          <cell r="B1708">
            <v>4427</v>
          </cell>
        </row>
        <row r="1709">
          <cell r="A1709" t="str">
            <v>URBANO PARTNER</v>
          </cell>
          <cell r="B1709">
            <v>4428</v>
          </cell>
        </row>
        <row r="1710">
          <cell r="A1710" t="str">
            <v>URBANO PARTNER</v>
          </cell>
          <cell r="B1710">
            <v>4430</v>
          </cell>
        </row>
        <row r="1711">
          <cell r="A1711" t="str">
            <v>URBANO PARTNER</v>
          </cell>
          <cell r="B1711">
            <v>4431</v>
          </cell>
        </row>
        <row r="1712">
          <cell r="A1712" t="str">
            <v>URBANO PARTNER</v>
          </cell>
          <cell r="B1712">
            <v>4432</v>
          </cell>
        </row>
        <row r="1713">
          <cell r="A1713" t="str">
            <v>URBANO PARTNER</v>
          </cell>
          <cell r="B1713">
            <v>4433</v>
          </cell>
        </row>
        <row r="1714">
          <cell r="A1714" t="str">
            <v>AEROLINEAS</v>
          </cell>
          <cell r="B1714">
            <v>4434</v>
          </cell>
        </row>
        <row r="1715">
          <cell r="A1715" t="str">
            <v>AEROLINEAS</v>
          </cell>
          <cell r="B1715">
            <v>4435</v>
          </cell>
        </row>
        <row r="1716">
          <cell r="A1716" t="str">
            <v>AEROLINEAS</v>
          </cell>
          <cell r="B1716">
            <v>4436</v>
          </cell>
        </row>
        <row r="1717">
          <cell r="A1717" t="str">
            <v>AEROLINEAS</v>
          </cell>
          <cell r="B1717">
            <v>4437</v>
          </cell>
        </row>
        <row r="1718">
          <cell r="A1718" t="str">
            <v>AEROLINEAS</v>
          </cell>
          <cell r="B1718">
            <v>4438</v>
          </cell>
        </row>
        <row r="1719">
          <cell r="A1719" t="str">
            <v>AEROLINEAS</v>
          </cell>
          <cell r="B1719">
            <v>4439</v>
          </cell>
        </row>
        <row r="1720">
          <cell r="A1720" t="str">
            <v>AEROLINEAS</v>
          </cell>
          <cell r="B1720">
            <v>4440</v>
          </cell>
        </row>
        <row r="1721">
          <cell r="A1721" t="str">
            <v>AEROLINEAS</v>
          </cell>
          <cell r="B1721">
            <v>4441</v>
          </cell>
        </row>
        <row r="1722">
          <cell r="A1722" t="str">
            <v>MEMBRESÍA DIURNA</v>
          </cell>
          <cell r="B1722">
            <v>4442</v>
          </cell>
        </row>
        <row r="1723">
          <cell r="A1723" t="str">
            <v>MEMBRESÍA DIURNA</v>
          </cell>
          <cell r="B1723">
            <v>4443</v>
          </cell>
        </row>
        <row r="1724">
          <cell r="A1724" t="str">
            <v>URBANO PARTNER</v>
          </cell>
          <cell r="B1724">
            <v>4446</v>
          </cell>
        </row>
        <row r="1725">
          <cell r="A1725" t="str">
            <v>URBANO PARTNER</v>
          </cell>
          <cell r="B1725">
            <v>4447</v>
          </cell>
        </row>
        <row r="1726">
          <cell r="A1726" t="str">
            <v>URBANO PARTNER</v>
          </cell>
          <cell r="B1726">
            <v>4448</v>
          </cell>
        </row>
        <row r="1727">
          <cell r="A1727" t="str">
            <v>URBANO PARTNER</v>
          </cell>
          <cell r="B1727">
            <v>4449</v>
          </cell>
        </row>
        <row r="1728">
          <cell r="A1728" t="str">
            <v>URBANO PARTNER</v>
          </cell>
          <cell r="B1728">
            <v>4450</v>
          </cell>
        </row>
        <row r="1729">
          <cell r="A1729" t="str">
            <v>AEROLINEAS</v>
          </cell>
          <cell r="B1729">
            <v>4452</v>
          </cell>
        </row>
        <row r="1730">
          <cell r="A1730" t="str">
            <v>AEROLINEAS</v>
          </cell>
          <cell r="B1730">
            <v>4453</v>
          </cell>
        </row>
        <row r="1731">
          <cell r="A1731" t="str">
            <v>MEMBRESÍA DIURNA</v>
          </cell>
          <cell r="B1731">
            <v>4455</v>
          </cell>
        </row>
        <row r="1732">
          <cell r="A1732" t="str">
            <v>MEMBRESÍA DIURNA</v>
          </cell>
          <cell r="B1732">
            <v>4456</v>
          </cell>
        </row>
        <row r="1733">
          <cell r="A1733" t="str">
            <v>URBANO PARTNER</v>
          </cell>
          <cell r="B1733">
            <v>4457</v>
          </cell>
        </row>
        <row r="1734">
          <cell r="A1734" t="str">
            <v>URBANO PARTNER</v>
          </cell>
          <cell r="B1734">
            <v>4458</v>
          </cell>
        </row>
        <row r="1735">
          <cell r="A1735" t="str">
            <v>URBANO PARTNER</v>
          </cell>
          <cell r="B1735">
            <v>4460</v>
          </cell>
        </row>
        <row r="1736">
          <cell r="A1736" t="str">
            <v>URBANO PARTNER</v>
          </cell>
          <cell r="B1736">
            <v>4461</v>
          </cell>
        </row>
        <row r="1737">
          <cell r="A1737" t="str">
            <v>AEROLINEAS</v>
          </cell>
          <cell r="B1737">
            <v>4465</v>
          </cell>
        </row>
        <row r="1738">
          <cell r="A1738" t="str">
            <v>AEROLINEAS</v>
          </cell>
          <cell r="B1738">
            <v>4466</v>
          </cell>
        </row>
        <row r="1739">
          <cell r="A1739" t="str">
            <v>AEROLINEAS</v>
          </cell>
          <cell r="B1739">
            <v>4467</v>
          </cell>
        </row>
        <row r="1740">
          <cell r="A1740" t="str">
            <v>AEROLINEAS</v>
          </cell>
          <cell r="B1740">
            <v>4468</v>
          </cell>
        </row>
        <row r="1741">
          <cell r="A1741" t="str">
            <v>MEMBRESÍA DIURNA</v>
          </cell>
          <cell r="B1741">
            <v>4469</v>
          </cell>
        </row>
        <row r="1742">
          <cell r="A1742" t="str">
            <v>URBANO PARTNER</v>
          </cell>
          <cell r="B1742">
            <v>4470</v>
          </cell>
        </row>
        <row r="1743">
          <cell r="A1743" t="str">
            <v>URBANO PARTNER</v>
          </cell>
          <cell r="B1743">
            <v>4472</v>
          </cell>
        </row>
        <row r="1744">
          <cell r="A1744" t="str">
            <v>URBANO PARTNER</v>
          </cell>
          <cell r="B1744">
            <v>4473</v>
          </cell>
        </row>
        <row r="1745">
          <cell r="A1745" t="str">
            <v>URBANO PARTNER</v>
          </cell>
          <cell r="B1745">
            <v>4474</v>
          </cell>
        </row>
        <row r="1746">
          <cell r="A1746" t="str">
            <v>URBANO PARTNER</v>
          </cell>
          <cell r="B1746">
            <v>4475</v>
          </cell>
        </row>
        <row r="1747">
          <cell r="A1747" t="str">
            <v>URBANO PARTNER</v>
          </cell>
          <cell r="B1747">
            <v>4476</v>
          </cell>
        </row>
        <row r="1748">
          <cell r="A1748" t="str">
            <v>URBANO PARTNER</v>
          </cell>
          <cell r="B1748">
            <v>4477</v>
          </cell>
        </row>
        <row r="1749">
          <cell r="A1749" t="str">
            <v>URBANO PARTNER</v>
          </cell>
          <cell r="B1749">
            <v>4478</v>
          </cell>
        </row>
        <row r="1750">
          <cell r="A1750" t="str">
            <v>URBANO PARTNER</v>
          </cell>
          <cell r="B1750">
            <v>5001</v>
          </cell>
        </row>
        <row r="1751">
          <cell r="A1751" t="str">
            <v>URBANO</v>
          </cell>
          <cell r="B1751">
            <v>5002</v>
          </cell>
        </row>
        <row r="1752">
          <cell r="A1752" t="str">
            <v>URBANO</v>
          </cell>
          <cell r="B1752">
            <v>5013</v>
          </cell>
        </row>
        <row r="1753">
          <cell r="A1753" t="str">
            <v>MEMBRESÍA URBANO</v>
          </cell>
          <cell r="B1753">
            <v>5023</v>
          </cell>
        </row>
        <row r="1754">
          <cell r="A1754" t="str">
            <v>MEMBRESÍA URBANO</v>
          </cell>
          <cell r="B1754">
            <v>5032</v>
          </cell>
        </row>
        <row r="1755">
          <cell r="A1755" t="str">
            <v>URBANO</v>
          </cell>
          <cell r="B1755">
            <v>5059</v>
          </cell>
        </row>
        <row r="1756">
          <cell r="A1756" t="str">
            <v>URBANO PARTNER</v>
          </cell>
          <cell r="B1756">
            <v>5114</v>
          </cell>
        </row>
        <row r="1757">
          <cell r="A1757" t="str">
            <v>URBANO</v>
          </cell>
          <cell r="B1757">
            <v>5130</v>
          </cell>
        </row>
        <row r="1758">
          <cell r="A1758" t="str">
            <v>URBANO</v>
          </cell>
          <cell r="B1758">
            <v>5142</v>
          </cell>
        </row>
        <row r="1759">
          <cell r="A1759" t="str">
            <v>AEROLINEAS</v>
          </cell>
          <cell r="B1759">
            <v>5162</v>
          </cell>
        </row>
        <row r="1760">
          <cell r="A1760" t="str">
            <v>URBANO</v>
          </cell>
          <cell r="B1760">
            <v>5164</v>
          </cell>
        </row>
        <row r="1761">
          <cell r="A1761" t="str">
            <v>URBANO PARTNER</v>
          </cell>
          <cell r="B1761">
            <v>7015</v>
          </cell>
        </row>
        <row r="1762">
          <cell r="A1762" t="str">
            <v>URBANO</v>
          </cell>
          <cell r="B1762">
            <v>7027</v>
          </cell>
        </row>
        <row r="1763">
          <cell r="A1763" t="str">
            <v>AEROPUERTO</v>
          </cell>
          <cell r="B1763">
            <v>7028</v>
          </cell>
        </row>
        <row r="1764">
          <cell r="A1764" t="str">
            <v>AEROPUERTO</v>
          </cell>
          <cell r="B1764">
            <v>7043</v>
          </cell>
        </row>
        <row r="1765">
          <cell r="A1765" t="str">
            <v>MEMBRESÍA URBANO</v>
          </cell>
          <cell r="B1765">
            <v>7065</v>
          </cell>
        </row>
        <row r="1766">
          <cell r="A1766" t="str">
            <v>URBANO PARTNER</v>
          </cell>
          <cell r="B1766">
            <v>7106</v>
          </cell>
        </row>
        <row r="1767">
          <cell r="A1767" t="str">
            <v>AEROPUERTO</v>
          </cell>
          <cell r="B1767">
            <v>7110</v>
          </cell>
        </row>
        <row r="1768">
          <cell r="A1768" t="str">
            <v>AEROLINEAS</v>
          </cell>
          <cell r="B1768">
            <v>7566</v>
          </cell>
        </row>
        <row r="1769">
          <cell r="A1769" t="str">
            <v>AEROPUERTO</v>
          </cell>
          <cell r="B1769">
            <v>7597</v>
          </cell>
        </row>
        <row r="1770">
          <cell r="A1770" t="str">
            <v>URBANO PARTNER</v>
          </cell>
          <cell r="B1770">
            <v>7602</v>
          </cell>
        </row>
        <row r="1771">
          <cell r="A1771" t="str">
            <v>AEROLINEAS</v>
          </cell>
          <cell r="B1771">
            <v>7604</v>
          </cell>
        </row>
        <row r="1772">
          <cell r="A1772" t="str">
            <v>URBANO</v>
          </cell>
          <cell r="B1772">
            <v>7636</v>
          </cell>
        </row>
        <row r="1773">
          <cell r="A1773" t="str">
            <v>AEROPUERTO</v>
          </cell>
          <cell r="B1773">
            <v>8095</v>
          </cell>
        </row>
        <row r="1774">
          <cell r="A1774" t="str">
            <v>MOTO</v>
          </cell>
          <cell r="B1774">
            <v>8108</v>
          </cell>
        </row>
        <row r="1775">
          <cell r="A1775" t="str">
            <v>URBANO</v>
          </cell>
          <cell r="B1775">
            <v>8110</v>
          </cell>
        </row>
        <row r="1776">
          <cell r="A1776" t="str">
            <v>URBANO PARTNER</v>
          </cell>
          <cell r="B1776">
            <v>8113</v>
          </cell>
        </row>
        <row r="1777">
          <cell r="A1777" t="str">
            <v>URBANO PARTNER</v>
          </cell>
          <cell r="B1777">
            <v>8504</v>
          </cell>
        </row>
        <row r="1778">
          <cell r="A1778" t="str">
            <v>MEMBRESÍA NOCTURNA - APTO</v>
          </cell>
          <cell r="B1778">
            <v>8520</v>
          </cell>
        </row>
        <row r="1779">
          <cell r="A1779" t="str">
            <v>AEROPUERTO VAN</v>
          </cell>
          <cell r="B1779">
            <v>9004</v>
          </cell>
        </row>
        <row r="1780">
          <cell r="A1780" t="str">
            <v>URBANO</v>
          </cell>
          <cell r="B1780">
            <v>9012</v>
          </cell>
        </row>
        <row r="1781">
          <cell r="A1781" t="str">
            <v>URBANO</v>
          </cell>
          <cell r="B1781">
            <v>9013</v>
          </cell>
        </row>
        <row r="1782">
          <cell r="A1782" t="str">
            <v>AEROPUERTO</v>
          </cell>
          <cell r="B1782">
            <v>9017</v>
          </cell>
        </row>
        <row r="1783">
          <cell r="A1783" t="str">
            <v>AEROPUERTO</v>
          </cell>
          <cell r="B1783">
            <v>9020</v>
          </cell>
        </row>
        <row r="1784">
          <cell r="A1784" t="str">
            <v>URBANO PARTNER</v>
          </cell>
          <cell r="B1784">
            <v>9022</v>
          </cell>
        </row>
        <row r="1785">
          <cell r="A1785" t="str">
            <v>AEROLINEAS</v>
          </cell>
          <cell r="B1785">
            <v>9024</v>
          </cell>
        </row>
        <row r="1786">
          <cell r="A1786" t="str">
            <v>URBANO PARTNER</v>
          </cell>
          <cell r="B1786">
            <v>9026</v>
          </cell>
        </row>
        <row r="1787">
          <cell r="A1787" t="str">
            <v>URBANO</v>
          </cell>
          <cell r="B1787">
            <v>9031</v>
          </cell>
        </row>
        <row r="1788">
          <cell r="A1788" t="str">
            <v>AEROPUERTO</v>
          </cell>
          <cell r="B1788">
            <v>9035</v>
          </cell>
        </row>
        <row r="1789">
          <cell r="A1789" t="str">
            <v>URBANO</v>
          </cell>
          <cell r="B1789">
            <v>9038</v>
          </cell>
        </row>
        <row r="1790">
          <cell r="A1790" t="str">
            <v>URBANO</v>
          </cell>
          <cell r="B1790">
            <v>9042</v>
          </cell>
        </row>
        <row r="1791">
          <cell r="A1791" t="str">
            <v>AEROPUERTO</v>
          </cell>
          <cell r="B1791">
            <v>9044</v>
          </cell>
        </row>
        <row r="1792">
          <cell r="A1792" t="str">
            <v>AEROLINEAS</v>
          </cell>
          <cell r="B1792">
            <v>9045</v>
          </cell>
        </row>
        <row r="1793">
          <cell r="A1793" t="str">
            <v>AEROLINEAS</v>
          </cell>
          <cell r="B1793">
            <v>9046</v>
          </cell>
        </row>
        <row r="1794">
          <cell r="A1794" t="str">
            <v>URBANO</v>
          </cell>
          <cell r="B1794">
            <v>9048</v>
          </cell>
        </row>
        <row r="1795">
          <cell r="A1795" t="str">
            <v>MEMBRESÍA NOCTURNA - APTO</v>
          </cell>
          <cell r="B1795">
            <v>9053</v>
          </cell>
        </row>
        <row r="1796">
          <cell r="A1796" t="str">
            <v>URBANO</v>
          </cell>
          <cell r="B1796">
            <v>9054</v>
          </cell>
        </row>
        <row r="1797">
          <cell r="A1797" t="str">
            <v>URBANO PARTNER</v>
          </cell>
          <cell r="B1797">
            <v>9055</v>
          </cell>
        </row>
        <row r="1798">
          <cell r="A1798" t="str">
            <v>URBANO</v>
          </cell>
          <cell r="B1798">
            <v>9056</v>
          </cell>
        </row>
        <row r="1799">
          <cell r="A1799" t="str">
            <v>AEROLINEAS</v>
          </cell>
          <cell r="B1799">
            <v>9058</v>
          </cell>
        </row>
        <row r="1800">
          <cell r="A1800" t="str">
            <v>URBANO PARTNER</v>
          </cell>
          <cell r="B1800">
            <v>9059</v>
          </cell>
        </row>
        <row r="1801">
          <cell r="A1801" t="str">
            <v>URBANO PARTNER</v>
          </cell>
          <cell r="B1801">
            <v>9060</v>
          </cell>
        </row>
        <row r="1802">
          <cell r="A1802" t="str">
            <v>AEROPUERTO</v>
          </cell>
          <cell r="B1802">
            <v>9061</v>
          </cell>
        </row>
        <row r="1803">
          <cell r="A1803" t="str">
            <v>AEROPUERTO</v>
          </cell>
          <cell r="B1803">
            <v>9063</v>
          </cell>
        </row>
        <row r="1804">
          <cell r="A1804" t="str">
            <v>AEROLINEAS</v>
          </cell>
          <cell r="B1804">
            <v>9064</v>
          </cell>
        </row>
        <row r="1805">
          <cell r="A1805" t="str">
            <v>URBANO</v>
          </cell>
          <cell r="B1805">
            <v>9065</v>
          </cell>
        </row>
        <row r="1806">
          <cell r="A1806" t="str">
            <v>URBANO</v>
          </cell>
          <cell r="B1806">
            <v>9066</v>
          </cell>
        </row>
        <row r="1807">
          <cell r="A1807" t="str">
            <v>AEROLINEAS</v>
          </cell>
          <cell r="B1807">
            <v>9068</v>
          </cell>
        </row>
        <row r="1808">
          <cell r="A1808" t="str">
            <v>URBANO</v>
          </cell>
          <cell r="B1808">
            <v>9071</v>
          </cell>
        </row>
        <row r="1809">
          <cell r="A1809" t="str">
            <v>URBANO PARTNER</v>
          </cell>
          <cell r="B1809">
            <v>9072</v>
          </cell>
        </row>
        <row r="1810">
          <cell r="A1810" t="str">
            <v>MEMBRESÍA URBANO</v>
          </cell>
          <cell r="B1810">
            <v>9074</v>
          </cell>
        </row>
        <row r="1811">
          <cell r="A1811" t="str">
            <v>URBANO</v>
          </cell>
          <cell r="B1811">
            <v>9080</v>
          </cell>
        </row>
        <row r="1812">
          <cell r="A1812" t="str">
            <v>URBANO</v>
          </cell>
          <cell r="B1812">
            <v>9081</v>
          </cell>
        </row>
        <row r="1813">
          <cell r="A1813" t="str">
            <v>URBANO</v>
          </cell>
          <cell r="B1813">
            <v>9082</v>
          </cell>
        </row>
        <row r="1814">
          <cell r="A1814" t="str">
            <v>URBANO PARTNER</v>
          </cell>
          <cell r="B1814">
            <v>9083</v>
          </cell>
        </row>
        <row r="1815">
          <cell r="A1815" t="str">
            <v>AEROLINEAS</v>
          </cell>
          <cell r="B1815">
            <v>9084</v>
          </cell>
        </row>
        <row r="1816">
          <cell r="A1816" t="str">
            <v>AEROLINEAS</v>
          </cell>
          <cell r="B1816">
            <v>9085</v>
          </cell>
        </row>
        <row r="1817">
          <cell r="A1817" t="str">
            <v>URBANO</v>
          </cell>
          <cell r="B1817">
            <v>9086</v>
          </cell>
        </row>
        <row r="1818">
          <cell r="A1818" t="str">
            <v>URBANO</v>
          </cell>
          <cell r="B1818">
            <v>9091</v>
          </cell>
        </row>
        <row r="1819">
          <cell r="A1819" t="str">
            <v>AEROLINEAS</v>
          </cell>
          <cell r="B1819">
            <v>9097</v>
          </cell>
        </row>
        <row r="1820">
          <cell r="A1820" t="str">
            <v>AEROLINEAS</v>
          </cell>
          <cell r="B1820">
            <v>9099</v>
          </cell>
        </row>
        <row r="1821">
          <cell r="A1821" t="str">
            <v>AEROLINEAS</v>
          </cell>
          <cell r="B1821">
            <v>9101</v>
          </cell>
        </row>
        <row r="1822">
          <cell r="A1822" t="str">
            <v>AEROPUERTO</v>
          </cell>
          <cell r="B1822">
            <v>9102</v>
          </cell>
        </row>
        <row r="1823">
          <cell r="A1823" t="str">
            <v>AEROLINEAS</v>
          </cell>
          <cell r="B1823">
            <v>9103</v>
          </cell>
        </row>
        <row r="1824">
          <cell r="A1824" t="str">
            <v>URBANO</v>
          </cell>
          <cell r="B1824">
            <v>9107</v>
          </cell>
        </row>
        <row r="1825">
          <cell r="A1825" t="str">
            <v>URBANO</v>
          </cell>
          <cell r="B1825">
            <v>9109</v>
          </cell>
        </row>
        <row r="1826">
          <cell r="A1826" t="str">
            <v>URBANO</v>
          </cell>
          <cell r="B1826">
            <v>9112</v>
          </cell>
        </row>
        <row r="1827">
          <cell r="A1827" t="str">
            <v>URBANO PARTNER</v>
          </cell>
          <cell r="B1827">
            <v>9113</v>
          </cell>
        </row>
        <row r="1828">
          <cell r="A1828" t="str">
            <v>URBANO</v>
          </cell>
          <cell r="B1828">
            <v>9114</v>
          </cell>
        </row>
        <row r="1829">
          <cell r="A1829" t="str">
            <v>URBANO</v>
          </cell>
          <cell r="B1829">
            <v>9119</v>
          </cell>
        </row>
        <row r="1830">
          <cell r="A1830" t="str">
            <v>URBANO</v>
          </cell>
          <cell r="B1830">
            <v>9121</v>
          </cell>
        </row>
        <row r="1831">
          <cell r="A1831" t="str">
            <v>AEROLINEAS</v>
          </cell>
          <cell r="B1831">
            <v>9122</v>
          </cell>
        </row>
        <row r="1832">
          <cell r="A1832" t="str">
            <v>URBANO</v>
          </cell>
          <cell r="B1832">
            <v>9123</v>
          </cell>
        </row>
        <row r="1833">
          <cell r="A1833" t="str">
            <v>URBANO</v>
          </cell>
          <cell r="B1833">
            <v>9126</v>
          </cell>
        </row>
        <row r="1834">
          <cell r="A1834" t="str">
            <v>URBANO</v>
          </cell>
          <cell r="B1834">
            <v>9128</v>
          </cell>
        </row>
        <row r="1835">
          <cell r="A1835" t="str">
            <v>AEROLINEAS</v>
          </cell>
          <cell r="B1835">
            <v>9129</v>
          </cell>
        </row>
        <row r="1836">
          <cell r="A1836" t="str">
            <v>URBANO</v>
          </cell>
          <cell r="B1836">
            <v>9131</v>
          </cell>
        </row>
        <row r="1837">
          <cell r="A1837" t="str">
            <v>AEROPUERTO</v>
          </cell>
          <cell r="B1837">
            <v>9132</v>
          </cell>
        </row>
        <row r="1838">
          <cell r="A1838" t="str">
            <v>URBANO PARTNER</v>
          </cell>
          <cell r="B1838">
            <v>9133</v>
          </cell>
        </row>
        <row r="1839">
          <cell r="A1839" t="str">
            <v>AEROPUERTO</v>
          </cell>
          <cell r="B1839">
            <v>9134</v>
          </cell>
        </row>
        <row r="1840">
          <cell r="A1840" t="str">
            <v>AEROPUERTO</v>
          </cell>
          <cell r="B1840">
            <v>9138</v>
          </cell>
        </row>
        <row r="1841">
          <cell r="A1841" t="str">
            <v>URBANO</v>
          </cell>
          <cell r="B1841">
            <v>9139</v>
          </cell>
        </row>
        <row r="1842">
          <cell r="A1842" t="str">
            <v>URBANO</v>
          </cell>
          <cell r="B1842">
            <v>9140</v>
          </cell>
        </row>
        <row r="1843">
          <cell r="A1843" t="str">
            <v>URBANO</v>
          </cell>
          <cell r="B1843">
            <v>9141</v>
          </cell>
        </row>
        <row r="1844">
          <cell r="A1844" t="str">
            <v>URBANO</v>
          </cell>
          <cell r="B1844">
            <v>9144</v>
          </cell>
        </row>
        <row r="1845">
          <cell r="A1845" t="str">
            <v>URBANO</v>
          </cell>
          <cell r="B1845">
            <v>9147</v>
          </cell>
        </row>
        <row r="1846">
          <cell r="A1846" t="str">
            <v>AEROLINEAS</v>
          </cell>
          <cell r="B1846">
            <v>9148</v>
          </cell>
        </row>
        <row r="1847">
          <cell r="A1847" t="str">
            <v>AEROLINEAS</v>
          </cell>
          <cell r="B1847">
            <v>9149</v>
          </cell>
        </row>
        <row r="1848">
          <cell r="A1848" t="str">
            <v>AEROPUERTO</v>
          </cell>
          <cell r="B1848">
            <v>9150</v>
          </cell>
        </row>
        <row r="1849">
          <cell r="A1849" t="str">
            <v>AEROPUERTO</v>
          </cell>
          <cell r="B1849">
            <v>9153</v>
          </cell>
        </row>
        <row r="1850">
          <cell r="A1850" t="str">
            <v>AEROPUERTO</v>
          </cell>
          <cell r="B1850">
            <v>9154</v>
          </cell>
        </row>
        <row r="1851">
          <cell r="A1851" t="str">
            <v>AEROPUERTO VAN</v>
          </cell>
          <cell r="B1851">
            <v>9158</v>
          </cell>
        </row>
        <row r="1852">
          <cell r="A1852" t="str">
            <v>URBANO</v>
          </cell>
          <cell r="B1852">
            <v>9159</v>
          </cell>
        </row>
        <row r="1853">
          <cell r="A1853" t="str">
            <v>URBANO</v>
          </cell>
          <cell r="B1853">
            <v>9161</v>
          </cell>
        </row>
        <row r="1854">
          <cell r="A1854" t="str">
            <v>URBANO</v>
          </cell>
          <cell r="B1854">
            <v>9162</v>
          </cell>
        </row>
        <row r="1855">
          <cell r="A1855" t="str">
            <v>URBANO PARTNER</v>
          </cell>
          <cell r="B1855">
            <v>9163</v>
          </cell>
        </row>
        <row r="1856">
          <cell r="A1856" t="str">
            <v>AEROLINEAS</v>
          </cell>
          <cell r="B1856">
            <v>9164</v>
          </cell>
        </row>
        <row r="1857">
          <cell r="A1857" t="str">
            <v>URBANO</v>
          </cell>
          <cell r="B1857">
            <v>9166</v>
          </cell>
        </row>
        <row r="1858">
          <cell r="A1858" t="str">
            <v>URBANO PARTNER</v>
          </cell>
          <cell r="B1858">
            <v>9168</v>
          </cell>
        </row>
        <row r="1859">
          <cell r="A1859" t="str">
            <v>MOVIL CONTINGENCIA</v>
          </cell>
          <cell r="B1859">
            <v>9169</v>
          </cell>
        </row>
        <row r="1860">
          <cell r="A1860" t="str">
            <v>URBANO</v>
          </cell>
          <cell r="B1860">
            <v>9173</v>
          </cell>
        </row>
        <row r="1861">
          <cell r="A1861" t="str">
            <v>URBANO PARTNER</v>
          </cell>
          <cell r="B1861">
            <v>9174</v>
          </cell>
        </row>
        <row r="1862">
          <cell r="A1862" t="str">
            <v>URBANO</v>
          </cell>
          <cell r="B1862">
            <v>9176</v>
          </cell>
        </row>
        <row r="1863">
          <cell r="A1863" t="str">
            <v>URBANO</v>
          </cell>
          <cell r="B1863">
            <v>9177</v>
          </cell>
        </row>
        <row r="1864">
          <cell r="A1864" t="str">
            <v>URBANO</v>
          </cell>
          <cell r="B1864">
            <v>9178</v>
          </cell>
        </row>
        <row r="1865">
          <cell r="A1865" t="str">
            <v>URBANO</v>
          </cell>
          <cell r="B1865">
            <v>9181</v>
          </cell>
        </row>
        <row r="1866">
          <cell r="A1866" t="str">
            <v>URBANO</v>
          </cell>
          <cell r="B1866">
            <v>9182</v>
          </cell>
        </row>
        <row r="1867">
          <cell r="A1867" t="str">
            <v>URBANO PARTNER</v>
          </cell>
          <cell r="B1867">
            <v>9183</v>
          </cell>
        </row>
        <row r="1868">
          <cell r="A1868" t="str">
            <v>URBANO</v>
          </cell>
          <cell r="B1868">
            <v>9184</v>
          </cell>
        </row>
        <row r="1869">
          <cell r="A1869" t="str">
            <v>URBANO</v>
          </cell>
          <cell r="B1869">
            <v>9185</v>
          </cell>
        </row>
        <row r="1870">
          <cell r="A1870" t="str">
            <v>URBANO</v>
          </cell>
          <cell r="B1870">
            <v>9186</v>
          </cell>
        </row>
        <row r="1871">
          <cell r="A1871" t="str">
            <v>URBANO</v>
          </cell>
          <cell r="B1871">
            <v>9187</v>
          </cell>
        </row>
        <row r="1872">
          <cell r="A1872" t="str">
            <v>URBANO</v>
          </cell>
          <cell r="B1872">
            <v>9188</v>
          </cell>
        </row>
        <row r="1873">
          <cell r="A1873" t="str">
            <v>URBANO</v>
          </cell>
          <cell r="B1873">
            <v>9190</v>
          </cell>
        </row>
        <row r="1874">
          <cell r="A1874" t="str">
            <v>URBANO PARTNER</v>
          </cell>
          <cell r="B1874">
            <v>9191</v>
          </cell>
        </row>
        <row r="1875">
          <cell r="A1875" t="str">
            <v>URBANO</v>
          </cell>
          <cell r="B1875">
            <v>9192</v>
          </cell>
        </row>
        <row r="1876">
          <cell r="A1876" t="str">
            <v>URBANO</v>
          </cell>
          <cell r="B1876">
            <v>9193</v>
          </cell>
        </row>
        <row r="1877">
          <cell r="A1877" t="str">
            <v>AEROLINEAS</v>
          </cell>
          <cell r="B1877">
            <v>9194</v>
          </cell>
        </row>
        <row r="1878">
          <cell r="A1878" t="str">
            <v>AEROLINEAS</v>
          </cell>
          <cell r="B1878">
            <v>9195</v>
          </cell>
        </row>
        <row r="1879">
          <cell r="A1879" t="str">
            <v>AEROLINEAS</v>
          </cell>
          <cell r="B1879">
            <v>9196</v>
          </cell>
        </row>
        <row r="1880">
          <cell r="A1880" t="str">
            <v>URBANO</v>
          </cell>
          <cell r="B1880">
            <v>9197</v>
          </cell>
        </row>
        <row r="1881">
          <cell r="A1881" t="str">
            <v>URBANO PARTNER</v>
          </cell>
          <cell r="B1881">
            <v>9199</v>
          </cell>
        </row>
        <row r="1882">
          <cell r="A1882" t="str">
            <v>AEROLINEAS</v>
          </cell>
          <cell r="B1882">
            <v>9200</v>
          </cell>
        </row>
        <row r="1883">
          <cell r="A1883" t="str">
            <v>URBANO</v>
          </cell>
          <cell r="B1883">
            <v>9203</v>
          </cell>
        </row>
        <row r="1884">
          <cell r="A1884" t="str">
            <v>URBANO</v>
          </cell>
          <cell r="B1884">
            <v>9204</v>
          </cell>
        </row>
        <row r="1885">
          <cell r="A1885" t="str">
            <v>URBANO</v>
          </cell>
          <cell r="B1885">
            <v>9206</v>
          </cell>
        </row>
        <row r="1886">
          <cell r="A1886" t="str">
            <v>URBANO</v>
          </cell>
          <cell r="B1886">
            <v>9207</v>
          </cell>
        </row>
        <row r="1887">
          <cell r="A1887" t="str">
            <v>URBANO</v>
          </cell>
          <cell r="B1887">
            <v>9208</v>
          </cell>
        </row>
        <row r="1888">
          <cell r="A1888" t="str">
            <v>URBANO</v>
          </cell>
          <cell r="B1888">
            <v>9209</v>
          </cell>
        </row>
        <row r="1889">
          <cell r="A1889" t="str">
            <v>URBANO</v>
          </cell>
          <cell r="B1889">
            <v>9211</v>
          </cell>
        </row>
        <row r="1890">
          <cell r="A1890" t="str">
            <v>MEMBRESÍA URBANO</v>
          </cell>
          <cell r="B1890">
            <v>9214</v>
          </cell>
        </row>
        <row r="1891">
          <cell r="A1891" t="str">
            <v>AEROPUERTO</v>
          </cell>
          <cell r="B1891">
            <v>9215</v>
          </cell>
        </row>
        <row r="1892">
          <cell r="A1892" t="str">
            <v>URBANO</v>
          </cell>
          <cell r="B1892">
            <v>9216</v>
          </cell>
        </row>
        <row r="1893">
          <cell r="A1893" t="str">
            <v>URBANO</v>
          </cell>
          <cell r="B1893">
            <v>9217</v>
          </cell>
        </row>
        <row r="1894">
          <cell r="A1894" t="str">
            <v>URBANO</v>
          </cell>
          <cell r="B1894">
            <v>9218</v>
          </cell>
        </row>
        <row r="1895">
          <cell r="A1895" t="str">
            <v>URBANO</v>
          </cell>
          <cell r="B1895">
            <v>9220</v>
          </cell>
        </row>
        <row r="1896">
          <cell r="A1896" t="str">
            <v>URBANO</v>
          </cell>
          <cell r="B1896">
            <v>9221</v>
          </cell>
        </row>
        <row r="1897">
          <cell r="A1897" t="str">
            <v>URBANO</v>
          </cell>
          <cell r="B1897">
            <v>9222</v>
          </cell>
        </row>
        <row r="1898">
          <cell r="A1898" t="str">
            <v>URBANO</v>
          </cell>
          <cell r="B1898">
            <v>9223</v>
          </cell>
        </row>
        <row r="1899">
          <cell r="A1899" t="str">
            <v>URBANO</v>
          </cell>
          <cell r="B1899">
            <v>9224</v>
          </cell>
        </row>
        <row r="1900">
          <cell r="A1900" t="str">
            <v>URBANO</v>
          </cell>
          <cell r="B1900">
            <v>9225</v>
          </cell>
        </row>
        <row r="1901">
          <cell r="A1901" t="str">
            <v>MEMBRESÍA URBANO</v>
          </cell>
          <cell r="B1901">
            <v>9226</v>
          </cell>
        </row>
        <row r="1902">
          <cell r="A1902" t="str">
            <v>URBANO</v>
          </cell>
          <cell r="B1902">
            <v>9228</v>
          </cell>
        </row>
        <row r="1903">
          <cell r="A1903" t="str">
            <v>URBANO</v>
          </cell>
          <cell r="B1903">
            <v>9230</v>
          </cell>
        </row>
        <row r="1904">
          <cell r="A1904" t="str">
            <v>URBANO</v>
          </cell>
          <cell r="B1904">
            <v>9231</v>
          </cell>
        </row>
        <row r="1905">
          <cell r="A1905" t="str">
            <v>URBANO</v>
          </cell>
          <cell r="B1905">
            <v>9232</v>
          </cell>
        </row>
        <row r="1906">
          <cell r="A1906" t="str">
            <v>URBANO</v>
          </cell>
          <cell r="B1906">
            <v>9233</v>
          </cell>
        </row>
        <row r="1907">
          <cell r="A1907" t="str">
            <v>URBANO PARTNER</v>
          </cell>
          <cell r="B1907">
            <v>9234</v>
          </cell>
        </row>
        <row r="1908">
          <cell r="A1908" t="str">
            <v>URBANO</v>
          </cell>
          <cell r="B1908">
            <v>9235</v>
          </cell>
        </row>
        <row r="1909">
          <cell r="A1909" t="str">
            <v>URBANO</v>
          </cell>
          <cell r="B1909">
            <v>9236</v>
          </cell>
        </row>
        <row r="1910">
          <cell r="A1910" t="str">
            <v>URBANO</v>
          </cell>
          <cell r="B1910">
            <v>9237</v>
          </cell>
        </row>
        <row r="1911">
          <cell r="A1911" t="str">
            <v>URBANO</v>
          </cell>
          <cell r="B1911">
            <v>9239</v>
          </cell>
        </row>
        <row r="1912">
          <cell r="A1912" t="str">
            <v>URBANO</v>
          </cell>
          <cell r="B1912">
            <v>9240</v>
          </cell>
        </row>
        <row r="1913">
          <cell r="A1913" t="str">
            <v>URBANO</v>
          </cell>
          <cell r="B1913">
            <v>9241</v>
          </cell>
        </row>
        <row r="1914">
          <cell r="A1914" t="str">
            <v>AEROLINEAS</v>
          </cell>
          <cell r="B1914">
            <v>9243</v>
          </cell>
        </row>
        <row r="1915">
          <cell r="A1915" t="str">
            <v>URBANO PARTNER</v>
          </cell>
          <cell r="B1915">
            <v>9244</v>
          </cell>
        </row>
        <row r="1916">
          <cell r="A1916" t="str">
            <v>AEROPUERTO</v>
          </cell>
          <cell r="B1916">
            <v>9246</v>
          </cell>
        </row>
        <row r="1917">
          <cell r="A1917" t="str">
            <v>AEROLINEAS</v>
          </cell>
          <cell r="B1917">
            <v>9249</v>
          </cell>
        </row>
        <row r="1918">
          <cell r="A1918" t="str">
            <v>AEROLINEAS</v>
          </cell>
          <cell r="B1918">
            <v>9280</v>
          </cell>
        </row>
        <row r="1919">
          <cell r="A1919" t="str">
            <v>AEROLINEAS</v>
          </cell>
          <cell r="B1919">
            <v>9282</v>
          </cell>
        </row>
        <row r="1920">
          <cell r="A1920" t="str">
            <v>URBANO PARTNER</v>
          </cell>
          <cell r="B1920">
            <v>9283</v>
          </cell>
        </row>
        <row r="1921">
          <cell r="A1921" t="str">
            <v>AEROLINEAS</v>
          </cell>
          <cell r="B1921">
            <v>9284</v>
          </cell>
        </row>
        <row r="1922">
          <cell r="A1922" t="str">
            <v>AEROLINEAS</v>
          </cell>
          <cell r="B1922">
            <v>9285</v>
          </cell>
        </row>
        <row r="1923">
          <cell r="A1923" t="str">
            <v>AEROLINEAS</v>
          </cell>
          <cell r="B1923">
            <v>9286</v>
          </cell>
        </row>
        <row r="1924">
          <cell r="A1924" t="str">
            <v>URBANO PARTNER</v>
          </cell>
          <cell r="B1924">
            <v>9289</v>
          </cell>
        </row>
        <row r="1925">
          <cell r="A1925" t="str">
            <v>URBANO</v>
          </cell>
          <cell r="B1925">
            <v>9290</v>
          </cell>
        </row>
        <row r="1926">
          <cell r="A1926" t="str">
            <v>URBANO</v>
          </cell>
          <cell r="B1926">
            <v>9291</v>
          </cell>
        </row>
        <row r="1927">
          <cell r="A1927" t="str">
            <v>MEMBRESÍA DIURNA</v>
          </cell>
          <cell r="B1927">
            <v>9292</v>
          </cell>
        </row>
        <row r="1928">
          <cell r="A1928" t="str">
            <v>AEROPUERTO</v>
          </cell>
          <cell r="B1928">
            <v>9293</v>
          </cell>
        </row>
        <row r="1929">
          <cell r="A1929" t="str">
            <v>URBANO</v>
          </cell>
          <cell r="B1929">
            <v>9294</v>
          </cell>
        </row>
        <row r="1930">
          <cell r="A1930" t="str">
            <v>URBANO PARTNER</v>
          </cell>
          <cell r="B1930">
            <v>9295</v>
          </cell>
        </row>
        <row r="1931">
          <cell r="A1931" t="str">
            <v>AEROLINEAS</v>
          </cell>
          <cell r="B1931">
            <v>9296</v>
          </cell>
        </row>
        <row r="1932">
          <cell r="A1932" t="str">
            <v>AEROPUERTO</v>
          </cell>
          <cell r="B1932">
            <v>9297</v>
          </cell>
        </row>
        <row r="1933">
          <cell r="A1933" t="str">
            <v>AEROPUERTO</v>
          </cell>
          <cell r="B1933">
            <v>9298</v>
          </cell>
        </row>
        <row r="1934">
          <cell r="A1934" t="str">
            <v>AEROPUERTO</v>
          </cell>
          <cell r="B1934">
            <v>9300</v>
          </cell>
        </row>
        <row r="1935">
          <cell r="A1935" t="str">
            <v>AEROPUERTO</v>
          </cell>
          <cell r="B1935">
            <v>9301</v>
          </cell>
        </row>
        <row r="1936">
          <cell r="A1936" t="str">
            <v>AEROLINEAS</v>
          </cell>
          <cell r="B1936">
            <v>9302</v>
          </cell>
        </row>
        <row r="1937">
          <cell r="A1937" t="str">
            <v>URBANO</v>
          </cell>
          <cell r="B1937">
            <v>9303</v>
          </cell>
        </row>
        <row r="1938">
          <cell r="A1938" t="str">
            <v>URBANO</v>
          </cell>
          <cell r="B1938">
            <v>9304</v>
          </cell>
        </row>
        <row r="1939">
          <cell r="A1939" t="str">
            <v>AEROLINEAS</v>
          </cell>
          <cell r="B1939">
            <v>9305</v>
          </cell>
        </row>
        <row r="1940">
          <cell r="A1940" t="str">
            <v>AEROLINEAS</v>
          </cell>
          <cell r="B1940">
            <v>9306</v>
          </cell>
        </row>
        <row r="1941">
          <cell r="A1941" t="str">
            <v>AEROLINEAS</v>
          </cell>
          <cell r="B1941">
            <v>9307</v>
          </cell>
        </row>
        <row r="1942">
          <cell r="A1942" t="str">
            <v>AEROLINEAS</v>
          </cell>
          <cell r="B1942">
            <v>9308</v>
          </cell>
        </row>
        <row r="1943">
          <cell r="A1943" t="str">
            <v>AEROLINEAS</v>
          </cell>
          <cell r="B1943">
            <v>9309</v>
          </cell>
        </row>
        <row r="1944">
          <cell r="A1944" t="str">
            <v>AEROLINEAS</v>
          </cell>
          <cell r="B1944">
            <v>9310</v>
          </cell>
        </row>
        <row r="1945">
          <cell r="A1945" t="str">
            <v>URBANO</v>
          </cell>
          <cell r="B1945">
            <v>9311</v>
          </cell>
        </row>
        <row r="1946">
          <cell r="A1946" t="str">
            <v>AEROLINEAS</v>
          </cell>
          <cell r="B1946">
            <v>9312</v>
          </cell>
        </row>
        <row r="1947">
          <cell r="A1947" t="str">
            <v>AEROLINEAS</v>
          </cell>
          <cell r="B1947">
            <v>9313</v>
          </cell>
        </row>
        <row r="1948">
          <cell r="A1948" t="str">
            <v>AEROLINEAS</v>
          </cell>
          <cell r="B1948">
            <v>9314</v>
          </cell>
        </row>
        <row r="1949">
          <cell r="A1949" t="str">
            <v>URBANO</v>
          </cell>
          <cell r="B1949">
            <v>9315</v>
          </cell>
        </row>
        <row r="1950">
          <cell r="A1950" t="str">
            <v>URBANO</v>
          </cell>
          <cell r="B1950">
            <v>9316</v>
          </cell>
        </row>
        <row r="1951">
          <cell r="A1951" t="str">
            <v>URBANO PARTNER</v>
          </cell>
          <cell r="B1951">
            <v>9317</v>
          </cell>
        </row>
        <row r="1952">
          <cell r="A1952" t="str">
            <v>AEROLINEAS</v>
          </cell>
          <cell r="B1952">
            <v>9318</v>
          </cell>
        </row>
        <row r="1953">
          <cell r="A1953" t="str">
            <v>URBANO</v>
          </cell>
          <cell r="B1953">
            <v>9319</v>
          </cell>
        </row>
        <row r="1954">
          <cell r="A1954" t="str">
            <v>URBANO PARTNER</v>
          </cell>
          <cell r="B1954">
            <v>9320</v>
          </cell>
        </row>
        <row r="1955">
          <cell r="A1955" t="str">
            <v>URBANO</v>
          </cell>
          <cell r="B1955">
            <v>9321</v>
          </cell>
        </row>
        <row r="1956">
          <cell r="A1956" t="str">
            <v>URBANO</v>
          </cell>
          <cell r="B1956">
            <v>9322</v>
          </cell>
        </row>
        <row r="1957">
          <cell r="A1957" t="str">
            <v>URBANO</v>
          </cell>
          <cell r="B1957">
            <v>9324</v>
          </cell>
        </row>
        <row r="1958">
          <cell r="A1958" t="str">
            <v>AEROLINEAS</v>
          </cell>
          <cell r="B1958">
            <v>9325</v>
          </cell>
        </row>
        <row r="1959">
          <cell r="A1959" t="str">
            <v>URBANO</v>
          </cell>
          <cell r="B1959">
            <v>9326</v>
          </cell>
        </row>
        <row r="1960">
          <cell r="A1960" t="str">
            <v>URBANO</v>
          </cell>
          <cell r="B1960">
            <v>9327</v>
          </cell>
        </row>
        <row r="1961">
          <cell r="A1961" t="str">
            <v>AEROLINEAS</v>
          </cell>
          <cell r="B1961">
            <v>9328</v>
          </cell>
        </row>
        <row r="1962">
          <cell r="A1962" t="str">
            <v>URBANO PARTNER</v>
          </cell>
          <cell r="B1962">
            <v>9329</v>
          </cell>
        </row>
        <row r="1963">
          <cell r="A1963" t="str">
            <v>AEROLINEAS</v>
          </cell>
          <cell r="B1963">
            <v>9331</v>
          </cell>
        </row>
        <row r="1964">
          <cell r="A1964" t="str">
            <v>AEROPUERTO</v>
          </cell>
          <cell r="B1964">
            <v>9333</v>
          </cell>
        </row>
        <row r="1965">
          <cell r="A1965" t="str">
            <v>AEROPUERTO VAN</v>
          </cell>
          <cell r="B1965">
            <v>9335</v>
          </cell>
        </row>
        <row r="1966">
          <cell r="A1966" t="str">
            <v>AEROLINEAS</v>
          </cell>
          <cell r="B1966">
            <v>9337</v>
          </cell>
        </row>
        <row r="1967">
          <cell r="A1967" t="str">
            <v>URBANO</v>
          </cell>
          <cell r="B1967">
            <v>9338</v>
          </cell>
        </row>
        <row r="1968">
          <cell r="A1968" t="str">
            <v>URBANO</v>
          </cell>
          <cell r="B1968">
            <v>9339</v>
          </cell>
        </row>
        <row r="1969">
          <cell r="A1969" t="str">
            <v>URBANO</v>
          </cell>
          <cell r="B1969">
            <v>9340</v>
          </cell>
        </row>
        <row r="1970">
          <cell r="A1970" t="str">
            <v>URBANO</v>
          </cell>
          <cell r="B1970">
            <v>9342</v>
          </cell>
        </row>
        <row r="1971">
          <cell r="A1971" t="str">
            <v>URBANO</v>
          </cell>
          <cell r="B1971">
            <v>9343</v>
          </cell>
        </row>
        <row r="1972">
          <cell r="A1972" t="str">
            <v>AEROPUERTO</v>
          </cell>
          <cell r="B1972">
            <v>9347</v>
          </cell>
        </row>
        <row r="1973">
          <cell r="A1973" t="str">
            <v>AEROPUERTO</v>
          </cell>
          <cell r="B1973">
            <v>9348</v>
          </cell>
        </row>
        <row r="1974">
          <cell r="A1974" t="str">
            <v>URBANO</v>
          </cell>
          <cell r="B1974">
            <v>9349</v>
          </cell>
        </row>
        <row r="1975">
          <cell r="A1975" t="str">
            <v>URBANO</v>
          </cell>
          <cell r="B1975">
            <v>9351</v>
          </cell>
        </row>
        <row r="1976">
          <cell r="A1976" t="str">
            <v>URBANO</v>
          </cell>
          <cell r="B1976">
            <v>9353</v>
          </cell>
        </row>
        <row r="1977">
          <cell r="A1977" t="str">
            <v>AEROLINEAS</v>
          </cell>
          <cell r="B1977">
            <v>9354</v>
          </cell>
        </row>
        <row r="1978">
          <cell r="A1978" t="str">
            <v>AEROPUERTO</v>
          </cell>
          <cell r="B1978">
            <v>9355</v>
          </cell>
        </row>
        <row r="1979">
          <cell r="A1979" t="str">
            <v>URBANO</v>
          </cell>
          <cell r="B1979">
            <v>9356</v>
          </cell>
        </row>
        <row r="1980">
          <cell r="A1980" t="str">
            <v>URBANO PARTNER</v>
          </cell>
          <cell r="B1980">
            <v>9358</v>
          </cell>
        </row>
        <row r="1981">
          <cell r="A1981" t="str">
            <v>AEROLINEAS</v>
          </cell>
          <cell r="B1981">
            <v>9360</v>
          </cell>
        </row>
        <row r="1982">
          <cell r="A1982" t="str">
            <v>URBANO</v>
          </cell>
          <cell r="B1982">
            <v>9362</v>
          </cell>
        </row>
        <row r="1983">
          <cell r="A1983" t="str">
            <v>AEROLINEAS</v>
          </cell>
          <cell r="B1983">
            <v>9363</v>
          </cell>
        </row>
        <row r="1984">
          <cell r="A1984" t="str">
            <v>URBANO</v>
          </cell>
          <cell r="B1984">
            <v>9364</v>
          </cell>
        </row>
        <row r="1985">
          <cell r="A1985" t="str">
            <v>URBANO</v>
          </cell>
          <cell r="B1985">
            <v>9365</v>
          </cell>
        </row>
        <row r="1986">
          <cell r="A1986" t="str">
            <v>AEROLINEAS</v>
          </cell>
          <cell r="B1986">
            <v>9367</v>
          </cell>
        </row>
        <row r="1987">
          <cell r="A1987" t="str">
            <v>AEROLINEAS</v>
          </cell>
          <cell r="B1987">
            <v>9368</v>
          </cell>
        </row>
        <row r="1988">
          <cell r="A1988" t="str">
            <v>AEROLINEAS</v>
          </cell>
          <cell r="B1988">
            <v>9369</v>
          </cell>
        </row>
        <row r="1989">
          <cell r="A1989" t="str">
            <v>AEROLINEAS</v>
          </cell>
          <cell r="B1989">
            <v>9370</v>
          </cell>
        </row>
        <row r="1990">
          <cell r="A1990" t="str">
            <v>URBANO</v>
          </cell>
          <cell r="B1990">
            <v>9372</v>
          </cell>
        </row>
        <row r="1991">
          <cell r="A1991" t="str">
            <v>URBANO</v>
          </cell>
          <cell r="B1991">
            <v>9373</v>
          </cell>
        </row>
        <row r="1992">
          <cell r="A1992" t="str">
            <v>AEROLINEAS</v>
          </cell>
          <cell r="B1992">
            <v>9376</v>
          </cell>
        </row>
        <row r="1993">
          <cell r="A1993" t="str">
            <v>AEROLINEAS</v>
          </cell>
          <cell r="B1993">
            <v>9377</v>
          </cell>
        </row>
        <row r="1994">
          <cell r="A1994" t="str">
            <v>AEROLINEAS</v>
          </cell>
          <cell r="B1994">
            <v>9379</v>
          </cell>
        </row>
        <row r="1995">
          <cell r="A1995" t="str">
            <v>URBANO</v>
          </cell>
          <cell r="B1995">
            <v>9380</v>
          </cell>
        </row>
        <row r="1996">
          <cell r="A1996" t="str">
            <v>URBANO PARTNER</v>
          </cell>
          <cell r="B1996">
            <v>9381</v>
          </cell>
        </row>
        <row r="1997">
          <cell r="A1997" t="str">
            <v>AEROPUERTO</v>
          </cell>
          <cell r="B1997">
            <v>9382</v>
          </cell>
        </row>
        <row r="1998">
          <cell r="A1998" t="str">
            <v>AEROPUERTO</v>
          </cell>
          <cell r="B1998">
            <v>9397</v>
          </cell>
        </row>
        <row r="1999">
          <cell r="A1999" t="str">
            <v>AEROLINEAS</v>
          </cell>
          <cell r="B1999">
            <v>9419</v>
          </cell>
        </row>
        <row r="2000">
          <cell r="A2000" t="str">
            <v>URBANO PARTNER</v>
          </cell>
          <cell r="B2000">
            <v>9420</v>
          </cell>
        </row>
        <row r="2001">
          <cell r="A2001" t="str">
            <v>AEROLINEAS</v>
          </cell>
          <cell r="B2001">
            <v>9421</v>
          </cell>
        </row>
        <row r="2002">
          <cell r="A2002" t="str">
            <v>AEROPUERTO</v>
          </cell>
          <cell r="B2002">
            <v>9422</v>
          </cell>
        </row>
        <row r="2003">
          <cell r="A2003" t="str">
            <v>URBANO</v>
          </cell>
          <cell r="B2003">
            <v>9425</v>
          </cell>
        </row>
        <row r="2004">
          <cell r="A2004" t="str">
            <v>URBANO</v>
          </cell>
          <cell r="B2004">
            <v>9426</v>
          </cell>
        </row>
        <row r="2005">
          <cell r="A2005" t="str">
            <v>URBANO</v>
          </cell>
          <cell r="B2005">
            <v>9427</v>
          </cell>
        </row>
        <row r="2006">
          <cell r="A2006" t="str">
            <v>URBANO</v>
          </cell>
          <cell r="B2006">
            <v>9431</v>
          </cell>
        </row>
        <row r="2007">
          <cell r="A2007" t="str">
            <v>URBANO</v>
          </cell>
          <cell r="B2007">
            <v>9432</v>
          </cell>
        </row>
        <row r="2008">
          <cell r="A2008" t="str">
            <v>URBANO</v>
          </cell>
          <cell r="B2008">
            <v>9433</v>
          </cell>
        </row>
        <row r="2009">
          <cell r="A2009" t="str">
            <v>AEROPUERTO VAN</v>
          </cell>
          <cell r="B2009">
            <v>9434</v>
          </cell>
        </row>
        <row r="2010">
          <cell r="A2010" t="str">
            <v>AEROPUERTO</v>
          </cell>
          <cell r="B2010">
            <v>9436</v>
          </cell>
        </row>
        <row r="2011">
          <cell r="A2011" t="str">
            <v>AEROLINEAS</v>
          </cell>
          <cell r="B2011">
            <v>9438</v>
          </cell>
        </row>
        <row r="2012">
          <cell r="A2012" t="str">
            <v>AEROLINEAS</v>
          </cell>
          <cell r="B2012">
            <v>9439</v>
          </cell>
        </row>
        <row r="2013">
          <cell r="A2013" t="str">
            <v>URBANO</v>
          </cell>
          <cell r="B2013">
            <v>9440</v>
          </cell>
        </row>
        <row r="2014">
          <cell r="A2014" t="str">
            <v>URBANO</v>
          </cell>
          <cell r="B2014">
            <v>9441</v>
          </cell>
        </row>
        <row r="2015">
          <cell r="A2015" t="str">
            <v>URBANO</v>
          </cell>
          <cell r="B2015">
            <v>9442</v>
          </cell>
        </row>
        <row r="2016">
          <cell r="A2016" t="str">
            <v>URBANO PARTNER</v>
          </cell>
          <cell r="B2016">
            <v>9448</v>
          </cell>
        </row>
        <row r="2017">
          <cell r="A2017" t="str">
            <v>URBANO PARTNER</v>
          </cell>
          <cell r="B2017">
            <v>9449</v>
          </cell>
        </row>
        <row r="2018">
          <cell r="A2018" t="str">
            <v>URBANO</v>
          </cell>
          <cell r="B2018">
            <v>9450</v>
          </cell>
        </row>
        <row r="2019">
          <cell r="A2019" t="str">
            <v>AEROLINEAS</v>
          </cell>
          <cell r="B2019">
            <v>9451</v>
          </cell>
        </row>
        <row r="2020">
          <cell r="A2020" t="str">
            <v>URBANO</v>
          </cell>
          <cell r="B2020">
            <v>9452</v>
          </cell>
        </row>
        <row r="2021">
          <cell r="A2021" t="str">
            <v>URBANO</v>
          </cell>
          <cell r="B2021">
            <v>9453</v>
          </cell>
        </row>
        <row r="2022">
          <cell r="A2022" t="str">
            <v>URBANO</v>
          </cell>
          <cell r="B2022">
            <v>9454</v>
          </cell>
        </row>
        <row r="2023">
          <cell r="A2023" t="str">
            <v>URBANO</v>
          </cell>
          <cell r="B2023">
            <v>9455</v>
          </cell>
        </row>
        <row r="2024">
          <cell r="A2024" t="str">
            <v>URBANO PARTNER</v>
          </cell>
          <cell r="B2024">
            <v>9456</v>
          </cell>
        </row>
        <row r="2025">
          <cell r="A2025" t="str">
            <v>URBANO PARTNER</v>
          </cell>
          <cell r="B2025">
            <v>9457</v>
          </cell>
        </row>
        <row r="2026">
          <cell r="A2026" t="str">
            <v>AEROLINEAS</v>
          </cell>
          <cell r="B2026">
            <v>9458</v>
          </cell>
        </row>
        <row r="2027">
          <cell r="A2027" t="str">
            <v>AEROLINEAS</v>
          </cell>
          <cell r="B2027">
            <v>9459</v>
          </cell>
        </row>
        <row r="2028">
          <cell r="A2028" t="str">
            <v>AEROLINEAS</v>
          </cell>
          <cell r="B2028">
            <v>9460</v>
          </cell>
        </row>
        <row r="2029">
          <cell r="A2029" t="str">
            <v>AEROLINEAS</v>
          </cell>
          <cell r="B2029">
            <v>9461</v>
          </cell>
        </row>
        <row r="2030">
          <cell r="A2030" t="str">
            <v>AEROPUERTO</v>
          </cell>
          <cell r="B2030">
            <v>9462</v>
          </cell>
        </row>
        <row r="2031">
          <cell r="A2031" t="str">
            <v>AEROPUERTO</v>
          </cell>
          <cell r="B2031">
            <v>9463</v>
          </cell>
        </row>
        <row r="2032">
          <cell r="A2032" t="str">
            <v>AEROLINEAS</v>
          </cell>
          <cell r="B2032">
            <v>9464</v>
          </cell>
        </row>
        <row r="2033">
          <cell r="A2033" t="str">
            <v>URBANO</v>
          </cell>
          <cell r="B2033">
            <v>9465</v>
          </cell>
        </row>
        <row r="2034">
          <cell r="A2034" t="str">
            <v>URBANO</v>
          </cell>
          <cell r="B2034">
            <v>9466</v>
          </cell>
        </row>
        <row r="2035">
          <cell r="A2035" t="str">
            <v>URBANO</v>
          </cell>
          <cell r="B2035">
            <v>9467</v>
          </cell>
        </row>
        <row r="2036">
          <cell r="A2036" t="str">
            <v>URBANO</v>
          </cell>
          <cell r="B2036">
            <v>9468</v>
          </cell>
        </row>
        <row r="2037">
          <cell r="A2037" t="str">
            <v>URBANO</v>
          </cell>
          <cell r="B2037">
            <v>9469</v>
          </cell>
        </row>
        <row r="2038">
          <cell r="A2038" t="str">
            <v>URBANO</v>
          </cell>
          <cell r="B2038">
            <v>9470</v>
          </cell>
        </row>
        <row r="2039">
          <cell r="A2039" t="str">
            <v>URBANO</v>
          </cell>
          <cell r="B2039">
            <v>9471</v>
          </cell>
        </row>
        <row r="2040">
          <cell r="A2040" t="str">
            <v>MEMBRESÍA URBANO</v>
          </cell>
          <cell r="B2040">
            <v>9472</v>
          </cell>
        </row>
        <row r="2041">
          <cell r="A2041" t="str">
            <v>AEROLINEAS</v>
          </cell>
          <cell r="B2041">
            <v>9473</v>
          </cell>
        </row>
        <row r="2042">
          <cell r="A2042" t="str">
            <v>URBANO</v>
          </cell>
          <cell r="B2042">
            <v>9474</v>
          </cell>
        </row>
        <row r="2043">
          <cell r="A2043" t="str">
            <v>AEROLINEAS</v>
          </cell>
          <cell r="B2043">
            <v>9475</v>
          </cell>
        </row>
        <row r="2044">
          <cell r="A2044" t="str">
            <v>AEROLINEAS</v>
          </cell>
          <cell r="B2044">
            <v>9476</v>
          </cell>
        </row>
        <row r="2045">
          <cell r="A2045" t="str">
            <v>AEROLINEAS</v>
          </cell>
          <cell r="B2045">
            <v>9477</v>
          </cell>
        </row>
        <row r="2046">
          <cell r="A2046" t="str">
            <v>AEROLINEAS</v>
          </cell>
          <cell r="B2046">
            <v>9480</v>
          </cell>
        </row>
        <row r="2047">
          <cell r="A2047" t="str">
            <v>URBANO</v>
          </cell>
          <cell r="B2047">
            <v>9481</v>
          </cell>
        </row>
        <row r="2048">
          <cell r="A2048" t="str">
            <v>AEROLINEAS</v>
          </cell>
          <cell r="B2048">
            <v>9482</v>
          </cell>
        </row>
        <row r="2049">
          <cell r="A2049" t="str">
            <v>AEROLINEAS</v>
          </cell>
          <cell r="B2049">
            <v>9483</v>
          </cell>
        </row>
        <row r="2050">
          <cell r="A2050" t="str">
            <v>URBANO PARTNER</v>
          </cell>
          <cell r="B2050">
            <v>9484</v>
          </cell>
        </row>
        <row r="2051">
          <cell r="A2051" t="str">
            <v>AEROLINEAS</v>
          </cell>
          <cell r="B2051">
            <v>9485</v>
          </cell>
        </row>
        <row r="2052">
          <cell r="A2052" t="str">
            <v>AEROLINEAS</v>
          </cell>
          <cell r="B2052">
            <v>9487</v>
          </cell>
        </row>
        <row r="2053">
          <cell r="A2053" t="str">
            <v>AEROLINEAS</v>
          </cell>
          <cell r="B2053">
            <v>9488</v>
          </cell>
        </row>
        <row r="2054">
          <cell r="A2054" t="str">
            <v>AEROPUERTO</v>
          </cell>
          <cell r="B2054">
            <v>9490</v>
          </cell>
        </row>
        <row r="2055">
          <cell r="A2055" t="str">
            <v>URBANO</v>
          </cell>
          <cell r="B2055">
            <v>9497</v>
          </cell>
        </row>
        <row r="2056">
          <cell r="A2056" t="str">
            <v>URBANO</v>
          </cell>
          <cell r="B2056">
            <v>9498</v>
          </cell>
        </row>
        <row r="2057">
          <cell r="A2057" t="str">
            <v>URBANO</v>
          </cell>
          <cell r="B2057">
            <v>9499</v>
          </cell>
        </row>
        <row r="2058">
          <cell r="A2058" t="str">
            <v>URBANO</v>
          </cell>
          <cell r="B2058">
            <v>9500</v>
          </cell>
        </row>
        <row r="2059">
          <cell r="A2059" t="str">
            <v>URBANO</v>
          </cell>
          <cell r="B2059">
            <v>9504</v>
          </cell>
        </row>
        <row r="2060">
          <cell r="A2060" t="str">
            <v>URBANO</v>
          </cell>
          <cell r="B2060">
            <v>9509</v>
          </cell>
        </row>
        <row r="2061">
          <cell r="A2061" t="str">
            <v>AEROPUERTO</v>
          </cell>
          <cell r="B2061">
            <v>9510</v>
          </cell>
        </row>
        <row r="2062">
          <cell r="A2062" t="str">
            <v>URBANO</v>
          </cell>
          <cell r="B2062">
            <v>9520</v>
          </cell>
        </row>
        <row r="2063">
          <cell r="A2063" t="str">
            <v>URBANO PARTNER</v>
          </cell>
          <cell r="B2063">
            <v>9522</v>
          </cell>
        </row>
        <row r="2064">
          <cell r="A2064" t="str">
            <v>AEROPUERTO</v>
          </cell>
          <cell r="B2064">
            <v>9527</v>
          </cell>
        </row>
        <row r="2065">
          <cell r="A2065" t="str">
            <v>URBANO PARTNER</v>
          </cell>
          <cell r="B2065">
            <v>9528</v>
          </cell>
        </row>
        <row r="2066">
          <cell r="A2066" t="str">
            <v>AEROLINEAS</v>
          </cell>
          <cell r="B2066">
            <v>9534</v>
          </cell>
        </row>
        <row r="2067">
          <cell r="A2067" t="str">
            <v>URBANO PARTNER</v>
          </cell>
          <cell r="B2067">
            <v>9539</v>
          </cell>
        </row>
        <row r="2068">
          <cell r="A2068" t="str">
            <v>URBANO PARTNER</v>
          </cell>
          <cell r="B2068">
            <v>9548</v>
          </cell>
        </row>
        <row r="2069">
          <cell r="A2069" t="str">
            <v>URBANO PARTNER</v>
          </cell>
          <cell r="B2069">
            <v>9550</v>
          </cell>
        </row>
        <row r="2070">
          <cell r="A2070" t="str">
            <v>URBANO</v>
          </cell>
          <cell r="B2070">
            <v>9551</v>
          </cell>
        </row>
        <row r="2071">
          <cell r="A2071" t="str">
            <v>URBANO</v>
          </cell>
          <cell r="B2071">
            <v>9554</v>
          </cell>
        </row>
        <row r="2072">
          <cell r="A2072" t="str">
            <v>AEROLINEAS</v>
          </cell>
          <cell r="B2072">
            <v>9557</v>
          </cell>
        </row>
        <row r="2073">
          <cell r="A2073" t="str">
            <v>URBANO</v>
          </cell>
          <cell r="B2073">
            <v>9559</v>
          </cell>
        </row>
        <row r="2074">
          <cell r="A2074" t="str">
            <v>URBANO</v>
          </cell>
          <cell r="B2074">
            <v>9561</v>
          </cell>
        </row>
        <row r="2075">
          <cell r="A2075" t="str">
            <v>AEROLINEAS</v>
          </cell>
          <cell r="B2075">
            <v>9567</v>
          </cell>
        </row>
        <row r="2076">
          <cell r="A2076" t="str">
            <v>URBANO</v>
          </cell>
          <cell r="B2076">
            <v>9570</v>
          </cell>
        </row>
        <row r="2077">
          <cell r="A2077" t="str">
            <v>AEROLINEAS</v>
          </cell>
          <cell r="B2077">
            <v>9571</v>
          </cell>
        </row>
        <row r="2078">
          <cell r="A2078" t="str">
            <v>AEROLINEAS</v>
          </cell>
          <cell r="B2078">
            <v>9573</v>
          </cell>
        </row>
        <row r="2079">
          <cell r="A2079" t="str">
            <v>AEROPUERTO</v>
          </cell>
          <cell r="B2079">
            <v>9574</v>
          </cell>
        </row>
        <row r="2080">
          <cell r="A2080" t="str">
            <v>AEROPUERTO</v>
          </cell>
          <cell r="B2080">
            <v>9575</v>
          </cell>
        </row>
        <row r="2081">
          <cell r="A2081" t="str">
            <v>AEROLINEAS</v>
          </cell>
          <cell r="B2081">
            <v>9584</v>
          </cell>
        </row>
        <row r="2082">
          <cell r="A2082" t="str">
            <v>URBANO</v>
          </cell>
          <cell r="B2082">
            <v>9585</v>
          </cell>
        </row>
        <row r="2083">
          <cell r="A2083" t="str">
            <v>AEROLINEAS</v>
          </cell>
          <cell r="B2083">
            <v>9592</v>
          </cell>
        </row>
        <row r="2084">
          <cell r="A2084" t="str">
            <v>URBANO</v>
          </cell>
          <cell r="B2084">
            <v>9593</v>
          </cell>
        </row>
        <row r="2085">
          <cell r="A2085" t="str">
            <v>URBANO</v>
          </cell>
          <cell r="B2085">
            <v>9599</v>
          </cell>
        </row>
        <row r="2086">
          <cell r="A2086" t="str">
            <v>URBANO</v>
          </cell>
          <cell r="B2086">
            <v>9600</v>
          </cell>
        </row>
        <row r="2087">
          <cell r="A2087" t="str">
            <v>URBANO PARTNER</v>
          </cell>
          <cell r="B2087">
            <v>9605</v>
          </cell>
        </row>
        <row r="2088">
          <cell r="A2088" t="str">
            <v>URBANO</v>
          </cell>
          <cell r="B2088">
            <v>9606</v>
          </cell>
        </row>
        <row r="2089">
          <cell r="A2089" t="str">
            <v>URBANO PARTNER</v>
          </cell>
          <cell r="B2089">
            <v>9607</v>
          </cell>
        </row>
        <row r="2090">
          <cell r="A2090" t="str">
            <v>URBANO</v>
          </cell>
          <cell r="B2090">
            <v>9608</v>
          </cell>
        </row>
        <row r="2091">
          <cell r="A2091" t="str">
            <v>URBANO</v>
          </cell>
          <cell r="B2091">
            <v>9609</v>
          </cell>
        </row>
        <row r="2092">
          <cell r="A2092" t="str">
            <v>AEROPUERTO</v>
          </cell>
          <cell r="B2092">
            <v>9610</v>
          </cell>
        </row>
        <row r="2093">
          <cell r="A2093" t="str">
            <v>URBANO</v>
          </cell>
          <cell r="B2093">
            <v>9611</v>
          </cell>
        </row>
        <row r="2094">
          <cell r="A2094" t="str">
            <v>AEROLINEAS</v>
          </cell>
          <cell r="B2094">
            <v>9612</v>
          </cell>
        </row>
        <row r="2095">
          <cell r="A2095" t="str">
            <v>AEROLINEAS</v>
          </cell>
          <cell r="B2095">
            <v>9613</v>
          </cell>
        </row>
        <row r="2096">
          <cell r="A2096" t="str">
            <v>URBANO PARTNER</v>
          </cell>
          <cell r="B2096">
            <v>9614</v>
          </cell>
        </row>
        <row r="2097">
          <cell r="A2097" t="str">
            <v>URBANO</v>
          </cell>
          <cell r="B2097">
            <v>9615</v>
          </cell>
        </row>
        <row r="2098">
          <cell r="A2098" t="str">
            <v>URBANO</v>
          </cell>
          <cell r="B2098">
            <v>9616</v>
          </cell>
        </row>
        <row r="2099">
          <cell r="A2099" t="str">
            <v>URBANO</v>
          </cell>
          <cell r="B2099">
            <v>9617</v>
          </cell>
        </row>
        <row r="2100">
          <cell r="A2100" t="str">
            <v>AEROLINEAS</v>
          </cell>
          <cell r="B2100">
            <v>9618</v>
          </cell>
        </row>
        <row r="2101">
          <cell r="A2101" t="str">
            <v>AEROLINEAS</v>
          </cell>
          <cell r="B2101">
            <v>9619</v>
          </cell>
        </row>
        <row r="2102">
          <cell r="A2102" t="str">
            <v>URBANO PARTNER</v>
          </cell>
          <cell r="B2102">
            <v>9620</v>
          </cell>
        </row>
        <row r="2103">
          <cell r="A2103" t="str">
            <v>AEROLINEAS</v>
          </cell>
          <cell r="B2103">
            <v>9621</v>
          </cell>
        </row>
        <row r="2104">
          <cell r="A2104" t="str">
            <v>AEROPUERTO</v>
          </cell>
          <cell r="B2104">
            <v>9623</v>
          </cell>
        </row>
        <row r="2105">
          <cell r="A2105" t="str">
            <v>AEROPUERTO</v>
          </cell>
          <cell r="B2105">
            <v>9624</v>
          </cell>
        </row>
        <row r="2106">
          <cell r="A2106" t="str">
            <v>AEROPUERTO</v>
          </cell>
          <cell r="B2106">
            <v>9626</v>
          </cell>
        </row>
        <row r="2107">
          <cell r="A2107" t="str">
            <v>URBANO</v>
          </cell>
          <cell r="B2107">
            <v>9627</v>
          </cell>
        </row>
        <row r="2108">
          <cell r="A2108" t="str">
            <v>URBANO</v>
          </cell>
          <cell r="B2108">
            <v>9628</v>
          </cell>
        </row>
        <row r="2109">
          <cell r="A2109" t="str">
            <v>AEROLINEAS</v>
          </cell>
          <cell r="B2109">
            <v>9630</v>
          </cell>
        </row>
        <row r="2110">
          <cell r="A2110" t="str">
            <v>AEROLINEAS</v>
          </cell>
          <cell r="B2110">
            <v>9631</v>
          </cell>
        </row>
        <row r="2111">
          <cell r="A2111" t="str">
            <v>AEROLINEAS</v>
          </cell>
          <cell r="B2111">
            <v>9633</v>
          </cell>
        </row>
        <row r="2112">
          <cell r="A2112" t="str">
            <v>URBANO</v>
          </cell>
          <cell r="B2112">
            <v>9634</v>
          </cell>
        </row>
        <row r="2113">
          <cell r="A2113" t="str">
            <v>URBANO</v>
          </cell>
          <cell r="B2113">
            <v>9635</v>
          </cell>
        </row>
        <row r="2114">
          <cell r="A2114" t="str">
            <v>MEMBRESÍA URBANO</v>
          </cell>
          <cell r="B2114">
            <v>9636</v>
          </cell>
        </row>
        <row r="2115">
          <cell r="A2115" t="str">
            <v>AEROPUERTO</v>
          </cell>
          <cell r="B2115">
            <v>9637</v>
          </cell>
        </row>
        <row r="2116">
          <cell r="A2116" t="str">
            <v>URBANO</v>
          </cell>
          <cell r="B2116">
            <v>9638</v>
          </cell>
        </row>
        <row r="2117">
          <cell r="A2117" t="str">
            <v>URBANO</v>
          </cell>
          <cell r="B2117">
            <v>9639</v>
          </cell>
        </row>
        <row r="2118">
          <cell r="A2118" t="str">
            <v>URBANO</v>
          </cell>
          <cell r="B2118">
            <v>9640</v>
          </cell>
        </row>
        <row r="2119">
          <cell r="A2119" t="str">
            <v>URBANO</v>
          </cell>
          <cell r="B2119">
            <v>9641</v>
          </cell>
        </row>
        <row r="2120">
          <cell r="A2120" t="str">
            <v>URBANO</v>
          </cell>
          <cell r="B2120">
            <v>9642</v>
          </cell>
        </row>
        <row r="2121">
          <cell r="A2121" t="str">
            <v>URBANO</v>
          </cell>
          <cell r="B2121">
            <v>9643</v>
          </cell>
        </row>
        <row r="2122">
          <cell r="A2122" t="str">
            <v>AEROPUERTO</v>
          </cell>
          <cell r="B2122">
            <v>9645</v>
          </cell>
        </row>
        <row r="2123">
          <cell r="A2123" t="str">
            <v>URBANO</v>
          </cell>
          <cell r="B2123">
            <v>9647</v>
          </cell>
        </row>
        <row r="2124">
          <cell r="A2124" t="str">
            <v>URBANO</v>
          </cell>
          <cell r="B2124">
            <v>9648</v>
          </cell>
        </row>
        <row r="2125">
          <cell r="A2125" t="str">
            <v>AEROLINEAS</v>
          </cell>
          <cell r="B2125">
            <v>9649</v>
          </cell>
        </row>
        <row r="2126">
          <cell r="A2126" t="str">
            <v>AEROLINEAS</v>
          </cell>
          <cell r="B2126">
            <v>9650</v>
          </cell>
        </row>
        <row r="2127">
          <cell r="A2127" t="str">
            <v>AEROLINEAS</v>
          </cell>
          <cell r="B2127">
            <v>9651</v>
          </cell>
        </row>
        <row r="2128">
          <cell r="A2128" t="str">
            <v>URBANO</v>
          </cell>
          <cell r="B2128">
            <v>9653</v>
          </cell>
        </row>
        <row r="2129">
          <cell r="A2129" t="str">
            <v>AEROPUERTO</v>
          </cell>
          <cell r="B2129">
            <v>9656</v>
          </cell>
        </row>
        <row r="2130">
          <cell r="A2130" t="str">
            <v>AEROPUERTO</v>
          </cell>
          <cell r="B2130">
            <v>9657</v>
          </cell>
        </row>
        <row r="2131">
          <cell r="A2131" t="str">
            <v>URBANO PARTNER</v>
          </cell>
          <cell r="B2131">
            <v>9658</v>
          </cell>
        </row>
        <row r="2132">
          <cell r="A2132" t="str">
            <v>AEROPUERTO</v>
          </cell>
          <cell r="B2132">
            <v>9659</v>
          </cell>
        </row>
        <row r="2133">
          <cell r="A2133" t="str">
            <v>URBANO PARTNER</v>
          </cell>
          <cell r="B2133">
            <v>9660</v>
          </cell>
        </row>
        <row r="2134">
          <cell r="A2134" t="str">
            <v>URBANO</v>
          </cell>
          <cell r="B2134">
            <v>9661</v>
          </cell>
        </row>
        <row r="2135">
          <cell r="A2135" t="str">
            <v>URBANO</v>
          </cell>
          <cell r="B2135">
            <v>9662</v>
          </cell>
        </row>
        <row r="2136">
          <cell r="A2136" t="str">
            <v>URBANO</v>
          </cell>
          <cell r="B2136">
            <v>9663</v>
          </cell>
        </row>
        <row r="2137">
          <cell r="A2137" t="str">
            <v>URBANO</v>
          </cell>
          <cell r="B2137">
            <v>9664</v>
          </cell>
        </row>
        <row r="2138">
          <cell r="A2138" t="str">
            <v>AEROPUERTO</v>
          </cell>
          <cell r="B2138">
            <v>9665</v>
          </cell>
        </row>
        <row r="2139">
          <cell r="A2139" t="str">
            <v>AEROPUERTO</v>
          </cell>
          <cell r="B2139">
            <v>9667</v>
          </cell>
        </row>
        <row r="2140">
          <cell r="A2140" t="str">
            <v>AEROPUERTO</v>
          </cell>
          <cell r="B2140">
            <v>9668</v>
          </cell>
        </row>
        <row r="2141">
          <cell r="A2141" t="str">
            <v>URBANO</v>
          </cell>
          <cell r="B2141">
            <v>9669</v>
          </cell>
        </row>
        <row r="2142">
          <cell r="A2142" t="str">
            <v>URBANO</v>
          </cell>
          <cell r="B2142">
            <v>9670</v>
          </cell>
        </row>
        <row r="2143">
          <cell r="A2143" t="str">
            <v>AEROPUERTO</v>
          </cell>
          <cell r="B2143">
            <v>9671</v>
          </cell>
        </row>
        <row r="2144">
          <cell r="A2144" t="str">
            <v>AEROPUERTO</v>
          </cell>
          <cell r="B2144">
            <v>9672</v>
          </cell>
        </row>
        <row r="2145">
          <cell r="A2145" t="str">
            <v>URBANO</v>
          </cell>
          <cell r="B2145">
            <v>9673</v>
          </cell>
        </row>
        <row r="2146">
          <cell r="A2146" t="str">
            <v>AEROLINEAS</v>
          </cell>
          <cell r="B2146">
            <v>9674</v>
          </cell>
        </row>
        <row r="2147">
          <cell r="A2147" t="str">
            <v>AEROLINEAS</v>
          </cell>
          <cell r="B2147">
            <v>9675</v>
          </cell>
        </row>
        <row r="2148">
          <cell r="A2148" t="str">
            <v>AEROLINEAS</v>
          </cell>
          <cell r="B2148">
            <v>9676</v>
          </cell>
        </row>
        <row r="2149">
          <cell r="A2149" t="str">
            <v>URBANO</v>
          </cell>
          <cell r="B2149">
            <v>9677</v>
          </cell>
        </row>
        <row r="2150">
          <cell r="A2150" t="str">
            <v>URBANO</v>
          </cell>
          <cell r="B2150">
            <v>9679</v>
          </cell>
        </row>
        <row r="2151">
          <cell r="A2151" t="str">
            <v>URBANO</v>
          </cell>
          <cell r="B2151">
            <v>9680</v>
          </cell>
        </row>
        <row r="2152">
          <cell r="A2152" t="str">
            <v>URBANO</v>
          </cell>
          <cell r="B2152">
            <v>9681</v>
          </cell>
        </row>
        <row r="2153">
          <cell r="A2153" t="str">
            <v>URBANO</v>
          </cell>
          <cell r="B2153">
            <v>9682</v>
          </cell>
        </row>
        <row r="2154">
          <cell r="A2154" t="str">
            <v>URBANO</v>
          </cell>
          <cell r="B2154">
            <v>9683</v>
          </cell>
        </row>
        <row r="2155">
          <cell r="A2155" t="str">
            <v>AEROPUERTO</v>
          </cell>
          <cell r="B2155">
            <v>9684</v>
          </cell>
        </row>
        <row r="2156">
          <cell r="A2156" t="str">
            <v>AEROPUERTO</v>
          </cell>
          <cell r="B2156">
            <v>9686</v>
          </cell>
        </row>
        <row r="2157">
          <cell r="A2157" t="str">
            <v>AEROLINEAS</v>
          </cell>
          <cell r="B2157">
            <v>9687</v>
          </cell>
        </row>
        <row r="2158">
          <cell r="A2158" t="str">
            <v>AEROLINEAS</v>
          </cell>
          <cell r="B2158">
            <v>9688</v>
          </cell>
        </row>
        <row r="2159">
          <cell r="A2159" t="str">
            <v>URBANO PARTNER</v>
          </cell>
          <cell r="B2159">
            <v>9689</v>
          </cell>
        </row>
        <row r="2160">
          <cell r="A2160" t="str">
            <v>AEROPUERTO</v>
          </cell>
          <cell r="B2160">
            <v>9690</v>
          </cell>
        </row>
        <row r="2161">
          <cell r="A2161" t="str">
            <v>AEROLINEAS</v>
          </cell>
          <cell r="B2161">
            <v>9691</v>
          </cell>
        </row>
        <row r="2162">
          <cell r="A2162" t="str">
            <v>URBANO</v>
          </cell>
          <cell r="B2162">
            <v>9692</v>
          </cell>
        </row>
        <row r="2163">
          <cell r="A2163" t="str">
            <v>AEROPUERTO</v>
          </cell>
          <cell r="B2163">
            <v>9693</v>
          </cell>
        </row>
        <row r="2164">
          <cell r="A2164" t="str">
            <v>AEROPUERTO</v>
          </cell>
          <cell r="B2164">
            <v>9694</v>
          </cell>
        </row>
        <row r="2165">
          <cell r="A2165" t="str">
            <v>URBANO</v>
          </cell>
          <cell r="B2165">
            <v>9695</v>
          </cell>
        </row>
        <row r="2166">
          <cell r="A2166" t="str">
            <v>URBANO</v>
          </cell>
          <cell r="B2166">
            <v>9697</v>
          </cell>
        </row>
        <row r="2167">
          <cell r="A2167" t="str">
            <v>URBANO</v>
          </cell>
          <cell r="B2167">
            <v>9698</v>
          </cell>
        </row>
        <row r="2168">
          <cell r="A2168" t="str">
            <v>URBANO</v>
          </cell>
          <cell r="B2168">
            <v>9699</v>
          </cell>
        </row>
        <row r="2169">
          <cell r="A2169" t="str">
            <v>URBANO</v>
          </cell>
          <cell r="B2169">
            <v>9700</v>
          </cell>
        </row>
        <row r="2170">
          <cell r="A2170" t="str">
            <v>URBANO</v>
          </cell>
          <cell r="B2170">
            <v>9701</v>
          </cell>
        </row>
        <row r="2171">
          <cell r="A2171" t="str">
            <v>AEROPUERTO</v>
          </cell>
          <cell r="B2171">
            <v>9703</v>
          </cell>
        </row>
        <row r="2172">
          <cell r="A2172" t="str">
            <v>AEROPUERTO</v>
          </cell>
          <cell r="B2172">
            <v>9704</v>
          </cell>
        </row>
        <row r="2173">
          <cell r="A2173" t="str">
            <v>AEROLINEAS</v>
          </cell>
          <cell r="B2173">
            <v>9705</v>
          </cell>
        </row>
        <row r="2174">
          <cell r="A2174" t="str">
            <v>AEROPUERTO</v>
          </cell>
          <cell r="B2174">
            <v>9706</v>
          </cell>
        </row>
        <row r="2175">
          <cell r="A2175" t="str">
            <v>URBANO</v>
          </cell>
          <cell r="B2175">
            <v>9707</v>
          </cell>
        </row>
        <row r="2176">
          <cell r="A2176" t="str">
            <v>URBANO</v>
          </cell>
          <cell r="B2176">
            <v>9708</v>
          </cell>
        </row>
        <row r="2177">
          <cell r="A2177" t="str">
            <v>URBANO</v>
          </cell>
          <cell r="B2177">
            <v>9709</v>
          </cell>
        </row>
        <row r="2178">
          <cell r="A2178" t="str">
            <v>AEROLINEAS</v>
          </cell>
          <cell r="B2178">
            <v>9710</v>
          </cell>
        </row>
        <row r="2179">
          <cell r="A2179" t="str">
            <v>AEROLINEAS</v>
          </cell>
          <cell r="B2179">
            <v>9711</v>
          </cell>
        </row>
        <row r="2180">
          <cell r="A2180" t="str">
            <v>URBANO</v>
          </cell>
          <cell r="B2180">
            <v>9712</v>
          </cell>
        </row>
        <row r="2181">
          <cell r="A2181" t="str">
            <v>URBANO</v>
          </cell>
          <cell r="B2181">
            <v>9713</v>
          </cell>
        </row>
        <row r="2182">
          <cell r="A2182" t="str">
            <v>URBANO</v>
          </cell>
          <cell r="B2182">
            <v>9714</v>
          </cell>
        </row>
        <row r="2183">
          <cell r="A2183" t="str">
            <v>URBANO</v>
          </cell>
          <cell r="B2183">
            <v>9715</v>
          </cell>
        </row>
        <row r="2184">
          <cell r="A2184" t="str">
            <v>URBANO</v>
          </cell>
          <cell r="B2184">
            <v>9716</v>
          </cell>
        </row>
        <row r="2185">
          <cell r="A2185" t="str">
            <v>URBANO</v>
          </cell>
          <cell r="B2185">
            <v>9717</v>
          </cell>
        </row>
        <row r="2186">
          <cell r="A2186" t="str">
            <v>URBANO</v>
          </cell>
          <cell r="B2186">
            <v>9718</v>
          </cell>
        </row>
        <row r="2187">
          <cell r="A2187" t="str">
            <v>URBANO</v>
          </cell>
          <cell r="B2187">
            <v>9719</v>
          </cell>
        </row>
        <row r="2188">
          <cell r="A2188" t="str">
            <v>AEROPUERTO</v>
          </cell>
          <cell r="B2188">
            <v>9720</v>
          </cell>
        </row>
        <row r="2189">
          <cell r="A2189" t="str">
            <v>URBANO</v>
          </cell>
          <cell r="B2189">
            <v>9721</v>
          </cell>
        </row>
        <row r="2190">
          <cell r="A2190" t="str">
            <v>URBANO</v>
          </cell>
          <cell r="B2190">
            <v>9722</v>
          </cell>
        </row>
        <row r="2191">
          <cell r="A2191" t="str">
            <v>URBANO</v>
          </cell>
          <cell r="B2191">
            <v>9723</v>
          </cell>
        </row>
        <row r="2192">
          <cell r="A2192" t="str">
            <v>URBANO</v>
          </cell>
          <cell r="B2192">
            <v>9726</v>
          </cell>
        </row>
        <row r="2193">
          <cell r="A2193" t="str">
            <v>AEROPUERTO</v>
          </cell>
          <cell r="B2193">
            <v>9727</v>
          </cell>
        </row>
        <row r="2194">
          <cell r="A2194" t="str">
            <v>URBANO</v>
          </cell>
          <cell r="B2194">
            <v>9730</v>
          </cell>
        </row>
        <row r="2195">
          <cell r="A2195" t="str">
            <v>AEROPUERTO</v>
          </cell>
          <cell r="B2195">
            <v>9734</v>
          </cell>
        </row>
        <row r="2196">
          <cell r="A2196" t="str">
            <v>AEROLINEAS</v>
          </cell>
          <cell r="B2196">
            <v>9736</v>
          </cell>
        </row>
        <row r="2197">
          <cell r="A2197" t="str">
            <v>URBANO</v>
          </cell>
          <cell r="B2197">
            <v>9737</v>
          </cell>
        </row>
        <row r="2198">
          <cell r="A2198" t="str">
            <v>URBANO</v>
          </cell>
          <cell r="B2198">
            <v>9738</v>
          </cell>
        </row>
        <row r="2199">
          <cell r="A2199" t="str">
            <v>URBANO</v>
          </cell>
          <cell r="B2199">
            <v>9739</v>
          </cell>
        </row>
        <row r="2200">
          <cell r="A2200" t="str">
            <v>URBANO</v>
          </cell>
          <cell r="B2200">
            <v>9740</v>
          </cell>
        </row>
        <row r="2201">
          <cell r="A2201" t="str">
            <v>URBANO</v>
          </cell>
          <cell r="B2201">
            <v>9741</v>
          </cell>
        </row>
        <row r="2202">
          <cell r="A2202" t="str">
            <v>AEROPUERTO</v>
          </cell>
          <cell r="B2202">
            <v>9742</v>
          </cell>
        </row>
        <row r="2203">
          <cell r="A2203" t="str">
            <v>AEROPUERTO</v>
          </cell>
          <cell r="B2203">
            <v>9743</v>
          </cell>
        </row>
        <row r="2204">
          <cell r="A2204" t="str">
            <v>AEROPUERTO</v>
          </cell>
          <cell r="B2204">
            <v>9744</v>
          </cell>
        </row>
        <row r="2205">
          <cell r="A2205" t="str">
            <v>AEROLINEAS</v>
          </cell>
          <cell r="B2205">
            <v>9745</v>
          </cell>
        </row>
        <row r="2206">
          <cell r="A2206" t="str">
            <v>URBANO PARTNER</v>
          </cell>
          <cell r="B2206">
            <v>9746</v>
          </cell>
        </row>
        <row r="2207">
          <cell r="A2207" t="str">
            <v>URBANO</v>
          </cell>
          <cell r="B2207">
            <v>9747</v>
          </cell>
        </row>
        <row r="2208">
          <cell r="A2208" t="str">
            <v>URBANO</v>
          </cell>
          <cell r="B2208">
            <v>9749</v>
          </cell>
        </row>
        <row r="2209">
          <cell r="A2209" t="str">
            <v>URBANO</v>
          </cell>
          <cell r="B2209">
            <v>9751</v>
          </cell>
        </row>
        <row r="2210">
          <cell r="A2210" t="str">
            <v>URBANO</v>
          </cell>
          <cell r="B2210">
            <v>9753</v>
          </cell>
        </row>
        <row r="2211">
          <cell r="A2211" t="str">
            <v>URBANO</v>
          </cell>
          <cell r="B2211">
            <v>9754</v>
          </cell>
        </row>
        <row r="2212">
          <cell r="A2212" t="str">
            <v>URBANO PARTNER</v>
          </cell>
          <cell r="B2212">
            <v>9758</v>
          </cell>
        </row>
        <row r="2213">
          <cell r="A2213" t="str">
            <v>URBANO PARTNER</v>
          </cell>
          <cell r="B2213">
            <v>9760</v>
          </cell>
        </row>
        <row r="2214">
          <cell r="A2214" t="str">
            <v>URBANO</v>
          </cell>
          <cell r="B2214">
            <v>9763</v>
          </cell>
        </row>
        <row r="2215">
          <cell r="A2215" t="str">
            <v>AEROPUERTO</v>
          </cell>
          <cell r="B2215">
            <v>9764</v>
          </cell>
        </row>
        <row r="2216">
          <cell r="A2216" t="str">
            <v>AEROPUERTO</v>
          </cell>
          <cell r="B2216">
            <v>9765</v>
          </cell>
        </row>
        <row r="2217">
          <cell r="A2217" t="str">
            <v>AEROPUERTO</v>
          </cell>
          <cell r="B2217">
            <v>9767</v>
          </cell>
        </row>
        <row r="2218">
          <cell r="A2218" t="str">
            <v>AEROPUERTO</v>
          </cell>
          <cell r="B2218">
            <v>9768</v>
          </cell>
        </row>
        <row r="2219">
          <cell r="A2219" t="str">
            <v>AEROLINEAS</v>
          </cell>
          <cell r="B2219">
            <v>9769</v>
          </cell>
        </row>
        <row r="2220">
          <cell r="A2220" t="str">
            <v>AEROPUERTO</v>
          </cell>
          <cell r="B2220">
            <v>9770</v>
          </cell>
        </row>
        <row r="2221">
          <cell r="A2221" t="str">
            <v>AEROPUERTO</v>
          </cell>
          <cell r="B2221">
            <v>9771</v>
          </cell>
        </row>
        <row r="2222">
          <cell r="A2222" t="str">
            <v>URBANO</v>
          </cell>
          <cell r="B2222">
            <v>9773</v>
          </cell>
        </row>
        <row r="2223">
          <cell r="A2223" t="str">
            <v>AEROPUERTO</v>
          </cell>
          <cell r="B2223">
            <v>9775</v>
          </cell>
        </row>
        <row r="2224">
          <cell r="A2224" t="str">
            <v>URBANO</v>
          </cell>
          <cell r="B2224">
            <v>9777</v>
          </cell>
        </row>
        <row r="2225">
          <cell r="A2225" t="str">
            <v>URBANO PARTNER</v>
          </cell>
          <cell r="B2225">
            <v>9778</v>
          </cell>
        </row>
        <row r="2226">
          <cell r="A2226" t="str">
            <v>URBANO</v>
          </cell>
          <cell r="B2226">
            <v>9780</v>
          </cell>
        </row>
        <row r="2227">
          <cell r="A2227" t="str">
            <v>AEROPUERTO</v>
          </cell>
          <cell r="B2227">
            <v>9781</v>
          </cell>
        </row>
        <row r="2228">
          <cell r="A2228" t="str">
            <v>URBANO</v>
          </cell>
          <cell r="B2228">
            <v>9782</v>
          </cell>
        </row>
        <row r="2229">
          <cell r="A2229" t="str">
            <v>URBANO</v>
          </cell>
          <cell r="B2229">
            <v>9783</v>
          </cell>
        </row>
        <row r="2230">
          <cell r="A2230" t="str">
            <v>URBANO</v>
          </cell>
          <cell r="B2230">
            <v>9784</v>
          </cell>
        </row>
        <row r="2231">
          <cell r="A2231" t="str">
            <v>URBANO</v>
          </cell>
          <cell r="B2231">
            <v>9785</v>
          </cell>
        </row>
        <row r="2232">
          <cell r="A2232" t="str">
            <v>URBANO</v>
          </cell>
          <cell r="B2232">
            <v>9786</v>
          </cell>
        </row>
        <row r="2233">
          <cell r="A2233" t="str">
            <v>AEROPUERTO</v>
          </cell>
          <cell r="B2233">
            <v>9787</v>
          </cell>
        </row>
        <row r="2234">
          <cell r="A2234" t="str">
            <v>AEROPUERTO</v>
          </cell>
          <cell r="B2234">
            <v>9788</v>
          </cell>
        </row>
        <row r="2235">
          <cell r="A2235" t="str">
            <v>URBANO</v>
          </cell>
          <cell r="B2235">
            <v>9790</v>
          </cell>
        </row>
        <row r="2236">
          <cell r="A2236" t="str">
            <v>URBANO</v>
          </cell>
          <cell r="B2236">
            <v>9791</v>
          </cell>
        </row>
        <row r="2237">
          <cell r="A2237" t="str">
            <v>URBANO PARTNER</v>
          </cell>
          <cell r="B2237">
            <v>9792</v>
          </cell>
        </row>
        <row r="2238">
          <cell r="A2238" t="str">
            <v>URBANO</v>
          </cell>
          <cell r="B2238">
            <v>9793</v>
          </cell>
        </row>
        <row r="2239">
          <cell r="A2239" t="str">
            <v>URBANO PARTNER</v>
          </cell>
          <cell r="B2239">
            <v>9794</v>
          </cell>
        </row>
        <row r="2240">
          <cell r="A2240" t="str">
            <v>AEROPUERTO</v>
          </cell>
          <cell r="B2240">
            <v>9795</v>
          </cell>
        </row>
        <row r="2241">
          <cell r="A2241" t="str">
            <v>URBANO</v>
          </cell>
          <cell r="B2241">
            <v>9798</v>
          </cell>
        </row>
        <row r="2242">
          <cell r="A2242" t="str">
            <v>URBANO</v>
          </cell>
          <cell r="B2242">
            <v>9799</v>
          </cell>
        </row>
        <row r="2243">
          <cell r="A2243" t="str">
            <v>AEROLINEAS</v>
          </cell>
          <cell r="B2243">
            <v>9800</v>
          </cell>
        </row>
        <row r="2244">
          <cell r="A2244" t="str">
            <v>AEROPUERTO</v>
          </cell>
          <cell r="B2244">
            <v>9803</v>
          </cell>
        </row>
        <row r="2245">
          <cell r="A2245" t="str">
            <v>AEROPUERTO</v>
          </cell>
          <cell r="B2245">
            <v>9804</v>
          </cell>
        </row>
        <row r="2246">
          <cell r="A2246" t="str">
            <v>AEROLINEAS</v>
          </cell>
          <cell r="B2246">
            <v>9805</v>
          </cell>
        </row>
        <row r="2247">
          <cell r="A2247" t="str">
            <v>AEROPUERTO</v>
          </cell>
          <cell r="B2247">
            <v>9807</v>
          </cell>
        </row>
        <row r="2248">
          <cell r="A2248" t="str">
            <v>AEROPUERTO</v>
          </cell>
          <cell r="B2248">
            <v>9808</v>
          </cell>
        </row>
        <row r="2249">
          <cell r="A2249" t="str">
            <v>URBANO</v>
          </cell>
          <cell r="B2249">
            <v>9810</v>
          </cell>
        </row>
        <row r="2250">
          <cell r="A2250" t="str">
            <v>URBANO</v>
          </cell>
          <cell r="B2250">
            <v>9811</v>
          </cell>
        </row>
        <row r="2251">
          <cell r="A2251" t="str">
            <v>AEROPUERTO</v>
          </cell>
          <cell r="B2251">
            <v>9812</v>
          </cell>
        </row>
        <row r="2252">
          <cell r="A2252" t="str">
            <v>URBANO</v>
          </cell>
          <cell r="B2252">
            <v>9813</v>
          </cell>
        </row>
        <row r="2253">
          <cell r="A2253" t="str">
            <v>URBANO</v>
          </cell>
          <cell r="B2253">
            <v>9814</v>
          </cell>
        </row>
        <row r="2254">
          <cell r="A2254" t="str">
            <v>URBANO</v>
          </cell>
          <cell r="B2254">
            <v>9815</v>
          </cell>
        </row>
        <row r="2255">
          <cell r="A2255" t="str">
            <v>AEROPUERTO</v>
          </cell>
          <cell r="B2255">
            <v>9817</v>
          </cell>
        </row>
        <row r="2256">
          <cell r="A2256" t="str">
            <v>AEROPUERTO</v>
          </cell>
          <cell r="B2256">
            <v>9818</v>
          </cell>
        </row>
        <row r="2257">
          <cell r="A2257" t="str">
            <v>AEROPUERTO</v>
          </cell>
          <cell r="B2257">
            <v>9819</v>
          </cell>
        </row>
        <row r="2258">
          <cell r="A2258" t="str">
            <v>AEROPUERTO VAN</v>
          </cell>
          <cell r="B2258">
            <v>9820</v>
          </cell>
        </row>
        <row r="2259">
          <cell r="A2259" t="str">
            <v>URBANO</v>
          </cell>
          <cell r="B2259">
            <v>9822</v>
          </cell>
        </row>
        <row r="2260">
          <cell r="A2260" t="str">
            <v>URBANO</v>
          </cell>
          <cell r="B2260">
            <v>9823</v>
          </cell>
        </row>
        <row r="2261">
          <cell r="A2261" t="str">
            <v>URBANO</v>
          </cell>
          <cell r="B2261">
            <v>9824</v>
          </cell>
        </row>
        <row r="2262">
          <cell r="A2262" t="str">
            <v>URBANO</v>
          </cell>
          <cell r="B2262">
            <v>9825</v>
          </cell>
        </row>
        <row r="2263">
          <cell r="A2263" t="str">
            <v>URBANO</v>
          </cell>
          <cell r="B2263">
            <v>9827</v>
          </cell>
        </row>
        <row r="2264">
          <cell r="A2264" t="str">
            <v>URBANO</v>
          </cell>
          <cell r="B2264">
            <v>9828</v>
          </cell>
        </row>
        <row r="2265">
          <cell r="A2265" t="str">
            <v>URBANO</v>
          </cell>
          <cell r="B2265">
            <v>9830</v>
          </cell>
        </row>
        <row r="2266">
          <cell r="A2266" t="str">
            <v>URBANO</v>
          </cell>
          <cell r="B2266">
            <v>9831</v>
          </cell>
        </row>
        <row r="2267">
          <cell r="A2267" t="str">
            <v>URBANO</v>
          </cell>
          <cell r="B2267">
            <v>9832</v>
          </cell>
        </row>
        <row r="2268">
          <cell r="A2268" t="str">
            <v>AEROPUERTO</v>
          </cell>
          <cell r="B2268">
            <v>9833</v>
          </cell>
        </row>
        <row r="2269">
          <cell r="A2269" t="str">
            <v>AEROPUERTO</v>
          </cell>
          <cell r="B2269">
            <v>9834</v>
          </cell>
        </row>
        <row r="2270">
          <cell r="A2270" t="str">
            <v>AEROLINEAS</v>
          </cell>
          <cell r="B2270">
            <v>9835</v>
          </cell>
        </row>
        <row r="2271">
          <cell r="A2271" t="str">
            <v>AEROPUERTO</v>
          </cell>
          <cell r="B2271">
            <v>9836</v>
          </cell>
        </row>
        <row r="2272">
          <cell r="A2272" t="str">
            <v>AEROPUERTO</v>
          </cell>
          <cell r="B2272">
            <v>9837</v>
          </cell>
        </row>
        <row r="2273">
          <cell r="A2273" t="str">
            <v>URBANO</v>
          </cell>
          <cell r="B2273">
            <v>9838</v>
          </cell>
        </row>
        <row r="2274">
          <cell r="A2274" t="str">
            <v>URBANO</v>
          </cell>
          <cell r="B2274">
            <v>9839</v>
          </cell>
        </row>
        <row r="2275">
          <cell r="A2275" t="str">
            <v>AEROPUERTO</v>
          </cell>
          <cell r="B2275">
            <v>9840</v>
          </cell>
        </row>
        <row r="2276">
          <cell r="A2276" t="str">
            <v>URBANO PARTNER</v>
          </cell>
          <cell r="B2276">
            <v>9842</v>
          </cell>
        </row>
        <row r="2277">
          <cell r="A2277" t="str">
            <v>URBANO</v>
          </cell>
          <cell r="B2277">
            <v>9843</v>
          </cell>
        </row>
        <row r="2278">
          <cell r="A2278" t="str">
            <v>URBANO</v>
          </cell>
          <cell r="B2278">
            <v>9844</v>
          </cell>
        </row>
        <row r="2279">
          <cell r="A2279" t="str">
            <v>URBANO</v>
          </cell>
          <cell r="B2279">
            <v>9845</v>
          </cell>
        </row>
        <row r="2280">
          <cell r="A2280" t="str">
            <v>URBANO</v>
          </cell>
          <cell r="B2280">
            <v>9846</v>
          </cell>
        </row>
        <row r="2281">
          <cell r="A2281" t="str">
            <v>URBANO</v>
          </cell>
          <cell r="B2281">
            <v>9847</v>
          </cell>
        </row>
        <row r="2282">
          <cell r="A2282" t="str">
            <v>URBANO PARTNER</v>
          </cell>
          <cell r="B2282">
            <v>9848</v>
          </cell>
        </row>
        <row r="2283">
          <cell r="A2283" t="str">
            <v>URBANO</v>
          </cell>
          <cell r="B2283">
            <v>9850</v>
          </cell>
        </row>
        <row r="2284">
          <cell r="A2284" t="str">
            <v>AEROPUERTO</v>
          </cell>
          <cell r="B2284">
            <v>9851</v>
          </cell>
        </row>
        <row r="2285">
          <cell r="A2285" t="str">
            <v>AEROPUERTO</v>
          </cell>
          <cell r="B2285">
            <v>9853</v>
          </cell>
        </row>
        <row r="2286">
          <cell r="A2286" t="str">
            <v>AEROPUERTO</v>
          </cell>
          <cell r="B2286">
            <v>9854</v>
          </cell>
        </row>
        <row r="2287">
          <cell r="A2287" t="str">
            <v>URBANO</v>
          </cell>
          <cell r="B2287">
            <v>9856</v>
          </cell>
        </row>
        <row r="2288">
          <cell r="A2288" t="str">
            <v>URBANO</v>
          </cell>
          <cell r="B2288">
            <v>9857</v>
          </cell>
        </row>
        <row r="2289">
          <cell r="A2289" t="str">
            <v>URBANO</v>
          </cell>
          <cell r="B2289">
            <v>9858</v>
          </cell>
        </row>
        <row r="2290">
          <cell r="A2290" t="str">
            <v>URBANO</v>
          </cell>
          <cell r="B2290">
            <v>9859</v>
          </cell>
        </row>
        <row r="2291">
          <cell r="A2291" t="str">
            <v>URBANO</v>
          </cell>
          <cell r="B2291">
            <v>9860</v>
          </cell>
        </row>
        <row r="2292">
          <cell r="A2292" t="str">
            <v>AEROLINEAS</v>
          </cell>
          <cell r="B2292">
            <v>9861</v>
          </cell>
        </row>
        <row r="2293">
          <cell r="A2293" t="str">
            <v>AEROLINEAS</v>
          </cell>
          <cell r="B2293">
            <v>9862</v>
          </cell>
        </row>
        <row r="2294">
          <cell r="A2294" t="str">
            <v>AEROLINEAS</v>
          </cell>
          <cell r="B2294">
            <v>9863</v>
          </cell>
        </row>
        <row r="2295">
          <cell r="A2295" t="str">
            <v>AEROPUERTO</v>
          </cell>
          <cell r="B2295">
            <v>9865</v>
          </cell>
        </row>
        <row r="2296">
          <cell r="A2296" t="str">
            <v>AEROPUERTO</v>
          </cell>
          <cell r="B2296">
            <v>9866</v>
          </cell>
        </row>
        <row r="2297">
          <cell r="A2297" t="str">
            <v>URBANO PARTNER</v>
          </cell>
          <cell r="B2297">
            <v>9868</v>
          </cell>
        </row>
        <row r="2298">
          <cell r="A2298" t="str">
            <v>AEROLINEAS</v>
          </cell>
          <cell r="B2298">
            <v>9869</v>
          </cell>
        </row>
        <row r="2299">
          <cell r="A2299" t="str">
            <v>URBANO</v>
          </cell>
          <cell r="B2299">
            <v>9870</v>
          </cell>
        </row>
        <row r="2300">
          <cell r="A2300" t="str">
            <v>URBANO</v>
          </cell>
          <cell r="B2300">
            <v>9871</v>
          </cell>
        </row>
        <row r="2301">
          <cell r="A2301" t="str">
            <v>URBANO</v>
          </cell>
          <cell r="B2301">
            <v>9872</v>
          </cell>
        </row>
        <row r="2302">
          <cell r="A2302" t="str">
            <v>URBANO</v>
          </cell>
          <cell r="B2302">
            <v>9873</v>
          </cell>
        </row>
        <row r="2303">
          <cell r="A2303" t="str">
            <v>AEROLINEAS</v>
          </cell>
          <cell r="B2303">
            <v>9874</v>
          </cell>
        </row>
        <row r="2304">
          <cell r="A2304" t="str">
            <v>AEROLINEAS</v>
          </cell>
          <cell r="B2304">
            <v>9875</v>
          </cell>
        </row>
        <row r="2305">
          <cell r="A2305" t="str">
            <v>AEROPUERTO VAN</v>
          </cell>
          <cell r="B2305">
            <v>9876</v>
          </cell>
        </row>
        <row r="2306">
          <cell r="A2306" t="str">
            <v>AEROPUERTO</v>
          </cell>
          <cell r="B2306">
            <v>9877</v>
          </cell>
        </row>
        <row r="2307">
          <cell r="A2307" t="str">
            <v>AEROLINEAS</v>
          </cell>
          <cell r="B2307">
            <v>9878</v>
          </cell>
        </row>
        <row r="2308">
          <cell r="A2308" t="str">
            <v>URBANO PARTNER</v>
          </cell>
          <cell r="B2308">
            <v>9880</v>
          </cell>
        </row>
        <row r="2309">
          <cell r="A2309" t="str">
            <v>URBANO</v>
          </cell>
          <cell r="B2309">
            <v>9881</v>
          </cell>
        </row>
        <row r="2310">
          <cell r="A2310" t="str">
            <v>URBANO</v>
          </cell>
          <cell r="B2310">
            <v>9882</v>
          </cell>
        </row>
        <row r="2311">
          <cell r="A2311" t="str">
            <v>MEMBRESÍA URBANO</v>
          </cell>
          <cell r="B2311">
            <v>9883</v>
          </cell>
        </row>
        <row r="2312">
          <cell r="A2312" t="str">
            <v>URBANO</v>
          </cell>
          <cell r="B2312">
            <v>9884</v>
          </cell>
        </row>
        <row r="2313">
          <cell r="A2313" t="str">
            <v>URBANO</v>
          </cell>
          <cell r="B2313">
            <v>9886</v>
          </cell>
        </row>
        <row r="2314">
          <cell r="A2314" t="str">
            <v>AEROPUERTO</v>
          </cell>
          <cell r="B2314">
            <v>9890</v>
          </cell>
        </row>
        <row r="2315">
          <cell r="A2315" t="str">
            <v>AEROPUERTO</v>
          </cell>
          <cell r="B2315">
            <v>9891</v>
          </cell>
        </row>
        <row r="2316">
          <cell r="A2316" t="str">
            <v>AEROLINEAS</v>
          </cell>
          <cell r="B2316">
            <v>9892</v>
          </cell>
        </row>
        <row r="2317">
          <cell r="A2317" t="str">
            <v>URBANO PARTNER</v>
          </cell>
          <cell r="B2317">
            <v>9894</v>
          </cell>
        </row>
        <row r="2318">
          <cell r="A2318" t="str">
            <v>URBANO</v>
          </cell>
          <cell r="B2318">
            <v>9895</v>
          </cell>
        </row>
        <row r="2319">
          <cell r="A2319" t="str">
            <v>URBANO</v>
          </cell>
          <cell r="B2319">
            <v>9896</v>
          </cell>
        </row>
        <row r="2320">
          <cell r="A2320" t="str">
            <v>URBANO</v>
          </cell>
          <cell r="B2320">
            <v>9898</v>
          </cell>
        </row>
        <row r="2321">
          <cell r="A2321" t="str">
            <v>URBANO PARTNER</v>
          </cell>
          <cell r="B2321">
            <v>9899</v>
          </cell>
        </row>
        <row r="2322">
          <cell r="A2322" t="str">
            <v>URBANO</v>
          </cell>
          <cell r="B2322">
            <v>9900</v>
          </cell>
        </row>
        <row r="2323">
          <cell r="A2323" t="str">
            <v>URBANO</v>
          </cell>
          <cell r="B2323">
            <v>9901</v>
          </cell>
        </row>
        <row r="2324">
          <cell r="A2324" t="str">
            <v>URBANO</v>
          </cell>
          <cell r="B2324">
            <v>9903</v>
          </cell>
        </row>
        <row r="2325">
          <cell r="A2325" t="str">
            <v>URBANO</v>
          </cell>
          <cell r="B2325">
            <v>9904</v>
          </cell>
        </row>
        <row r="2326">
          <cell r="A2326" t="str">
            <v>AEROLINEAS</v>
          </cell>
          <cell r="B2326">
            <v>9905</v>
          </cell>
        </row>
        <row r="2327">
          <cell r="A2327" t="str">
            <v>AEROLINEAS</v>
          </cell>
          <cell r="B2327">
            <v>9907</v>
          </cell>
        </row>
        <row r="2328">
          <cell r="A2328" t="str">
            <v>URBANO</v>
          </cell>
          <cell r="B2328">
            <v>9908</v>
          </cell>
        </row>
        <row r="2329">
          <cell r="A2329" t="str">
            <v>URBANO</v>
          </cell>
          <cell r="B2329">
            <v>9911</v>
          </cell>
        </row>
        <row r="2330">
          <cell r="A2330" t="str">
            <v>URBANO</v>
          </cell>
          <cell r="B2330">
            <v>9912</v>
          </cell>
        </row>
        <row r="2331">
          <cell r="A2331" t="str">
            <v>URBANO</v>
          </cell>
          <cell r="B2331">
            <v>9913</v>
          </cell>
        </row>
        <row r="2332">
          <cell r="A2332" t="str">
            <v>URBANO</v>
          </cell>
          <cell r="B2332">
            <v>9914</v>
          </cell>
        </row>
        <row r="2333">
          <cell r="A2333" t="str">
            <v>URBANO</v>
          </cell>
          <cell r="B2333">
            <v>9915</v>
          </cell>
        </row>
        <row r="2334">
          <cell r="A2334" t="str">
            <v>URBANO</v>
          </cell>
          <cell r="B2334">
            <v>9916</v>
          </cell>
        </row>
        <row r="2335">
          <cell r="A2335" t="str">
            <v>URBANO</v>
          </cell>
          <cell r="B2335">
            <v>9917</v>
          </cell>
        </row>
        <row r="2336">
          <cell r="A2336" t="str">
            <v>AEROPUERTO</v>
          </cell>
          <cell r="B2336">
            <v>9918</v>
          </cell>
        </row>
        <row r="2337">
          <cell r="A2337" t="str">
            <v>AEROPUERTO</v>
          </cell>
          <cell r="B2337">
            <v>9919</v>
          </cell>
        </row>
        <row r="2338">
          <cell r="A2338" t="str">
            <v>AEROPUERTO</v>
          </cell>
          <cell r="B2338">
            <v>9921</v>
          </cell>
        </row>
        <row r="2339">
          <cell r="A2339" t="str">
            <v>URBANO</v>
          </cell>
          <cell r="B2339">
            <v>9922</v>
          </cell>
        </row>
        <row r="2340">
          <cell r="A2340" t="str">
            <v>AEROLINEAS</v>
          </cell>
          <cell r="B2340">
            <v>9923</v>
          </cell>
        </row>
        <row r="2341">
          <cell r="A2341" t="str">
            <v>AEROLINEAS</v>
          </cell>
          <cell r="B2341">
            <v>9924</v>
          </cell>
        </row>
        <row r="2342">
          <cell r="A2342" t="str">
            <v>AEROLINEAS</v>
          </cell>
          <cell r="B2342">
            <v>9925</v>
          </cell>
        </row>
        <row r="2343">
          <cell r="A2343" t="str">
            <v>URBANO</v>
          </cell>
          <cell r="B2343">
            <v>9927</v>
          </cell>
        </row>
        <row r="2344">
          <cell r="A2344" t="str">
            <v>URBANO</v>
          </cell>
          <cell r="B2344">
            <v>9928</v>
          </cell>
        </row>
        <row r="2345">
          <cell r="A2345" t="str">
            <v>URBANO</v>
          </cell>
          <cell r="B2345">
            <v>9929</v>
          </cell>
        </row>
        <row r="2346">
          <cell r="A2346" t="str">
            <v>URBANO</v>
          </cell>
          <cell r="B2346">
            <v>9930</v>
          </cell>
        </row>
        <row r="2347">
          <cell r="A2347" t="str">
            <v>URBANO</v>
          </cell>
          <cell r="B2347">
            <v>9931</v>
          </cell>
        </row>
        <row r="2348">
          <cell r="A2348" t="str">
            <v>AEROPUERTO</v>
          </cell>
          <cell r="B2348">
            <v>9933</v>
          </cell>
        </row>
        <row r="2349">
          <cell r="A2349" t="str">
            <v>URBANO</v>
          </cell>
          <cell r="B2349">
            <v>9934</v>
          </cell>
        </row>
        <row r="2350">
          <cell r="A2350" t="str">
            <v>AEROPUERTO</v>
          </cell>
          <cell r="B2350">
            <v>9935</v>
          </cell>
        </row>
        <row r="2351">
          <cell r="A2351" t="str">
            <v>AEROLINEAS</v>
          </cell>
          <cell r="B2351">
            <v>9936</v>
          </cell>
        </row>
        <row r="2352">
          <cell r="A2352" t="str">
            <v>AEROLINEAS</v>
          </cell>
          <cell r="B2352">
            <v>9937</v>
          </cell>
        </row>
        <row r="2353">
          <cell r="A2353" t="str">
            <v>AEROPUERTO</v>
          </cell>
          <cell r="B2353">
            <v>9938</v>
          </cell>
        </row>
        <row r="2354">
          <cell r="A2354" t="str">
            <v>AEROPUERTO</v>
          </cell>
          <cell r="B2354">
            <v>9939</v>
          </cell>
        </row>
        <row r="2355">
          <cell r="A2355" t="str">
            <v>AEROPUERTO</v>
          </cell>
          <cell r="B2355">
            <v>9940</v>
          </cell>
        </row>
        <row r="2356">
          <cell r="A2356" t="str">
            <v>AEROPUERTO</v>
          </cell>
          <cell r="B2356">
            <v>9941</v>
          </cell>
        </row>
        <row r="2357">
          <cell r="A2357" t="str">
            <v>AEROPUERTO</v>
          </cell>
          <cell r="B2357">
            <v>9942</v>
          </cell>
        </row>
        <row r="2358">
          <cell r="A2358" t="str">
            <v>URBANO</v>
          </cell>
          <cell r="B2358">
            <v>9943</v>
          </cell>
        </row>
        <row r="2359">
          <cell r="A2359" t="str">
            <v>URBANO</v>
          </cell>
          <cell r="B2359">
            <v>9944</v>
          </cell>
        </row>
        <row r="2360">
          <cell r="A2360" t="str">
            <v>URBANO PARTNER</v>
          </cell>
          <cell r="B2360">
            <v>9945</v>
          </cell>
        </row>
        <row r="2361">
          <cell r="A2361" t="str">
            <v>URBANO PARTNER</v>
          </cell>
          <cell r="B2361">
            <v>9946</v>
          </cell>
        </row>
        <row r="2362">
          <cell r="A2362" t="str">
            <v>AEROLINEAS</v>
          </cell>
          <cell r="B2362">
            <v>9948</v>
          </cell>
        </row>
        <row r="2363">
          <cell r="A2363" t="str">
            <v>AEROPUERTO</v>
          </cell>
          <cell r="B2363">
            <v>9949</v>
          </cell>
        </row>
        <row r="2364">
          <cell r="A2364" t="str">
            <v>AEROPUERTO</v>
          </cell>
          <cell r="B2364">
            <v>9950</v>
          </cell>
        </row>
        <row r="2365">
          <cell r="A2365" t="str">
            <v>AEROPUERTO</v>
          </cell>
          <cell r="B2365">
            <v>9951</v>
          </cell>
        </row>
        <row r="2366">
          <cell r="A2366" t="str">
            <v>AEROPUERTO</v>
          </cell>
          <cell r="B2366">
            <v>9952</v>
          </cell>
        </row>
        <row r="2367">
          <cell r="A2367" t="str">
            <v>AEROPUERTO</v>
          </cell>
          <cell r="B2367">
            <v>9955</v>
          </cell>
        </row>
        <row r="2368">
          <cell r="A2368" t="str">
            <v>AEROPUERTO</v>
          </cell>
          <cell r="B2368">
            <v>9958</v>
          </cell>
        </row>
        <row r="2369">
          <cell r="A2369" t="str">
            <v>AEROPUERTO</v>
          </cell>
          <cell r="B2369">
            <v>9959</v>
          </cell>
        </row>
        <row r="2370">
          <cell r="A2370" t="str">
            <v>AEROPUERTO</v>
          </cell>
          <cell r="B2370">
            <v>9960</v>
          </cell>
        </row>
        <row r="2371">
          <cell r="A2371" t="str">
            <v>URBANO</v>
          </cell>
          <cell r="B2371">
            <v>9961</v>
          </cell>
        </row>
        <row r="2372">
          <cell r="A2372" t="str">
            <v>URBANO PARTNER</v>
          </cell>
          <cell r="B2372">
            <v>9962</v>
          </cell>
        </row>
        <row r="2373">
          <cell r="A2373" t="str">
            <v>URBANO</v>
          </cell>
          <cell r="B2373">
            <v>9963</v>
          </cell>
        </row>
        <row r="2374">
          <cell r="A2374" t="str">
            <v>URBANO</v>
          </cell>
          <cell r="B2374">
            <v>9964</v>
          </cell>
        </row>
        <row r="2375">
          <cell r="A2375" t="str">
            <v>URBANO</v>
          </cell>
          <cell r="B2375">
            <v>9965</v>
          </cell>
        </row>
        <row r="2376">
          <cell r="A2376" t="str">
            <v>URBANO PARTNER</v>
          </cell>
          <cell r="B2376">
            <v>9966</v>
          </cell>
        </row>
        <row r="2377">
          <cell r="A2377" t="str">
            <v>AEROPUERTO</v>
          </cell>
          <cell r="B2377">
            <v>9967</v>
          </cell>
        </row>
        <row r="2378">
          <cell r="A2378" t="str">
            <v>AEROPUERTO</v>
          </cell>
          <cell r="B2378">
            <v>9968</v>
          </cell>
        </row>
        <row r="2379">
          <cell r="A2379" t="str">
            <v>AEROPUERTO</v>
          </cell>
          <cell r="B2379">
            <v>9969</v>
          </cell>
        </row>
        <row r="2380">
          <cell r="A2380" t="str">
            <v>AEROPUERTO</v>
          </cell>
          <cell r="B2380">
            <v>9970</v>
          </cell>
        </row>
        <row r="2381">
          <cell r="A2381" t="str">
            <v>URBANO</v>
          </cell>
          <cell r="B2381">
            <v>9971</v>
          </cell>
        </row>
        <row r="2382">
          <cell r="A2382" t="str">
            <v>URBANO</v>
          </cell>
          <cell r="B2382">
            <v>9972</v>
          </cell>
        </row>
        <row r="2383">
          <cell r="A2383" t="str">
            <v>URBANO</v>
          </cell>
          <cell r="B2383">
            <v>9973</v>
          </cell>
        </row>
        <row r="2384">
          <cell r="A2384" t="str">
            <v>URBANO</v>
          </cell>
          <cell r="B2384">
            <v>9974</v>
          </cell>
        </row>
        <row r="2385">
          <cell r="A2385" t="str">
            <v>URBANO</v>
          </cell>
          <cell r="B2385">
            <v>9975</v>
          </cell>
        </row>
        <row r="2386">
          <cell r="A2386" t="str">
            <v>URBANO</v>
          </cell>
          <cell r="B2386">
            <v>9976</v>
          </cell>
        </row>
        <row r="2387">
          <cell r="A2387" t="str">
            <v>URBANO</v>
          </cell>
          <cell r="B2387">
            <v>9978</v>
          </cell>
        </row>
        <row r="2388">
          <cell r="A2388" t="str">
            <v>URBANO</v>
          </cell>
          <cell r="B2388">
            <v>9979</v>
          </cell>
        </row>
        <row r="2389">
          <cell r="A2389" t="str">
            <v>AEROLINEAS</v>
          </cell>
          <cell r="B2389">
            <v>9980</v>
          </cell>
        </row>
        <row r="2390">
          <cell r="A2390" t="str">
            <v>AEROLINEAS</v>
          </cell>
          <cell r="B2390">
            <v>9981</v>
          </cell>
        </row>
        <row r="2391">
          <cell r="A2391" t="str">
            <v>AEROLINEAS</v>
          </cell>
          <cell r="B2391">
            <v>9982</v>
          </cell>
        </row>
        <row r="2392">
          <cell r="A2392" t="str">
            <v>AEROLINEAS</v>
          </cell>
          <cell r="B2392">
            <v>9983</v>
          </cell>
        </row>
        <row r="2393">
          <cell r="A2393" t="str">
            <v>AEROLINEAS</v>
          </cell>
          <cell r="B2393">
            <v>9984</v>
          </cell>
        </row>
        <row r="2394">
          <cell r="A2394" t="str">
            <v>URBANO PARTNER</v>
          </cell>
          <cell r="B2394">
            <v>9987</v>
          </cell>
        </row>
        <row r="2395">
          <cell r="A2395" t="str">
            <v>AEROPUERTO</v>
          </cell>
          <cell r="B2395">
            <v>9988</v>
          </cell>
        </row>
        <row r="2396">
          <cell r="A2396" t="str">
            <v>AEROPUERTO</v>
          </cell>
          <cell r="B2396">
            <v>9989</v>
          </cell>
        </row>
        <row r="2397">
          <cell r="A2397" t="str">
            <v>AEROPUERTO</v>
          </cell>
          <cell r="B2397">
            <v>9991</v>
          </cell>
        </row>
        <row r="2398">
          <cell r="A2398" t="str">
            <v>AEROPUERTO</v>
          </cell>
          <cell r="B2398">
            <v>9995</v>
          </cell>
        </row>
        <row r="2399">
          <cell r="A2399" t="str">
            <v>AEROPUERTO</v>
          </cell>
          <cell r="B2399">
            <v>9997</v>
          </cell>
        </row>
        <row r="2400">
          <cell r="A2400" t="str">
            <v>URBANO</v>
          </cell>
          <cell r="B2400" t="str">
            <v>M8003</v>
          </cell>
        </row>
        <row r="2401">
          <cell r="A2401" t="str">
            <v>URBANO</v>
          </cell>
          <cell r="B2401" t="str">
            <v>M8005</v>
          </cell>
        </row>
        <row r="2402">
          <cell r="A2402" t="str">
            <v>URBANO</v>
          </cell>
          <cell r="B2402" t="str">
            <v>M8002</v>
          </cell>
        </row>
        <row r="2403">
          <cell r="A2403"/>
          <cell r="B2403"/>
        </row>
        <row r="2404">
          <cell r="A2404"/>
          <cell r="B2404"/>
        </row>
        <row r="2405">
          <cell r="A2405"/>
          <cell r="B2405"/>
        </row>
        <row r="2406">
          <cell r="A2406"/>
          <cell r="B2406"/>
        </row>
        <row r="2407">
          <cell r="A2407"/>
          <cell r="B2407"/>
        </row>
        <row r="2408">
          <cell r="A2408"/>
          <cell r="B2408"/>
        </row>
        <row r="2409">
          <cell r="B2409"/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19212962" createdVersion="8" refreshedVersion="8" minRefreshableVersion="3" recordCount="2473" xr:uid="{9FE55DB5-A63E-4804-910B-2356DB73FA16}">
  <cacheSource type="worksheet">
    <worksheetSource name="Tabla16"/>
  </cacheSource>
  <cacheFields count="9">
    <cacheField name="Placa" numFmtId="0">
      <sharedItems/>
    </cacheField>
    <cacheField name="MOVIL" numFmtId="0">
      <sharedItems containsString="0" containsBlank="1" containsNumber="1" containsInteger="1" minValue="200" maxValue="9991" count="561">
        <n v="203"/>
        <n v="204"/>
        <n v="205"/>
        <n v="207"/>
        <n v="208"/>
        <n v="210"/>
        <n v="212"/>
        <n v="213"/>
        <n v="216"/>
        <n v="217"/>
        <n v="219"/>
        <n v="220"/>
        <n v="221"/>
        <n v="222"/>
        <n v="223"/>
        <n v="226"/>
        <n v="227"/>
        <n v="229"/>
        <n v="230"/>
        <n v="233"/>
        <n v="234"/>
        <n v="239"/>
        <n v="240"/>
        <n v="241"/>
        <n v="245"/>
        <n v="248"/>
        <n v="250"/>
        <n v="251"/>
        <n v="258"/>
        <n v="260"/>
        <n v="267"/>
        <n v="271"/>
        <n v="279"/>
        <n v="282"/>
        <n v="286"/>
        <n v="291"/>
        <n v="292"/>
        <n v="294"/>
        <n v="301"/>
        <n v="307"/>
        <n v="331"/>
        <n v="380"/>
        <n v="390"/>
        <n v="396"/>
        <n v="402"/>
        <n v="404"/>
        <n v="408"/>
        <n v="411"/>
        <n v="412"/>
        <n v="423"/>
        <n v="446"/>
        <n v="460"/>
        <n v="466"/>
        <n v="467"/>
        <n v="479"/>
        <n v="507"/>
        <n v="517"/>
        <n v="529"/>
        <n v="541"/>
        <n v="553"/>
        <n v="559"/>
        <n v="561"/>
        <n v="591"/>
        <n v="627"/>
        <n v="633"/>
        <n v="659"/>
        <n v="660"/>
        <n v="674"/>
        <n v="676"/>
        <n v="677"/>
        <n v="680"/>
        <n v="684"/>
        <n v="690"/>
        <n v="702"/>
        <n v="704"/>
        <n v="706"/>
        <n v="707"/>
        <n v="708"/>
        <n v="713"/>
        <n v="715"/>
        <n v="716"/>
        <n v="722"/>
        <n v="730"/>
        <n v="734"/>
        <n v="746"/>
        <n v="754"/>
        <n v="756"/>
        <n v="757"/>
        <n v="761"/>
        <n v="763"/>
        <n v="766"/>
        <n v="769"/>
        <n v="770"/>
        <n v="772"/>
        <n v="781"/>
        <n v="785"/>
        <n v="790"/>
        <n v="793"/>
        <n v="795"/>
        <n v="800"/>
        <n v="803"/>
        <n v="807"/>
        <n v="818"/>
        <n v="821"/>
        <n v="823"/>
        <n v="826"/>
        <n v="828"/>
        <n v="830"/>
        <n v="831"/>
        <n v="836"/>
        <n v="837"/>
        <n v="840"/>
        <n v="845"/>
        <n v="846"/>
        <n v="847"/>
        <n v="850"/>
        <n v="858"/>
        <n v="859"/>
        <n v="865"/>
        <n v="868"/>
        <n v="902"/>
        <n v="903"/>
        <n v="917"/>
        <n v="923"/>
        <n v="926"/>
        <n v="927"/>
        <n v="939"/>
        <n v="951"/>
        <n v="952"/>
        <n v="966"/>
        <n v="970"/>
        <n v="987"/>
        <n v="988"/>
        <n v="989"/>
        <n v="991"/>
        <n v="1224"/>
        <n v="1226"/>
        <n v="1227"/>
        <n v="1400"/>
        <n v="1401"/>
        <n v="1402"/>
        <n v="1403"/>
        <n v="1406"/>
        <n v="1411"/>
        <n v="1413"/>
        <n v="1415"/>
        <n v="1416"/>
        <n v="1420"/>
        <n v="1421"/>
        <n v="1422"/>
        <n v="1425"/>
        <n v="1429"/>
        <n v="1434"/>
        <n v="1437"/>
        <n v="1440"/>
        <n v="1441"/>
        <n v="1443"/>
        <n v="1445"/>
        <n v="1447"/>
        <n v="1448"/>
        <n v="1453"/>
        <n v="1458"/>
        <n v="1463"/>
        <n v="1466"/>
        <n v="1467"/>
        <n v="1468"/>
        <n v="1470"/>
        <n v="1471"/>
        <n v="1480"/>
        <n v="1484"/>
        <n v="1485"/>
        <n v="1489"/>
        <n v="1524"/>
        <n v="1532"/>
        <n v="1553"/>
        <n v="1573"/>
        <n v="1576"/>
        <n v="1579"/>
        <n v="1592"/>
        <n v="1603"/>
        <n v="1615"/>
        <n v="1624"/>
        <n v="1631"/>
        <n v="1665"/>
        <n v="1675"/>
        <n v="1698"/>
        <n v="1699"/>
        <n v="1915"/>
        <n v="1981"/>
        <n v="2006"/>
        <n v="2014"/>
        <n v="2020"/>
        <n v="2030"/>
        <n v="2035"/>
        <n v="2039"/>
        <n v="2051"/>
        <n v="2093"/>
        <n v="2135"/>
        <n v="2163"/>
        <n v="2168"/>
        <n v="2186"/>
        <n v="2190"/>
        <n v="2194"/>
        <n v="2197"/>
        <n v="2207"/>
        <n v="2218"/>
        <n v="2220"/>
        <n v="2231"/>
        <n v="2235"/>
        <n v="2239"/>
        <n v="2240"/>
        <n v="2244"/>
        <n v="2246"/>
        <n v="2254"/>
        <n v="2261"/>
        <n v="2278"/>
        <n v="2285"/>
        <n v="2289"/>
        <n v="9160"/>
        <n v="2308"/>
        <n v="2316"/>
        <n v="2322"/>
        <n v="2323"/>
        <n v="2324"/>
        <n v="2341"/>
        <n v="2349"/>
        <n v="2356"/>
        <n v="2367"/>
        <n v="2372"/>
        <n v="2394"/>
        <n v="2406"/>
        <n v="2416"/>
        <n v="2441"/>
        <n v="2442"/>
        <n v="2450"/>
        <n v="2463"/>
        <n v="2467"/>
        <n v="2473"/>
        <n v="2501"/>
        <n v="2517"/>
        <n v="2520"/>
        <n v="2533"/>
        <n v="2549"/>
        <n v="2557"/>
        <n v="2560"/>
        <n v="2563"/>
        <n v="2573"/>
        <n v="2578"/>
        <n v="2583"/>
        <n v="2594"/>
        <n v="2615"/>
        <n v="2631"/>
        <n v="2632"/>
        <n v="2653"/>
        <n v="2654"/>
        <n v="2673"/>
        <n v="2674"/>
        <n v="2690"/>
        <n v="2703"/>
        <n v="2739"/>
        <n v="2746"/>
        <n v="2753"/>
        <n v="2764"/>
        <n v="2779"/>
        <n v="2784"/>
        <n v="2807"/>
        <n v="2823"/>
        <n v="3006"/>
        <n v="3016"/>
        <n v="3036"/>
        <n v="3038"/>
        <n v="3041"/>
        <n v="3047"/>
        <n v="3061"/>
        <n v="3068"/>
        <n v="3081"/>
        <n v="3095"/>
        <n v="3113"/>
        <n v="3114"/>
        <n v="3118"/>
        <n v="3125"/>
        <n v="3130"/>
        <n v="3138"/>
        <n v="3143"/>
        <n v="3153"/>
        <n v="3158"/>
        <n v="3159"/>
        <n v="3169"/>
        <n v="3173"/>
        <n v="3198"/>
        <n v="3202"/>
        <n v="3215"/>
        <n v="3236"/>
        <n v="3243"/>
        <n v="3269"/>
        <n v="3289"/>
        <n v="3292"/>
        <n v="3294"/>
        <n v="3309"/>
        <n v="3335"/>
        <n v="3349"/>
        <n v="3357"/>
        <n v="3368"/>
        <n v="3386"/>
        <n v="3398"/>
        <n v="3401"/>
        <n v="3402"/>
        <n v="3404"/>
        <n v="3411"/>
        <n v="3425"/>
        <n v="3453"/>
        <n v="3504"/>
        <n v="3520"/>
        <n v="3607"/>
        <n v="3613"/>
        <n v="5023"/>
        <n v="7015"/>
        <n v="7028"/>
        <n v="7032"/>
        <n v="7042"/>
        <n v="7045"/>
        <n v="7046"/>
        <n v="7051"/>
        <n v="7065"/>
        <n v="7100"/>
        <n v="7106"/>
        <n v="7110"/>
        <n v="7116"/>
        <n v="7554"/>
        <n v="7608"/>
        <n v="7609"/>
        <n v="7628"/>
        <n v="7634"/>
        <n v="9000"/>
        <n v="9008"/>
        <n v="9016"/>
        <n v="9017"/>
        <n v="9020"/>
        <n v="9259"/>
        <n v="9281"/>
        <n v="9502"/>
        <n v="9510"/>
        <m/>
        <n v="224" u="1"/>
        <n v="238" u="1"/>
        <n v="243" u="1"/>
        <n v="388" u="1"/>
        <n v="596" u="1"/>
        <n v="658" u="1"/>
        <n v="675" u="1"/>
        <n v="678" u="1"/>
        <n v="679" u="1"/>
        <n v="688" u="1"/>
        <n v="692" u="1"/>
        <n v="717" u="1"/>
        <n v="728" u="1"/>
        <n v="737" u="1"/>
        <n v="755" u="1"/>
        <n v="760" u="1"/>
        <n v="775" u="1"/>
        <n v="784" u="1"/>
        <n v="794" u="1"/>
        <n v="838" u="1"/>
        <n v="877" u="1"/>
        <n v="990" u="1"/>
        <n v="996" u="1"/>
        <n v="1407" u="1"/>
        <n v="1410" u="1"/>
        <n v="1423" u="1"/>
        <n v="1567" u="1"/>
        <n v="1591" u="1"/>
        <n v="1600" u="1"/>
        <n v="2005" u="1"/>
        <n v="2010" u="1"/>
        <n v="2060" u="1"/>
        <n v="2063" u="1"/>
        <n v="2085" u="1"/>
        <n v="2182" u="1"/>
        <n v="2199" u="1"/>
        <n v="2210" u="1"/>
        <n v="2212" u="1"/>
        <n v="2229" u="1"/>
        <n v="2309" u="1"/>
        <n v="2365" u="1"/>
        <n v="2547" u="1"/>
        <n v="2586" u="1"/>
        <n v="2672" u="1"/>
        <n v="2733" u="1"/>
        <n v="2740" u="1"/>
        <n v="2763" u="1"/>
        <n v="2780" u="1"/>
        <n v="2794" u="1"/>
        <n v="3039" u="1"/>
        <n v="3152" u="1"/>
        <n v="3156" u="1"/>
        <n v="3160" u="1"/>
        <n v="3180" u="1"/>
        <n v="3224" u="1"/>
        <n v="3282" u="1"/>
        <n v="3341" u="1"/>
        <n v="3365" u="1"/>
        <n v="3383" u="1"/>
        <n v="5130" u="1"/>
        <n v="5142" u="1"/>
        <n v="5162" u="1"/>
        <n v="5164" u="1"/>
        <n v="7008" u="1"/>
        <n v="7027" u="1"/>
        <n v="7098" u="1"/>
        <n v="7438" u="1"/>
        <n v="9014" u="1"/>
        <n v="9022" u="1"/>
        <n v="9543" u="1"/>
        <n v="9548" u="1"/>
        <n v="273" u="1"/>
        <n v="407" u="1"/>
        <n v="957" u="1"/>
        <n v="2099" u="1"/>
        <n v="2685" u="1"/>
        <n v="2797" u="1"/>
        <n v="2819" u="1"/>
        <n v="5032" u="1"/>
        <n v="9600" u="1"/>
        <n v="9991" u="1"/>
        <n v="2301" u="1"/>
        <n v="406" u="1"/>
        <n v="7033" u="1"/>
        <n v="361" u="1"/>
        <n v="879" u="1"/>
        <n v="2086" u="1"/>
        <n v="2183" u="1"/>
        <n v="2325" u="1"/>
        <n v="2570" u="1"/>
        <n v="2701" u="1"/>
        <n v="2758" u="1"/>
        <n v="3070" u="1"/>
        <n v="3102" u="1"/>
        <n v="3348" u="1"/>
        <n v="3378" u="1"/>
        <n v="9011" u="1"/>
        <n v="1709" u="1"/>
        <n v="284" u="1"/>
        <n v="242" u="1"/>
        <n v="434" u="1"/>
        <n v="515" u="1"/>
        <n v="571" u="1"/>
        <n v="666" u="1"/>
        <n v="709" u="1"/>
        <n v="732" u="1"/>
        <n v="774" u="1"/>
        <n v="959" u="1"/>
        <n v="997" u="1"/>
        <n v="1454" u="1"/>
        <n v="1459" u="1"/>
        <n v="1607" u="1"/>
        <n v="2253" u="1"/>
        <n v="2303" u="1"/>
        <n v="2566" u="1"/>
        <n v="3101" u="1"/>
        <n v="3176" u="1"/>
        <n v="7092" u="1"/>
        <n v="295" u="1"/>
        <n v="269" u="1"/>
        <n v="557" u="1"/>
        <n v="764" u="1"/>
        <n v="797" u="1"/>
        <n v="2283" u="1"/>
        <n v="3127" u="1"/>
        <n v="3258" u="1"/>
        <n v="3299" u="1"/>
        <n v="7085" u="1"/>
        <n v="9527" u="1"/>
        <n v="9601" u="1"/>
        <n v="293" u="1"/>
        <n v="420" u="1"/>
        <n v="523" u="1"/>
        <n v="995" u="1"/>
        <n v="1438" u="1"/>
        <n v="2102" u="1"/>
        <n v="2112" u="1"/>
        <n v="2122" u="1"/>
        <n v="2255" u="1"/>
        <n v="2268" u="1"/>
        <n v="2390" u="1"/>
        <n v="2417" u="1"/>
        <n v="2538" u="1"/>
        <n v="2568" u="1"/>
        <n v="2647" u="1"/>
        <n v="2684" u="1"/>
        <n v="2702" u="1"/>
        <n v="2741" u="1"/>
        <n v="3303" u="1"/>
        <n v="3331" u="1"/>
        <n v="3456" u="1"/>
        <n v="7044" u="1"/>
        <n v="7640" u="1"/>
        <n v="9758" u="1"/>
        <n v="662" u="1"/>
        <n v="975" u="1"/>
        <n v="1593" u="1"/>
        <n v="2577" u="1"/>
        <n v="9003" u="1"/>
        <n v="211" u="1"/>
        <n v="778" u="1"/>
        <n v="960" u="1"/>
        <n v="985" u="1"/>
        <n v="1462" u="1"/>
        <n v="3394" u="1"/>
        <n v="274" u="1"/>
        <n v="283" u="1"/>
        <n v="319" u="1"/>
        <n v="979" u="1"/>
        <n v="1444" u="1"/>
        <n v="1496" u="1"/>
        <n v="1674" u="1"/>
        <n v="2225" u="1"/>
        <n v="3293" u="1"/>
        <n v="277" u="1"/>
        <n v="359" u="1"/>
        <n v="667" u="1"/>
        <n v="953" u="1"/>
        <n v="1419" u="1"/>
        <n v="2050" u="1"/>
        <n v="2188" u="1"/>
        <n v="2440" u="1"/>
        <n v="2550" u="1"/>
        <n v="2561" u="1"/>
        <n v="2627" u="1"/>
        <n v="3195" u="1"/>
        <n v="3310" u="1"/>
        <n v="3373" u="1"/>
        <n v="5013" u="1"/>
        <n v="5115" u="1"/>
        <n v="7629" u="1"/>
        <n v="7630" u="1"/>
        <n v="9757" u="1"/>
        <n v="9402" u="1"/>
        <n v="200" u="1"/>
        <n v="398" u="1"/>
        <n v="1456" u="1"/>
        <n v="1472" u="1"/>
        <n v="2639" u="1"/>
        <n v="3244" u="1"/>
        <n v="3407" u="1"/>
        <n v="626" u="1"/>
        <n v="753" u="1"/>
        <n v="2448" u="1"/>
        <n v="2545" u="1"/>
        <n v="2559" u="1"/>
        <n v="9602" u="1"/>
        <n v="351" u="1"/>
        <n v="663" u="1"/>
        <n v="762" u="1"/>
        <n v="1452" u="1"/>
        <n v="2061" u="1"/>
        <n v="2247" u="1"/>
        <n v="2392" u="1"/>
        <n v="3196" u="1"/>
        <n v="3311" u="1"/>
        <n v="3318" u="1"/>
        <n v="712" u="1"/>
      </sharedItems>
    </cacheField>
    <cacheField name="DETALLE" numFmtId="1">
      <sharedItems containsBlank="1" containsMixedTypes="1" containsNumber="1" containsInteger="1" minValue="3488162" maxValue="3889289" count="8000">
        <n v="3877995"/>
        <s v="BW07-00021606"/>
        <s v="DESCONTAR"/>
        <s v="FW04-00010432"/>
        <s v="BW08-00019733"/>
        <n v="3877735"/>
        <s v="BW03-00007084"/>
        <s v="FW01-00006968"/>
        <n v="3880187"/>
        <n v="3872546"/>
        <n v="3885672"/>
        <s v="FW03-00004058"/>
        <s v="FW04-00010462"/>
        <n v="3878843"/>
        <s v="BW07-00021587"/>
        <s v="BW02-00004827"/>
        <s v="BW04-00017005"/>
        <s v="BW03-00007216"/>
        <s v="BW04-00017043"/>
        <s v="FW03-00004035"/>
        <n v="3888919"/>
        <s v="BW02-00004728"/>
        <n v="3879357"/>
        <s v="FW06-00003182"/>
        <n v="3881573"/>
        <n v="3881740"/>
        <n v="3877867"/>
        <s v="BW06-00018654"/>
        <s v="BW06-00018680"/>
        <s v="BW03-00007193"/>
        <n v="3886503"/>
        <s v="FW04-00010468"/>
        <n v="3883530"/>
        <s v="BW06-00018628"/>
        <s v="BW08-00019916"/>
        <n v="3885906"/>
        <n v="3864270"/>
        <s v="BW03-00007144"/>
        <s v="BW02-00004773"/>
        <n v="3881190"/>
        <s v="FW03-00003964"/>
        <n v="3878030"/>
        <n v="3877927"/>
        <s v="FW03-00003999"/>
        <s v="FW06-00003207"/>
        <s v="BW06-00018777"/>
        <n v="3889289"/>
        <s v="FW02-00002616"/>
        <s v="BW03-00007118"/>
        <s v="FW03-00004066"/>
        <n v="3882118"/>
        <n v="3882835"/>
        <s v="BW02-00004851"/>
        <n v="3877898"/>
        <n v="3881166"/>
        <n v="3882720"/>
        <s v="BW07-00021670"/>
        <s v="BW03-00007112"/>
        <n v="3884512"/>
        <n v="3885954"/>
        <s v="FW03-00004032"/>
        <n v="3884943"/>
        <n v="3861092"/>
        <n v="3879084"/>
        <s v="FW07-00003742"/>
        <s v="BW03-00007077"/>
        <n v="3882263"/>
        <s v="BW03-00007126"/>
        <n v="3878198"/>
        <s v="BW01-00011058"/>
        <n v="3879254"/>
        <s v="BW07-00021632"/>
        <n v="3884385"/>
        <n v="3884661"/>
        <n v="3887195"/>
        <s v="FW04-00010449"/>
        <n v="3877909"/>
        <n v="3872706"/>
        <s v="FW03-00004008"/>
        <n v="3882395"/>
        <s v="FW08-00003397"/>
        <s v="BW03-00007092"/>
        <s v="BW02-00004756"/>
        <n v="3879333"/>
        <s v="BW08-00019814"/>
        <n v="3885594"/>
        <n v="3885861"/>
        <n v="3886423"/>
        <n v="3889264"/>
        <n v="3887014"/>
        <n v="3885519"/>
        <s v="FW02-00002635"/>
        <s v="BW06-00018607"/>
        <s v="BW03-00007097"/>
        <n v="3884851"/>
        <n v="3887568"/>
        <n v="3872464"/>
        <s v="FW02-00002627"/>
        <n v="3886946"/>
        <n v="3878617"/>
        <s v="BW03-00007086"/>
        <s v="BW03-00007104"/>
        <n v="3879321"/>
        <s v="FW03-00004096"/>
        <n v="3877996"/>
        <n v="3880482"/>
        <s v="BW07-00021629"/>
        <n v="3889014"/>
        <s v="FW03-00004115"/>
        <s v="FW02-00002705"/>
        <s v="FW10-00000013"/>
        <n v="3882654"/>
        <n v="3883287"/>
        <s v="FW02-00002710"/>
        <n v="3881995"/>
        <n v="3881737"/>
        <n v="3879018"/>
        <n v="3881778"/>
        <n v="3876724"/>
        <n v="3884463"/>
        <n v="3886684"/>
        <n v="3886969"/>
        <n v="3878541"/>
        <n v="3879449"/>
        <n v="3881404"/>
        <n v="3879800"/>
        <n v="3881592"/>
        <n v="3887893"/>
        <n v="3886138"/>
        <n v="3879406"/>
        <n v="3886914"/>
        <n v="3872408"/>
        <n v="3883770"/>
        <n v="3886613"/>
        <n v="3887312"/>
        <n v="3878346"/>
        <n v="3877748"/>
        <n v="3883365"/>
        <n v="3883049"/>
        <n v="3878556"/>
        <n v="3879587"/>
        <n v="3880201"/>
        <n v="3881651"/>
        <n v="3882487"/>
        <n v="3884375"/>
        <n v="3885048"/>
        <n v="3879704"/>
        <n v="3881470"/>
        <n v="3884400"/>
        <n v="3884547"/>
        <n v="3884447"/>
        <n v="3887190"/>
        <n v="3887383"/>
        <n v="3887724"/>
        <n v="3881430"/>
        <n v="3877677"/>
        <n v="3887176"/>
        <n v="3888461"/>
        <n v="3878789"/>
        <n v="3877698"/>
        <n v="3882960"/>
        <n v="3886111"/>
        <n v="3888020"/>
        <s v="BW08-00019788"/>
        <s v="BW02-00004836"/>
        <n v="3883815"/>
        <s v="BW06-00018698"/>
        <n v="3878859"/>
        <n v="3885432"/>
        <n v="3877001"/>
        <n v="3879593"/>
        <n v="3879611"/>
        <n v="3885649"/>
        <n v="3881594"/>
        <n v="3881331"/>
        <n v="3881248"/>
        <n v="3877232"/>
        <n v="3881371"/>
        <n v="3880303"/>
        <n v="3880571"/>
        <n v="3883136"/>
        <n v="3887770"/>
        <n v="3879875"/>
        <n v="3883333"/>
        <n v="3885562"/>
        <n v="3882070"/>
        <n v="3882977"/>
        <n v="3882362"/>
        <n v="3883007"/>
        <n v="3884114"/>
        <n v="3883595"/>
        <n v="3886784"/>
        <s v="BW06-00018511"/>
        <s v="BW06-00018608"/>
        <s v="BW02-00004831"/>
        <n v="3881111"/>
        <n v="3886927"/>
        <n v="3880468"/>
        <n v="3880341"/>
        <n v="3884567"/>
        <n v="3887762"/>
        <n v="3883610"/>
        <n v="3884337"/>
        <n v="3884956"/>
        <n v="3886542"/>
        <n v="3886893"/>
        <s v="FW04-00010369"/>
        <n v="3877451"/>
        <n v="3869668"/>
        <n v="3878734"/>
        <n v="3880045"/>
        <n v="3880702"/>
        <n v="3880774"/>
        <s v="BW04-00016946"/>
        <s v="FW02-00002646"/>
        <s v="BW03-00007159"/>
        <n v="3880465"/>
        <s v="BW03-00007231"/>
        <n v="3879185"/>
        <n v="3880235"/>
        <n v="3884658"/>
        <s v="FW07-00003748"/>
        <n v="3871519"/>
        <n v="3783968"/>
        <n v="3887069"/>
        <s v="BW04-00016944"/>
        <n v="3884578"/>
        <n v="3884806"/>
        <s v="FW02-00002700"/>
        <n v="3878571"/>
        <s v="FW06-00003165"/>
        <n v="3878528"/>
        <n v="3880326"/>
        <n v="3881193"/>
        <s v="BW06-00018638"/>
        <n v="3881888"/>
        <n v="3882489"/>
        <n v="3885651"/>
        <s v="BW07-00021695"/>
        <n v="3886883"/>
        <s v="BW03-00007217"/>
        <n v="3876851"/>
        <n v="3869390"/>
        <n v="3885444"/>
        <s v="FW08-00003377"/>
        <n v="3880014"/>
        <n v="3879939"/>
        <n v="3881443"/>
        <n v="3882510"/>
        <n v="3879940"/>
        <n v="3886606"/>
        <s v="BW02-00004879"/>
        <n v="3887753"/>
        <n v="3888148"/>
        <n v="3879368"/>
        <n v="3879680"/>
        <n v="3881177"/>
        <n v="3885333"/>
        <n v="3888147"/>
        <s v="BW02-00004838"/>
        <s v="FW02-00002667"/>
        <n v="3887418"/>
        <n v="3886244"/>
        <s v="FW02-00002695"/>
        <s v="FW08-00003385"/>
        <s v="BW04-00016979"/>
        <s v="BW02-00004857"/>
        <n v="3888090"/>
        <n v="3883755"/>
        <s v="FW02-00002652"/>
        <s v="FW04-00010466"/>
        <n v="3887549"/>
        <s v="BW02-00004730"/>
        <n v="3878321"/>
        <n v="3877658"/>
        <s v="BW07-00021595"/>
        <s v="BW04-00017012"/>
        <n v="3886901"/>
        <s v="FW04-00010447"/>
        <n v="3884326"/>
        <n v="3878117"/>
        <n v="3877279"/>
        <s v="BW02-00004721"/>
        <n v="3876868"/>
        <n v="3879698"/>
        <s v="FW02-00002628"/>
        <n v="3881186"/>
        <n v="3886778"/>
        <n v="3886841"/>
        <s v="FW04-00010425"/>
        <s v="BW04-00017000"/>
        <s v="BW08-00019909"/>
        <s v="FW08-00003406"/>
        <s v="FW02-00002614"/>
        <s v="BW03-00007080"/>
        <s v="BW06-00018587"/>
        <s v="BW02-00004814"/>
        <s v="BW06-00018720"/>
        <n v="3888533"/>
        <s v="BW06-00018784"/>
        <s v="BW06-00018566"/>
        <s v="FW04-00010431"/>
        <n v="3888454"/>
        <n v="3878912"/>
        <s v="FW02-00002639"/>
        <n v="3856487"/>
        <s v="BW01-00011047"/>
        <s v="BW03-00007141"/>
        <n v="3883890"/>
        <n v="3879510"/>
        <s v="BW07-00021524"/>
        <n v="3880240"/>
        <s v="BW08-00019755"/>
        <n v="3881265"/>
        <n v="3885952"/>
        <n v="3886788"/>
        <n v="3872371"/>
        <s v="BW07-00021529"/>
        <s v="BW08-00019819"/>
        <s v="FW04-00010420"/>
        <n v="3886150"/>
        <s v="FW06-00003205"/>
        <n v="3881577"/>
        <n v="3880755"/>
        <n v="3878894"/>
        <n v="3887063"/>
        <n v="3886703"/>
        <s v="BW08-00019869"/>
        <n v="3886439"/>
        <n v="3878887"/>
        <n v="3882110"/>
        <s v="BW06-00018642"/>
        <n v="3864525"/>
        <n v="3883621"/>
        <s v="BW02-00004850"/>
        <s v="FW02-00002661"/>
        <s v="BW02-00004774"/>
        <n v="3880908"/>
        <s v="BW02-00004843"/>
        <n v="3873594"/>
        <s v="BW07-00021704"/>
        <n v="3888001"/>
        <n v="3878526"/>
        <n v="3889164"/>
        <n v="3879135"/>
        <n v="3878978"/>
        <s v="BW08-00019779"/>
        <n v="3877293"/>
        <s v="FW06-00003174"/>
        <s v="FW03-00003997"/>
        <n v="3878933"/>
        <n v="3879204"/>
        <s v="FW03-00004041"/>
        <n v="3884178"/>
        <s v="BW06-00018752"/>
        <s v="BW06-00018663"/>
        <n v="3888450"/>
        <n v="3848025"/>
        <s v="FW03-00004038"/>
        <s v="FW04-00010441"/>
        <s v="FW02-00002685"/>
        <n v="3887751"/>
        <n v="3874264"/>
        <n v="3878687"/>
        <s v="BW03-00007177"/>
        <n v="3879253"/>
        <n v="3879161"/>
        <n v="3878566"/>
        <s v="BW08-00019877"/>
        <n v="3885714"/>
        <n v="3886794"/>
        <s v="FW03-00003983"/>
        <s v="FW06-00003193"/>
        <s v="FW03-00004044"/>
        <n v="3885982"/>
        <s v="BW02-00004878"/>
        <s v="FW02-00002622"/>
        <s v="BW07-00021541"/>
        <n v="3881776"/>
        <s v="FW03-00004036"/>
        <s v="BW04-00017044"/>
        <s v="FW03-00003982"/>
        <n v="3882674"/>
        <n v="3882838"/>
        <s v="FW04-00010423"/>
        <n v="3878418"/>
        <n v="3878714"/>
        <n v="3880660"/>
        <s v="BW04-00017042"/>
        <n v="3878579"/>
        <n v="3877590"/>
        <n v="3874269"/>
        <n v="3877577"/>
        <n v="3878241"/>
        <n v="3880678"/>
        <s v="BW03-00007134"/>
        <n v="3883248"/>
        <n v="3884042"/>
        <n v="3884126"/>
        <n v="3866089"/>
        <s v="BW01-00011051"/>
        <n v="3879444"/>
        <s v="FW02-00002651"/>
        <s v="FW07-00003740"/>
        <n v="3884127"/>
        <n v="3877892"/>
        <n v="3878512"/>
        <n v="3877656"/>
        <n v="3879329"/>
        <n v="3881185"/>
        <n v="3881835"/>
        <n v="3878778"/>
        <n v="3878510"/>
        <s v="BW03-00007106"/>
        <s v="BW04-00016992"/>
        <s v="BW07-00021673"/>
        <n v="3872473"/>
        <n v="3833809"/>
        <n v="3878522"/>
        <s v="FW03-00004003"/>
        <s v="BW06-00018687"/>
        <n v="3887148"/>
        <s v="FW03-00004000"/>
        <n v="3865985"/>
        <s v="BW08-00019762"/>
        <n v="3879417"/>
        <n v="3884522"/>
        <n v="3882965"/>
        <s v="BW06-00018517"/>
        <n v="3878774"/>
        <s v="FW07-00003731"/>
        <s v="FW03-00004010"/>
        <n v="3869747"/>
        <n v="3887097"/>
        <s v="BW06-00018580"/>
        <n v="3880864"/>
        <s v="BW06-00018728"/>
        <n v="3887385"/>
        <s v="BW07-00021537"/>
        <n v="3878653"/>
        <s v="BW08-00019826"/>
        <n v="3881076"/>
        <s v="FW03-00004027"/>
        <s v="FW03-00004061"/>
        <s v="BW10-00000034"/>
        <n v="3881669"/>
        <n v="3885431"/>
        <n v="3888557"/>
        <s v="BW03-00007132"/>
        <n v="3882753"/>
        <n v="3883605"/>
        <n v="3878866"/>
        <s v="BW03-00007131"/>
        <n v="3884306"/>
        <n v="3884876"/>
        <s v="FW02-00002701"/>
        <n v="3878222"/>
        <n v="3881059"/>
        <n v="3880530"/>
        <n v="3882941"/>
        <n v="3884511"/>
        <n v="3884442"/>
        <s v="BW06-00018753"/>
        <n v="3887125"/>
        <s v="FW06-00003169"/>
        <s v="FW02-00002626"/>
        <s v="FW02-00002644"/>
        <s v="FW03-00004094"/>
        <s v="BW08-00019798"/>
        <s v="BW08-00019924"/>
        <n v="3888223"/>
        <n v="3871432"/>
        <n v="3880505"/>
        <n v="3884108"/>
        <n v="3884588"/>
        <n v="3886746"/>
        <n v="3880197"/>
        <n v="3880095"/>
        <n v="3882425"/>
        <s v="FW03-00004006"/>
        <n v="3883294"/>
        <s v="BW01-00011062"/>
        <n v="3877781"/>
        <s v="FW06-00003208"/>
        <s v="BW04-00016938"/>
        <n v="3882956"/>
        <n v="3886535"/>
        <n v="3881379"/>
        <n v="3878386"/>
        <s v="FW03-00003987"/>
        <n v="3882310"/>
        <n v="3883919"/>
        <n v="3881906"/>
        <s v="BW07-00021687"/>
        <n v="3885626"/>
        <n v="3877672"/>
        <s v="FW07-00003751"/>
        <s v="FW06-00003204"/>
        <n v="3872424"/>
        <n v="3885593"/>
        <n v="3880180"/>
        <n v="3874254"/>
        <n v="3880858"/>
        <n v="3880119"/>
        <s v="FW07-00003737"/>
        <s v="FW03-00004069"/>
        <s v="FW03-00004106"/>
        <n v="3884882"/>
        <n v="3885724"/>
        <s v="FW04-00010457"/>
        <n v="3878995"/>
        <s v="FW04-00010379"/>
        <n v="3885582"/>
        <n v="3888405"/>
        <n v="3878065"/>
        <n v="3879343"/>
        <s v="FW04-00010392"/>
        <s v="BW07-00021594"/>
        <s v="BW02-00004733"/>
        <n v="3878553"/>
        <n v="3889003"/>
        <n v="3878501"/>
        <s v="BW02-00004783"/>
        <n v="3880161"/>
        <s v="BW08-00019953"/>
        <s v="BW08-00019859"/>
        <s v="BW08-00019899"/>
        <s v="BW06-00018790"/>
        <n v="3881386"/>
        <n v="3880105"/>
        <s v="FW04-00010416"/>
        <s v="BW03-00007173"/>
        <n v="3884742"/>
        <s v="FW02-00002687"/>
        <s v="BW08-00019717"/>
        <n v="3871511"/>
        <s v="BW06-00018605"/>
        <n v="3881116"/>
        <n v="3884841"/>
        <n v="3886666"/>
        <s v="FW03-00003976"/>
        <s v="FW06-00003179"/>
        <s v="BW02-00004823"/>
        <s v="FW02-00002672"/>
        <s v="FW03-00004097"/>
        <s v="FW03-00003970"/>
        <s v="FW03-00003998"/>
        <n v="3886702"/>
        <s v="BW04-00017047"/>
        <n v="3877777"/>
        <s v="BW08-00019751"/>
        <n v="3878088"/>
        <s v="BW06-00018602"/>
        <n v="3811004"/>
        <s v="FW04-00010459"/>
        <n v="3866761"/>
        <n v="3880427"/>
        <n v="3880840"/>
        <n v="3881289"/>
        <n v="3883070"/>
        <n v="3884213"/>
        <s v="BW06-00018715"/>
        <n v="3887536"/>
        <n v="3881236"/>
        <n v="3883590"/>
        <s v="BW08-00019831"/>
        <n v="3883296"/>
        <s v="BW07-00021535"/>
        <s v="FW06-00003185"/>
        <n v="3878663"/>
        <n v="3879715"/>
        <n v="3864022"/>
        <n v="3881937"/>
        <n v="3886411"/>
        <s v="BW06-00018597"/>
        <n v="3883598"/>
        <n v="3847286"/>
        <n v="3881543"/>
        <s v="FW08-00003395"/>
        <n v="3845716"/>
        <s v="BW08-00019833"/>
        <n v="3880638"/>
        <n v="3878558"/>
        <s v="BW06-00018609"/>
        <s v="BW03-00007103"/>
        <s v="FW06-00003180"/>
        <s v="BW07-00021581"/>
        <n v="3881568"/>
        <s v="FW07-00003739"/>
        <n v="3878104"/>
        <n v="3877148"/>
        <n v="3877442"/>
        <n v="3877454"/>
        <n v="3878056"/>
        <n v="3878880"/>
        <n v="3880749"/>
        <n v="3881500"/>
        <s v="BW06-00018701"/>
        <n v="3879010"/>
        <n v="3880096"/>
        <s v="BW06-00018664"/>
        <n v="3882664"/>
        <n v="3885345"/>
        <n v="3878234"/>
        <n v="3878750"/>
        <n v="3881391"/>
        <n v="3882416"/>
        <n v="3886532"/>
        <n v="3886994"/>
        <n v="3878937"/>
        <n v="3879041"/>
        <n v="3884134"/>
        <n v="3881126"/>
        <n v="3880337"/>
        <n v="3885695"/>
        <n v="3878544"/>
        <n v="3886888"/>
        <n v="3877214"/>
        <n v="3880334"/>
        <n v="3882927"/>
        <n v="3885439"/>
        <n v="3881028"/>
        <n v="3888255"/>
        <n v="3876211"/>
        <s v="BW06-00018586"/>
        <n v="3877227"/>
        <n v="3876721"/>
        <n v="3880238"/>
        <n v="3880900"/>
        <n v="3881394"/>
        <n v="3883328"/>
        <n v="3882361"/>
        <n v="3885478"/>
        <n v="3876727"/>
        <n v="3880329"/>
        <n v="3883519"/>
        <n v="3887605"/>
        <n v="3888141"/>
        <n v="3888903"/>
        <n v="3889217"/>
        <n v="3880339"/>
        <n v="3881848"/>
        <n v="3882839"/>
        <n v="3883266"/>
        <n v="3878946"/>
        <n v="3883926"/>
        <n v="3878186"/>
        <n v="3879338"/>
        <n v="3878543"/>
        <n v="3877223"/>
        <n v="3878693"/>
        <n v="3877830"/>
        <n v="3881753"/>
        <n v="3883407"/>
        <n v="3883215"/>
        <n v="3882587"/>
        <n v="3885479"/>
        <s v="BW01-00011067"/>
        <n v="3888251"/>
        <n v="3880327"/>
        <n v="3880322"/>
        <n v="3880343"/>
        <n v="3883197"/>
        <n v="3885909"/>
        <n v="3888367"/>
        <n v="3880193"/>
        <n v="3877235"/>
        <n v="3883134"/>
        <n v="3885477"/>
        <n v="3885880"/>
        <n v="3877238"/>
        <n v="3880695"/>
        <n v="3880342"/>
        <n v="3883151"/>
        <n v="3885721"/>
        <n v="3880127"/>
        <n v="3880773"/>
        <n v="3877241"/>
        <n v="3881332"/>
        <n v="3883233"/>
        <n v="3879405"/>
        <n v="3886174"/>
        <n v="3883152"/>
        <n v="3887116"/>
        <n v="3887379"/>
        <n v="3887111"/>
        <n v="3888044"/>
        <n v="3885494"/>
        <n v="3877221"/>
        <n v="3878341"/>
        <n v="3867623"/>
        <n v="3879840"/>
        <n v="3881392"/>
        <n v="3880576"/>
        <n v="3880126"/>
        <n v="3882518"/>
        <n v="3884124"/>
        <n v="3884994"/>
        <n v="3885717"/>
        <n v="3885723"/>
        <n v="3880226"/>
        <n v="3879613"/>
        <n v="3883796"/>
        <n v="3883186"/>
        <n v="3885487"/>
        <s v="FW03-00003966"/>
        <n v="3886154"/>
        <n v="3881179"/>
        <n v="3888545"/>
        <n v="3877230"/>
        <n v="3878772"/>
        <n v="3884360"/>
        <n v="3885740"/>
        <n v="3873521"/>
        <n v="3885875"/>
        <n v="3878070"/>
        <n v="3879495"/>
        <n v="3888225"/>
        <n v="3879592"/>
        <n v="3881964"/>
        <n v="3887962"/>
        <n v="3880265"/>
        <n v="3879107"/>
        <n v="3879951"/>
        <n v="3888928"/>
        <n v="3882657"/>
        <n v="3879486"/>
        <n v="3885629"/>
        <s v="BW08-00019758"/>
        <s v="BW06-00018633"/>
        <s v="FW04-00010445"/>
        <n v="3869649"/>
        <n v="3887876"/>
        <n v="3878137"/>
        <n v="3876774"/>
        <s v="BW08-00019749"/>
        <n v="3881370"/>
        <n v="3881006"/>
        <n v="3870822"/>
        <s v="FW06-00003184"/>
        <n v="3883819"/>
        <n v="3884008"/>
        <n v="3884736"/>
        <n v="3886269"/>
        <s v="FW03-00004074"/>
        <s v="BW02-00004723"/>
        <n v="3878628"/>
        <s v="BW02-00004853"/>
        <n v="3887225"/>
        <n v="3887528"/>
        <s v="FW03-00004019"/>
        <n v="3883843"/>
        <n v="3879059"/>
        <n v="3879147"/>
        <n v="3883783"/>
        <n v="3884729"/>
        <n v="3884948"/>
        <n v="3885605"/>
        <n v="3886173"/>
        <n v="3888433"/>
        <n v="3879026"/>
        <s v="FW02-00002640"/>
        <s v="FW04-00010385"/>
        <n v="3885630"/>
        <n v="3886401"/>
        <n v="3880233"/>
        <n v="3885488"/>
        <n v="3887576"/>
        <s v="BW08-00019760"/>
        <n v="3877837"/>
        <s v="BW03-00007062"/>
        <n v="3880381"/>
        <n v="3881498"/>
        <s v="BW03-00007121"/>
        <n v="3884834"/>
        <s v="BW02-00004856"/>
        <n v="3886763"/>
        <n v="3885337"/>
        <n v="3870709"/>
        <n v="3882344"/>
        <n v="3882795"/>
        <n v="3879064"/>
        <n v="3876986"/>
        <n v="3878672"/>
        <n v="3879223"/>
        <n v="3881308"/>
        <n v="3879646"/>
        <n v="3878842"/>
        <n v="3878195"/>
        <n v="3877985"/>
        <n v="3878071"/>
        <n v="3882417"/>
        <n v="3883709"/>
        <n v="3885315"/>
        <n v="3878948"/>
        <n v="3877102"/>
        <n v="3886574"/>
        <n v="3880879"/>
        <n v="3882111"/>
        <n v="3886543"/>
        <n v="3872399"/>
        <n v="3877720"/>
        <n v="3878294"/>
        <n v="3877840"/>
        <n v="3880411"/>
        <n v="3880434"/>
        <n v="3883459"/>
        <n v="3885820"/>
        <n v="3886323"/>
        <n v="3886243"/>
        <n v="3878301"/>
        <n v="3877989"/>
        <n v="3880925"/>
        <n v="3880934"/>
        <n v="3880433"/>
        <n v="3880967"/>
        <n v="3883230"/>
        <n v="3883702"/>
        <n v="3885999"/>
        <n v="3885813"/>
        <n v="3880851"/>
        <n v="3878611"/>
        <n v="3877858"/>
        <n v="3880827"/>
        <n v="3883674"/>
        <n v="3883569"/>
        <n v="3883084"/>
        <n v="3883494"/>
        <n v="3883766"/>
        <n v="3878971"/>
        <n v="3887652"/>
        <n v="3883549"/>
        <n v="3884515"/>
        <n v="3878183"/>
        <n v="3877968"/>
        <n v="3878191"/>
        <n v="3878295"/>
        <n v="3877847"/>
        <n v="3886309"/>
        <n v="3886228"/>
        <n v="3883688"/>
        <n v="3883095"/>
        <n v="3877850"/>
        <n v="3879313"/>
        <n v="3880404"/>
        <n v="3880795"/>
        <n v="3886080"/>
        <n v="3886008"/>
        <n v="3880552"/>
        <n v="3883098"/>
        <n v="3879914"/>
        <n v="3877467"/>
        <n v="3880528"/>
        <n v="3881382"/>
        <n v="3887230"/>
        <n v="3886113"/>
        <n v="3883558"/>
        <n v="3883466"/>
        <n v="3885837"/>
        <n v="3878307"/>
        <n v="3877991"/>
        <n v="3880609"/>
        <n v="3883053"/>
        <n v="3883417"/>
        <n v="3886238"/>
        <n v="3880386"/>
        <n v="3877307"/>
        <n v="3882592"/>
        <n v="3853403"/>
        <n v="3880583"/>
        <n v="3885566"/>
        <n v="3883711"/>
        <n v="3886147"/>
        <n v="3883468"/>
        <n v="3886247"/>
        <n v="3882403"/>
        <n v="3880601"/>
        <n v="3880953"/>
        <n v="3883077"/>
        <n v="3885347"/>
        <n v="3886115"/>
        <n v="3870418"/>
        <s v="BW02-00004926"/>
        <n v="3882004"/>
        <n v="3881161"/>
        <s v="BW03-00007129"/>
        <n v="3884068"/>
        <s v="BW02-00004907"/>
        <n v="3885804"/>
        <n v="3886356"/>
        <n v="3883675"/>
        <n v="3882326"/>
        <n v="3886320"/>
        <n v="3886245"/>
        <n v="3883370"/>
        <n v="3883555"/>
        <n v="3883386"/>
        <n v="3886491"/>
        <n v="3885994"/>
        <n v="3886091"/>
        <n v="3878196"/>
        <n v="3878826"/>
        <n v="3878207"/>
        <n v="3880410"/>
        <n v="3883083"/>
        <n v="3885823"/>
        <n v="3886019"/>
        <n v="3886128"/>
        <n v="3886346"/>
        <n v="3879438"/>
        <n v="3878320"/>
        <n v="3882836"/>
        <n v="3884338"/>
        <n v="3883707"/>
        <n v="3886132"/>
        <n v="3879718"/>
        <s v="FW07-00003736"/>
        <n v="3880876"/>
        <s v="BW08-00019850"/>
        <n v="3883559"/>
        <s v="FW07-00003743"/>
        <n v="3877972"/>
        <n v="3881106"/>
        <n v="3883092"/>
        <n v="3883694"/>
        <n v="3880779"/>
        <n v="3880558"/>
        <n v="3883499"/>
        <n v="3882757"/>
        <n v="3886213"/>
        <n v="3885814"/>
        <n v="3886344"/>
        <n v="3878421"/>
        <n v="3880555"/>
        <n v="3883554"/>
        <n v="3886215"/>
        <n v="3883561"/>
        <n v="3880937"/>
        <n v="3886288"/>
        <n v="3882857"/>
        <n v="3866076"/>
        <n v="3886680"/>
        <n v="3876723"/>
        <n v="3881488"/>
        <n v="3878947"/>
        <n v="3887270"/>
        <s v="BW03-00007252"/>
        <n v="3876967"/>
        <n v="3880636"/>
        <n v="3882134"/>
        <s v="BW06-00018643"/>
        <s v="BW02-00004852"/>
        <n v="3886214"/>
        <n v="3883261"/>
        <n v="3883798"/>
        <s v="BW02-00004749"/>
        <n v="3881195"/>
        <n v="3881550"/>
        <n v="3883612"/>
        <n v="3885742"/>
        <s v="FW02-00002613"/>
        <n v="3877844"/>
        <n v="3874280"/>
        <n v="3886453"/>
        <n v="3878949"/>
        <n v="3888544"/>
        <s v="FW03-00003974"/>
        <s v="BW03-00007239"/>
        <s v="BW03-00007250"/>
        <n v="3879541"/>
        <n v="3888092"/>
        <n v="3887330"/>
        <n v="3879610"/>
        <n v="3886222"/>
        <n v="3879332"/>
        <n v="3881913"/>
        <n v="3885536"/>
        <n v="3888022"/>
        <n v="3835422"/>
        <n v="3880634"/>
        <n v="3881711"/>
        <n v="3883301"/>
        <s v="FW02-00002659"/>
        <n v="3885311"/>
        <n v="3885561"/>
        <n v="3886868"/>
        <n v="3887468"/>
        <s v="FW06-00003197"/>
        <n v="3886396"/>
        <n v="3888172"/>
        <n v="3879885"/>
        <s v="FW03-00003978"/>
        <n v="3882712"/>
        <s v="BW03-00007160"/>
        <n v="3885274"/>
        <n v="3870437"/>
        <n v="3879029"/>
        <n v="3884532"/>
        <s v="BW03-00007194"/>
        <s v="BW06-00018768"/>
        <s v="FW04-00010456"/>
        <s v="FW02-00002682"/>
        <n v="3883618"/>
        <n v="3886798"/>
        <s v="BW03-00007207"/>
        <n v="3880407"/>
        <n v="3883066"/>
        <n v="3886220"/>
        <n v="3882893"/>
        <s v="BW08-00019746"/>
        <n v="3861196"/>
        <s v="BW06-00018579"/>
        <s v="BW06-00018627"/>
        <s v="BW06-00018779"/>
        <m/>
        <n v="3839295" u="1"/>
        <n v="3844170" u="1"/>
        <n v="3840019" u="1"/>
        <n v="3830303" u="1"/>
        <n v="3818498" u="1"/>
        <n v="3829859" u="1"/>
        <n v="3839680" u="1"/>
        <n v="3825938" u="1"/>
        <n v="3815476" u="1"/>
        <n v="3827359" u="1"/>
        <n v="3827493" u="1"/>
        <n v="3841214" u="1"/>
        <n v="3826770" u="1"/>
        <n v="3830263" u="1"/>
        <n v="3827895" u="1"/>
        <n v="3829462" u="1"/>
        <n v="3811053" u="1"/>
        <n v="3824444" u="1"/>
        <n v="3830161" u="1"/>
        <n v="3833984" u="1"/>
        <n v="3834784" u="1"/>
        <n v="3837506" u="1"/>
        <n v="3826117" u="1"/>
        <n v="3827187" u="1"/>
        <n v="3833392" u="1"/>
        <n v="3811266" u="1"/>
        <n v="3832436" u="1"/>
        <n v="3841747" u="1"/>
        <n v="3835670" u="1"/>
        <n v="3839086" u="1"/>
        <n v="3827775" u="1"/>
        <n v="3830367" u="1"/>
        <n v="3839104" u="1"/>
        <n v="3825526" u="1"/>
        <n v="3829089" u="1"/>
        <n v="3832032" u="1"/>
        <n v="3831263" u="1"/>
        <n v="3838827" u="1"/>
        <n v="3840252" u="1"/>
        <n v="3835660" u="1"/>
        <n v="3829894" u="1"/>
        <n v="3833324" u="1"/>
        <n v="3821588" u="1"/>
        <n v="3831248" u="1"/>
        <n v="3834898" u="1"/>
        <n v="3837655" u="1"/>
        <n v="3833124" u="1"/>
        <n v="3832468" u="1"/>
        <n v="3784025" u="1"/>
        <n v="3824368" u="1"/>
        <n v="3822137" u="1"/>
        <n v="3835406" u="1"/>
        <n v="3840180" u="1"/>
        <n v="3843178" u="1"/>
        <n v="3803639" u="1"/>
        <n v="3825814" u="1"/>
        <n v="3828380" u="1"/>
        <n v="3828499" u="1"/>
        <n v="3830027" u="1"/>
        <n v="3839289" u="1"/>
        <n v="3832952" u="1"/>
        <n v="3841572" u="1"/>
        <n v="3825473" u="1"/>
        <n v="3827288" u="1"/>
        <n v="3839802" u="1"/>
        <n v="3832965" u="1"/>
        <n v="3836765" u="1"/>
        <n v="3835754" u="1"/>
        <n v="3820824" u="1"/>
        <n v="3842376" u="1"/>
        <n v="3825608" u="1"/>
        <n v="3832933" u="1"/>
        <n v="3838103" u="1"/>
        <n v="3838688" u="1"/>
        <n v="3835848" u="1"/>
        <n v="3836878" u="1"/>
        <n v="3842375" u="1"/>
        <n v="3842798" u="1"/>
        <n v="3829943" u="1"/>
        <n v="3840715" u="1"/>
        <n v="3830465" u="1"/>
        <n v="3840286" u="1"/>
        <n v="3828686" u="1"/>
        <n v="3840237" u="1"/>
        <n v="3826160" u="1"/>
        <n v="3839242" u="1"/>
        <n v="3829215" u="1"/>
        <n v="3833133" u="1"/>
        <n v="3804553" u="1"/>
        <n v="3815635" u="1"/>
        <n v="3837133" u="1"/>
        <n v="3837942" u="1"/>
        <n v="3827144" u="1"/>
        <n v="3833338" u="1"/>
        <n v="3838101" u="1"/>
        <n v="3826155" u="1"/>
        <n v="3823936" u="1"/>
        <n v="3832425" u="1"/>
        <n v="3834634" u="1"/>
        <n v="3838142" u="1"/>
        <n v="3836951" u="1"/>
        <n v="3840920" u="1"/>
        <n v="3830433" u="1"/>
        <n v="3838197" u="1"/>
        <n v="3826128" u="1"/>
        <n v="3829575" u="1"/>
        <n v="3834741" u="1"/>
        <n v="3837647" u="1"/>
        <n v="3827461" u="1"/>
        <n v="3829321" u="1"/>
        <n v="3831910" u="1"/>
        <n v="3832383" u="1"/>
        <n v="3826997" u="1"/>
        <n v="3827450" u="1"/>
        <n v="3823940" u="1"/>
        <n v="3829819" u="1"/>
        <n v="3830153" u="1"/>
        <n v="3831911" u="1"/>
        <n v="3832721" u="1"/>
        <n v="3833297" u="1"/>
        <n v="3833557" u="1"/>
        <n v="3838668" u="1"/>
        <n v="3827717" u="1"/>
        <n v="3831345" u="1"/>
        <n v="3827180" u="1"/>
        <n v="3830858" u="1"/>
        <n v="3832600" u="1"/>
        <n v="3835113" u="1"/>
        <n v="3838803" u="1"/>
        <n v="3827092" u="1"/>
        <n v="3828749" u="1"/>
        <n v="3829570" u="1"/>
        <n v="3829576" u="1"/>
        <n v="3834094" u="1"/>
        <n v="3834807" u="1"/>
        <n v="3835523" u="1"/>
        <n v="3835626" u="1"/>
        <n v="3832447" u="1"/>
        <n v="3837360" u="1"/>
        <n v="3827668" u="1"/>
        <n v="3827463" u="1"/>
        <n v="3831898" u="1"/>
        <n v="3834237" u="1"/>
        <n v="3835809" u="1"/>
        <n v="3834672" u="1"/>
        <n v="3827561" u="1"/>
        <n v="3821997" u="1"/>
        <n v="3830665" u="1"/>
        <n v="3833101" u="1"/>
        <n v="3833425" u="1"/>
        <n v="3835009" u="1"/>
        <n v="3834999" u="1"/>
        <n v="3833593" u="1"/>
        <n v="3837759" u="1"/>
        <n v="3838380" u="1"/>
        <n v="3839596" u="1"/>
        <n v="3833216" u="1"/>
        <n v="3839464" u="1"/>
        <n v="3841528" u="1"/>
        <n v="3825928" u="1"/>
        <n v="3828334" u="1"/>
        <n v="3830412" u="1"/>
        <n v="3834485" u="1"/>
        <n v="3836606" u="1"/>
        <n v="3836774" u="1"/>
        <n v="3839402" u="1"/>
        <n v="3827551" u="1"/>
        <n v="3834796" u="1"/>
        <n v="3830188" u="1"/>
        <n v="3832627" u="1"/>
        <n v="3832870" u="1"/>
        <n v="3837248" u="1"/>
        <n v="3840550" u="1"/>
        <n v="3827770" u="1"/>
        <n v="3827352" u="1"/>
        <n v="3828302" u="1"/>
        <n v="3830928" u="1"/>
        <n v="3832288" u="1"/>
        <n v="3838878" u="1"/>
        <n v="3839044" u="1"/>
        <n v="3807813" u="1"/>
        <n v="3827306" u="1"/>
        <n v="3829543" u="1"/>
        <n v="3838671" u="1"/>
        <n v="3828242" u="1"/>
        <n v="3828137" u="1"/>
        <n v="3829155" u="1"/>
        <n v="3828865" u="1"/>
        <n v="3828413" u="1"/>
        <n v="3831408" u="1"/>
        <n v="3829881" u="1"/>
        <n v="3832970" u="1"/>
        <n v="3831072" u="1"/>
        <n v="3826620" u="1"/>
        <n v="3826075" u="1"/>
        <n v="3827957" u="1"/>
        <n v="3829367" u="1"/>
        <n v="3829858" u="1"/>
        <n v="3835069" u="1"/>
        <n v="3838680" u="1"/>
        <n v="3838286" u="1"/>
        <n v="3838403" u="1"/>
        <n v="3831754" u="1"/>
        <n v="3836597" u="1"/>
        <n v="3830667" u="1"/>
        <n v="3826121" u="1"/>
        <n v="3827488" u="1"/>
        <n v="3825306" u="1"/>
        <n v="3832049" u="1"/>
        <n v="3832891" u="1"/>
        <n v="3841406" u="1"/>
        <n v="3839574" u="1"/>
        <n v="3833450" u="1"/>
        <n v="3834710" u="1"/>
        <n v="3827629" u="1"/>
        <n v="3824068" u="1"/>
        <n v="3828495" u="1"/>
        <n v="3832058" u="1"/>
        <n v="3836321" u="1"/>
        <n v="3835831" u="1"/>
        <n v="3841620" u="1"/>
        <n v="3841920" u="1"/>
        <n v="3827721" u="1"/>
        <n v="3839908" u="1"/>
        <n v="3813019" u="1"/>
        <n v="3838374" u="1"/>
        <n v="3829027" u="1"/>
        <n v="3832109" u="1"/>
        <n v="3827057" u="1"/>
        <n v="3821879" u="1"/>
        <n v="3837684" u="1"/>
        <n v="3838554" u="1"/>
        <n v="3826219" u="1"/>
        <n v="3819925" u="1"/>
        <n v="3827309" u="1"/>
        <n v="3828323" u="1"/>
        <n v="3828025" u="1"/>
        <n v="3783563" u="1"/>
        <n v="3834996" u="1"/>
        <n v="3834847" u="1"/>
        <n v="3836405" u="1"/>
        <n v="3837912" u="1"/>
        <n v="3836575" u="1"/>
        <n v="3838181" u="1"/>
        <n v="3829564" u="1"/>
        <n v="3829874" u="1"/>
        <n v="3830009" u="1"/>
        <n v="3830593" u="1"/>
        <n v="3826070" u="1"/>
        <n v="3826962" u="1"/>
        <n v="3827051" u="1"/>
        <n v="3828297" u="1"/>
        <n v="3826076" u="1"/>
        <n v="3829958" u="1"/>
        <n v="3831871" u="1"/>
        <n v="3831391" u="1"/>
        <n v="3826989" u="1"/>
        <n v="3832544" u="1"/>
        <n v="3834079" u="1"/>
        <n v="3831405" u="1"/>
        <n v="3836455" u="1"/>
        <n v="3836767" u="1"/>
        <n v="3833691" u="1"/>
        <n v="3837596" u="1"/>
        <n v="3836595" u="1"/>
        <n v="3836603" u="1"/>
        <n v="3839168" u="1"/>
        <n v="3830350" u="1"/>
        <n v="3831192" u="1"/>
        <n v="3839499" u="1"/>
        <n v="3828209" u="1"/>
        <n v="3836202" u="1"/>
        <n v="3838977" u="1"/>
        <n v="3835784" u="1"/>
        <n v="3830396" u="1"/>
        <n v="3825626" u="1"/>
        <n v="3821986" u="1"/>
        <n v="3838183" u="1"/>
        <n v="3830499" u="1"/>
        <n v="3832668" u="1"/>
        <n v="3832147" u="1"/>
        <n v="3835099" u="1"/>
        <n v="3828660" u="1"/>
        <n v="3824040" u="1"/>
        <n v="3831074" u="1"/>
        <n v="3831740" u="1"/>
        <n v="3831552" u="1"/>
        <n v="3833005" u="1"/>
        <n v="3825540" u="1"/>
        <n v="3827587" u="1"/>
        <n v="3825227" u="1"/>
        <n v="3827830" u="1"/>
        <n v="3832171" u="1"/>
        <n v="3830502" u="1"/>
        <n v="3833291" u="1"/>
        <n v="3826941" u="1"/>
        <n v="3826114" u="1"/>
        <n v="3831228" u="1"/>
        <n v="3828162" u="1"/>
        <n v="3827769" u="1"/>
        <n v="3835686" u="1"/>
        <n v="3821267" u="1"/>
        <n v="3826011" u="1"/>
        <n v="3832456" u="1"/>
        <n v="3834241" u="1"/>
        <n v="3825751" u="1"/>
        <n v="3827620" u="1"/>
        <n v="3829088" u="1"/>
        <n v="3829223" u="1"/>
        <n v="3831938" u="1"/>
        <n v="3832814" u="1"/>
        <n v="3835727" u="1"/>
        <n v="3839524" u="1"/>
        <n v="3827896" u="1"/>
        <n v="3829966" u="1"/>
        <n v="3827190" u="1"/>
        <n v="3827409" u="1"/>
        <n v="3827677" u="1"/>
        <n v="3827870" u="1"/>
        <n v="3829494" u="1"/>
        <n v="3832651" u="1"/>
        <n v="3835331" u="1"/>
        <n v="3838670" u="1"/>
        <n v="3834875" u="1"/>
        <n v="3839527" u="1"/>
        <n v="3840966" u="1"/>
        <n v="3821589" u="1"/>
        <n v="3833268" u="1"/>
        <n v="3807825" u="1"/>
        <n v="3828340" u="1"/>
        <n v="3831814" u="1"/>
        <n v="3784190" u="1"/>
        <n v="3835684" u="1"/>
        <n v="3840152" u="1"/>
        <n v="3831152" u="1"/>
        <n v="3824837" u="1"/>
        <n v="3831314" u="1"/>
        <n v="3818246" u="1"/>
        <n v="3838218" u="1"/>
        <n v="3841063" u="1"/>
        <n v="3841299" u="1"/>
        <n v="3841105" u="1"/>
        <n v="3830455" u="1"/>
        <n v="3826353" u="1"/>
        <n v="3796483" u="1"/>
        <n v="3840974" u="1"/>
        <n v="3836368" u="1"/>
        <n v="3839205" u="1"/>
        <n v="3807815" u="1"/>
        <n v="3829691" u="1"/>
        <n v="3838241" u="1"/>
        <n v="3837752" u="1"/>
        <n v="3830036" u="1"/>
        <n v="3834436" u="1"/>
        <n v="3820937" u="1"/>
        <n v="3827280" u="1"/>
        <n v="3835036" u="1"/>
        <n v="3837585" u="1"/>
        <n v="3842008" u="1"/>
        <n v="3836537" u="1"/>
        <n v="3836559" u="1"/>
        <n v="3838057" u="1"/>
        <n v="3830485" u="1"/>
        <n v="3827166" u="1"/>
        <n v="3832305" u="1"/>
        <n v="3832421" u="1"/>
        <n v="3831071" u="1"/>
        <n v="3838987" u="1"/>
        <n v="3841717" u="1"/>
        <n v="3832680" u="1"/>
        <n v="3831275" u="1"/>
        <n v="3838911" u="1"/>
        <n v="3840265" u="1"/>
        <n v="3827656" u="1"/>
        <n v="3768026" u="1"/>
        <n v="3784068" u="1"/>
        <n v="3829183" u="1"/>
        <n v="3830061" u="1"/>
        <n v="3830689" u="1"/>
        <n v="3835972" u="1"/>
        <n v="3840719" u="1"/>
        <n v="3825260" u="1"/>
        <n v="3815505" u="1"/>
        <n v="3833896" u="1"/>
        <n v="3783994" u="1"/>
        <n v="3830518" u="1"/>
        <n v="3839362" u="1"/>
        <n v="3826571" u="1"/>
        <n v="3831548" u="1"/>
        <n v="3832517" u="1"/>
        <n v="3837780" u="1"/>
        <n v="3783564" u="1"/>
        <n v="3843801" u="1"/>
        <n v="3825455" u="1"/>
        <n v="3807830" u="1"/>
        <n v="3829055" u="1"/>
        <n v="3829252" u="1"/>
        <n v="3839098" u="1"/>
        <n v="3829845" u="1"/>
        <n v="3831728" u="1"/>
        <n v="3837721" u="1"/>
        <n v="3838923" u="1"/>
        <n v="3839386" u="1"/>
        <n v="3831035" u="1"/>
        <n v="3836216" u="1"/>
        <n v="3835117" u="1"/>
        <n v="3837525" u="1"/>
        <n v="3842180" u="1"/>
        <n v="3838390" u="1"/>
        <n v="3842474" u="1"/>
        <n v="3834823" u="1"/>
        <n v="3837530" u="1"/>
        <n v="3839261" u="1"/>
        <n v="3842813" u="1"/>
        <n v="3831521" u="1"/>
        <n v="3797565" u="1"/>
        <n v="3843045" u="1"/>
        <n v="3833944" u="1"/>
        <n v="3838394" u="1"/>
        <n v="3833253" u="1"/>
        <n v="3752399" u="1"/>
        <n v="3835642" u="1"/>
        <n v="3838191" u="1"/>
        <n v="3838201" u="1"/>
        <n v="3841076" u="1"/>
        <n v="3842435" u="1"/>
        <n v="3823594" u="1"/>
        <n v="3827455" u="1"/>
        <n v="3825999" u="1"/>
        <n v="3828575" u="1"/>
        <n v="3828585" u="1"/>
        <n v="3831693" u="1"/>
        <n v="3833698" u="1"/>
        <n v="3839175" u="1"/>
        <n v="3826992" u="1"/>
        <n v="3839159" u="1"/>
        <n v="3840781" u="1"/>
        <n v="3842330" u="1"/>
        <n v="3841262" u="1"/>
        <n v="3821891" u="1"/>
        <n v="3839383" u="1"/>
        <n v="3830464" u="1"/>
        <n v="3843993" u="1"/>
        <n v="3827804" u="1"/>
        <n v="3828308" u="1"/>
        <n v="3836764" u="1"/>
        <n v="3838048" u="1"/>
        <n v="3830214" u="1"/>
        <n v="3843283" u="1"/>
        <n v="3825408" u="1"/>
        <n v="3831921" u="1"/>
        <n v="3834642" u="1"/>
        <n v="3834364" u="1"/>
        <n v="3836542" u="1"/>
        <n v="3832655" u="1"/>
        <n v="3839753" u="1"/>
        <n v="3843152" u="1"/>
        <n v="3833548" u="1"/>
        <n v="3839058" u="1"/>
        <n v="3837520" u="1"/>
        <n v="3833830" u="1"/>
        <n v="3832628" u="1"/>
        <n v="3833534" u="1"/>
        <n v="3830580" u="1"/>
        <n v="3811048" u="1"/>
        <n v="3807821" u="1"/>
        <n v="3837839" u="1"/>
        <n v="3834428" u="1"/>
        <n v="3841419" u="1"/>
        <n v="3807839" u="1"/>
        <n v="3829339" u="1"/>
        <n v="3829727" u="1"/>
        <n v="3830226" u="1"/>
        <n v="3837842" u="1"/>
        <n v="3839403" u="1"/>
        <n v="3827646" u="1"/>
        <n v="3783983" u="1"/>
        <n v="3827087" u="1"/>
        <n v="3837748" u="1"/>
        <n v="3829129" u="1"/>
        <n v="3837835" u="1"/>
        <n v="3843272" u="1"/>
        <n v="3838816" u="1"/>
        <n v="3821888" u="1"/>
        <n v="3829725" u="1"/>
        <n v="3827615" u="1"/>
        <n v="3840485" u="1"/>
        <n v="3836432" u="1"/>
        <n v="3841493" u="1"/>
        <n v="3838682" u="1"/>
        <n v="3825744" u="1"/>
        <n v="3830008" u="1"/>
        <n v="3839688" u="1"/>
        <n v="3830481" u="1"/>
        <n v="3784261" u="1"/>
        <n v="3830370" u="1"/>
        <n v="3796576" u="1"/>
        <n v="3825246" u="1"/>
        <n v="3829645" u="1"/>
        <n v="3834695" u="1"/>
        <n v="3830470" u="1"/>
        <n v="3843562" u="1"/>
        <n v="3835162" u="1"/>
        <n v="3836615" u="1"/>
        <n v="3841169" u="1"/>
        <n v="3831055" u="1"/>
        <n v="3795820" u="1"/>
        <n v="3839977" u="1"/>
        <n v="3825855" u="1"/>
        <n v="3834118" u="1"/>
        <n v="3837514" u="1"/>
        <n v="3838204" u="1"/>
        <n v="3827648" u="1"/>
        <n v="3829194" u="1"/>
        <n v="3830082" u="1"/>
        <n v="3830476" u="1"/>
        <n v="3833788" u="1"/>
        <n v="3821337" u="1"/>
        <n v="3835381" u="1"/>
        <n v="3835471" u="1"/>
        <n v="3838398" u="1"/>
        <n v="3838399" u="1"/>
        <n v="3840509" u="1"/>
        <n v="3842235" u="1"/>
        <n v="3828962" u="1"/>
        <n v="3831515" u="1"/>
        <n v="3837432" u="1"/>
        <n v="3839782" u="1"/>
        <n v="3830935" u="1"/>
        <n v="3831953" u="1"/>
        <n v="3832832" u="1"/>
        <n v="3835571" u="1"/>
        <n v="3842837" u="1"/>
        <n v="3834964" u="1"/>
        <n v="3835572" u="1"/>
        <n v="3837613" u="1"/>
        <n v="3813105" u="1"/>
        <n v="3836863" u="1"/>
        <n v="3841903" u="1"/>
        <n v="3830403" u="1"/>
        <n v="3833026" u="1"/>
        <n v="3833636" u="1"/>
        <n v="3836015" u="1"/>
        <n v="3837517" u="1"/>
        <n v="3826608" u="1"/>
        <n v="3829296" u="1"/>
        <n v="3828832" u="1"/>
        <n v="3832813" u="1"/>
        <n v="3838219" u="1"/>
        <n v="3841651" u="1"/>
        <n v="3825529" u="1"/>
        <n v="3831264" u="1"/>
        <n v="3835553" u="1"/>
        <n v="3829688" u="1"/>
        <n v="3819654" u="1"/>
        <n v="3840681" u="1"/>
        <n v="3825927" u="1"/>
        <n v="3827963" u="1"/>
        <n v="3823603" u="1"/>
        <n v="3830177" u="1"/>
        <n v="3835375" u="1"/>
        <n v="3827685" u="1"/>
        <n v="3828160" u="1"/>
        <n v="3830011" u="1"/>
        <n v="3836186" u="1"/>
        <n v="3799060" u="1"/>
        <n v="3840662" u="1"/>
        <n v="3827142" u="1"/>
        <n v="3821854" u="1"/>
        <n v="3828735" u="1"/>
        <n v="3830922" u="1"/>
        <n v="3834155" u="1"/>
        <n v="3835846" u="1"/>
        <n v="3836325" u="1"/>
        <n v="3836112" u="1"/>
        <n v="3839280" u="1"/>
        <n v="3838400" u="1"/>
        <n v="3838401" u="1"/>
        <n v="3825615" u="1"/>
        <n v="3829100" u="1"/>
        <n v="3831399" u="1"/>
        <n v="3832866" u="1"/>
        <n v="3831965" u="1"/>
        <n v="3835154" u="1"/>
        <n v="3837119" u="1"/>
        <n v="3837242" u="1"/>
        <n v="3842187" u="1"/>
        <n v="3835805" u="1"/>
        <n v="3838240" u="1"/>
        <n v="3840034" u="1"/>
        <n v="3833872" u="1"/>
        <n v="3836097" u="1"/>
        <n v="3825309" u="1"/>
        <n v="3826493" u="1"/>
        <n v="3828581" u="1"/>
        <n v="3829964" u="1"/>
        <n v="3831013" u="1"/>
        <n v="3831549" u="1"/>
        <n v="3831382" u="1"/>
        <n v="3836369" u="1"/>
        <n v="3832301" u="1"/>
        <n v="3821996" u="1"/>
        <n v="3826202" u="1"/>
        <n v="3834917" u="1"/>
        <n v="3835244" u="1"/>
        <n v="3840122" u="1"/>
        <n v="3836752" u="1"/>
        <n v="3832141" u="1"/>
        <n v="3750200" u="1"/>
        <n v="3825313" u="1"/>
        <n v="3825325" u="1"/>
        <n v="3828566" u="1"/>
        <n v="3821402" u="1"/>
        <n v="3829584" u="1"/>
        <n v="3827794" u="1"/>
        <n v="3831759" u="1"/>
        <n v="3831374" u="1"/>
        <n v="3831398" u="1"/>
        <n v="3834829" u="1"/>
        <n v="3834933" u="1"/>
        <n v="3839857" u="1"/>
        <n v="3840016" u="1"/>
        <n v="3839350" u="1"/>
        <n v="3828588" u="1"/>
        <n v="3829878" u="1"/>
        <n v="3834221" u="1"/>
        <n v="3835977" u="1"/>
        <n v="3836533" u="1"/>
        <n v="3837207" u="1"/>
        <n v="3839606" u="1"/>
        <n v="3826023" u="1"/>
        <n v="3828174" u="1"/>
        <n v="3830213" u="1"/>
        <n v="3830694" u="1"/>
        <n v="3831922" u="1"/>
        <n v="3833706" u="1"/>
        <n v="3833467" u="1"/>
        <n v="3835373" u="1"/>
        <n v="3835531" u="1"/>
        <n v="3837828" u="1"/>
        <n v="3838375" u="1"/>
        <n v="3827821" u="1"/>
        <n v="3833060" u="1"/>
        <n v="3825315" u="1"/>
        <n v="3828730" u="1"/>
        <n v="3828580" u="1"/>
        <n v="3830728" u="1"/>
        <n v="3833311" u="1"/>
        <n v="3834002" u="1"/>
        <n v="3833704" u="1"/>
        <n v="3839452" u="1"/>
        <n v="3839154" u="1"/>
        <n v="3840384" u="1"/>
        <n v="3833710" u="1"/>
        <n v="3834029" u="1"/>
        <n v="3840851" u="1"/>
        <n v="3839182" u="1"/>
        <n v="3839690" u="1"/>
        <n v="3826973" u="1"/>
        <n v="3826400" u="1"/>
        <n v="3827808" u="1"/>
        <n v="3830201" u="1"/>
        <n v="3840548" u="1"/>
        <n v="3828576" u="1"/>
        <n v="3831825" u="1"/>
        <n v="3827177" u="1"/>
        <n v="3825328" u="1"/>
        <n v="3828600" u="1"/>
        <n v="3831410" u="1"/>
        <n v="3836224" u="1"/>
        <n v="3833718" u="1"/>
        <n v="3838042" u="1"/>
        <n v="3838599" u="1"/>
        <n v="3837106" u="1"/>
        <n v="3830200" u="1"/>
        <n v="3835001" u="1"/>
        <n v="3825913" u="1"/>
        <n v="3825319" u="1"/>
        <n v="3828769" u="1"/>
        <n v="3828595" u="1"/>
        <n v="3831403" u="1"/>
        <n v="3833712" u="1"/>
        <n v="3840786" u="1"/>
        <n v="3839185" u="1"/>
        <n v="3843310" u="1"/>
        <n v="3841184" u="1"/>
        <n v="3827832" u="1"/>
        <n v="3825320" u="1"/>
        <n v="3829747" u="1"/>
        <n v="3831689" u="1"/>
        <n v="3825316" u="1"/>
        <n v="3826988" u="1"/>
        <n v="3828592" u="1"/>
        <n v="3831385" u="1"/>
        <n v="3831397" u="1"/>
        <n v="3834294" u="1"/>
        <n v="3834255" u="1"/>
        <n v="3836147" u="1"/>
        <n v="3839797" u="1"/>
        <n v="3838775" u="1"/>
        <n v="3827260" u="1"/>
        <n v="3829805" u="1"/>
        <n v="3829019" u="1"/>
        <n v="3829200" u="1"/>
        <n v="3830787" u="1"/>
        <n v="3831230" u="1"/>
        <n v="3833223" u="1"/>
        <n v="3835669" u="1"/>
        <n v="3836921" u="1"/>
        <n v="3838959" u="1"/>
        <n v="3839163" u="1"/>
        <n v="3839173" u="1"/>
        <n v="3842186" u="1"/>
        <n v="3840385" u="1"/>
        <n v="3835220" u="1"/>
        <n v="3839344" u="1"/>
        <n v="3843232" u="1"/>
        <n v="3829932" u="1"/>
        <n v="3836521" u="1"/>
        <n v="3838661" u="1"/>
        <n v="3827439" u="1"/>
        <n v="3839441" u="1"/>
        <n v="3828598" u="1"/>
        <n v="3831396" u="1"/>
        <n v="3834433" u="1"/>
        <n v="3833955" u="1"/>
        <n v="3836910" u="1"/>
        <n v="3838675" u="1"/>
        <n v="3839153" u="1"/>
        <n v="3840381" u="1"/>
        <n v="3838614" u="1"/>
        <n v="3825314" u="1"/>
        <n v="3828709" u="1"/>
        <n v="3831384" u="1"/>
        <n v="3837564" u="1"/>
        <n v="3836593" u="1"/>
        <n v="3826991" u="1"/>
        <n v="3839578" u="1"/>
        <n v="3840118" u="1"/>
        <n v="3839972" u="1"/>
        <n v="3840773" u="1"/>
        <n v="3840779" u="1"/>
        <n v="3827044" u="1"/>
        <n v="3826568" u="1"/>
        <n v="3828412" u="1"/>
        <n v="3826905" u="1"/>
        <n v="3826923" u="1"/>
        <n v="3827724" u="1"/>
        <n v="3830146" u="1"/>
        <n v="3831610" u="1"/>
        <n v="3834013" u="1"/>
        <n v="3840242" u="1"/>
        <n v="3826066" u="1"/>
        <n v="3828514" u="1"/>
        <n v="3831500" u="1"/>
        <n v="3774997" u="1"/>
        <n v="3825322" u="1"/>
        <n v="3829798" u="1"/>
        <n v="3831338" u="1"/>
        <n v="3826159" u="1"/>
        <n v="3826303" u="1"/>
        <n v="3828071" u="1"/>
        <n v="3829139" u="1"/>
        <n v="3834231" u="1"/>
        <n v="3838927" u="1"/>
        <n v="3836609" u="1"/>
        <n v="3825692" u="1"/>
        <n v="3830462" u="1"/>
        <n v="3836771" u="1"/>
        <n v="3836275" u="1"/>
        <n v="3829715" u="1"/>
        <n v="3830560" u="1"/>
        <n v="3832386" u="1"/>
        <n v="3831494" u="1"/>
        <n v="3835055" u="1"/>
        <n v="3833844" u="1"/>
        <n v="3833693" u="1"/>
        <n v="3834548" u="1"/>
        <n v="3830393" u="1"/>
        <n v="3843294" u="1"/>
        <n v="3833619" u="1"/>
        <n v="3825240" u="1"/>
        <n v="3815497" u="1"/>
        <n v="3798313" u="1"/>
        <n v="3836215" u="1"/>
        <n v="3826203" u="1"/>
        <n v="3829788" u="1"/>
        <n v="3829047" u="1"/>
        <n v="3831517" u="1"/>
        <n v="3821629" u="1"/>
        <n v="3827176" u="1"/>
        <n v="3831594" u="1"/>
        <n v="3834542" u="1"/>
        <n v="3835407" u="1"/>
        <n v="3837937" u="1"/>
        <n v="3842304" u="1"/>
        <n v="3826222" u="1"/>
        <n v="3828587" u="1"/>
        <n v="3830175" u="1"/>
        <n v="3828414" u="1"/>
        <n v="3834417" u="1"/>
        <n v="3836510" u="1"/>
        <n v="3837756" u="1"/>
        <n v="3841536" u="1"/>
        <n v="3830819" u="1"/>
        <n v="3831568" u="1"/>
        <n v="3833422" u="1"/>
        <n v="3839437" u="1"/>
        <n v="3841134" u="1"/>
        <n v="3827992" u="1"/>
        <n v="3827996" u="1"/>
        <n v="3832146" u="1"/>
        <n v="3784051" u="1"/>
        <n v="3838810" u="1"/>
        <n v="3826555" u="1"/>
        <n v="3828149" u="1"/>
        <n v="3838121" u="1"/>
        <n v="3832847" u="1"/>
        <n v="3834120" u="1"/>
        <n v="3826990" u="1"/>
        <n v="3830757" u="1"/>
        <n v="3833224" u="1"/>
        <n v="3829624" u="1"/>
        <n v="3831837" u="1"/>
        <n v="3832829" u="1"/>
        <n v="3839663" u="1"/>
        <n v="3839978" u="1"/>
        <n v="3826068" u="1"/>
        <n v="3839063" u="1"/>
        <n v="3840676" u="1"/>
        <n v="3840461" u="1"/>
        <n v="3828884" u="1"/>
        <n v="3835859" u="1"/>
        <n v="3839391" u="1"/>
        <n v="3831577" u="1"/>
        <n v="3826966" u="1"/>
        <n v="3841279" u="1"/>
        <n v="3829792" u="1"/>
        <n v="3829827" u="1"/>
        <n v="3835336" u="1"/>
        <n v="3834628" u="1"/>
        <n v="3834526" u="1"/>
        <n v="3834279" u="1"/>
        <n v="3838185" u="1"/>
        <n v="3839526" u="1"/>
        <n v="3838774" u="1"/>
        <n v="3839975" u="1"/>
        <n v="3841778" u="1"/>
        <n v="3832385" u="1"/>
        <n v="3837703" u="1"/>
        <n v="3832864" u="1"/>
        <n v="3825996" u="1"/>
        <n v="3829767" u="1"/>
        <n v="3834488" u="1"/>
        <n v="3837058" u="1"/>
        <n v="3834539" u="1"/>
        <n v="3827089" u="1"/>
        <n v="3826592" u="1"/>
        <n v="3829657" u="1"/>
        <n v="3832520" u="1"/>
        <n v="3839550" u="1"/>
        <n v="3826261" u="1"/>
        <n v="3826677" u="1"/>
        <n v="3828978" u="1"/>
        <n v="3828822" u="1"/>
        <n v="3828845" u="1"/>
        <n v="3831978" u="1"/>
        <n v="3831846" u="1"/>
        <n v="3826237" u="1"/>
        <n v="3826600" u="1"/>
        <n v="3829187" u="1"/>
        <n v="3831502" u="1"/>
        <n v="3834646" u="1"/>
        <n v="3834614" u="1"/>
        <n v="3834629" u="1"/>
        <n v="3837383" u="1"/>
        <n v="3837338" u="1"/>
        <n v="3840613" u="1"/>
        <n v="3839900" u="1"/>
        <n v="3842763" u="1"/>
        <n v="3826655" u="1"/>
        <n v="3833061" u="1"/>
        <n v="3837855" u="1"/>
        <n v="3838136" u="1"/>
        <n v="3837178" u="1"/>
        <n v="3838028" u="1"/>
        <n v="3840132" u="1"/>
        <n v="3827341" u="1"/>
        <n v="3837033" u="1"/>
        <n v="3826494" u="1"/>
        <n v="3826423" u="1"/>
        <n v="3826601" u="1"/>
        <n v="3826663" u="1"/>
        <n v="3831933" u="1"/>
        <n v="3832065" u="1"/>
        <n v="3831884" u="1"/>
        <n v="3834313" u="1"/>
        <n v="3834620" u="1"/>
        <n v="3834525" u="1"/>
        <n v="3839943" u="1"/>
        <n v="3839794" u="1"/>
        <n v="3826474" u="1"/>
        <n v="3826498" u="1"/>
        <n v="3831937" u="1"/>
        <n v="3834652" u="1"/>
        <n v="3834621" u="1"/>
        <n v="3837386" u="1"/>
        <n v="3836851" u="1"/>
        <n v="3840420" u="1"/>
        <n v="3840721" u="1"/>
        <n v="3839553" u="1"/>
        <n v="3828808" u="1"/>
        <n v="3830297" u="1"/>
        <n v="3828837" u="1"/>
        <n v="3831465" u="1"/>
        <n v="3837330" u="1"/>
        <n v="3836842" u="1"/>
        <n v="3839126" u="1"/>
        <n v="3839775" u="1"/>
        <n v="3842022" u="1"/>
        <n v="3830446" u="1"/>
        <n v="3829529" u="1"/>
        <n v="3832235" u="1"/>
        <n v="3831645" u="1"/>
        <n v="3836822" u="1"/>
        <n v="3836993" u="1"/>
        <n v="3839644" u="1"/>
        <n v="3841898" u="1"/>
        <n v="3831952" u="1"/>
        <n v="3840575" u="1"/>
        <n v="3826503" u="1"/>
        <n v="3837354" u="1"/>
        <n v="3829475" u="1"/>
        <n v="3838154" u="1"/>
        <n v="3831252" u="1"/>
        <n v="3837458" u="1"/>
        <n v="3837239" u="1"/>
        <n v="3836868" u="1"/>
        <n v="3840013" u="1"/>
        <n v="3839351" u="1"/>
        <n v="3826674" u="1"/>
        <n v="3829297" u="1"/>
        <n v="3829196" u="1"/>
        <n v="3828999" u="1"/>
        <n v="3831486" u="1"/>
        <n v="3831985" u="1"/>
        <n v="3834671" u="1"/>
        <n v="3837108" u="1"/>
        <n v="3837416" u="1"/>
        <n v="3830155" u="1"/>
        <n v="3832480" u="1"/>
        <n v="3831839" u="1"/>
        <n v="3834663" u="1"/>
        <n v="3839892" u="1"/>
        <n v="3839947" u="1"/>
        <n v="3826579" u="1"/>
        <n v="3834080" u="1"/>
        <n v="3834129" u="1"/>
        <n v="3837553" u="1"/>
        <n v="3827214" u="1"/>
        <n v="3838789" u="1"/>
        <n v="3839257" u="1"/>
        <n v="3841120" u="1"/>
        <n v="3840601" u="1"/>
        <n v="3842340" u="1"/>
        <n v="3842273" u="1"/>
        <n v="3826251" u="1"/>
        <n v="3827809" u="1"/>
        <n v="3829076" u="1"/>
        <n v="3834179" u="1"/>
        <n v="3837000" u="1"/>
        <n v="3836860" u="1"/>
        <n v="3839661" u="1"/>
        <n v="3841652" u="1"/>
        <n v="3842070" u="1"/>
        <n v="3841918" u="1"/>
        <n v="3834656" u="1"/>
        <n v="3834631" u="1"/>
        <n v="3838496" u="1"/>
        <n v="3836875" u="1"/>
        <n v="3828828" u="1"/>
        <n v="3829310" u="1"/>
        <n v="3831951" u="1"/>
        <n v="3834340" u="1"/>
        <n v="3834691" u="1"/>
        <n v="3837358" u="1"/>
        <n v="3837367" u="1"/>
        <n v="3841902" u="1"/>
        <n v="3832231" u="1"/>
        <n v="3832350" u="1"/>
        <n v="3834192" u="1"/>
        <n v="3834720" u="1"/>
        <n v="3838180" u="1"/>
        <n v="3838535" u="1"/>
        <n v="3839999" u="1"/>
        <n v="3833144" u="1"/>
        <n v="3843613" u="1"/>
        <n v="3826363" u="1"/>
        <n v="3831892" u="1"/>
        <n v="3834821" u="1"/>
        <n v="3834659" u="1"/>
        <n v="3834497" u="1"/>
        <n v="3834532" u="1"/>
        <n v="3842091" u="1"/>
        <n v="3831669" u="1"/>
        <n v="3835864" u="1"/>
        <n v="3836995" u="1"/>
        <n v="3839777" u="1"/>
        <n v="3840682" u="1"/>
        <n v="3840716" u="1"/>
        <n v="3842702" u="1"/>
        <n v="3841650" u="1"/>
        <n v="3841654" u="1"/>
        <n v="3831369" u="1"/>
        <n v="3829164" u="1"/>
        <n v="3832411" u="1"/>
        <n v="3834136" u="1"/>
        <n v="3834943" u="1"/>
        <n v="3834625" u="1"/>
        <n v="3840108" u="1"/>
        <n v="3839933" u="1"/>
        <n v="3839916" u="1"/>
        <n v="3839974" u="1"/>
        <n v="3842060" u="1"/>
        <n v="3832369" u="1"/>
        <n v="3841799" u="1"/>
        <n v="3828833" u="1"/>
        <n v="3829309" u="1"/>
        <n v="3834499" u="1"/>
        <n v="3839949" u="1"/>
        <n v="3836592" u="1"/>
        <n v="3830521" u="1"/>
        <n v="3830891" u="1"/>
        <n v="3830404" u="1"/>
        <n v="3836269" u="1"/>
        <n v="3829496" u="1"/>
        <n v="3826523" u="1"/>
        <n v="3826507" u="1"/>
        <n v="3828377" u="1"/>
        <n v="3828850" u="1"/>
        <n v="3831497" u="1"/>
        <n v="3831677" u="1"/>
        <n v="3836858" u="1"/>
        <n v="3837181" u="1"/>
        <n v="3837118" u="1"/>
        <n v="3837434" u="1"/>
        <n v="3839561" u="1"/>
        <n v="3839982" u="1"/>
        <n v="3831683" u="1"/>
        <n v="3836942" u="1"/>
        <n v="3834685" u="1"/>
        <n v="3836973" u="1"/>
        <n v="3836980" u="1"/>
        <n v="3837331" u="1"/>
        <n v="3837182" u="1"/>
        <n v="3837435" u="1"/>
        <n v="3826604" u="1"/>
        <n v="3828968" u="1"/>
        <n v="3829028" u="1"/>
        <n v="3831946" u="1"/>
        <n v="3834662" u="1"/>
        <n v="3837342" u="1"/>
        <n v="3826574" u="1"/>
        <n v="3826713" u="1"/>
        <n v="3826609" u="1"/>
        <n v="3829176" u="1"/>
        <n v="3829294" u="1"/>
        <n v="3831973" u="1"/>
        <n v="3834555" u="1"/>
        <n v="3826463" u="1"/>
        <n v="3828961" u="1"/>
        <n v="3837513" u="1"/>
        <n v="3833651" u="1"/>
        <n v="3828117" u="1"/>
        <n v="3826696" u="1"/>
        <n v="3821239" u="1"/>
        <n v="3830897" u="1"/>
        <n v="3831278" u="1"/>
        <n v="3832309" u="1"/>
        <n v="3831479" u="1"/>
        <n v="3832826" u="1"/>
        <n v="3831373" u="1"/>
        <n v="3835168" u="1"/>
        <n v="3833676" u="1"/>
        <n v="3837150" u="1"/>
        <n v="3838998" u="1"/>
        <n v="3839349" u="1"/>
        <n v="3836617" u="1"/>
        <n v="3828053" u="1"/>
        <n v="3830055" u="1"/>
        <n v="3828802" u="1"/>
        <n v="3829360" u="1"/>
        <n v="3830290" u="1"/>
        <n v="3838359" u="1"/>
        <n v="3842064" u="1"/>
        <n v="3825782" u="1"/>
        <n v="3828031" u="1"/>
        <n v="3829912" u="1"/>
        <n v="3832154" u="1"/>
        <n v="3832774" u="1"/>
        <n v="3835832" u="1"/>
        <n v="3829809" u="1"/>
        <n v="3831842" u="1"/>
        <n v="3832693" u="1"/>
        <n v="3839211" u="1"/>
        <n v="3826836" u="1"/>
        <n v="3827158" u="1"/>
        <n v="3827245" u="1"/>
        <n v="3828897" u="1"/>
        <n v="3831809" u="1"/>
        <n v="3834609" u="1"/>
        <n v="3833771" u="1"/>
        <n v="3835984" u="1"/>
        <n v="3838479" u="1"/>
        <n v="3843126" u="1"/>
        <n v="3831481" u="1"/>
        <n v="3833792" u="1"/>
        <n v="3834218" u="1"/>
        <n v="3832216" u="1"/>
        <n v="3835581" u="1"/>
        <n v="3836149" u="1"/>
        <n v="3837690" u="1"/>
        <n v="3839818" u="1"/>
        <n v="3839266" u="1"/>
        <n v="3825300" u="1"/>
        <n v="3829261" u="1"/>
        <n v="3835175" u="1"/>
        <n v="3838022" u="1"/>
        <n v="3839161" u="1"/>
        <n v="3839177" u="1"/>
        <n v="3840772" u="1"/>
        <n v="3829357" u="1"/>
        <n v="3835229" u="1"/>
        <n v="3835404" u="1"/>
        <n v="3837104" u="1"/>
        <n v="3841339" u="1"/>
        <n v="3825310" u="1"/>
        <n v="3828688" u="1"/>
        <n v="3828927" u="1"/>
        <n v="3840798" u="1"/>
        <n v="3830459" u="1"/>
        <n v="3831483" u="1"/>
        <n v="3844108" u="1"/>
        <n v="3830121" u="1"/>
        <n v="3784265" u="1"/>
        <n v="3838644" u="1"/>
        <n v="3838609" u="1"/>
        <n v="3826392" u="1"/>
        <n v="3835525" u="1"/>
        <n v="3838958" u="1"/>
        <n v="3827978" u="1"/>
        <n v="3826906" u="1"/>
        <n v="3832878" u="1"/>
        <n v="3770394" u="1"/>
        <n v="3824323" u="1"/>
        <n v="3827163" u="1"/>
        <n v="3829689" u="1"/>
        <n v="3831348" u="1"/>
        <n v="3831271" u="1"/>
        <n v="3837463" u="1"/>
        <n v="3839851" u="1"/>
        <n v="3838210" u="1"/>
        <n v="3829646" u="1"/>
        <n v="3783500" u="1"/>
        <n v="3834918" u="1"/>
        <n v="3827041" u="1"/>
        <n v="3831939" u="1"/>
        <n v="3834144" u="1"/>
        <n v="3839474" u="1"/>
        <n v="3839883" u="1"/>
        <n v="3841897" u="1"/>
        <n v="3830142" u="1"/>
        <n v="3830425" u="1"/>
        <n v="3843418" u="1"/>
        <n v="3829812" u="1"/>
        <n v="3821266" u="1"/>
        <n v="3833847" u="1"/>
        <n v="3835879" u="1"/>
        <n v="3836276" u="1"/>
        <n v="3812428" u="1"/>
        <n v="3809926" u="1"/>
        <n v="3813797" u="1"/>
        <n v="3810613" u="1"/>
        <n v="3815341" u="1"/>
        <n v="3815805" u="1"/>
        <n v="3815998" u="1"/>
        <n v="3809694" u="1"/>
        <n v="3814621" u="1"/>
        <n v="3814426" u="1"/>
        <n v="3808194" u="1"/>
        <n v="3808639" u="1"/>
        <n v="3811690" u="1"/>
        <n v="3814833" u="1"/>
        <n v="3815014" u="1"/>
        <n v="3817592" u="1"/>
        <n v="3798636" u="1"/>
        <n v="3810964" u="1"/>
        <n v="3814449" u="1"/>
        <n v="3816712" u="1"/>
        <n v="3815382" u="1"/>
        <n v="3812271" u="1"/>
        <n v="3812757" u="1"/>
        <n v="3780001" u="1"/>
        <n v="3808123" u="1"/>
        <n v="3811732" u="1"/>
        <n v="3811725" u="1"/>
        <n v="3803900" u="1"/>
        <n v="3815962" u="1"/>
        <n v="3815828" u="1"/>
        <n v="3814364" u="1"/>
        <n v="3810223" u="1"/>
        <n v="3807936" u="1"/>
        <n v="3803908" u="1"/>
        <n v="3815282" u="1"/>
        <n v="3814361" u="1"/>
        <n v="3809646" u="1"/>
        <n v="3812470" u="1"/>
        <n v="3810971" u="1"/>
        <n v="3808866" u="1"/>
        <n v="3800932" u="1"/>
        <n v="3800917" u="1"/>
        <n v="3815075" u="1"/>
        <n v="3811247" u="1"/>
        <n v="3809240" u="1"/>
        <n v="3813706" u="1"/>
        <n v="3815560" u="1"/>
        <n v="3815968" u="1"/>
        <n v="3811875" u="1"/>
        <n v="3810621" u="1"/>
        <n v="3811848" u="1"/>
        <n v="3812513" u="1"/>
        <n v="3813449" u="1"/>
        <n v="3811560" u="1"/>
        <n v="3817137" u="1"/>
        <n v="3811325" u="1"/>
        <n v="3809042" u="1"/>
        <n v="3811993" u="1"/>
        <n v="3811998" u="1"/>
        <n v="3810204" u="1"/>
        <n v="3814385" u="1"/>
        <n v="3810745" u="1"/>
        <n v="3811180" u="1"/>
        <n v="3810085" u="1"/>
        <n v="3810629" u="1"/>
        <n v="3813294" u="1"/>
        <n v="3813462" u="1"/>
        <n v="3813465" u="1"/>
        <n v="3813860" u="1"/>
        <n v="3816587" u="1"/>
        <n v="3813724" u="1"/>
        <n v="3810545" u="1"/>
        <n v="3810870" u="1"/>
        <n v="3813337" u="1"/>
        <n v="3812882" u="1"/>
        <n v="3816553" u="1"/>
        <n v="3808606" u="1"/>
        <n v="3808160" u="1"/>
        <n v="3813044" u="1"/>
        <n v="3801319" u="1"/>
        <n v="3815441" u="1"/>
        <n v="3810265" u="1"/>
        <n v="3812299" u="1"/>
        <n v="3813210" u="1"/>
        <n v="3814750" u="1"/>
        <n v="3801320" u="1"/>
        <n v="3810096" u="1"/>
        <n v="3811954" u="1"/>
        <n v="3814041" u="1"/>
        <n v="3816895" u="1"/>
        <n v="3811171" u="1"/>
        <n v="3811334" u="1"/>
        <n v="3813124" u="1"/>
        <n v="3816358" u="1"/>
        <n v="3816554" u="1"/>
        <n v="3815460" u="1"/>
        <n v="3804191" u="1"/>
        <n v="3811309" u="1"/>
        <n v="3812442" u="1"/>
        <n v="3814394" u="1"/>
        <n v="3811492" u="1"/>
        <n v="3814059" u="1"/>
        <n v="3814760" u="1"/>
        <n v="3814768" u="1"/>
        <n v="3810861" u="1"/>
        <n v="3811559" u="1"/>
        <n v="3806658" u="1"/>
        <n v="3803738" u="1"/>
        <n v="3813731" u="1"/>
        <n v="3801204" u="1"/>
        <n v="3808567" u="1"/>
        <n v="3813990" u="1"/>
        <n v="3815036" u="1"/>
        <n v="3816117" u="1"/>
        <n v="3811183" u="1"/>
        <n v="3808186" u="1"/>
        <n v="3812004" u="1"/>
        <n v="3813757" u="1"/>
        <n v="3804445" u="1"/>
        <n v="3809661" u="1"/>
        <n v="3811088" u="1"/>
        <n v="3811987" u="1"/>
        <n v="3811137" u="1"/>
        <n v="3814583" u="1"/>
        <n v="3808666" u="1"/>
        <n v="3808451" u="1"/>
        <n v="3812647" u="1"/>
        <n v="3813347" u="1"/>
        <n v="3810811" u="1"/>
        <n v="3809977" u="1"/>
        <n v="3811572" u="1"/>
        <n v="3806332" u="1"/>
        <n v="3810143" u="1"/>
        <n v="3814141" u="1"/>
        <n v="3813567" u="1"/>
        <n v="3816054" u="1"/>
        <n v="3816775" u="1"/>
        <n v="3815276" u="1"/>
        <n v="3810092" u="1"/>
        <n v="3808211" u="1"/>
        <n v="3809632" u="1"/>
        <n v="3809797" u="1"/>
        <n v="3810439" u="1"/>
        <n v="3810844" u="1"/>
        <n v="3813115" u="1"/>
        <n v="3810078" u="1"/>
        <n v="3811932" u="1"/>
        <n v="3804260" u="1"/>
        <n v="3810821" u="1"/>
        <n v="3815920" u="1"/>
        <n v="3817706" u="1"/>
        <n v="3815758" u="1"/>
        <n v="3808659" u="1"/>
        <n v="3812448" u="1"/>
        <n v="3811079" u="1"/>
        <n v="3814671" u="1"/>
        <n v="3815735" u="1"/>
        <n v="3815211" u="1"/>
        <n v="3813491" u="1"/>
        <n v="3812266" u="1"/>
        <n v="3817052" u="1"/>
        <n v="3814111" u="1"/>
        <n v="3816921" u="1"/>
        <n v="3815597" u="1"/>
        <n v="3816376" u="1"/>
        <n v="3810467" u="1"/>
        <n v="3813495" u="1"/>
        <n v="3811769" u="1"/>
        <n v="3810626" u="1"/>
        <n v="3810817" u="1"/>
        <n v="3804446" u="1"/>
        <n v="3810695" u="1"/>
        <n v="3803626" u="1"/>
        <n v="3811695" u="1"/>
        <n v="3811007" u="1"/>
        <n v="3810334" u="1"/>
        <n v="3806311" u="1"/>
        <n v="3798603" u="1"/>
        <n v="3810210" u="1"/>
        <n v="3808951" u="1"/>
        <n v="3813156" u="1"/>
        <n v="3813189" u="1"/>
        <n v="3809165" u="1"/>
        <n v="3813779" u="1"/>
        <n v="3812209" u="1"/>
        <n v="3813034" u="1"/>
        <n v="3816267" u="1"/>
        <n v="3815519" u="1"/>
        <n v="3810564" u="1"/>
        <n v="3810402" u="1"/>
        <n v="3809371" u="1"/>
        <n v="3809626" u="1"/>
        <n v="3814311" u="1"/>
        <n v="3811795" u="1"/>
        <n v="3814451" u="1"/>
        <n v="3800916" u="1"/>
        <n v="3810665" u="1"/>
        <n v="3811178" u="1"/>
        <n v="3807785" u="1"/>
        <n v="3814425" u="1"/>
        <n v="3815586" u="1"/>
        <n v="3809522" u="1"/>
        <n v="3810546" u="1"/>
        <n v="3812912" u="1"/>
        <n v="3814616" u="1"/>
        <n v="3808832" u="1"/>
        <n v="3804442" u="1"/>
        <n v="3810191" u="1"/>
        <n v="3812870" u="1"/>
        <n v="3809090" u="1"/>
        <n v="3812268" u="1"/>
        <n v="3812541" u="1"/>
        <n v="3814024" u="1"/>
        <n v="3812828" u="1"/>
        <n v="3813515" u="1"/>
        <n v="3808348" u="1"/>
        <n v="3813537" u="1"/>
        <n v="3815699" u="1"/>
        <n v="3803704" u="1"/>
        <n v="3799869" u="1"/>
        <n v="3806883" u="1"/>
        <n v="3809680" u="1"/>
        <n v="3810995" u="1"/>
        <n v="3813029" u="1"/>
        <n v="3814040" u="1"/>
        <n v="3812950" u="1"/>
        <n v="3810646" u="1"/>
        <n v="3811738" u="1"/>
        <n v="3812641" u="1"/>
        <n v="3814378" u="1"/>
        <n v="3816261" u="1"/>
        <n v="3813768" u="1"/>
        <n v="3808082" u="1"/>
        <n v="3808610" u="1"/>
        <n v="3811636" u="1"/>
        <n v="3813635" u="1"/>
        <n v="3817198" u="1"/>
        <n v="3816571" u="1"/>
        <n v="3812920" u="1"/>
        <n v="3801085" u="1"/>
        <n v="3809431" u="1"/>
        <n v="3811562" u="1"/>
        <n v="3808417" u="1"/>
        <n v="3813919" u="1"/>
        <n v="3814044" u="1"/>
        <n v="3815584" u="1"/>
        <n v="3809486" u="1"/>
        <n v="3812378" u="1"/>
        <n v="3812886" u="1"/>
        <n v="3808255" u="1"/>
        <n v="3804046" u="1"/>
        <n v="3810150" u="1"/>
        <n v="3812673" u="1"/>
        <n v="3811209" u="1"/>
        <n v="3813884" u="1"/>
        <n v="3814849" u="1"/>
        <n v="3808972" u="1"/>
        <n v="3811575" u="1"/>
        <n v="3813783" u="1"/>
        <n v="3815451" u="1"/>
        <n v="3815582" u="1"/>
        <n v="3810833" u="1"/>
        <n v="3815210" u="1"/>
        <n v="3812572" u="1"/>
        <n v="3814014" u="1"/>
        <n v="3811553" u="1"/>
        <n v="3810839" u="1"/>
        <n v="3814365" u="1"/>
        <n v="3813536" u="1"/>
        <n v="3813903" u="1"/>
        <n v="3812960" u="1"/>
        <n v="3803222" u="1"/>
        <n v="3810705" u="1"/>
        <n v="3812679" u="1"/>
        <n v="3803956" u="1"/>
        <n v="3815617" u="1"/>
        <n v="3816925" u="1"/>
        <n v="3810174" u="1"/>
        <n v="3810391" u="1"/>
        <n v="3804612" u="1"/>
        <n v="3811514" u="1"/>
        <n v="3813739" u="1"/>
        <n v="3806331" u="1"/>
        <n v="3811501" u="1"/>
        <n v="3810901" u="1"/>
        <n v="3816478" u="1"/>
        <n v="3813747" u="1"/>
        <n v="3803739" u="1"/>
        <n v="3814609" u="1"/>
        <n v="3815868" u="1"/>
        <n v="3809692" u="1"/>
        <n v="3812405" u="1"/>
        <n v="3815490" u="1"/>
        <n v="3806884" u="1"/>
        <n v="3806875" u="1"/>
        <n v="3809213" u="1"/>
        <n v="3812746" u="1"/>
        <n v="3811499" u="1"/>
        <n v="3815006" u="1"/>
        <n v="3803741" u="1"/>
        <n v="3809166" u="1"/>
        <n v="3808935" u="1"/>
        <n v="3810266" u="1"/>
        <n v="3812201" u="1"/>
        <n v="3811607" u="1"/>
        <n v="3814130" u="1"/>
        <n v="3791381" u="1"/>
        <n v="3811382" u="1"/>
        <n v="3814766" u="1"/>
        <n v="3811459" u="1"/>
        <n v="3812290" u="1"/>
        <n v="3811491" u="1"/>
        <n v="3813303" u="1"/>
        <n v="3813764" u="1"/>
        <n v="3814042" u="1"/>
        <n v="3816059" u="1"/>
        <n v="3815008" u="1"/>
        <n v="3815373" u="1"/>
        <n v="3814043" u="1"/>
        <n v="3817723" u="1"/>
        <n v="3810353" u="1"/>
        <n v="3811786" u="1"/>
        <n v="3812392" u="1"/>
        <n v="3812609" u="1"/>
        <n v="3813030" u="1"/>
        <n v="3815218" u="1"/>
        <n v="3809249" u="1"/>
        <n v="3804190" u="1"/>
        <n v="3747492" u="1"/>
        <n v="3806897" u="1"/>
        <n v="3812170" u="1"/>
        <n v="3747493" u="1"/>
        <n v="3813932" u="1"/>
        <n v="3811482" u="1"/>
        <n v="3816516" u="1"/>
        <n v="3814068" u="1"/>
        <n v="3812540" u="1"/>
        <n v="3814046" u="1"/>
        <n v="3806892" u="1"/>
        <n v="3814406" u="1"/>
        <n v="3812955" u="1"/>
        <n v="3809792" u="1"/>
        <n v="3810654" u="1"/>
        <n v="3814051" u="1"/>
        <n v="3814885" u="1"/>
        <n v="3814203" u="1"/>
        <n v="3811512" u="1"/>
        <n v="3810404" u="1"/>
        <n v="3809358" u="1"/>
        <n v="3810872" u="1"/>
        <n v="3812763" u="1"/>
        <n v="3806891" u="1"/>
        <n v="3811484" u="1"/>
        <n v="3812396" u="1"/>
        <n v="3814055" u="1"/>
        <n v="3809532" u="1"/>
        <n v="3810638" u="1"/>
        <n v="3808731" u="1"/>
        <n v="3809934" u="1"/>
        <n v="3810585" u="1"/>
        <n v="3809334" u="1"/>
        <n v="3813414" u="1"/>
        <n v="3814401" u="1"/>
        <n v="3816125" u="1"/>
        <n v="3815146" u="1"/>
        <n v="3810458" u="1"/>
        <n v="3814603" u="1"/>
        <n v="3813475" u="1"/>
        <n v="3815462" u="1"/>
        <n v="3814453" u="1"/>
        <n v="3809801" u="1"/>
        <n v="3810181" u="1"/>
        <n v="3810151" u="1"/>
        <n v="3806898" u="1"/>
        <n v="3814392" u="1"/>
        <n v="3815087" u="1"/>
        <n v="3814072" u="1"/>
        <n v="3812754" u="1"/>
        <n v="3810847" u="1"/>
        <n v="3812871" u="1"/>
        <n v="3815822" u="1"/>
        <n v="3816754" u="1"/>
        <n v="3815788" u="1"/>
        <n v="3809150" u="1"/>
        <n v="3811460" u="1"/>
        <n v="3811508" u="1"/>
        <n v="3810820" u="1"/>
        <n v="3770349" u="1"/>
        <n v="3803909" u="1"/>
        <n v="3809777" u="1"/>
        <n v="3811494" u="1"/>
        <n v="3811363" u="1"/>
        <n v="3812455" u="1"/>
        <n v="3812028" u="1"/>
        <n v="3809053" u="1"/>
        <n v="3813494" u="1"/>
        <n v="3815227" u="1"/>
        <n v="3810933" u="1"/>
        <n v="3808811" u="1"/>
        <n v="3812412" u="1"/>
        <n v="3816027" u="1"/>
        <n v="3813317" u="1"/>
        <n v="3814240" u="1"/>
        <n v="3811854" u="1"/>
        <n v="3814109" u="1"/>
        <n v="3813091" u="1"/>
        <n v="3814901" u="1"/>
        <n v="3809237" u="1"/>
        <n v="3808801" u="1"/>
        <n v="3809239" u="1"/>
        <n v="3809742" u="1"/>
        <n v="3808808" u="1"/>
        <n v="3809041" u="1"/>
        <n v="3809232" u="1"/>
        <n v="3809245" u="1"/>
        <n v="3811846" u="1"/>
        <n v="3810639" u="1"/>
        <n v="3812079" u="1"/>
        <n v="3813611" u="1"/>
        <n v="3814793" u="1"/>
        <n v="3815667" u="1"/>
        <n v="3814683" u="1"/>
        <n v="3814245" u="1"/>
        <n v="3813185" u="1"/>
        <n v="3815290" u="1"/>
        <n v="3814465" u="1"/>
        <n v="3814920" u="1"/>
        <n v="3812023" u="1"/>
        <n v="3813149" u="1"/>
        <n v="3814573" u="1"/>
        <n v="3814586" u="1"/>
        <n v="3814486" u="1"/>
        <n v="3814565" u="1"/>
        <n v="3814673" u="1"/>
        <n v="3814578" u="1"/>
        <n v="3814238" u="1"/>
        <n v="3811430" u="1"/>
        <n v="3815142" u="1"/>
        <n v="3809235" u="1"/>
        <n v="3809269" u="1"/>
        <n v="3810154" u="1"/>
        <n v="3809291" u="1"/>
        <n v="3811944" u="1"/>
        <n v="3815264" u="1"/>
        <n v="3814590" u="1"/>
        <n v="3809089" u="1"/>
        <n v="3813271" u="1"/>
        <n v="3811413" u="1"/>
        <n v="3814469" u="1"/>
        <n v="3814232" u="1"/>
        <n v="3815342" u="1"/>
        <n v="3816219" u="1"/>
        <n v="3812026" u="1"/>
        <n v="3811852" u="1"/>
        <n v="3812966" u="1"/>
        <n v="3814680" u="1"/>
        <n v="3814226" u="1"/>
        <n v="3811889" u="1"/>
        <n v="3814215" u="1"/>
        <n v="3814797" u="1"/>
        <n v="3814239" u="1"/>
        <n v="3815895" u="1"/>
        <n v="3815192" u="1"/>
        <n v="3815880" u="1"/>
        <n v="3809257" u="1"/>
        <n v="3814234" u="1"/>
        <n v="3814500" u="1"/>
        <n v="3815387" u="1"/>
        <n v="3811393" u="1"/>
        <n v="3811859" u="1"/>
        <n v="3812095" u="1"/>
        <n v="3814213" u="1"/>
        <n v="3814494" u="1"/>
        <n v="3809260" u="1"/>
        <n v="3812433" u="1"/>
        <n v="3811997" u="1"/>
        <n v="3812060" u="1"/>
        <n v="3812007" u="1"/>
        <n v="3812073" u="1"/>
        <n v="3812645" u="1"/>
        <n v="3809408" u="1"/>
        <n v="3808887" u="1"/>
        <n v="3809950" u="1"/>
        <n v="3813398" u="1"/>
        <n v="3815078" u="1"/>
        <n v="3808193" u="1"/>
        <n v="3808780" u="1"/>
        <n v="3813146" u="1"/>
        <n v="3812638" u="1"/>
        <n v="3815802" u="1"/>
        <n v="3811961" u="1"/>
        <n v="3814635" u="1"/>
        <n v="3810090" u="1"/>
        <n v="3814571" u="1"/>
        <n v="3784337" u="1"/>
        <n v="3715643" u="1"/>
        <n v="3813936" u="1"/>
        <n v="3813506" u="1"/>
        <n v="3815850" u="1"/>
        <n v="3815795" u="1"/>
        <n v="3813401" u="1"/>
        <n v="3816269" u="1"/>
        <n v="3810802" u="1"/>
        <n v="3816365" u="1"/>
        <n v="3809202" u="1"/>
        <n v="3811198" u="1"/>
        <n v="3813427" u="1"/>
        <n v="3814752" u="1"/>
        <n v="3781134" u="1"/>
        <n v="3810733" u="1"/>
        <n v="3809982" u="1"/>
        <n v="3812888" u="1"/>
        <n v="3812605" u="1"/>
        <n v="3816299" u="1"/>
        <n v="3814838" u="1"/>
        <n v="3815685" u="1"/>
        <n v="3816092" u="1"/>
        <n v="3803224" u="1"/>
        <n v="3815294" u="1"/>
        <n v="3815390" u="1"/>
        <n v="3815648" u="1"/>
        <n v="3814753" u="1"/>
        <n v="3812875" u="1"/>
        <n v="3809682" u="1"/>
        <n v="3804056" u="1"/>
        <n v="3812761" u="1"/>
        <n v="3814915" u="1"/>
        <n v="3815710" u="1"/>
        <n v="3816137" u="1"/>
        <n v="3809281" u="1"/>
        <n v="3809258" u="1"/>
        <n v="3814681" u="1"/>
        <n v="3815594" u="1"/>
        <n v="3814688" u="1"/>
        <n v="3814699" u="1"/>
        <n v="3810489" u="1"/>
        <n v="3814668" u="1"/>
        <n v="3803218" u="1"/>
        <n v="3811658" u="1"/>
        <n v="3815020" u="1"/>
        <n v="3795470" u="1"/>
        <n v="3801729" u="1"/>
        <n v="3799736" u="1"/>
        <n v="3808723" u="1"/>
        <n v="3804293" u="1"/>
        <n v="3789800" u="1"/>
        <n v="3805164" u="1"/>
        <n v="3798145" u="1"/>
        <n v="3798672" u="1"/>
        <n v="3801836" u="1"/>
        <n v="3801264" u="1"/>
        <n v="3788014" u="1"/>
        <n v="3798919" u="1"/>
        <n v="3792215" u="1"/>
        <n v="3794520" u="1"/>
        <n v="3797770" u="1"/>
        <n v="3798249" u="1"/>
        <n v="3805974" u="1"/>
        <n v="3794217" u="1"/>
        <n v="3794800" u="1"/>
        <n v="3770380" u="1"/>
        <n v="3802574" u="1"/>
        <n v="3801885" u="1"/>
        <n v="3800993" u="1"/>
        <n v="3796575" u="1"/>
        <n v="3806485" u="1"/>
        <n v="3808439" u="1"/>
        <n v="3790640" u="1"/>
        <n v="3790782" u="1"/>
        <n v="3730017" u="1"/>
        <n v="3793199" u="1"/>
        <n v="3800800" u="1"/>
        <n v="3805471" u="1"/>
        <n v="3806168" u="1"/>
        <n v="3809503" u="1"/>
        <n v="3804653" u="1"/>
        <n v="3795129" u="1"/>
        <n v="3792727" u="1"/>
        <n v="3791894" u="1"/>
        <n v="3784796" u="1"/>
        <n v="3797790" u="1"/>
        <n v="3802891" u="1"/>
        <n v="3804405" u="1"/>
        <n v="3806488" u="1"/>
        <n v="3799463" u="1"/>
        <n v="3806932" u="1"/>
        <n v="3792498" u="1"/>
        <n v="3793950" u="1"/>
        <n v="3784625" u="1"/>
        <n v="3787105" u="1"/>
        <n v="3797677" u="1"/>
        <n v="3803637" u="1"/>
        <n v="3808245" u="1"/>
        <n v="3794013" u="1"/>
        <n v="3803665" u="1"/>
        <n v="3808072" u="1"/>
        <n v="3781782" u="1"/>
        <n v="3793155" u="1"/>
        <n v="3786735" u="1"/>
        <n v="3794419" u="1"/>
        <n v="3802938" u="1"/>
        <n v="3805777" u="1"/>
        <n v="3795828" u="1"/>
        <n v="3803034" u="1"/>
        <n v="3806103" u="1"/>
        <n v="3795320" u="1"/>
        <n v="3796394" u="1"/>
        <n v="3801524" u="1"/>
        <n v="3793286" u="1"/>
        <n v="3791169" u="1"/>
        <n v="3799876" u="1"/>
        <n v="3798898" u="1"/>
        <n v="3806218" u="1"/>
        <n v="3799719" u="1"/>
        <n v="3801574" u="1"/>
        <n v="3809550" u="1"/>
        <n v="3792901" u="1"/>
        <n v="3796605" u="1"/>
        <n v="3801890" u="1"/>
        <n v="3798953" u="1"/>
        <n v="3804906" u="1"/>
        <n v="3806134" u="1"/>
        <n v="3796050" u="1"/>
        <n v="3804705" u="1"/>
        <n v="3806240" u="1"/>
        <n v="3808422" u="1"/>
        <n v="3792444" u="1"/>
        <n v="3797094" u="1"/>
        <n v="3798335" u="1"/>
        <n v="3790533" u="1"/>
        <n v="3806868" u="1"/>
        <n v="3807848" u="1"/>
        <n v="3792442" u="1"/>
        <n v="3800941" u="1"/>
        <n v="3784541" u="1"/>
        <n v="3802069" u="1"/>
        <n v="3806082" u="1"/>
        <n v="3786839" u="1"/>
        <n v="3804840" u="1"/>
        <n v="3792578" u="1"/>
        <n v="3784050" u="1"/>
        <n v="3799556" u="1"/>
        <n v="3795673" u="1"/>
        <n v="3808401" u="1"/>
        <n v="3793711" u="1"/>
        <n v="3804576" u="1"/>
        <n v="3798712" u="1"/>
        <n v="3793375" u="1"/>
        <n v="3793553" u="1"/>
        <n v="3793754" u="1"/>
        <n v="3798665" u="1"/>
        <n v="3800603" u="1"/>
        <n v="3799816" u="1"/>
        <n v="3800918" u="1"/>
        <n v="3801900" u="1"/>
        <n v="3804668" u="1"/>
        <n v="3791228" u="1"/>
        <n v="3794042" u="1"/>
        <n v="3794138" u="1"/>
        <n v="3806318" u="1"/>
        <n v="3807057" u="1"/>
        <n v="3792492" u="1"/>
        <n v="3793305" u="1"/>
        <n v="3802175" u="1"/>
        <n v="3795194" u="1"/>
        <n v="3797968" u="1"/>
        <n v="3797017" u="1"/>
        <n v="3802982" u="1"/>
        <n v="3793041" u="1"/>
        <n v="3793293" u="1"/>
        <n v="3795525" u="1"/>
        <n v="3795686" u="1"/>
        <n v="3795985" u="1"/>
        <n v="3798188" u="1"/>
        <n v="3801600" u="1"/>
        <n v="3793695" u="1"/>
        <n v="3803782" u="1"/>
        <n v="3795972" u="1"/>
        <n v="3796318" u="1"/>
        <n v="3791378" u="1"/>
        <n v="3801293" u="1"/>
        <n v="3803891" u="1"/>
        <n v="3803131" u="1"/>
        <n v="3794547" u="1"/>
        <n v="3799377" u="1"/>
        <n v="3801391" u="1"/>
        <n v="3801197" u="1"/>
        <n v="3802102" u="1"/>
        <n v="3804894" u="1"/>
        <n v="3798415" u="1"/>
        <n v="3792187" u="1"/>
        <n v="3799761" u="1"/>
        <n v="3801749" u="1"/>
        <n v="3801045" u="1"/>
        <n v="3789498" u="1"/>
        <n v="3793626" u="1"/>
        <n v="3795933" u="1"/>
        <n v="3798780" u="1"/>
        <n v="3800542" u="1"/>
        <n v="3800940" u="1"/>
        <n v="3801871" u="1"/>
        <n v="3804018" u="1"/>
        <n v="3799515" u="1"/>
        <n v="3800176" u="1"/>
        <n v="3804509" u="1"/>
        <n v="3793300" u="1"/>
        <n v="3803181" u="1"/>
        <n v="3803061" u="1"/>
        <n v="3795374" u="1"/>
        <n v="3794185" u="1"/>
        <n v="3794186" u="1"/>
        <n v="3796675" u="1"/>
        <n v="3798542" u="1"/>
        <n v="3798767" u="1"/>
        <n v="3793547" u="1"/>
        <n v="3804688" u="1"/>
        <n v="3793499" u="1"/>
        <n v="3791357" u="1"/>
        <n v="3796773" u="1"/>
        <n v="3790643" u="1"/>
        <n v="3794892" u="1"/>
        <n v="3795728" u="1"/>
        <n v="3794480" u="1"/>
        <n v="3797854" u="1"/>
        <n v="3798876" u="1"/>
        <n v="3800612" u="1"/>
        <n v="3794718" u="1"/>
        <n v="3803775" u="1"/>
        <n v="3803205" u="1"/>
        <n v="3801930" u="1"/>
        <n v="3807169" u="1"/>
        <n v="3796894" u="1"/>
        <n v="3801115" u="1"/>
        <n v="3807909" u="1"/>
        <n v="3808376" u="1"/>
        <n v="3800175" u="1"/>
        <n v="3791527" u="1"/>
        <n v="3789582" u="1"/>
        <n v="3798884" u="1"/>
        <n v="3789511" u="1"/>
        <n v="3796463" u="1"/>
        <n v="3801672" u="1"/>
        <n v="3794885" u="1"/>
        <n v="3794503" u="1"/>
        <n v="3800783" u="1"/>
        <n v="3802561" u="1"/>
        <n v="3804273" u="1"/>
        <n v="3805632" u="1"/>
        <n v="3799058" u="1"/>
        <n v="3804678" u="1"/>
        <n v="3804922" u="1"/>
        <n v="3791254" u="1"/>
        <n v="3787377" u="1"/>
        <n v="3793808" u="1"/>
        <n v="3797652" u="1"/>
        <n v="3799794" u="1"/>
        <n v="3805495" u="1"/>
        <n v="3795803" u="1"/>
        <n v="3706232" u="1"/>
        <n v="3802666" u="1"/>
        <n v="3791216" u="1"/>
        <n v="3795523" u="1"/>
        <n v="3797909" u="1"/>
        <n v="3806255" u="1"/>
        <n v="3793168" u="1"/>
        <n v="3789469" u="1"/>
        <n v="3802849" u="1"/>
        <n v="3803329" u="1"/>
        <n v="3804629" u="1"/>
        <n v="3805244" u="1"/>
        <n v="3784023" u="1"/>
        <n v="3791927" u="1"/>
        <n v="3792584" u="1"/>
        <n v="3793003" u="1"/>
        <n v="3793829" u="1"/>
        <n v="3791332" u="1"/>
        <n v="3799100" u="1"/>
        <n v="3801307" u="1"/>
        <n v="3802990" u="1"/>
        <n v="3804308" u="1"/>
        <n v="3807757" u="1"/>
        <n v="3803319" u="1"/>
        <n v="3796668" u="1"/>
        <n v="3798008" u="1"/>
        <n v="3796607" u="1"/>
        <n v="3800207" u="1"/>
        <n v="3803610" u="1"/>
        <n v="3804140" u="1"/>
        <n v="3804823" u="1"/>
        <n v="3807633" u="1"/>
        <n v="3799283" u="1"/>
        <n v="3806076" u="1"/>
        <n v="3781729" u="1"/>
        <n v="3795498" u="1"/>
        <n v="3798440" u="1"/>
        <n v="3797458" u="1"/>
        <n v="3797668" u="1"/>
        <n v="3800294" u="1"/>
        <n v="3803384" u="1"/>
        <n v="3784686" u="1"/>
        <n v="3792354" u="1"/>
        <n v="3795341" u="1"/>
        <n v="3795571" u="1"/>
        <n v="3795110" u="1"/>
        <n v="3797715" u="1"/>
        <n v="3798177" u="1"/>
        <n v="3798248" u="1"/>
        <n v="3800301" u="1"/>
        <n v="3803246" u="1"/>
        <n v="3804726" u="1"/>
        <n v="3794244" u="1"/>
        <n v="3793182" u="1"/>
        <n v="3795541" u="1"/>
        <n v="3806097" u="1"/>
        <n v="3796787" u="1"/>
        <n v="3798121" u="1"/>
        <n v="3792294" u="1"/>
        <n v="3793284" u="1"/>
        <n v="3784420" u="1"/>
        <n v="3801564" u="1"/>
        <n v="3798434" u="1"/>
        <n v="3784688" u="1"/>
        <n v="3793394" u="1"/>
        <n v="3802794" u="1"/>
        <n v="3793723" u="1"/>
        <n v="3784679" u="1"/>
        <n v="3802596" u="1"/>
        <n v="3802836" u="1"/>
        <n v="3808852" u="1"/>
        <n v="3796355" u="1"/>
        <n v="3791195" u="1"/>
        <n v="3778731" u="1"/>
        <n v="3800874" u="1"/>
        <n v="3801278" u="1"/>
        <n v="3793096" u="1"/>
        <n v="3793876" u="1"/>
        <n v="3792166" u="1"/>
        <n v="3797831" u="1"/>
        <n v="3801031" u="1"/>
        <n v="3800776" u="1"/>
        <n v="3792877" u="1"/>
        <n v="3797551" u="1"/>
        <n v="3769162" u="1"/>
        <n v="3802867" u="1"/>
        <n v="3806021" u="1"/>
        <n v="3797664" u="1"/>
        <n v="3783982" u="1"/>
        <n v="3804552" u="1"/>
        <n v="3795710" u="1"/>
        <n v="3795841" u="1"/>
        <n v="3803878" u="1"/>
        <n v="3805995" u="1"/>
        <n v="3805997" u="1"/>
        <n v="3795040" u="1"/>
        <n v="3800478" u="1"/>
        <n v="3768025" u="1"/>
        <n v="3791751" u="1"/>
        <n v="3795529" u="1"/>
        <n v="3802850" u="1"/>
        <n v="3806144" u="1"/>
        <n v="3801223" u="1"/>
        <n v="3804577" u="1"/>
        <n v="3798395" u="1"/>
        <n v="3804134" u="1"/>
        <n v="3784662" u="1"/>
        <n v="3714606" u="1"/>
        <n v="3796228" u="1"/>
        <n v="3798120" u="1"/>
        <n v="3804390" u="1"/>
        <n v="3804827" u="1"/>
        <n v="3792434" u="1"/>
        <n v="3797459" u="1"/>
        <n v="3803279" u="1"/>
        <n v="3809403" u="1"/>
        <n v="3799769" u="1"/>
        <n v="3797990" u="1"/>
        <n v="3799395" u="1"/>
        <n v="3798788" u="1"/>
        <n v="3800949" u="1"/>
        <n v="3800969" u="1"/>
        <n v="3806087" u="1"/>
        <n v="3796447" u="1"/>
        <n v="3798190" u="1"/>
        <n v="3806052" u="1"/>
        <n v="3794133" u="1"/>
        <n v="3794380" u="1"/>
        <n v="3797277" u="1"/>
        <n v="3800828" u="1"/>
        <n v="3802871" u="1"/>
        <n v="3805120" u="1"/>
        <n v="3805973" u="1"/>
        <n v="3800933" u="1"/>
        <n v="3792765" u="1"/>
        <n v="3792774" u="1"/>
        <n v="3793132" u="1"/>
        <n v="3793627" u="1"/>
        <n v="3794707" u="1"/>
        <n v="3794515" u="1"/>
        <n v="3800504" u="1"/>
        <n v="3802295" u="1"/>
        <n v="3793924" u="1"/>
        <n v="3796594" u="1"/>
        <n v="3798362" u="1"/>
        <n v="3798949" u="1"/>
        <n v="3793116" u="1"/>
        <n v="3794690" u="1"/>
        <n v="3787424" u="1"/>
        <n v="3799422" u="1"/>
        <n v="3801904" u="1"/>
        <n v="3807686" u="1"/>
        <n v="3808150" u="1"/>
        <n v="3794352" u="1"/>
        <n v="3791972" u="1"/>
        <n v="3797193" u="1"/>
        <n v="3802252" u="1"/>
        <n v="3805569" u="1"/>
        <n v="3805894" u="1"/>
        <n v="3806181" u="1"/>
        <n v="3806125" u="1"/>
        <n v="3793443" u="1"/>
        <n v="3807912" u="1"/>
        <n v="3808902" u="1"/>
        <n v="3796792" u="1"/>
        <n v="3804161" u="1"/>
        <n v="3804891" u="1"/>
        <n v="3794331" u="1"/>
        <n v="3804892" u="1"/>
        <n v="3806726" u="1"/>
        <n v="3794797" u="1"/>
        <n v="3787251" u="1"/>
        <n v="3794214" u="1"/>
        <n v="3760338" u="1"/>
        <n v="3798029" u="1"/>
        <n v="3791230" u="1"/>
        <n v="3801510" u="1"/>
        <n v="3801552" u="1"/>
        <n v="3800443" u="1"/>
        <n v="3784657" u="1"/>
        <n v="3791333" u="1"/>
        <n v="3784748" u="1"/>
        <n v="3784676" u="1"/>
        <n v="3797781" u="1"/>
        <n v="3798385" u="1"/>
        <n v="3803652" u="1"/>
        <n v="3801965" u="1"/>
        <n v="3803633" u="1"/>
        <n v="3762712" u="1"/>
        <n v="3806160" u="1"/>
        <n v="3808006" u="1"/>
        <n v="3791415" u="1"/>
        <n v="3806220" u="1"/>
        <n v="3784697" u="1"/>
        <n v="3796733" u="1"/>
        <n v="3798468" u="1"/>
        <n v="3801920" u="1"/>
        <n v="3805636" u="1"/>
        <n v="3805740" u="1"/>
        <n v="3809552" u="1"/>
        <n v="3794318" u="1"/>
        <n v="3795973" u="1"/>
        <n v="3799911" u="1"/>
        <n v="3799958" u="1"/>
        <n v="3793548" u="1"/>
        <n v="3796660" u="1"/>
        <n v="3797255" u="1"/>
        <n v="3798048" u="1"/>
        <n v="3800077" u="1"/>
        <n v="3799318" u="1"/>
        <n v="3791379" u="1"/>
        <n v="3802025" u="1"/>
        <n v="3802583" u="1"/>
        <n v="3796962" u="1"/>
        <n v="3770568" u="1"/>
        <n v="3807974" u="1"/>
        <n v="3795970" u="1"/>
        <n v="3798576" u="1"/>
        <n v="3800665" u="1"/>
        <n v="3802565" u="1"/>
        <n v="3794060" u="1"/>
        <n v="3798763" u="1"/>
        <n v="3798648" u="1"/>
        <n v="3800540" u="1"/>
        <n v="3804546" u="1"/>
        <n v="3800601" u="1"/>
        <n v="3797507" u="1"/>
        <n v="3799268" u="1"/>
        <n v="3802083" u="1"/>
        <n v="3806285" u="1"/>
        <n v="3785306" u="1"/>
        <n v="3803797" u="1"/>
        <n v="3809099" u="1"/>
        <n v="3809411" u="1"/>
        <n v="3792788" u="1"/>
        <n v="3794801" u="1"/>
        <n v="3794379" u="1"/>
        <n v="3803170" u="1"/>
        <n v="3808195" u="1"/>
        <n v="3792549" u="1"/>
        <n v="3793833" u="1"/>
        <n v="3802579" u="1"/>
        <n v="3792893" u="1"/>
        <n v="3790226" u="1"/>
        <n v="3798964" u="1"/>
        <n v="3792240" u="1"/>
        <n v="3794803" u="1"/>
        <n v="3795838" u="1"/>
        <n v="3801645" u="1"/>
        <n v="3801170" u="1"/>
        <n v="3803700" u="1"/>
        <n v="3802943" u="1"/>
        <n v="3806098" u="1"/>
        <n v="3804889" u="1"/>
        <n v="3800596" u="1"/>
        <n v="3801483" u="1"/>
        <n v="3803837" u="1"/>
        <n v="3806838" u="1"/>
        <n v="3806044" u="1"/>
        <n v="3779185" u="1"/>
        <n v="3797407" u="1"/>
        <n v="3801617" u="1"/>
        <n v="3792761" u="1"/>
        <n v="3792552" u="1"/>
        <n v="3796084" u="1"/>
        <n v="3794053" u="1"/>
        <n v="3808343" u="1"/>
        <n v="3809147" u="1"/>
        <n v="3792441" u="1"/>
        <n v="3784716" u="1"/>
        <n v="3799908" u="1"/>
        <n v="3800002" u="1"/>
        <n v="3802080" u="1"/>
        <n v="3801957" u="1"/>
        <n v="3803863" u="1"/>
        <n v="3809198" u="1"/>
        <n v="3784712" u="1"/>
        <n v="3799175" u="1"/>
        <n v="3798682" u="1"/>
        <n v="3803589" u="1"/>
        <n v="3795271" u="1"/>
        <n v="3799265" u="1"/>
        <n v="3803356" u="1"/>
        <n v="3792811" u="1"/>
        <n v="3784204" u="1"/>
        <n v="3797938" u="1"/>
        <n v="3799537" u="1"/>
        <n v="3787257" u="1"/>
        <n v="3763879" u="1"/>
        <n v="3800442" u="1"/>
        <n v="3805475" u="1"/>
        <n v="3808111" u="1"/>
        <n v="3795853" u="1"/>
        <n v="3798020" u="1"/>
        <n v="3796844" u="1"/>
        <n v="3799749" u="1"/>
        <n v="3800882" u="1"/>
        <n v="3793815" u="1"/>
        <n v="3807232" u="1"/>
        <n v="3807972" u="1"/>
        <n v="3806265" u="1"/>
        <n v="3797115" u="1"/>
        <n v="3796739" u="1"/>
        <n v="3793700" u="1"/>
        <n v="3799753" u="1"/>
        <n v="3800715" u="1"/>
        <n v="3794332" u="1"/>
        <n v="3805498" u="1"/>
        <n v="3807019" u="1"/>
        <n v="3792171" u="1"/>
        <n v="3797489" u="1"/>
        <n v="3797882" u="1"/>
        <n v="3799680" u="1"/>
        <n v="3778756" u="1"/>
        <n v="3795284" u="1"/>
        <n v="3781840" u="1"/>
        <n v="3784536" u="1"/>
        <n v="3800926" u="1"/>
        <n v="3798384" u="1"/>
        <n v="3797391" u="1"/>
        <n v="3800255" u="1"/>
        <n v="3793541" u="1"/>
        <n v="3791414" u="1"/>
        <n v="3796858" u="1"/>
        <n v="3796618" u="1"/>
        <n v="3793134" u="1"/>
        <n v="3803729" u="1"/>
        <n v="3793066" u="1"/>
        <n v="3793946" u="1"/>
        <n v="3786967" u="1"/>
        <n v="3796911" u="1"/>
        <n v="3797079" u="1"/>
        <n v="3798280" u="1"/>
        <n v="3794041" u="1"/>
        <n v="3799839" u="1"/>
        <n v="3803165" u="1"/>
        <n v="3802840" u="1"/>
        <n v="3793908" u="1"/>
        <n v="3790807" u="1"/>
        <n v="3801435" u="1"/>
        <n v="3800854" u="1"/>
        <n v="3804796" u="1"/>
        <n v="3806611" u="1"/>
        <n v="3791740" u="1"/>
        <n v="3793101" u="1"/>
        <n v="3794088" u="1"/>
        <n v="3794167" u="1"/>
        <n v="3799024" u="1"/>
        <n v="3802433" u="1"/>
        <n v="3795299" u="1"/>
        <n v="3795524" u="1"/>
        <n v="3796678" u="1"/>
        <n v="3790749" u="1"/>
        <n v="3801236" u="1"/>
        <n v="3805952" u="1"/>
        <n v="3806324" u="1"/>
        <n v="3792226" u="1"/>
        <n v="3784222" u="1"/>
        <n v="3802230" u="1"/>
        <n v="3804938" u="1"/>
        <n v="3798396" u="1"/>
        <n v="3801042" u="1"/>
        <n v="3801047" u="1"/>
        <n v="3793624" u="1"/>
        <n v="3802026" u="1"/>
        <n v="3802036" u="1"/>
        <n v="3802620" u="1"/>
        <n v="3795690" u="1"/>
        <n v="3796954" u="1"/>
        <n v="3800345" u="1"/>
        <n v="3792670" u="1"/>
        <n v="3805139" u="1"/>
        <n v="3795348" u="1"/>
        <n v="3801941" u="1"/>
        <n v="3793429" u="1"/>
        <n v="3789574" u="1"/>
        <n v="3792795" u="1"/>
        <n v="3792850" u="1"/>
        <n v="3802017" u="1"/>
        <n v="3804679" u="1"/>
        <n v="3807676" u="1"/>
        <n v="3794633" u="1"/>
        <n v="3795314" u="1"/>
        <n v="3802008" u="1"/>
        <n v="3803717" u="1"/>
        <n v="3805542" u="1"/>
        <n v="3806193" u="1"/>
        <n v="3806294" u="1"/>
        <n v="3806140" u="1"/>
        <n v="3793106" u="1"/>
        <n v="3801521" u="1"/>
        <n v="3793719" u="1"/>
        <n v="3794098" u="1"/>
        <n v="3794674" u="1"/>
        <n v="3796242" u="1"/>
        <n v="3803872" u="1"/>
        <n v="3803307" u="1"/>
        <n v="3804424" u="1"/>
        <n v="3804673" u="1"/>
        <n v="3797055" u="1"/>
        <n v="3800495" u="1"/>
        <n v="3800409" u="1"/>
        <n v="3800263" u="1"/>
        <n v="3804684" u="1"/>
        <n v="3794067" u="1"/>
        <n v="3795585" u="1"/>
        <n v="3796077" u="1"/>
        <n v="3796837" u="1"/>
        <n v="3799289" u="1"/>
        <n v="3801606" u="1"/>
        <n v="3802034" u="1"/>
        <n v="3803574" u="1"/>
        <n v="3804172" u="1"/>
        <n v="3792637" u="1"/>
        <n v="3799187" u="1"/>
        <n v="3801311" u="1"/>
        <n v="3808338" u="1"/>
        <n v="3795450" u="1"/>
        <n v="3803298" u="1"/>
        <n v="3804730" u="1"/>
        <n v="3791341" u="1"/>
        <n v="3798926" u="1"/>
        <n v="3806475" u="1"/>
        <n v="3794643" u="1"/>
        <n v="3795293" u="1"/>
        <n v="3796492" u="1"/>
        <n v="3796803" u="1"/>
        <n v="3793302" u="1"/>
        <n v="3799320" u="1"/>
        <n v="3799525" u="1"/>
        <n v="3804725" u="1"/>
        <n v="3804918" u="1"/>
        <n v="3795083" u="1"/>
        <n v="3808098" u="1"/>
        <n v="3801069" u="1"/>
        <n v="3808191" u="1"/>
        <n v="3801468" u="1"/>
        <n v="3806930" u="1"/>
        <n v="3791346" u="1"/>
        <n v="3796890" u="1"/>
        <n v="3797738" u="1"/>
        <n v="3798137" u="1"/>
        <n v="3802020" u="1"/>
        <n v="3805527" u="1"/>
        <n v="3792827" u="1"/>
        <n v="3789812" u="1"/>
        <n v="3799160" u="1"/>
        <n v="3805999" u="1"/>
        <n v="3806083" u="1"/>
        <n v="3807024" u="1"/>
        <n v="3806419" u="1"/>
        <n v="3795154" u="1"/>
        <n v="3796944" u="1"/>
        <n v="3799314" u="1"/>
        <n v="3806963" u="1"/>
        <n v="3792841" u="1"/>
        <n v="3793287" u="1"/>
        <n v="3793092" u="1"/>
        <n v="3796157" u="1"/>
        <n v="3768579" u="1"/>
        <n v="3793303" u="1"/>
        <n v="3802758" u="1"/>
        <n v="3784943" u="1"/>
        <n v="3793046" u="1"/>
        <n v="3793873" u="1"/>
        <n v="3795106" u="1"/>
        <n v="3794884" u="1"/>
        <n v="3798711" u="1"/>
        <n v="3803582" u="1"/>
        <n v="3803583" u="1"/>
        <n v="3804307" u="1"/>
        <n v="3792451" u="1"/>
        <n v="3792995" u="1"/>
        <n v="3778734" u="1"/>
        <n v="3798893" u="1"/>
        <n v="3800658" u="1"/>
        <n v="3795070" u="1"/>
        <n v="3797653" u="1"/>
        <n v="3804686" u="1"/>
        <n v="3797683" u="1"/>
        <n v="3791762" u="1"/>
        <n v="3799388" u="1"/>
        <n v="3795109" u="1"/>
        <n v="3797256" u="1"/>
        <n v="3793353" u="1"/>
        <n v="3798871" u="1"/>
        <n v="3801033" u="1"/>
        <n v="3801389" u="1"/>
        <n v="3801443" u="1"/>
        <n v="3802309" u="1"/>
        <n v="3789581" u="1"/>
        <n v="3788743" u="1"/>
        <n v="3799300" u="1"/>
        <n v="3791380" u="1"/>
        <n v="3799180" u="1"/>
        <n v="3791738" u="1"/>
        <n v="3800532" u="1"/>
        <n v="3801706" u="1"/>
        <n v="3802100" u="1"/>
        <n v="3784421" u="1"/>
        <n v="3787383" u="1"/>
        <n v="3808508" u="1"/>
        <n v="3795220" u="1"/>
        <n v="3805022" u="1"/>
        <n v="3732514" u="1"/>
        <n v="3794072" u="1"/>
        <n v="3786730" u="1"/>
        <n v="3794701" u="1"/>
        <n v="3794922" u="1"/>
        <n v="3801471" u="1"/>
        <n v="3802764" u="1"/>
        <n v="3803365" u="1"/>
        <n v="3802977" u="1"/>
        <n v="3804760" u="1"/>
        <n v="3807168" u="1"/>
        <n v="3807993" u="1"/>
        <n v="3795612" u="1"/>
        <n v="3793771" u="1"/>
        <n v="3794502" u="1"/>
        <n v="3795977" u="1"/>
        <n v="3803656" u="1"/>
        <n v="3806081" u="1"/>
        <n v="3792474" u="1"/>
        <n v="3801201" u="1"/>
        <n v="3792919" u="1"/>
        <n v="3792445" u="1"/>
        <n v="3795115" u="1"/>
        <n v="3795222" u="1"/>
        <n v="3797603" u="1"/>
        <n v="3800741" u="1"/>
        <n v="3801153" u="1"/>
        <n v="3799806" u="1"/>
        <n v="3804470" u="1"/>
        <n v="3803050" u="1"/>
        <n v="3804426" u="1"/>
        <n v="3792488" u="1"/>
        <n v="3795334" u="1"/>
        <n v="3793025" u="1"/>
        <n v="3800408" u="1"/>
        <n v="3802391" u="1"/>
        <n v="3794889" u="1"/>
        <n v="3799856" u="1"/>
        <n v="3792397" u="1"/>
        <n v="3797275" u="1"/>
        <n v="3798942" u="1"/>
        <n v="3799249" u="1"/>
        <n v="3801490" u="1"/>
        <n v="3802029" u="1"/>
        <n v="3802882" u="1"/>
        <n v="3788029" u="1"/>
        <n v="3795645" u="1"/>
        <n v="3797469" u="1"/>
        <n v="3802748" u="1"/>
        <n v="3804436" u="1"/>
        <n v="3808768" u="1"/>
        <n v="3795068" u="1"/>
        <n v="3802292" u="1"/>
        <n v="3803581" u="1"/>
        <n v="3794590" u="1"/>
        <n v="3800015" u="1"/>
        <n v="3797785" u="1"/>
        <n v="3800145" u="1"/>
        <n v="3802914" u="1"/>
        <n v="3803071" u="1"/>
        <n v="3805142" u="1"/>
        <n v="3804979" u="1"/>
        <n v="3805443" u="1"/>
        <n v="3792147" u="1"/>
        <n v="3794052" u="1"/>
        <n v="3797288" u="1"/>
        <n v="3799890" u="1"/>
        <n v="3800063" u="1"/>
        <n v="3792468" u="1"/>
        <n v="3791943" u="1"/>
        <n v="3795166" u="1"/>
        <n v="3794975" u="1"/>
        <n v="3797595" u="1"/>
        <n v="3797034" u="1"/>
        <n v="3797397" u="1"/>
        <n v="3797051" u="1"/>
        <n v="3797608" u="1"/>
        <n v="3797291" u="1"/>
        <n v="3800517" u="1"/>
        <n v="3799673" u="1"/>
        <n v="3802936" u="1"/>
        <n v="3805337" u="1"/>
        <n v="3805356" u="1"/>
        <n v="3807280" u="1"/>
        <n v="3792379" u="1"/>
        <n v="3792156" u="1"/>
        <n v="3792471" u="1"/>
        <n v="3800112" u="1"/>
        <n v="3800060" u="1"/>
        <n v="3802375" u="1"/>
        <n v="3805369" u="1"/>
        <n v="3800258" u="1"/>
        <n v="3801234" u="1"/>
        <n v="3777763" u="1"/>
        <n v="3797576" u="1"/>
        <n v="3792447" u="1"/>
        <n v="3794979" u="1"/>
        <n v="3799588" u="1"/>
        <n v="3803231" u="1"/>
        <n v="3802951" u="1"/>
        <n v="3805388" u="1"/>
        <n v="3805003" u="1"/>
        <n v="3805410" u="1"/>
        <n v="3792436" u="1"/>
        <n v="3793032" u="1"/>
        <n v="3797730" u="1"/>
        <n v="3797028" u="1"/>
        <n v="3800102" u="1"/>
        <n v="3800044" u="1"/>
        <n v="3805156" u="1"/>
        <n v="3792378" u="1"/>
        <n v="3792152" u="1"/>
        <n v="3760316" u="1"/>
        <n v="3794507" u="1"/>
        <n v="3795007" u="1"/>
        <n v="3800377" u="1"/>
        <n v="3800047" u="1"/>
        <n v="3800179" u="1"/>
        <n v="3802787" u="1"/>
        <n v="3802504" u="1"/>
        <n v="3802947" u="1"/>
        <n v="3805411" u="1"/>
        <n v="3807563" u="1"/>
        <n v="3796996" u="1"/>
        <n v="3797887" u="1"/>
        <n v="3799592" u="1"/>
        <n v="3802339" u="1"/>
        <n v="3803008" u="1"/>
        <n v="3807559" u="1"/>
        <n v="3781562" u="1"/>
        <n v="3803984" u="1"/>
        <n v="3799590" u="1"/>
        <n v="3800106" u="1"/>
        <n v="3802927" u="1"/>
        <n v="3803022" u="1"/>
        <n v="3804315" u="1"/>
        <n v="3800463" u="1"/>
        <n v="3804775" u="1"/>
        <n v="3805228" u="1"/>
        <n v="3803095" u="1"/>
        <n v="3793966" u="1"/>
        <n v="3800613" u="1"/>
        <n v="3806071" u="1"/>
        <n v="3794963" u="1"/>
        <n v="3797004" u="1"/>
        <n v="3797494" u="1"/>
        <n v="3797298" u="1"/>
        <n v="3800366" u="1"/>
        <n v="3805400" u="1"/>
        <n v="3792475" u="1"/>
        <n v="3794535" u="1"/>
        <n v="3795184" u="1"/>
        <n v="3795227" u="1"/>
        <n v="3797623" u="1"/>
        <n v="3802543" u="1"/>
        <n v="3801450" u="1"/>
        <n v="3806039" u="1"/>
        <n v="3801073" u="1"/>
        <n v="3808932" u="1"/>
        <n v="3801491" u="1"/>
        <n v="3808475" u="1"/>
        <n v="3793344" u="1"/>
        <n v="3792390" u="1"/>
        <n v="3791966" u="1"/>
        <n v="3794969" u="1"/>
        <n v="3795418" u="1"/>
        <n v="3797030" u="1"/>
        <n v="3797620" u="1"/>
        <n v="3799942" u="1"/>
        <n v="3802533" u="1"/>
        <n v="3804911" u="1"/>
        <n v="3803054" u="1"/>
        <n v="3804975" u="1"/>
        <n v="3804980" u="1"/>
        <n v="3807798" u="1"/>
        <n v="3792383" u="1"/>
        <n v="3794556" u="1"/>
        <n v="3794504" u="1"/>
        <n v="3797040" u="1"/>
        <n v="3797605" u="1"/>
        <n v="3797059" u="1"/>
        <n v="3800116" u="1"/>
        <n v="3800064" u="1"/>
        <n v="3799691" u="1"/>
        <n v="3799619" u="1"/>
        <n v="3805409" u="1"/>
        <n v="3794921" u="1"/>
        <n v="3797039" u="1"/>
        <n v="3794468" u="1"/>
        <n v="3794561" u="1"/>
        <n v="3797054" u="1"/>
        <n v="3799609" u="1"/>
        <n v="3802362" u="1"/>
        <n v="3802720" u="1"/>
        <n v="3805416" u="1"/>
        <n v="3807296" u="1"/>
        <n v="3792238" u="1"/>
        <n v="3784067" u="1"/>
        <n v="3807624" u="1"/>
        <n v="3794512" u="1"/>
        <n v="3797788" u="1"/>
        <n v="3803255" u="1"/>
        <n v="3802970" u="1"/>
        <n v="3805237" u="1"/>
        <n v="3807462" u="1"/>
        <n v="3797596" u="1"/>
        <n v="3799896" u="1"/>
        <n v="3804703" u="1"/>
        <n v="3804994" u="1"/>
        <n v="3805407" u="1"/>
        <n v="3805174" u="1"/>
        <n v="3794539" u="1"/>
        <n v="3794919" u="1"/>
        <n v="3795223" u="1"/>
        <n v="3802501" u="1"/>
        <n v="3803253" u="1"/>
        <n v="3803013" u="1"/>
        <n v="3805330" u="1"/>
        <n v="3805860" u="1"/>
        <n v="3792462" u="1"/>
        <n v="3797485" u="1"/>
        <n v="3799989" u="1"/>
        <n v="3805157" u="1"/>
        <n v="3805363" u="1"/>
        <n v="3807279" u="1"/>
        <n v="3808073" u="1"/>
        <n v="3791809" u="1"/>
        <n v="3803353" u="1"/>
        <n v="3805163" u="1"/>
        <n v="3805422" u="1"/>
        <n v="3805374" u="1"/>
        <n v="3795208" u="1"/>
        <n v="3794987" u="1"/>
        <n v="3797112" u="1"/>
        <n v="3803209" u="1"/>
        <n v="3805333" u="1"/>
        <n v="3807495" u="1"/>
        <n v="3792093" u="1"/>
        <n v="3794860" u="1"/>
        <n v="3792076" u="1"/>
        <n v="3800531" u="1"/>
        <n v="3803213" u="1"/>
        <n v="3802713" u="1"/>
        <n v="3794532" u="1"/>
        <n v="3794447" u="1"/>
        <n v="3800084" u="1"/>
        <n v="3805200" u="1"/>
        <n v="3807370" u="1"/>
        <n v="3797679" u="1"/>
        <n v="3800221" u="1"/>
        <n v="3804027" u="1"/>
        <n v="3804672" u="1"/>
        <n v="3792527" u="1"/>
        <n v="3803445" u="1"/>
        <n v="3762467" u="1"/>
        <n v="3795542" u="1"/>
        <n v="3802105" u="1"/>
        <n v="3803130" u="1"/>
        <n v="3798279" u="1"/>
        <n v="3800195" u="1"/>
        <n v="3801486" u="1"/>
        <n v="3794159" u="1"/>
        <n v="3798397" u="1"/>
        <n v="3800208" u="1"/>
        <n v="3802869" u="1"/>
        <n v="3793796" u="1"/>
        <n v="3800813" u="1"/>
        <n v="3808035" u="1"/>
        <n v="3804515" u="1"/>
        <n v="3806116" u="1"/>
        <n v="3804590" u="1"/>
        <n v="3795246" u="1"/>
        <n v="3794753" u="1"/>
        <n v="3798429" u="1"/>
        <n v="3799757" u="1"/>
        <n v="3800041" u="1"/>
        <n v="3808556" u="1"/>
        <n v="3799380" u="1"/>
        <n v="3793421" u="1"/>
        <n v="3806133" u="1"/>
        <n v="3789577" u="1"/>
        <n v="3796600" u="1"/>
        <n v="3793304" u="1"/>
        <n v="3805470" u="1"/>
        <n v="3802090" u="1"/>
        <n v="3799563" u="1"/>
        <n v="3804636" u="1"/>
        <n v="3791456" u="1"/>
        <n v="3799891" u="1"/>
        <n v="3801009" u="1"/>
        <n v="3801271" u="1"/>
        <n v="3803550" u="1"/>
        <n v="3807076" u="1"/>
        <n v="3799148" u="1"/>
        <n v="3803455" u="1"/>
        <n v="3794651" u="1"/>
        <n v="3796823" u="1"/>
        <n v="3800672" u="1"/>
        <n v="3808390" u="1"/>
        <n v="3793216" u="1"/>
        <n v="3803929" u="1"/>
        <n v="3804338" u="1"/>
        <n v="3806048" u="1"/>
        <n v="3791955" u="1"/>
        <n v="3793895" u="1"/>
        <n v="3803723" u="1"/>
        <n v="3800324" u="1"/>
        <n v="3804208" u="1"/>
        <n v="3808769" u="1"/>
        <n v="3801034" u="1"/>
        <n v="3798302" u="1"/>
        <n v="3801462" u="1"/>
        <n v="3804020" u="1"/>
        <n v="3805092" u="1"/>
        <n v="3794378" u="1"/>
        <n v="3797478" u="1"/>
        <n v="3803748" u="1"/>
        <n v="3804081" u="1"/>
        <n v="3794864" u="1"/>
        <n v="3797010" u="1"/>
        <n v="3802802" u="1"/>
        <n v="3805340" u="1"/>
        <n v="3800398" u="1"/>
        <n v="3808106" u="1"/>
        <n v="3793015" u="1"/>
        <n v="3798826" u="1"/>
        <n v="3787133" u="1"/>
        <n v="3794357" u="1"/>
        <n v="3801961" u="1"/>
        <n v="3800337" u="1"/>
        <n v="3798591" u="1"/>
        <n v="3802879" u="1"/>
        <n v="3802451" u="1"/>
        <n v="3804467" u="1"/>
        <n v="3805277" u="1"/>
        <n v="3805309" u="1"/>
        <n v="3805167" u="1"/>
        <n v="3793011" u="1"/>
        <n v="3801798" u="1"/>
        <n v="3803617" u="1"/>
        <n v="3804525" u="1"/>
        <n v="3803032" u="1"/>
        <n v="3809558" u="1"/>
        <n v="3759252" u="1"/>
        <n v="3761038" u="1"/>
        <n v="3771922" u="1"/>
        <n v="3772540" u="1"/>
        <n v="3773669" u="1"/>
        <n v="3751946" u="1"/>
        <n v="3766261" u="1"/>
        <n v="3764937" u="1"/>
        <n v="3768789" u="1"/>
        <n v="3759303" u="1"/>
        <n v="3760196" u="1"/>
        <n v="3741871" u="1"/>
        <n v="3761674" u="1"/>
        <n v="3765876" u="1"/>
        <n v="3768042" u="1"/>
        <n v="3770583" u="1"/>
        <n v="3759925" u="1"/>
        <n v="3764760" u="1"/>
        <n v="3736999" u="1"/>
        <n v="3772212" u="1"/>
        <n v="3774254" u="1"/>
        <n v="3758982" u="1"/>
        <n v="3732513" u="1"/>
        <n v="3764149" u="1"/>
        <n v="3766579" u="1"/>
        <n v="3772588" u="1"/>
        <n v="3758956" u="1"/>
        <n v="3758274" u="1"/>
        <n v="3760254" u="1"/>
        <n v="3760622" u="1"/>
        <n v="3757869" u="1"/>
        <n v="3766942" u="1"/>
        <n v="3760632" u="1"/>
        <n v="3762270" u="1"/>
        <n v="3768618" u="1"/>
        <n v="3754762" u="1"/>
        <n v="3767322" u="1"/>
        <n v="3762716" u="1"/>
        <n v="3764213" u="1"/>
        <n v="3759441" u="1"/>
        <n v="3759574" u="1"/>
        <n v="3770015" u="1"/>
        <n v="3765208" u="1"/>
        <n v="3758610" u="1"/>
        <n v="3758752" u="1"/>
        <n v="3771186" u="1"/>
        <n v="3762462" u="1"/>
        <n v="3760758" u="1"/>
        <n v="3764578" u="1"/>
        <n v="3768916" u="1"/>
        <n v="3765661" u="1"/>
        <n v="3765585" u="1"/>
        <n v="3773673" u="1"/>
        <n v="3764812" u="1"/>
        <n v="3760330" u="1"/>
        <n v="3773253" u="1"/>
        <n v="3774272" u="1"/>
        <n v="3763242" u="1"/>
        <n v="3764555" u="1"/>
        <n v="3774986" u="1"/>
        <n v="3773123" u="1"/>
        <n v="3763472" u="1"/>
        <n v="3758731" u="1"/>
        <n v="3759918" u="1"/>
        <n v="3758324" u="1"/>
        <n v="3741681" u="1"/>
        <n v="3771940" u="1"/>
        <n v="3767222" u="1"/>
        <n v="3764575" u="1"/>
        <n v="3769243" u="1"/>
        <n v="3767852" u="1"/>
        <n v="3768706" u="1"/>
        <n v="3769923" u="1"/>
        <n v="3765280" u="1"/>
        <n v="3770471" u="1"/>
        <n v="3765084" u="1"/>
        <n v="3764207" u="1"/>
        <n v="3766614" u="1"/>
        <n v="3768490" u="1"/>
        <n v="3770763" u="1"/>
        <n v="3768310" u="1"/>
        <n v="3768316" u="1"/>
        <n v="3760575" u="1"/>
        <n v="3761117" u="1"/>
        <n v="3761357" u="1"/>
        <n v="3767070" u="1"/>
        <n v="3759490" u="1"/>
        <n v="3765609" u="1"/>
        <n v="3767952" u="1"/>
        <n v="3768078" u="1"/>
        <n v="3771128" u="1"/>
        <n v="3770248" u="1"/>
        <n v="3764673" u="1"/>
        <n v="3764222" u="1"/>
        <n v="3762056" u="1"/>
        <n v="3764727" u="1"/>
        <n v="3759037" u="1"/>
        <n v="3763916" u="1"/>
        <n v="3766795" u="1"/>
        <n v="3766889" u="1"/>
        <n v="3769522" u="1"/>
        <n v="3758713" u="1"/>
        <n v="3760117" u="1"/>
        <n v="3760652" u="1"/>
        <n v="3762199" u="1"/>
        <n v="3765446" u="1"/>
        <n v="3768865" u="1"/>
        <n v="3759700" u="1"/>
        <n v="3762657" u="1"/>
        <n v="3767874" u="1"/>
        <n v="3770326" u="1"/>
        <n v="3759744" u="1"/>
        <n v="3774328" u="1"/>
        <n v="3759496" u="1"/>
        <n v="3759695" u="1"/>
        <n v="3764665" u="1"/>
        <n v="3765674" u="1"/>
        <n v="3769101" u="1"/>
        <n v="3772886" u="1"/>
        <n v="3764122" u="1"/>
        <n v="3770827" u="1"/>
        <n v="3765968" u="1"/>
        <n v="3769814" u="1"/>
        <n v="3759033" u="1"/>
        <n v="3766304" u="1"/>
        <n v="3767382" u="1"/>
        <n v="3770352" u="1"/>
        <n v="3762067" u="1"/>
        <n v="3761500" u="1"/>
        <n v="3764587" u="1"/>
        <n v="3767794" u="1"/>
        <n v="3768731" u="1"/>
        <n v="3759323" u="1"/>
        <n v="3761217" u="1"/>
        <n v="3761251" u="1"/>
        <n v="3763094" u="1"/>
        <n v="3765168" u="1"/>
        <n v="3770231" u="1"/>
        <n v="3757671" u="1"/>
        <n v="3761604" u="1"/>
        <n v="3761798" u="1"/>
        <n v="3764379" u="1"/>
        <n v="3770772" u="1"/>
        <n v="3772420" u="1"/>
        <n v="3774375" u="1"/>
        <n v="3762539" u="1"/>
        <n v="3764318" u="1"/>
        <n v="3764696" u="1"/>
        <n v="3763256" u="1"/>
        <n v="3759541" u="1"/>
        <n v="3759050" u="1"/>
        <n v="3766306" u="1"/>
        <n v="3767099" u="1"/>
        <n v="3760995" u="1"/>
        <n v="3765948" u="1"/>
        <n v="3762051" u="1"/>
        <n v="3767189" u="1"/>
        <n v="3759369" u="1"/>
        <n v="3761030" u="1"/>
        <n v="3769657" u="1"/>
        <n v="3759161" u="1"/>
        <n v="3772218" u="1"/>
        <n v="3759482" u="1"/>
        <n v="3765323" u="1"/>
        <n v="3764524" u="1"/>
        <n v="3761785" u="1"/>
        <n v="3769733" u="1"/>
        <n v="3771230" u="1"/>
        <n v="3763529" u="1"/>
        <n v="3763734" u="1"/>
        <n v="3764232" u="1"/>
        <n v="3767063" u="1"/>
        <n v="3771222" u="1"/>
        <n v="3764605" u="1"/>
        <n v="3764859" u="1"/>
        <n v="3770223" u="1"/>
        <n v="3772429" u="1"/>
        <n v="3754648" u="1"/>
        <n v="3759854" u="1"/>
        <n v="3751876" u="1"/>
        <n v="3766623" u="1"/>
        <n v="3761009" u="1"/>
        <n v="3767565" u="1"/>
        <n v="3774233" u="1"/>
        <n v="3759016" u="1"/>
        <n v="3764381" u="1"/>
        <n v="3764737" u="1"/>
        <n v="3765945" u="1"/>
        <n v="3767598" u="1"/>
        <n v="3767665" u="1"/>
        <n v="3768093" u="1"/>
        <n v="3771790" u="1"/>
        <n v="3774432" u="1"/>
        <n v="3764118" u="1"/>
        <n v="3764577" u="1"/>
        <n v="3758913" u="1"/>
        <n v="3762838" u="1"/>
        <n v="3769879" u="1"/>
        <n v="3770171" u="1"/>
        <n v="3774185" u="1"/>
        <n v="3774379" u="1"/>
        <n v="3761989" u="1"/>
        <n v="3759297" u="1"/>
        <n v="3759350" u="1"/>
        <n v="3760482" u="1"/>
        <n v="3763030" u="1"/>
        <n v="3762992" u="1"/>
        <n v="3759135" u="1"/>
        <n v="3765266" u="1"/>
        <n v="3765893" u="1"/>
        <n v="3765834" u="1"/>
        <n v="3760516" u="1"/>
        <n v="3765194" u="1"/>
        <n v="3766275" u="1"/>
        <n v="3768425" u="1"/>
        <n v="3772260" u="1"/>
        <n v="3763754" u="1"/>
        <n v="3762112" u="1"/>
        <n v="3771069" u="1"/>
        <n v="3770378" u="1"/>
        <n v="3770030" u="1"/>
        <n v="3759193" u="1"/>
        <n v="3695826" u="1"/>
        <n v="3759958" u="1"/>
        <n v="3761660" u="1"/>
        <n v="3647909" u="1"/>
        <n v="3766970" u="1"/>
        <n v="3761384" u="1"/>
        <n v="3763054" u="1"/>
        <n v="3765195" u="1"/>
        <n v="3767724" u="1"/>
        <n v="3765141" u="1"/>
        <n v="3762627" u="1"/>
        <n v="3771343" u="1"/>
        <n v="3772225" u="1"/>
        <n v="3772342" u="1"/>
        <n v="3767995" u="1"/>
        <n v="3759243" u="1"/>
        <n v="3759083" u="1"/>
        <n v="3763511" u="1"/>
        <n v="3734776" u="1"/>
        <n v="3770458" u="1"/>
        <n v="3760788" u="1"/>
        <n v="3767236" u="1"/>
        <n v="3771572" u="1"/>
        <n v="3770687" u="1"/>
        <n v="3767068" u="1"/>
        <n v="3758922" u="1"/>
        <n v="3758741" u="1"/>
        <n v="3767428" u="1"/>
        <n v="3770033" u="1"/>
        <n v="3771047" u="1"/>
        <n v="3771537" u="1"/>
        <n v="3774724" u="1"/>
        <n v="3767865" u="1"/>
        <n v="3761623" u="1"/>
        <n v="3761011" u="1"/>
        <n v="3765587" u="1"/>
        <n v="3723114" u="1"/>
        <n v="3771235" u="1"/>
        <n v="3768457" u="1"/>
        <n v="3769222" u="1"/>
        <n v="3762782" u="1"/>
        <n v="3766643" u="1"/>
        <n v="3768142" u="1"/>
        <n v="3768885" u="1"/>
        <n v="3758914" u="1"/>
        <n v="3763614" u="1"/>
        <n v="3766497" u="1"/>
        <n v="3771702" u="1"/>
        <n v="3753873" u="1"/>
        <n v="3695242" u="1"/>
        <n v="3766632" u="1"/>
        <n v="3741355" u="1"/>
        <n v="3771063" u="1"/>
        <n v="3764440" u="1"/>
        <n v="3763133" u="1"/>
        <n v="3764790" u="1"/>
        <n v="3769973" u="1"/>
        <n v="3758984" u="1"/>
        <n v="3760399" u="1"/>
        <n v="3761068" u="1"/>
        <n v="3762275" u="1"/>
        <n v="3769867" u="1"/>
        <n v="3760147" u="1"/>
        <n v="3770129" u="1"/>
        <n v="3772262" u="1"/>
        <n v="3759715" u="1"/>
        <n v="3764357" u="1"/>
        <n v="3762012" u="1"/>
        <n v="3768520" u="1"/>
        <n v="3760789" u="1"/>
        <n v="3760055" u="1"/>
        <n v="3772427" u="1"/>
        <n v="3772936" u="1"/>
        <n v="3761442" u="1"/>
        <n v="3685859" u="1"/>
        <n v="3768069" u="1"/>
        <n v="3774469" u="1"/>
        <n v="3763315" u="1"/>
        <n v="3765257" u="1"/>
        <n v="3760114" u="1"/>
        <n v="3766590" u="1"/>
        <n v="3760481" u="1"/>
        <n v="3762774" u="1"/>
        <n v="3770618" u="1"/>
        <n v="3771169" u="1"/>
        <n v="3760775" u="1"/>
        <n v="3771359" u="1"/>
        <n v="3759165" u="1"/>
        <n v="3768491" u="1"/>
        <n v="3737046" u="1"/>
        <n v="3770385" u="1"/>
        <n v="3772730" u="1"/>
        <n v="3759971" u="1"/>
        <n v="3765370" u="1"/>
        <n v="3767617" u="1"/>
        <n v="3774215" u="1"/>
        <n v="3774295" u="1"/>
        <n v="3759274" u="1"/>
        <n v="3763746" u="1"/>
        <n v="3762741" u="1"/>
        <n v="3758682" u="1"/>
        <n v="3760042" u="1"/>
        <n v="3760811" u="1"/>
        <n v="3764198" u="1"/>
        <n v="3764629" u="1"/>
        <n v="3759160" u="1"/>
        <n v="3771073" u="1"/>
        <n v="3772723" u="1"/>
        <n v="3768453" u="1"/>
        <n v="3765905" u="1"/>
        <n v="3759197" u="1"/>
        <n v="3759762" u="1"/>
        <n v="3767408" u="1"/>
        <n v="3765342" u="1"/>
        <n v="3767615" u="1"/>
        <n v="3767875" u="1"/>
        <n v="3775385" u="1"/>
        <n v="3764889" u="1"/>
        <n v="3764449" u="1"/>
        <n v="3698374" u="1"/>
        <n v="3767604" u="1"/>
        <n v="3768006" u="1"/>
        <n v="3768194" u="1"/>
        <n v="3767991" u="1"/>
        <n v="3759063" u="1"/>
        <n v="3768421" u="1"/>
        <n v="3767273" u="1"/>
        <n v="3774607" u="1"/>
        <n v="3730015" u="1"/>
        <n v="3761734" u="1"/>
        <n v="3757308" u="1"/>
        <n v="3759563" u="1"/>
        <n v="3740888" u="1"/>
        <n v="3767612" u="1"/>
        <n v="3757776" u="1"/>
        <n v="3761998" u="1"/>
        <n v="3767663" u="1"/>
        <n v="3757216" u="1"/>
        <n v="3767302" u="1"/>
        <n v="3768649" u="1"/>
        <n v="3759507" u="1"/>
        <n v="3757710" u="1"/>
        <n v="3761653" u="1"/>
        <n v="3767337" u="1"/>
        <n v="3764863" u="1"/>
        <n v="3767404" u="1"/>
        <n v="3767828" u="1"/>
        <n v="3761725" u="1"/>
        <n v="3761174" u="1"/>
        <n v="3767229" u="1"/>
        <n v="3771120" u="1"/>
        <n v="3767296" u="1"/>
        <n v="3769366" u="1"/>
        <n v="3766160" u="1"/>
        <n v="3771660" u="1"/>
        <n v="3773576" u="1"/>
        <n v="3761045" u="1"/>
        <n v="3752230" u="1"/>
        <n v="3763473" u="1"/>
        <n v="3714605" u="1"/>
        <n v="3760531" u="1"/>
        <n v="3762076" u="1"/>
        <n v="3764569" u="1"/>
        <n v="3769830" u="1"/>
        <n v="3750499" u="1"/>
        <n v="3773880" u="1"/>
        <n v="3773638" u="1"/>
        <n v="3760115" u="1"/>
        <n v="3756911" u="1"/>
        <n v="3765552" u="1"/>
        <n v="3767038" u="1"/>
        <n v="3766805" u="1"/>
        <n v="3760592" u="1"/>
        <n v="3771633" u="1"/>
        <n v="3754137" u="1"/>
        <n v="3772779" u="1"/>
        <n v="3761135" u="1"/>
        <n v="3763564" u="1"/>
        <n v="3763671" u="1"/>
        <n v="3766874" u="1"/>
        <n v="3768227" u="1"/>
        <n v="3768417" u="1"/>
        <n v="3769305" u="1"/>
        <n v="3771335" u="1"/>
        <n v="3761458" u="1"/>
        <n v="3764839" u="1"/>
        <n v="3767415" u="1"/>
        <n v="3768645" u="1"/>
        <n v="3760843" u="1"/>
        <n v="3761770" u="1"/>
        <n v="3769022" u="1"/>
        <n v="3734435" u="1"/>
        <n v="3762284" u="1"/>
        <n v="3773965" u="1"/>
        <n v="3759178" u="1"/>
        <n v="3760476" u="1"/>
        <n v="3762682" u="1"/>
        <n v="3748804" u="1"/>
        <n v="3770691" u="1"/>
        <n v="3759920" u="1"/>
        <n v="3757771" u="1"/>
        <n v="3751890" u="1"/>
        <n v="3761052" u="1"/>
        <n v="3761788" u="1"/>
        <n v="3760600" u="1"/>
        <n v="3764854" u="1"/>
        <n v="3765852" u="1"/>
        <n v="3765156" u="1"/>
        <n v="3752396" u="1"/>
        <n v="3752093" u="1"/>
        <n v="3764156" u="1"/>
        <n v="3768105" u="1"/>
        <n v="3758326" u="1"/>
        <n v="3759340" u="1"/>
        <n v="3766941" u="1"/>
        <n v="3766944" u="1"/>
        <n v="3768840" u="1"/>
        <n v="3770359" u="1"/>
        <n v="3770964" u="1"/>
        <n v="3773618" u="1"/>
        <n v="3774064" u="1"/>
        <n v="3759984" u="1"/>
        <n v="3761943" u="1"/>
        <n v="3760680" u="1"/>
        <n v="3757312" u="1"/>
        <n v="3767758" u="1"/>
        <n v="3706231" u="1"/>
        <n v="3762240" u="1"/>
        <n v="3539764" u="1"/>
        <n v="3763828" u="1"/>
        <n v="3770333" u="1"/>
        <n v="3772560" u="1"/>
        <n v="3761385" u="1"/>
        <n v="3758970" u="1"/>
        <n v="3762635" u="1"/>
        <n v="3764209" u="1"/>
        <n v="3763267" u="1"/>
        <n v="3765060" u="1"/>
        <n v="3759640" u="1"/>
        <n v="3770138" u="1"/>
        <n v="3760996" u="1"/>
        <n v="3766704" u="1"/>
        <n v="3769106" u="1"/>
        <n v="3761959" u="1"/>
        <n v="3770074" u="1"/>
        <n v="3764447" u="1"/>
        <n v="3765457" u="1"/>
        <n v="3766574" u="1"/>
        <n v="3761195" u="1"/>
        <n v="3772473" u="1"/>
        <n v="3758180" u="1"/>
        <n v="3760550" u="1"/>
        <n v="3759877" u="1"/>
        <n v="3762974" u="1"/>
        <n v="3765798" u="1"/>
        <n v="3764844" u="1"/>
        <n v="3768204" u="1"/>
        <n v="3768533" u="1"/>
        <n v="3760337" u="1"/>
        <n v="3762198" u="1"/>
        <n v="3764579" u="1"/>
        <n v="3764767" u="1"/>
        <n v="3766897" u="1"/>
        <n v="3769873" u="1"/>
        <n v="3756093" u="1"/>
        <n v="3760994" u="1"/>
        <n v="3761781" u="1"/>
        <n v="3760926" u="1"/>
        <n v="3768661" u="1"/>
        <n v="3768558" u="1"/>
        <n v="3769390" u="1"/>
        <n v="3771018" u="1"/>
        <n v="3759134" u="1"/>
        <n v="3772314" u="1"/>
        <n v="3761805" u="1"/>
        <n v="3763707" u="1"/>
        <n v="3765813" u="1"/>
        <n v="3768126" u="1"/>
        <n v="3768766" u="1"/>
        <n v="3769939" u="1"/>
        <n v="3765283" u="1"/>
        <n v="3763260" u="1"/>
        <n v="3772086" u="1"/>
        <n v="3758685" u="1"/>
        <n v="3762370" u="1"/>
        <n v="3763978" u="1"/>
        <n v="3767309" u="1"/>
        <n v="3768065" u="1"/>
        <n v="3768796" u="1"/>
        <n v="3770481" u="1"/>
        <n v="3770998" u="1"/>
        <n v="3772220" u="1"/>
        <n v="3772330" u="1"/>
        <n v="3761094" u="1"/>
        <n v="3765634" u="1"/>
        <n v="3768538" u="1"/>
        <n v="3771825" u="1"/>
        <n v="3773487" u="1"/>
        <n v="3775273" u="1"/>
        <n v="3761829" u="1"/>
        <n v="3766016" u="1"/>
        <n v="3768007" u="1"/>
        <n v="3771778" u="1"/>
        <n v="3772814" u="1"/>
        <n v="3760639" u="1"/>
        <n v="3763401" u="1"/>
        <n v="3766388" u="1"/>
        <n v="3767413" u="1"/>
        <n v="3771844" u="1"/>
        <n v="3772441" u="1"/>
        <n v="3771229" u="1"/>
        <n v="3754949" u="1"/>
        <n v="3754946" u="1"/>
        <n v="3759139" u="1"/>
        <n v="3760532" u="1"/>
        <n v="3761732" u="1"/>
        <n v="3764289" u="1"/>
        <n v="3764437" u="1"/>
        <n v="3768550" u="1"/>
        <n v="3770995" u="1"/>
        <n v="3761046" u="1"/>
        <n v="3771219" u="1"/>
        <n v="3764664" u="1"/>
        <n v="3765737" u="1"/>
        <n v="3767274" u="1"/>
        <n v="3770268" u="1"/>
        <n v="3773988" u="1"/>
        <n v="3772367" u="1"/>
        <n v="3772544" u="1"/>
        <n v="3773823" u="1"/>
        <n v="3763742" u="1"/>
        <n v="3764101" u="1"/>
        <n v="3765783" u="1"/>
        <n v="3766157" u="1"/>
        <n v="3754057" u="1"/>
        <n v="3770089" u="1"/>
        <n v="3754957" u="1"/>
        <n v="3760666" u="1"/>
        <n v="3761750" u="1"/>
        <n v="3760998" u="1"/>
        <n v="3771004" u="1"/>
        <n v="3770997" u="1"/>
        <n v="3771220" u="1"/>
        <n v="3760070" u="1"/>
        <n v="3765466" u="1"/>
        <n v="3760999" u="1"/>
        <n v="3758152" u="1"/>
        <n v="3759876" u="1"/>
        <n v="3764694" u="1"/>
        <n v="3766700" u="1"/>
        <n v="3772981" u="1"/>
        <n v="3758881" u="1"/>
        <n v="3734451" u="1"/>
        <n v="3766259" u="1"/>
        <n v="3769816" u="1"/>
        <n v="3772815" u="1"/>
        <n v="3760740" u="1"/>
        <n v="3759362" u="1"/>
        <n v="3759132" u="1"/>
        <n v="3766128" u="1"/>
        <n v="3766734" u="1"/>
        <n v="3769530" u="1"/>
        <n v="3761516" u="1"/>
        <n v="3764456" u="1"/>
        <n v="3758666" u="1"/>
        <n v="3766969" u="1"/>
        <n v="3767041" u="1"/>
        <n v="3762568" u="1"/>
        <n v="3771385" u="1"/>
        <n v="3773369" u="1"/>
        <n v="3759028" u="1"/>
        <n v="3769846" u="1"/>
        <n v="3769051" u="1"/>
        <n v="3772351" u="1"/>
        <n v="3762221" u="1"/>
        <n v="3762679" u="1"/>
        <n v="3749643" u="1"/>
        <n v="3751895" u="1"/>
        <n v="3769157" u="1"/>
        <n v="3762241" u="1"/>
        <n v="3772495" u="1"/>
        <n v="3767708" u="1"/>
        <n v="3759523" u="1"/>
        <n v="3759841" u="1"/>
        <n v="3761207" u="1"/>
        <n v="3761204" u="1"/>
        <n v="3765818" u="1"/>
        <n v="3759192" u="1"/>
        <n v="3761552" u="1"/>
        <n v="3762276" u="1"/>
        <n v="3766843" u="1"/>
        <n v="3773718" u="1"/>
        <n v="3761945" u="1"/>
        <n v="3758590" u="1"/>
        <n v="3749772" u="1"/>
        <n v="3759539" u="1"/>
        <n v="3761381" u="1"/>
        <n v="3760215" u="1"/>
        <n v="3770404" u="1"/>
        <n v="3772470" u="1"/>
        <n v="3771757" u="1"/>
        <n v="3772882" u="1"/>
        <n v="3767295" u="1"/>
        <n v="3766924" u="1"/>
        <n v="3763038" u="1"/>
        <n v="3762986" u="1"/>
        <n v="3767132" u="1"/>
        <n v="3767789" u="1"/>
        <n v="3768541" u="1"/>
        <n v="3759133" u="1"/>
        <n v="3770451" u="1"/>
        <n v="3769330" u="1"/>
        <n v="3769244" u="1"/>
        <n v="3758151" u="1"/>
        <n v="3759736" u="1"/>
        <n v="3765400" u="1"/>
        <n v="3771619" u="1"/>
        <n v="3761513" u="1"/>
        <n v="3758889" u="1"/>
        <n v="3761306" u="1"/>
        <n v="3760950" u="1"/>
        <n v="3764039" u="1"/>
        <n v="3766755" u="1"/>
        <n v="3768949" u="1"/>
        <n v="3769379" u="1"/>
        <n v="3773290" u="1"/>
        <n v="3761347" u="1"/>
        <n v="3766437" u="1"/>
        <n v="3766880" u="1"/>
        <n v="3758496" u="1"/>
        <n v="3758192" u="1"/>
        <n v="3766223" u="1"/>
        <n v="3758805" u="1"/>
        <n v="3766552" u="1"/>
        <n v="3774251" u="1"/>
        <n v="3772551" u="1"/>
        <n v="3763620" u="1"/>
        <n v="3764021" u="1"/>
        <n v="3763819" u="1"/>
        <n v="3763666" u="1"/>
        <n v="3766855" u="1"/>
        <n v="3768371" u="1"/>
        <n v="3768998" u="1"/>
        <n v="3770379" u="1"/>
        <n v="3769396" u="1"/>
        <n v="3768807" u="1"/>
        <n v="3769039" u="1"/>
        <n v="3771824" u="1"/>
        <n v="3771419" u="1"/>
        <n v="3758861" u="1"/>
        <n v="3769383" u="1"/>
        <n v="3771720" u="1"/>
        <n v="3773210" u="1"/>
        <n v="3773922" u="1"/>
        <n v="3758482" u="1"/>
        <n v="3761237" u="1"/>
        <n v="3769397" u="1"/>
        <n v="3771736" u="1"/>
        <n v="3760875" u="1"/>
        <n v="3760973" u="1"/>
        <n v="3764063" u="1"/>
        <n v="3759006" u="1"/>
        <n v="3758880" u="1"/>
        <n v="3767037" u="1"/>
        <n v="3766527" u="1"/>
        <n v="3766534" u="1"/>
        <n v="3768828" u="1"/>
        <n v="3771448" u="1"/>
        <n v="3771451" u="1"/>
        <n v="3772414" u="1"/>
        <n v="3761454" u="1"/>
        <n v="3766757" u="1"/>
        <n v="3771701" u="1"/>
        <n v="3771411" u="1"/>
        <n v="3766766" u="1"/>
        <n v="3768715" u="1"/>
        <n v="3765308" u="1"/>
        <n v="3774932" u="1"/>
        <n v="3763689" u="1"/>
        <n v="3769314" u="1"/>
        <n v="3771290" u="1"/>
        <n v="3766508" u="1"/>
        <n v="3771449" u="1"/>
        <n v="3771412" u="1"/>
        <n v="3763711" u="1"/>
        <n v="3760109" u="1"/>
        <n v="3760237" u="1"/>
        <n v="3760426" u="1"/>
        <n v="3763084" u="1"/>
        <n v="3771012" u="1"/>
        <n v="3758450" u="1"/>
        <n v="3582307" u="1"/>
        <n v="3760966" u="1"/>
        <n v="3761266" u="1"/>
        <n v="3763827" u="1"/>
        <n v="3761321" u="1"/>
        <n v="3764061" u="1"/>
        <n v="3766323" u="1"/>
        <n v="3766811" u="1"/>
        <n v="3771418" u="1"/>
        <n v="3771431" u="1"/>
        <n v="3774049" u="1"/>
        <n v="3758677" u="1"/>
        <n v="3760830" u="1"/>
        <n v="3760916" u="1"/>
        <n v="3761346" u="1"/>
        <n v="3768986" u="1"/>
        <n v="3769407" u="1"/>
        <n v="3768990" u="1"/>
        <n v="3767396" u="1"/>
        <n v="3760257" u="1"/>
        <n v="3762023" u="1"/>
        <n v="3765021" u="1"/>
        <n v="3773578" u="1"/>
        <n v="3761328" u="1"/>
        <n v="3764049" u="1"/>
        <n v="3763957" u="1"/>
        <n v="3764066" u="1"/>
        <n v="3766352" u="1"/>
        <n v="3766781" u="1"/>
        <n v="3771475" u="1"/>
        <n v="3773301" u="1"/>
        <n v="3773305" u="1"/>
        <n v="3758479" u="1"/>
        <n v="3758893" u="1"/>
        <n v="3760946" u="1"/>
        <n v="3766439" u="1"/>
        <n v="3766549" u="1"/>
        <n v="3770148" u="1"/>
        <n v="3769405" u="1"/>
        <n v="3771648" u="1"/>
        <n v="3760929" u="1"/>
        <n v="3764050" u="1"/>
        <n v="3766876" u="1"/>
        <n v="3766336" u="1"/>
        <n v="3769049" u="1"/>
        <n v="3771423" u="1"/>
        <n v="3764570" u="1"/>
        <n v="3766779" u="1"/>
        <n v="3769324" u="1"/>
        <n v="3768952" u="1"/>
        <n v="3769042" u="1"/>
        <n v="3774273" u="1"/>
        <n v="3758456" u="1"/>
        <n v="3760972" u="1"/>
        <n v="3760891" u="1"/>
        <n v="3763544" u="1"/>
        <n v="3763607" u="1"/>
        <n v="3766828" u="1"/>
        <n v="3766418" u="1"/>
        <n v="3766815" u="1"/>
        <n v="3769352" u="1"/>
        <n v="3771398" u="1"/>
        <n v="3759722" u="1"/>
        <n v="3760953" u="1"/>
        <n v="3763115" u="1"/>
        <n v="3761329" u="1"/>
        <n v="3759746" u="1"/>
        <n v="3766560" u="1"/>
        <n v="3771473" u="1"/>
        <n v="3773304" u="1"/>
        <n v="3758883" u="1"/>
        <n v="3763571" u="1"/>
        <n v="3763675" u="1"/>
        <n v="3763692" u="1"/>
        <n v="3766542" u="1"/>
        <n v="3766556" u="1"/>
        <n v="3766804" u="1"/>
        <n v="3758821" u="1"/>
        <n v="3764202" u="1"/>
        <n v="3763550" u="1"/>
        <n v="3764027" u="1"/>
        <n v="3769351" u="1"/>
        <n v="3768940" u="1"/>
        <n v="3768821" u="1"/>
        <n v="3758872" u="1"/>
        <n v="3761307" u="1"/>
        <n v="3760841" u="1"/>
        <n v="3764014" u="1"/>
        <n v="3763948" u="1"/>
        <n v="3771637" u="1"/>
        <n v="3771717" u="1"/>
        <n v="3758870" u="1"/>
        <n v="3761145" u="1"/>
        <n v="3764035" u="1"/>
        <n v="3766545" u="1"/>
        <n v="3769791" u="1"/>
        <n v="3769394" u="1"/>
        <n v="3761803" u="1"/>
        <n v="3761146" u="1"/>
        <n v="3764714" u="1"/>
        <n v="3771400" u="1"/>
        <n v="3768347" u="1"/>
        <n v="3762143" u="1"/>
        <n v="3768264" u="1"/>
        <n v="3768938" u="1"/>
        <n v="3769368" u="1"/>
        <n v="3759370" u="1"/>
        <n v="3761719" u="1"/>
        <n v="3768867" u="1"/>
        <n v="3764549" u="1"/>
        <n v="3768687" u="1"/>
        <n v="3761617" u="1"/>
        <n v="3763390" u="1"/>
        <n v="3764621" u="1"/>
        <n v="3767207" u="1"/>
        <n v="3766074" u="1"/>
        <n v="3761544" u="1"/>
        <n v="3767027" u="1"/>
        <n v="3764132" u="1"/>
        <n v="3766503" u="1"/>
        <n v="3767941" u="1"/>
        <n v="3768333" u="1"/>
        <n v="3767060" u="1"/>
        <n v="3771000" u="1"/>
        <n v="3765527" u="1"/>
        <n v="3768559" u="1"/>
        <n v="3754950" u="1"/>
        <n v="3773214" u="1"/>
        <n v="3763588" u="1"/>
        <n v="3753678" u="1"/>
        <n v="3764293" u="1"/>
        <n v="3763732" u="1"/>
        <n v="3767455" u="1"/>
        <n v="3763281" u="1"/>
        <n v="3770234" u="1"/>
        <n v="3762560" u="1"/>
        <n v="3765121" u="1"/>
        <n v="3766135" u="1"/>
        <n v="3761932" u="1"/>
        <n v="3761147" u="1"/>
        <n v="3764025" u="1"/>
        <n v="3766342" u="1"/>
        <n v="3759153" u="1"/>
        <n v="3763113" u="1"/>
        <n v="3761193" u="1"/>
        <n v="3764806" u="1"/>
        <n v="3768113" u="1"/>
        <n v="3745774" u="1"/>
        <n v="3746515" u="1"/>
        <n v="3747025" u="1"/>
        <n v="3755174" u="1"/>
        <n v="3745913" u="1"/>
        <n v="3749581" u="1"/>
        <n v="3755951" u="1"/>
        <n v="3756389" u="1"/>
        <n v="3751814" u="1"/>
        <n v="3758155" u="1"/>
        <n v="3747676" u="1"/>
        <n v="3754052" u="1"/>
        <n v="3744729" u="1"/>
        <n v="3746027" u="1"/>
        <n v="3740917" u="1"/>
        <n v="3751295" u="1"/>
        <n v="3753790" u="1"/>
        <n v="3758339" u="1"/>
        <n v="3746984" u="1"/>
        <n v="3745179" u="1"/>
        <n v="3745613" u="1"/>
        <n v="3754567" u="1"/>
        <n v="3754127" u="1"/>
        <n v="3754978" u="1"/>
        <n v="3747321" u="1"/>
        <n v="3757754" u="1"/>
        <n v="3744515" u="1"/>
        <n v="3747861" u="1"/>
        <n v="3748941" u="1"/>
        <n v="3749287" u="1"/>
        <n v="3753414" u="1"/>
        <n v="3752561" u="1"/>
        <n v="3754379" u="1"/>
        <n v="3732371" u="1"/>
        <n v="3749079" u="1"/>
        <n v="3751038" u="1"/>
        <n v="3753718" u="1"/>
        <n v="3755561" u="1"/>
        <n v="3755747" u="1"/>
        <n v="3748912" u="1"/>
        <n v="3751318" u="1"/>
        <n v="3753229" u="1"/>
        <n v="3685854" u="1"/>
        <n v="3757964" u="1"/>
        <n v="3756551" u="1"/>
        <n v="3756053" u="1"/>
        <n v="3754989" u="1"/>
        <n v="3734775" u="1"/>
        <n v="3752428" u="1"/>
        <n v="3754620" u="1"/>
        <n v="3752201" u="1"/>
        <n v="3758346" u="1"/>
        <n v="3750306" u="1"/>
        <n v="3750484" u="1"/>
        <n v="3757108" u="1"/>
        <n v="3749965" u="1"/>
        <n v="3751803" u="1"/>
        <n v="3745888" u="1"/>
        <n v="3748466" u="1"/>
        <n v="3750345" u="1"/>
        <n v="3745218" u="1"/>
        <n v="3751629" u="1"/>
        <n v="3754187" u="1"/>
        <n v="3756990" u="1"/>
        <n v="3746688" u="1"/>
        <n v="3755419" u="1"/>
        <n v="3747962" u="1"/>
        <n v="3749096" u="1"/>
        <n v="3749060" u="1"/>
        <n v="3755927" u="1"/>
        <n v="3755426" u="1"/>
        <n v="3753296" u="1"/>
        <n v="3753528" u="1"/>
        <n v="3755289" u="1"/>
        <n v="3746919" u="1"/>
        <n v="3747086" u="1"/>
        <n v="3749391" u="1"/>
        <n v="3749743" u="1"/>
        <n v="3751842" u="1"/>
        <n v="3754307" u="1"/>
        <n v="3749857" u="1"/>
        <n v="3753348" u="1"/>
        <n v="3756267" u="1"/>
        <n v="3756486" u="1"/>
        <n v="3746113" u="1"/>
        <n v="3746980" u="1"/>
        <n v="3752112" u="1"/>
        <n v="3753444" u="1"/>
        <n v="3749898" u="1"/>
        <n v="3752329" u="1"/>
        <n v="3753974" u="1"/>
        <n v="3754674" u="1"/>
        <n v="3754064" u="1"/>
        <n v="3748146" u="1"/>
        <n v="3755654" u="1"/>
        <n v="3755807" u="1"/>
        <n v="3746420" u="1"/>
        <n v="3749514" u="1"/>
        <n v="3751531" u="1"/>
        <n v="3751925" u="1"/>
        <n v="3752927" u="1"/>
        <n v="3755984" u="1"/>
        <n v="3754835" u="1"/>
        <n v="3751650" u="1"/>
        <n v="3746574" u="1"/>
        <n v="3749475" u="1"/>
        <n v="3757355" u="1"/>
        <n v="3746138" u="1"/>
        <n v="3748109" u="1"/>
        <n v="3751121" u="1"/>
        <n v="3752262" u="1"/>
        <n v="3745213" u="1"/>
        <n v="3741911" u="1"/>
        <n v="3751853" u="1"/>
        <n v="3756280" u="1"/>
        <n v="3747860" u="1"/>
        <n v="3749619" u="1"/>
        <n v="3752235" u="1"/>
        <n v="3754185" u="1"/>
        <n v="3752780" u="1"/>
        <n v="3746514" u="1"/>
        <n v="3749098" u="1"/>
        <n v="3745309" u="1"/>
        <n v="3745737" u="1"/>
        <n v="3746062" u="1"/>
        <n v="3746137" u="1"/>
        <n v="3717372" u="1"/>
        <n v="3755034" u="1"/>
        <n v="3745119" u="1"/>
        <n v="3752693" u="1"/>
        <n v="3754369" u="1"/>
        <n v="3745936" u="1"/>
        <n v="3746428" u="1"/>
        <n v="3698373" u="1"/>
        <n v="3746387" u="1"/>
        <n v="3748122" u="1"/>
        <n v="3748773" u="1"/>
        <n v="3752472" u="1"/>
        <n v="3755105" u="1"/>
        <n v="3757641" u="1"/>
        <n v="3757425" u="1"/>
        <n v="3745787" u="1"/>
        <n v="3746017" u="1"/>
        <n v="3745904" u="1"/>
        <n v="3747073" u="1"/>
        <n v="3754610" u="1"/>
        <n v="3754152" u="1"/>
        <n v="3754246" u="1"/>
        <n v="3745485" u="1"/>
        <n v="3745768" u="1"/>
        <n v="3748877" u="1"/>
        <n v="3749749" u="1"/>
        <n v="3750162" u="1"/>
        <n v="3752052" u="1"/>
        <n v="3752632" u="1"/>
        <n v="3757590" u="1"/>
        <n v="3748024" u="1"/>
        <n v="3753259" u="1"/>
        <n v="3752261" u="1"/>
        <n v="3756106" u="1"/>
        <n v="3756438" u="1"/>
        <n v="3748624" u="1"/>
        <n v="3751835" u="1"/>
        <n v="3745660" u="1"/>
        <n v="3756552" u="1"/>
        <n v="3751805" u="1"/>
        <n v="3752481" u="1"/>
        <n v="3753836" u="1"/>
        <n v="3753714" u="1"/>
        <n v="3753797" u="1"/>
        <n v="3757522" u="1"/>
        <n v="3639481" u="1"/>
        <n v="3748621" u="1"/>
        <n v="3753826" u="1"/>
        <n v="3746142" u="1"/>
        <n v="3682282" u="1"/>
        <n v="3751806" u="1"/>
        <n v="3748539" u="1"/>
        <n v="3754513" u="1"/>
        <n v="3753921" u="1"/>
        <n v="3747950" u="1"/>
        <n v="3745937" u="1"/>
        <n v="3746051" u="1"/>
        <n v="3748782" u="1"/>
        <n v="3753634" u="1"/>
        <n v="3754319" u="1"/>
        <n v="3752187" u="1"/>
        <n v="3751843" u="1"/>
        <n v="3752613" u="1"/>
        <n v="3757752" u="1"/>
        <n v="3757906" u="1"/>
        <n v="3745992" u="1"/>
        <n v="3744998" u="1"/>
        <n v="3753250" u="1"/>
        <n v="3757628" u="1"/>
        <n v="3745982" u="1"/>
        <n v="3747029" u="1"/>
        <n v="3750179" u="1"/>
        <n v="3738753" u="1"/>
        <n v="3755472" u="1"/>
        <n v="3757895" u="1"/>
        <n v="3758248" u="1"/>
        <n v="3758534" u="1"/>
        <n v="3754805" u="1"/>
        <n v="3732426" u="1"/>
        <n v="3756116" u="1"/>
        <n v="3757770" u="1"/>
        <n v="3694737" u="1"/>
        <n v="3747685" u="1"/>
        <n v="3746743" u="1"/>
        <n v="3746590" u="1"/>
        <n v="3757680" u="1"/>
        <n v="3757676" u="1"/>
        <n v="3754326" u="1"/>
        <n v="3757620" u="1"/>
        <n v="3745255" u="1"/>
        <n v="3747068" u="1"/>
        <n v="3746616" u="1"/>
        <n v="3748454" u="1"/>
        <n v="3756136" u="1"/>
        <n v="3745524" u="1"/>
        <n v="3753820" u="1"/>
        <n v="3746148" u="1"/>
        <n v="3736998" u="1"/>
        <n v="3747312" u="1"/>
        <n v="3702917" u="1"/>
        <n v="3750498" u="1"/>
        <n v="3753642" u="1"/>
        <n v="3757638" u="1"/>
        <n v="3751556" u="1"/>
        <n v="3754095" u="1"/>
        <n v="3748747" u="1"/>
        <n v="3750972" u="1"/>
        <n v="3755476" u="1"/>
        <n v="3754157" u="1"/>
        <n v="3757610" u="1"/>
        <n v="3732424" u="1"/>
        <n v="3754830" u="1"/>
        <n v="3756607" u="1"/>
        <n v="3732429" u="1"/>
        <n v="3747255" u="1"/>
        <n v="3748058" u="1"/>
        <n v="3748871" u="1"/>
        <n v="3746290" u="1"/>
        <n v="3746631" u="1"/>
        <n v="3747893" u="1"/>
        <n v="3747292" u="1"/>
        <n v="3749893" u="1"/>
        <n v="3740887" u="1"/>
        <n v="3758359" u="1"/>
        <n v="3746987" u="1"/>
        <n v="3742278" u="1"/>
        <n v="3755104" u="1"/>
        <n v="3743041" u="1"/>
        <n v="3745874" u="1"/>
        <n v="3747830" u="1"/>
        <n v="3747876" u="1"/>
        <n v="3747880" u="1"/>
        <n v="3750352" u="1"/>
        <n v="3751185" u="1"/>
        <n v="3747256" u="1"/>
        <n v="3733530" u="1"/>
        <n v="3749955" u="1"/>
        <n v="3750166" u="1"/>
        <n v="3755018" u="1"/>
        <n v="3747171" u="1"/>
        <n v="3757713" u="1"/>
        <n v="3704154" u="1"/>
        <n v="3746425" u="1"/>
        <n v="3745890" u="1"/>
        <n v="3754405" u="1"/>
        <n v="3757225" u="1"/>
        <n v="3749954" u="1"/>
        <n v="3748766" u="1"/>
        <n v="3753353" u="1"/>
        <n v="3746448" u="1"/>
        <n v="3754694" u="1"/>
        <n v="3746953" u="1"/>
        <n v="3746380" u="1"/>
        <n v="3748535" u="1"/>
        <n v="3732512" u="1"/>
        <n v="3745661" u="1"/>
        <n v="3732381" u="1"/>
        <n v="3747056" u="1"/>
        <n v="3756578" u="1"/>
        <n v="3755926" u="1"/>
        <n v="3746805" u="1"/>
        <n v="3748947" u="1"/>
        <n v="3753073" u="1"/>
        <n v="3745895" u="1"/>
        <n v="3747059" u="1"/>
        <n v="3756052" u="1"/>
        <n v="3751635" u="1"/>
        <n v="3755969" u="1"/>
        <n v="3748939" u="1"/>
        <n v="3751821" u="1"/>
        <n v="3746721" u="1"/>
        <n v="3751064" u="1"/>
        <n v="3753659" u="1"/>
        <n v="3755842" u="1"/>
        <n v="3748881" u="1"/>
        <n v="3753722" u="1"/>
        <n v="3746519" u="1"/>
        <n v="3746436" u="1"/>
        <n v="3732422" u="1"/>
        <n v="3757395" u="1"/>
        <n v="3758246" u="1"/>
        <n v="3748776" u="1"/>
        <n v="3748311" u="1"/>
        <n v="3750958" u="1"/>
        <n v="3751167" u="1"/>
        <n v="3741396" u="1"/>
        <n v="3749549" u="1"/>
        <n v="3752617" u="1"/>
        <n v="3754329" u="1"/>
        <n v="3756873" u="1"/>
        <n v="3755939" u="1"/>
        <n v="3757503" u="1"/>
        <n v="3759163" u="1"/>
        <n v="3745151" u="1"/>
        <n v="3745505" u="1"/>
        <n v="3748738" u="1"/>
        <n v="3747036" u="1"/>
        <n v="3747412" u="1"/>
        <n v="3750254" u="1"/>
        <n v="3744999" u="1"/>
        <n v="3754213" u="1"/>
        <n v="3751945" u="1"/>
        <n v="3756723" u="1"/>
        <n v="3756061" u="1"/>
        <n v="3750940" u="1"/>
        <n v="3747032" u="1"/>
        <n v="3757173" u="1"/>
        <n v="3757774" u="1"/>
        <n v="3747119" u="1"/>
        <n v="3741067" u="1"/>
        <n v="3749967" u="1"/>
        <n v="3752893" u="1"/>
        <n v="3754667" u="1"/>
        <n v="3750358" u="1"/>
        <n v="3751954" u="1"/>
        <n v="3755041" u="1"/>
        <n v="3737227" u="1"/>
        <n v="3685105" u="1"/>
        <n v="3704553" u="1"/>
        <n v="3749328" u="1"/>
        <n v="3747714" u="1"/>
        <n v="3753498" u="1"/>
        <n v="3747074" u="1"/>
        <n v="3747938" u="1"/>
        <n v="3752621" u="1"/>
        <n v="3755658" u="1"/>
        <n v="3744979" u="1"/>
        <n v="3746116" u="1"/>
        <n v="3757720" u="1"/>
        <n v="3753235" u="1"/>
        <n v="3746915" u="1"/>
        <n v="3753580" u="1"/>
        <n v="3754431" u="1"/>
        <n v="3755166" u="1"/>
        <n v="3747057" u="1"/>
        <n v="3756317" u="1"/>
        <n v="3750367" u="1"/>
        <n v="3745342" u="1"/>
        <n v="3745971" u="1"/>
        <n v="3745879" u="1"/>
        <n v="3747865" u="1"/>
        <n v="3752044" u="1"/>
        <n v="3756372" u="1"/>
        <n v="3747712" u="1"/>
        <n v="3747907" u="1"/>
        <n v="3747519" u="1"/>
        <n v="3749403" u="1"/>
        <n v="3753015" u="1"/>
        <n v="3748186" u="1"/>
        <n v="3743049" u="1"/>
        <n v="3752259" u="1"/>
        <n v="3758261" u="1"/>
        <n v="3743051" u="1"/>
        <n v="3753495" u="1"/>
        <n v="3748802" u="1"/>
        <n v="3749668" u="1"/>
        <n v="3749454" u="1"/>
        <n v="3751568" u="1"/>
        <n v="3753786" u="1"/>
        <n v="3745481" u="1"/>
        <n v="3745157" u="1"/>
        <n v="3746512" u="1"/>
        <n v="3743213" u="1"/>
        <n v="3747609" u="1"/>
        <n v="3749149" u="1"/>
        <n v="3753347" u="1"/>
        <n v="3754262" u="1"/>
        <n v="3757493" u="1"/>
        <n v="3741923" u="1"/>
        <n v="3746817" u="1"/>
        <n v="3753076" u="1"/>
        <n v="3745887" u="1"/>
        <n v="3747864" u="1"/>
        <n v="3750078" u="1"/>
        <n v="3751078" u="1"/>
        <n v="3750092" u="1"/>
        <n v="3747576" u="1"/>
        <n v="3746692" u="1"/>
        <n v="3752425" u="1"/>
        <n v="3746693" u="1"/>
        <n v="3746694" u="1"/>
        <n v="3749452" u="1"/>
        <n v="3752354" u="1"/>
        <n v="3749628" u="1"/>
        <n v="3755058" u="1"/>
        <n v="3754739" u="1"/>
        <n v="3757300" u="1"/>
        <n v="3748425" u="1"/>
        <n v="3750083" u="1"/>
        <n v="3743034" u="1"/>
        <n v="3743071" u="1"/>
        <n v="3747873" u="1"/>
        <n v="3753255" u="1"/>
        <n v="3750000" u="1"/>
        <n v="3750082" u="1"/>
        <n v="3751049" u="1"/>
        <n v="3753780" u="1"/>
        <n v="3754387" u="1"/>
        <n v="3754409" u="1"/>
        <n v="3754641" u="1"/>
        <n v="3749351" u="1"/>
        <n v="3754640" u="1"/>
        <n v="3745477" u="1"/>
        <n v="3746540" u="1"/>
        <n v="3743054" u="1"/>
        <n v="3746687" u="1"/>
        <n v="3750063" u="1"/>
        <n v="3750975" u="1"/>
        <n v="3752257" u="1"/>
        <n v="3754383" u="1"/>
        <n v="3757329" u="1"/>
        <n v="3747449" u="1"/>
        <n v="3751990" u="1"/>
        <n v="3757635" u="1"/>
        <n v="3746691" u="1"/>
        <n v="3752104" u="1"/>
        <n v="3754400" u="1"/>
        <n v="3745463" u="1"/>
        <n v="3746910" u="1"/>
        <n v="3741394" u="1"/>
        <n v="3748187" u="1"/>
        <n v="3749719" u="1"/>
        <n v="3751031" u="1"/>
        <n v="3753496" u="1"/>
        <n v="3754401" u="1"/>
        <n v="3755421" u="1"/>
        <n v="3751510" u="1"/>
        <n v="3746923" u="1"/>
        <n v="3746700" u="1"/>
        <n v="3748846" u="1"/>
        <n v="3751298" u="1"/>
        <n v="3751749" u="1"/>
        <n v="3752869" u="1"/>
        <n v="3747260" u="1"/>
        <n v="3751030" u="1"/>
        <n v="3748713" u="1"/>
        <n v="3751264" u="1"/>
        <n v="3748965" u="1"/>
        <n v="3748618" u="1"/>
        <n v="3741012" u="1"/>
        <n v="3745063" u="1"/>
        <n v="3755204" u="1"/>
        <n v="3754286" u="1"/>
        <n v="3757684" u="1"/>
        <n v="3745471" u="1"/>
        <n v="3747017" u="1"/>
        <n v="3752413" u="1"/>
        <n v="3756670" u="1"/>
        <n v="3747407" u="1"/>
        <n v="3748809" u="1"/>
        <n v="3744522" u="1"/>
        <n v="3745420" u="1"/>
        <n v="3754969" u="1"/>
        <n v="3757644" u="1"/>
        <n v="3758190" u="1"/>
        <n v="3757872" u="1"/>
        <n v="3747109" u="1"/>
        <n v="3747985" u="1"/>
        <n v="3745253" u="1"/>
        <n v="3746388" u="1"/>
        <n v="3748079" u="1"/>
        <n v="3754080" u="1"/>
        <n v="3751987" u="1"/>
        <n v="3755345" u="1"/>
        <n v="3758912" u="1"/>
        <n v="3743045" u="1"/>
        <n v="3746689" u="1"/>
        <n v="3755478" u="1"/>
        <n v="3756224" u="1"/>
        <n v="3751240" u="1"/>
        <n v="3746254" u="1"/>
        <n v="3745914" u="1"/>
        <n v="3747310" u="1"/>
        <n v="3749270" u="1"/>
        <n v="3752557" u="1"/>
        <n v="3753931" u="1"/>
        <n v="3752058" u="1"/>
        <n v="3754783" u="1"/>
        <n v="3754264" u="1"/>
        <n v="3753807" u="1"/>
        <n v="3747732" u="1"/>
        <n v="3751114" u="1"/>
        <n v="3746597" u="1"/>
        <n v="3746395" u="1"/>
        <n v="3748243" u="1"/>
        <n v="3748262" u="1"/>
        <n v="3754931" u="1"/>
        <n v="3750769" u="1"/>
        <n v="3752998" u="1"/>
        <n v="3752989" u="1"/>
        <n v="3755091" u="1"/>
        <n v="3748982" u="1"/>
        <n v="3755468" u="1"/>
        <n v="3738726" u="1"/>
        <n v="3754079" u="1"/>
        <n v="3755979" u="1"/>
        <n v="3756696" u="1"/>
        <n v="3751089" u="1"/>
        <n v="3752856" u="1"/>
        <n v="3746592" u="1"/>
        <n v="3750620" u="1"/>
        <n v="3750848" u="1"/>
        <n v="3753165" u="1"/>
        <n v="3755318" u="1"/>
        <n v="3755331" u="1"/>
        <n v="3745469" u="1"/>
        <n v="3745146" u="1"/>
        <n v="3750608" u="1"/>
        <n v="3753909" u="1"/>
        <n v="3752834" u="1"/>
        <n v="3755147" u="1"/>
        <n v="3748249" u="1"/>
        <n v="3745226" u="1"/>
        <n v="3745429" u="1"/>
        <n v="3755153" u="1"/>
        <n v="3749282" u="1"/>
        <n v="3749164" u="1"/>
        <n v="3750610" u="1"/>
        <n v="3752819" u="1"/>
        <n v="3752831" u="1"/>
        <n v="3753193" u="1"/>
        <n v="3755585" u="1"/>
        <n v="3755346" u="1"/>
        <n v="3756813" u="1"/>
        <n v="3757141" u="1"/>
        <n v="3748716" u="1"/>
        <n v="3748839" u="1"/>
        <n v="3748712" u="1"/>
        <n v="3752806" u="1"/>
        <n v="3753093" u="1"/>
        <n v="3754905" u="1"/>
        <n v="3756811" u="1"/>
        <n v="3750943" u="1"/>
        <n v="3754661" u="1"/>
        <n v="3755257" u="1"/>
        <n v="3757087" u="1"/>
        <n v="3757036" u="1"/>
        <n v="3756815" u="1"/>
        <n v="3752090" u="1"/>
        <n v="3747548" u="1"/>
        <n v="3752276" u="1"/>
        <n v="3758060" u="1"/>
        <n v="3749385" u="1"/>
        <n v="3748646" u="1"/>
        <n v="3750583" u="1"/>
        <n v="3752742" u="1"/>
        <n v="3754866" u="1"/>
        <n v="3755134" u="1"/>
        <n v="3748685" u="1"/>
        <n v="3755276" u="1"/>
        <n v="3747427" u="1"/>
        <n v="3755059" u="1"/>
        <n v="3748666" u="1"/>
        <n v="3753363" u="1"/>
        <n v="3754915" u="1"/>
        <n v="3755369" u="1"/>
        <n v="3748251" u="1"/>
        <n v="3748737" u="1"/>
        <n v="3750564" u="1"/>
        <n v="3750654" u="1"/>
        <n v="3755129" u="1"/>
        <n v="3754930" u="1"/>
        <n v="3750866" u="1"/>
        <n v="3750647" u="1"/>
        <n v="3750590" u="1"/>
        <n v="3753019" u="1"/>
        <n v="3752755" u="1"/>
        <n v="3752850" u="1"/>
        <n v="3753564" u="1"/>
        <n v="3755280" u="1"/>
        <n v="3746279" u="1"/>
        <n v="3746902" u="1"/>
        <n v="3746635" u="1"/>
        <n v="3748925" u="1"/>
        <n v="3748042" u="1"/>
        <n v="3748824" u="1"/>
        <n v="3748467" u="1"/>
        <n v="3750024" u="1"/>
        <n v="3752116" u="1"/>
        <n v="3753547" u="1"/>
        <n v="3757661" u="1"/>
        <n v="3756563" u="1"/>
        <n v="3745434" u="1"/>
        <n v="3750753" u="1"/>
        <n v="3750660" u="1"/>
        <n v="3753501" u="1"/>
        <n v="3755623" u="1"/>
        <n v="3755371" u="1"/>
        <n v="3745234" u="1"/>
        <n v="3750768" u="1"/>
        <n v="3755325" u="1"/>
        <n v="3756827" u="1"/>
        <n v="3745256" u="1"/>
        <n v="3746358" u="1"/>
        <n v="3748239" u="1"/>
        <n v="3748740" u="1"/>
        <n v="3750956" u="1"/>
        <n v="3752797" u="1"/>
        <n v="3747099" u="1"/>
        <n v="3746344" u="1"/>
        <n v="3746403" u="1"/>
        <n v="3749089" u="1"/>
        <n v="3750585" u="1"/>
        <n v="3750661" u="1"/>
        <n v="3750884" u="1"/>
        <n v="3753183" u="1"/>
        <n v="3753106" u="1"/>
        <n v="3753198" u="1"/>
        <n v="3754916" u="1"/>
        <n v="3750143" u="1"/>
        <n v="3753179" u="1"/>
        <n v="3753192" u="1"/>
        <n v="3753132" u="1"/>
        <n v="3746328" u="1"/>
        <n v="3746506" u="1"/>
        <n v="3748684" u="1"/>
        <n v="3753515" u="1"/>
        <n v="3756987" u="1"/>
        <n v="3745207" u="1"/>
        <n v="3745400" u="1"/>
        <n v="3745495" u="1"/>
        <n v="3745239" u="1"/>
        <n v="3746368" u="1"/>
        <n v="3748900" u="1"/>
        <n v="3748236" u="1"/>
        <n v="3748715" u="1"/>
        <n v="3752744" u="1"/>
        <n v="3753109" u="1"/>
        <n v="3748628" u="1"/>
        <n v="3748732" u="1"/>
        <n v="3753210" u="1"/>
        <n v="3746554" u="1"/>
        <n v="3750542" u="1"/>
        <n v="3753083" u="1"/>
        <n v="3754854" u="1"/>
        <n v="3747370" u="1"/>
        <n v="3746690" u="1"/>
        <n v="3748133" u="1"/>
        <n v="3748850" u="1"/>
        <n v="3748717" u="1"/>
        <n v="3748857" u="1"/>
        <n v="3748319" u="1"/>
        <n v="3751511" u="1"/>
        <n v="3751869" u="1"/>
        <n v="3754643" u="1"/>
        <n v="3751002" u="1"/>
        <n v="3756540" u="1"/>
        <n v="3754528" u="1"/>
        <n v="3746527" u="1"/>
        <n v="3748583" u="1"/>
        <n v="3756297" u="1"/>
        <n v="3752361" u="1"/>
        <n v="3748298" u="1"/>
        <n v="3748362" u="1"/>
        <n v="3755571" u="1"/>
        <n v="3758612" u="1"/>
        <n v="3757955" u="1"/>
        <n v="3757924" u="1"/>
        <n v="3746654" u="1"/>
        <n v="3732359" u="1"/>
        <n v="3745963" u="1"/>
        <n v="3748497" u="1"/>
        <n v="3753631" u="1"/>
        <n v="3754338" u="1"/>
        <n v="3757718" u="1"/>
        <n v="3755323" u="1"/>
        <n v="3754636" u="1"/>
        <n v="3754564" u="1"/>
        <n v="3755625" u="1"/>
        <n v="3655585" u="1"/>
        <n v="3659365" u="1"/>
        <n v="3657540" u="1"/>
        <n v="3650208" u="1"/>
        <n v="3617039" u="1"/>
        <n v="3666086" u="1"/>
        <n v="3657094" u="1"/>
        <n v="3657386" u="1"/>
        <n v="3596553" u="1"/>
        <n v="3662971" u="1"/>
        <n v="3663017" u="1"/>
        <n v="3663223" u="1"/>
        <n v="3652770" u="1"/>
        <n v="3652456" u="1"/>
        <n v="3656618" u="1"/>
        <n v="3661674" u="1"/>
        <n v="3662783" u="1"/>
        <n v="3667351" u="1"/>
        <n v="3655014" u="1"/>
        <n v="3659598" u="1"/>
        <n v="3657604" u="1"/>
        <n v="3660747" u="1"/>
        <n v="3620831" u="1"/>
        <n v="3667609" u="1"/>
        <n v="3658716" u="1"/>
        <n v="3654007" u="1"/>
        <n v="3661671" u="1"/>
        <n v="3663870" u="1"/>
        <n v="3657626" u="1"/>
        <n v="3666150" u="1"/>
        <n v="3666155" u="1"/>
        <n v="3657257" u="1"/>
        <n v="3664882" u="1"/>
        <n v="3668557" u="1"/>
        <n v="3662626" u="1"/>
        <n v="3653056" u="1"/>
        <n v="3666579" u="1"/>
        <n v="3661032" u="1"/>
        <n v="3655648" u="1"/>
        <n v="3654998" u="1"/>
        <n v="3657065" u="1"/>
        <n v="3660049" u="1"/>
        <n v="3665692" u="1"/>
        <n v="3658223" u="1"/>
        <n v="3659936" u="1"/>
        <n v="3632032" u="1"/>
        <n v="3663975" u="1"/>
        <n v="3665942" u="1"/>
        <n v="3655950" u="1"/>
        <n v="3654980" u="1"/>
        <n v="3656187" u="1"/>
        <n v="3650500" u="1"/>
        <n v="3656881" u="1"/>
        <n v="3656401" u="1"/>
        <n v="3665429" u="1"/>
        <n v="3667543" u="1"/>
        <n v="3665894" u="1"/>
        <n v="3657611" u="1"/>
        <n v="3649894" u="1"/>
        <n v="3665271" u="1"/>
        <n v="3655504" u="1"/>
        <n v="3639535" u="1"/>
        <n v="3661566" u="1"/>
        <n v="3662503" u="1"/>
        <n v="3663024" u="1"/>
        <n v="3656111" u="1"/>
        <n v="3657261" u="1"/>
        <n v="3665592" u="1"/>
        <n v="3656274" u="1"/>
        <n v="3657054" u="1"/>
        <n v="3664163" u="1"/>
        <n v="3666870" u="1"/>
        <n v="3653755" u="1"/>
        <n v="3656747" u="1"/>
        <n v="3659205" u="1"/>
        <n v="3658722" u="1"/>
        <n v="3661714" u="1"/>
        <n v="3662805" u="1"/>
        <n v="3661004" u="1"/>
        <n v="3663241" u="1"/>
        <n v="3658630" u="1"/>
        <n v="3658631" u="1"/>
        <n v="3659812" u="1"/>
        <n v="3664209" u="1"/>
        <n v="3665467" u="1"/>
        <n v="3655978" u="1"/>
        <n v="3660087" u="1"/>
        <n v="3661206" u="1"/>
        <n v="3657187" u="1"/>
        <n v="3590633" u="1"/>
        <n v="3663705" u="1"/>
        <n v="3663152" u="1"/>
        <n v="3663960" u="1"/>
        <n v="3659417" u="1"/>
        <n v="3659709" u="1"/>
        <n v="3660724" u="1"/>
        <n v="3660960" u="1"/>
        <n v="3667582" u="1"/>
        <n v="3665321" u="1"/>
        <n v="3656669" u="1"/>
        <n v="3657811" u="1"/>
        <n v="3658624" u="1"/>
        <n v="3660413" u="1"/>
        <n v="3661696" u="1"/>
        <n v="3665813" u="1"/>
        <n v="3667901" u="1"/>
        <n v="3662464" u="1"/>
        <n v="3662465" u="1"/>
        <n v="3666600" u="1"/>
        <n v="3667034" u="1"/>
        <n v="3656182" u="1"/>
        <n v="3656550" u="1"/>
        <n v="3666108" u="1"/>
        <n v="3654885" u="1"/>
        <n v="3659420" u="1"/>
        <n v="3660026" u="1"/>
        <n v="3665575" u="1"/>
        <n v="3666682" u="1"/>
        <n v="3656959" u="1"/>
        <n v="3657525" u="1"/>
        <n v="3659605" u="1"/>
        <n v="3659579" u="1"/>
        <n v="3661180" u="1"/>
        <n v="3664659" u="1"/>
        <n v="3659083" u="1"/>
        <n v="3656887" u="1"/>
        <n v="3662593" u="1"/>
        <n v="3666027" u="1"/>
        <n v="3656600" u="1"/>
        <n v="3659678" u="1"/>
        <n v="3658192" u="1"/>
        <n v="3656681" u="1"/>
        <n v="3666233" u="1"/>
        <n v="3657023" u="1"/>
        <n v="3659688" u="1"/>
        <n v="3663048" u="1"/>
        <n v="3664225" u="1"/>
        <n v="3662495" u="1"/>
        <n v="3657962" u="1"/>
        <n v="3660081" u="1"/>
        <n v="3662344" u="1"/>
        <n v="3664131" u="1"/>
        <n v="3653767" u="1"/>
        <n v="3659693" u="1"/>
        <n v="3664342" u="1"/>
        <n v="3657362" u="1"/>
        <n v="3658222" u="1"/>
        <n v="3662162" u="1"/>
        <n v="3661973" u="1"/>
        <n v="3664266" u="1"/>
        <n v="3658287" u="1"/>
        <n v="3657883" u="1"/>
        <n v="3656559" u="1"/>
        <n v="3649998" u="1"/>
        <n v="3654695" u="1"/>
        <n v="3659825" u="1"/>
        <n v="3658774" u="1"/>
        <n v="3664349" u="1"/>
        <n v="3664204" u="1"/>
        <n v="3667051" u="1"/>
        <n v="3668069" u="1"/>
        <n v="3656894" u="1"/>
        <n v="3660464" u="1"/>
        <n v="3666079" u="1"/>
        <n v="3655397" u="1"/>
        <n v="3657172" u="1"/>
        <n v="3666492" u="1"/>
        <n v="3664455" u="1"/>
        <n v="3659798" u="1"/>
        <n v="3663549" u="1"/>
        <n v="3664199" u="1"/>
        <n v="3665670" u="1"/>
        <n v="3663788" u="1"/>
        <n v="3659220" u="1"/>
        <n v="3662058" u="1"/>
        <n v="3663731" u="1"/>
        <n v="3656893" u="1"/>
        <n v="3661272" u="1"/>
        <n v="3660254" u="1"/>
        <n v="3656186" u="1"/>
        <n v="3663092" u="1"/>
        <n v="3665317" u="1"/>
        <n v="3655060" u="1"/>
        <n v="3656605" u="1"/>
        <n v="3658667" u="1"/>
        <n v="3662042" u="1"/>
        <n v="3665009" u="1"/>
        <n v="3656769" u="1"/>
        <n v="3660324" u="1"/>
        <n v="3652455" u="1"/>
        <n v="3659635" u="1"/>
        <n v="3620833" u="1"/>
        <n v="3655956" u="1"/>
        <n v="3655656" u="1"/>
        <n v="3665449" u="1"/>
        <n v="3666610" u="1"/>
        <n v="3655164" u="1"/>
        <n v="3659172" u="1"/>
        <n v="3659291" u="1"/>
        <n v="3661660" u="1"/>
        <n v="3664259" u="1"/>
        <n v="3663137" u="1"/>
        <n v="3655895" u="1"/>
        <n v="3657207" u="1"/>
        <n v="3657583" u="1"/>
        <n v="3657272" u="1"/>
        <n v="3660212" u="1"/>
        <n v="3665507" u="1"/>
        <n v="3660383" u="1"/>
        <n v="3656902" u="1"/>
        <n v="3656608" u="1"/>
        <n v="3657630" u="1"/>
        <n v="3658595" u="1"/>
        <n v="3659061" u="1"/>
        <n v="3660794" u="1"/>
        <n v="3659096" u="1"/>
        <n v="3661730" u="1"/>
        <n v="3666396" u="1"/>
        <n v="3643503" u="1"/>
        <n v="3653064" u="1"/>
        <n v="3663417" u="1"/>
        <n v="3667619" u="1"/>
        <n v="3657664" u="1"/>
        <n v="3655683" u="1"/>
        <n v="3660578" u="1"/>
        <n v="3655798" u="1"/>
        <n v="3664298" u="1"/>
        <n v="3668438" u="1"/>
        <n v="3613676" u="1"/>
        <n v="3656326" u="1"/>
        <n v="3656515" u="1"/>
        <n v="3665334" u="1"/>
        <n v="3653109" u="1"/>
        <n v="3665335" u="1"/>
        <n v="3656000" u="1"/>
        <n v="3660314" u="1"/>
        <n v="3652977" u="1"/>
        <n v="3657013" u="1"/>
        <n v="3665526" u="1"/>
        <n v="3658348" u="1"/>
        <n v="3656738" u="1"/>
        <n v="3656270" u="1"/>
        <n v="3504335" u="1"/>
        <n v="3666897" u="1"/>
        <n v="3665056" u="1"/>
        <n v="3664957" u="1"/>
        <n v="3660941" u="1"/>
        <n v="3660447" u="1"/>
        <n v="3653971" u="1"/>
        <n v="3663086" u="1"/>
        <n v="3666738" u="1"/>
        <n v="3656925" u="1"/>
        <n v="3639478" u="1"/>
        <n v="3662072" u="1"/>
        <n v="3662200" u="1"/>
        <n v="3664977" u="1"/>
        <n v="3657577" u="1"/>
        <n v="3660957" u="1"/>
        <n v="3663237" u="1"/>
        <n v="3666217" u="1"/>
        <n v="3667400" u="1"/>
        <n v="3657236" u="1"/>
        <n v="3657306" u="1"/>
        <n v="3660284" u="1"/>
        <n v="3654375" u="1"/>
        <n v="3662919" u="1"/>
        <n v="3654946" u="1"/>
        <n v="3659223" u="1"/>
        <n v="3657787" u="1"/>
        <n v="3655044" u="1"/>
        <n v="3663341" u="1"/>
        <n v="3658381" u="1"/>
        <n v="3662524" u="1"/>
        <n v="3662831" u="1"/>
        <n v="3658059" u="1"/>
        <n v="3663626" u="1"/>
        <n v="3664565" u="1"/>
        <n v="3663993" u="1"/>
        <n v="3667127" u="1"/>
        <n v="3664304" u="1"/>
        <n v="3661369" u="1"/>
        <n v="3656944" u="1"/>
        <n v="3658263" u="1"/>
        <n v="3657789" u="1"/>
        <n v="3663685" u="1"/>
        <n v="3656941" u="1"/>
        <n v="3656209" u="1"/>
        <n v="3662223" u="1"/>
        <n v="3650010" u="1"/>
        <n v="3659875" u="1"/>
        <n v="3660335" u="1"/>
        <n v="3665908" u="1"/>
        <n v="3653974" u="1"/>
        <n v="3657140" u="1"/>
        <n v="3655768" u="1"/>
        <n v="3657324" u="1"/>
        <n v="3660312" u="1"/>
        <n v="3656238" u="1"/>
        <n v="3660208" u="1"/>
        <n v="3664496" u="1"/>
        <n v="3665724" u="1"/>
        <n v="3656396" u="1"/>
        <n v="3658665" u="1"/>
        <n v="3663334" u="1"/>
        <n v="3665090" u="1"/>
        <n v="3666836" u="1"/>
        <n v="3658132" u="1"/>
        <n v="3488163" u="1"/>
        <n v="3660290" u="1"/>
        <n v="3663396" u="1"/>
        <n v="3665427" u="1"/>
        <n v="3651103" u="1"/>
        <n v="3663852" u="1"/>
        <n v="3617025" u="1"/>
        <n v="3661034" u="1"/>
        <n v="3662175" u="1"/>
        <n v="3632594" u="1"/>
        <n v="3656897" u="1"/>
        <n v="3657462" u="1"/>
        <n v="3655115" u="1"/>
        <n v="3658746" u="1"/>
        <n v="3664620" u="1"/>
        <n v="3644598" u="1"/>
        <n v="3660275" u="1"/>
        <n v="3655948" u="1"/>
        <n v="3656261" u="1"/>
        <n v="3659754" u="1"/>
        <n v="3660323" u="1"/>
        <n v="3660372" u="1"/>
        <n v="3661505" u="1"/>
        <n v="3658363" u="1"/>
        <n v="3655949" u="1"/>
        <n v="3660181" u="1"/>
        <n v="3660299" u="1"/>
        <n v="3663125" u="1"/>
        <n v="3616968" u="1"/>
        <n v="3659818" u="1"/>
        <n v="3664904" u="1"/>
        <n v="3663145" u="1"/>
        <n v="3663302" u="1"/>
        <n v="3664513" u="1"/>
        <n v="3656637" u="1"/>
        <n v="3666987" u="1"/>
        <n v="3657365" u="1"/>
        <n v="3660303" u="1"/>
        <n v="3660392" u="1"/>
        <n v="3663747" u="1"/>
        <n v="3626149" u="1"/>
        <n v="3661424" u="1"/>
        <n v="3660804" u="1"/>
        <n v="3657430" u="1"/>
        <n v="3665478" u="1"/>
        <n v="3662004" u="1"/>
        <n v="3657010" u="1"/>
        <n v="3655700" u="1"/>
        <n v="3664487" u="1"/>
        <n v="3667298" u="1"/>
        <n v="3653772" u="1"/>
        <n v="3659075" u="1"/>
        <n v="3659386" u="1"/>
        <n v="3661735" u="1"/>
        <n v="3660570" u="1"/>
        <n v="3660508" u="1"/>
        <n v="3663698" u="1"/>
        <n v="3665289" u="1"/>
        <n v="3657530" u="1"/>
        <n v="3668002" u="1"/>
        <n v="3657848" u="1"/>
        <n v="3660130" u="1"/>
        <n v="3658178" u="1"/>
        <n v="3662976" u="1"/>
        <n v="3624416" u="1"/>
        <n v="3667049" u="1"/>
        <n v="3655341" u="1"/>
        <n v="3654983" u="1"/>
        <n v="3660350" u="1"/>
        <n v="3666402" u="1"/>
        <n v="3659724" u="1"/>
        <n v="3656343" u="1"/>
        <n v="3660011" u="1"/>
        <n v="3662602" u="1"/>
        <n v="3660746" u="1"/>
        <n v="3657376" u="1"/>
        <n v="3663656" u="1"/>
        <n v="3665821" u="1"/>
        <n v="3654141" u="1"/>
        <n v="3657840" u="1"/>
        <n v="3656582" u="1"/>
        <n v="3657637" u="1"/>
        <n v="3660885" u="1"/>
        <n v="3657247" u="1"/>
        <n v="3662849" u="1"/>
        <n v="3659274" u="1"/>
        <n v="3657658" u="1"/>
        <n v="3657751" u="1"/>
        <n v="3661651" u="1"/>
        <n v="3656876" u="1"/>
        <n v="3663254" u="1"/>
        <n v="3663172" u="1"/>
        <n v="3663862" u="1"/>
        <n v="3663994" u="1"/>
        <n v="3614065" u="1"/>
        <n v="3655980" u="1"/>
        <n v="3653551" u="1"/>
        <n v="3657169" u="1"/>
        <n v="3661598" u="1"/>
        <n v="3663693" u="1"/>
        <n v="3658571" u="1"/>
        <n v="3662167" u="1"/>
        <n v="3658309" u="1"/>
        <n v="3663002" u="1"/>
        <n v="3663819" u="1"/>
        <n v="3666190" u="1"/>
        <n v="3667367" u="1"/>
        <n v="3654023" u="1"/>
        <n v="3665540" u="1"/>
        <n v="3657619" u="1"/>
        <n v="3657719" u="1"/>
        <n v="3664279" u="1"/>
        <n v="3641467" u="1"/>
        <n v="3626337" u="1"/>
        <n v="3657862" u="1"/>
        <n v="3660360" u="1"/>
        <n v="3663457" u="1"/>
        <n v="3663022" u="1"/>
        <n v="3657136" u="1"/>
        <n v="3660330" u="1"/>
        <n v="3660810" u="1"/>
        <n v="3662823" u="1"/>
        <n v="3663461" u="1"/>
        <n v="3656647" u="1"/>
        <n v="3661356" u="1"/>
        <n v="3663259" u="1"/>
        <n v="3657452" u="1"/>
        <n v="3663136" u="1"/>
        <n v="3655178" u="1"/>
        <n v="3657591" u="1"/>
        <n v="3660270" u="1"/>
        <n v="3660468" u="1"/>
        <n v="3662611" u="1"/>
        <n v="3650931" u="1"/>
        <n v="3650943" u="1"/>
        <n v="3663874" u="1"/>
        <n v="3654898" u="1"/>
        <n v="3651102" u="1"/>
        <n v="3657307" u="1"/>
        <n v="3657575" u="1"/>
        <n v="3655119" u="1"/>
        <n v="3662639" u="1"/>
        <n v="3655491" u="1"/>
        <n v="3657707" u="1"/>
        <n v="3661242" u="1"/>
        <n v="3661350" u="1"/>
        <n v="3665232" u="1"/>
        <n v="3662000" u="1"/>
        <n v="3659085" u="1"/>
        <n v="3659803" u="1"/>
        <n v="3660127" u="1"/>
        <n v="3661717" u="1"/>
        <n v="3665074" u="1"/>
        <n v="3656183" u="1"/>
        <n v="3659093" u="1"/>
        <n v="3666271" u="1"/>
        <n v="3660845" u="1"/>
        <n v="3661106" u="1"/>
        <n v="3661484" u="1"/>
        <n v="3666447" u="1"/>
        <n v="3666774" u="1"/>
        <n v="3657108" u="1"/>
        <n v="3660561" u="1"/>
        <n v="3660917" u="1"/>
        <n v="3667699" u="1"/>
        <n v="3660550" u="1"/>
        <n v="3651048" u="1"/>
        <n v="3665683" u="1"/>
        <n v="3659436" u="1"/>
        <n v="3661710" u="1"/>
        <n v="3664430" u="1"/>
        <n v="3667890" u="1"/>
        <n v="3659930" u="1"/>
        <n v="3659889" u="1"/>
        <n v="3662784" u="1"/>
        <n v="3653753" u="1"/>
        <n v="3654707" u="1"/>
        <n v="3658787" u="1"/>
        <n v="3659429" u="1"/>
        <n v="3662840" u="1"/>
        <n v="3656790" u="1"/>
        <n v="3656246" u="1"/>
        <n v="3659625" u="1"/>
        <n v="3658828" u="1"/>
        <n v="3659757" u="1"/>
        <n v="3659189" u="1"/>
        <n v="3662900" u="1"/>
        <n v="3666860" u="1"/>
        <n v="3658781" u="1"/>
        <n v="3663940" u="1"/>
        <n v="3666888" u="1"/>
        <n v="3663548" u="1"/>
        <n v="3667364" u="1"/>
        <n v="3665576" u="1"/>
        <n v="3655289" u="1"/>
        <n v="3662236" u="1"/>
        <n v="3654922" u="1"/>
        <n v="3658938" u="1"/>
        <n v="3662828" u="1"/>
        <n v="3664478" u="1"/>
        <n v="3657426" u="1"/>
        <n v="3657981" u="1"/>
        <n v="3654700" u="1"/>
        <n v="3660112" u="1"/>
        <n v="3661088" u="1"/>
        <n v="3659789" u="1"/>
        <n v="3659097" u="1"/>
        <n v="3663537" u="1"/>
        <n v="3667159" u="1"/>
        <n v="3667913" u="1"/>
        <n v="3667038" u="1"/>
        <n v="3660286" u="1"/>
        <n v="3661269" u="1"/>
        <n v="3666442" u="1"/>
        <n v="3655738" u="1"/>
        <n v="3661720" u="1"/>
        <n v="3664449" u="1"/>
        <n v="3661709" u="1"/>
        <n v="3663534" u="1"/>
        <n v="3665255" u="1"/>
        <n v="3668472" u="1"/>
        <n v="3653771" u="1"/>
        <n v="3654708" u="1"/>
        <n v="3662552" u="1"/>
        <n v="3665513" u="1"/>
        <n v="3657378" u="1"/>
        <n v="3659344" u="1"/>
        <n v="3661295" u="1"/>
        <n v="3666078" u="1"/>
        <n v="3666879" u="1"/>
        <n v="3666866" u="1"/>
        <n v="3650578" u="1"/>
        <n v="3659152" u="1"/>
        <n v="3664175" u="1"/>
        <n v="3663953" u="1"/>
        <n v="3660621" u="1"/>
        <n v="3667313" u="1"/>
        <n v="3656869" u="1"/>
        <n v="3657062" u="1"/>
        <n v="3657522" u="1"/>
        <n v="3659888" u="1"/>
        <n v="3664222" u="1"/>
        <n v="3647589" u="1"/>
        <n v="3665259" u="1"/>
        <n v="3657940" u="1"/>
        <n v="3661127" u="1"/>
        <n v="3666620" u="1"/>
        <n v="3666752" u="1"/>
        <n v="3658383" u="1"/>
        <n v="3663333" u="1"/>
        <n v="3663952" u="1"/>
        <n v="3660023" u="1"/>
        <n v="3658786" u="1"/>
        <n v="3662614" u="1"/>
        <n v="3655322" u="1"/>
        <n v="3657237" u="1"/>
        <n v="3666293" u="1"/>
        <n v="3667154" u="1"/>
        <n v="3663291" u="1"/>
        <n v="3660872" u="1"/>
        <n v="3665193" u="1"/>
        <n v="3667054" u="1"/>
        <n v="3655036" u="1"/>
        <n v="3658082" u="1"/>
        <n v="3663244" u="1"/>
        <n v="3662647" u="1"/>
        <n v="3665829" u="1"/>
        <n v="3659258" u="1"/>
        <n v="3660085" u="1"/>
        <n v="3661262" u="1"/>
        <n v="3662842" u="1"/>
        <n v="3663748" u="1"/>
        <n v="3664352" u="1"/>
        <n v="3655775" u="1"/>
        <n v="3660188" u="1"/>
        <n v="3662904" u="1"/>
        <n v="3664563" u="1"/>
        <n v="3667598" u="1"/>
        <n v="3660337" u="1"/>
        <n v="3663013" u="1"/>
        <n v="3661173" u="1"/>
        <n v="3657652" u="1"/>
        <n v="3657932" u="1"/>
        <n v="3661170" u="1"/>
        <n v="3666118" u="1"/>
        <n v="3666409" u="1"/>
        <n v="3667488" u="1"/>
        <n v="3659070" u="1"/>
        <n v="3659659" u="1"/>
        <n v="3661580" u="1"/>
        <n v="3666295" u="1"/>
        <n v="3666623" u="1"/>
        <n v="3654266" u="1"/>
        <n v="3656689" u="1"/>
        <n v="3655530" u="1"/>
        <n v="3650641" u="1"/>
        <n v="3659839" u="1"/>
        <n v="3662466" u="1"/>
        <n v="3665515" u="1"/>
        <n v="3643504" u="1"/>
        <n v="3655480" u="1"/>
        <n v="3659177" u="1"/>
        <n v="3664852" u="1"/>
        <n v="3663156" u="1"/>
        <n v="3660096" u="1"/>
        <n v="3659905" u="1"/>
        <n v="3667026" u="1"/>
        <n v="3660358" u="1"/>
        <n v="3660500" u="1"/>
        <n v="3662557" u="1"/>
        <n v="3659150" u="1"/>
        <n v="3661277" u="1"/>
        <n v="3663300" u="1"/>
        <n v="3667374" u="1"/>
        <n v="3653766" u="1"/>
        <n v="3656963" u="1"/>
        <n v="3654716" u="1"/>
        <n v="3656606" u="1"/>
        <n v="3649997" u="1"/>
        <n v="3659050" u="1"/>
        <n v="3656184" u="1"/>
        <n v="3663545" u="1"/>
        <n v="3665678" u="1"/>
        <n v="3665511" u="1"/>
        <n v="3666528" u="1"/>
        <n v="3666801" u="1"/>
        <n v="3656723" u="1"/>
        <n v="3657625" u="1"/>
        <n v="3657606" u="1"/>
        <n v="3657234" u="1"/>
        <n v="3657835" u="1"/>
        <n v="3667670" u="1"/>
        <n v="3654269" u="1"/>
        <n v="3667263" u="1"/>
        <n v="3658686" u="1"/>
        <n v="3661740" u="1"/>
        <n v="3662070" u="1"/>
        <n v="3666496" u="1"/>
        <n v="3656839" u="1"/>
        <n v="3657534" u="1"/>
        <n v="3656456" u="1"/>
        <n v="3660395" u="1"/>
        <n v="3661883" u="1"/>
        <n v="3660606" u="1"/>
        <n v="3664764" u="1"/>
        <n v="3656027" u="1"/>
        <n v="3656107" u="1"/>
        <n v="3658894" u="1"/>
        <n v="3661924" u="1"/>
        <n v="3665390" u="1"/>
        <n v="3664789" u="1"/>
        <n v="3665109" u="1"/>
        <n v="3665189" u="1"/>
        <n v="3656985" u="1"/>
        <n v="3664774" u="1"/>
        <n v="3659487" u="1"/>
        <n v="3659339" u="1"/>
        <n v="3656545" u="1"/>
        <n v="3658926" u="1"/>
        <n v="3661928" u="1"/>
        <n v="3665363" u="1"/>
        <n v="3667079" u="1"/>
        <n v="3656307" u="1"/>
        <n v="3659569" u="1"/>
        <n v="3664755" u="1"/>
        <n v="3659328" u="1"/>
        <n v="3659477" u="1"/>
        <n v="3664681" u="1"/>
        <n v="3664762" u="1"/>
        <n v="3656439" u="1"/>
        <n v="3662336" u="1"/>
        <n v="3665503" u="1"/>
        <n v="3665105" u="1"/>
        <n v="3665184" u="1"/>
        <n v="3664792" u="1"/>
        <n v="3656834" u="1"/>
        <n v="3656115" u="1"/>
        <n v="3661692" u="1"/>
        <n v="3632863" u="1"/>
        <n v="3658892" u="1"/>
        <n v="3659573" u="1"/>
        <n v="3662127" u="1"/>
        <n v="3665121" u="1"/>
        <n v="3661161" u="1"/>
        <n v="3664768" u="1"/>
        <n v="3662133" u="1"/>
        <n v="3663924" u="1"/>
        <n v="3666690" u="1"/>
        <n v="3657847" u="1"/>
        <n v="3658891" u="1"/>
        <n v="3662480" u="1"/>
        <n v="3657936" u="1"/>
        <n v="3658490" u="1"/>
        <n v="3665229" u="1"/>
        <n v="3661330" u="1"/>
        <n v="3656620" u="1"/>
        <n v="3661613" u="1"/>
        <n v="3657089" u="1"/>
        <n v="3655887" u="1"/>
        <n v="3644597" u="1"/>
        <n v="3660175" u="1"/>
        <n v="3664158" u="1"/>
        <n v="3666104" u="1"/>
        <n v="3666912" u="1"/>
        <n v="3661844" u="1"/>
        <n v="3665198" u="1"/>
        <n v="3659583" u="1"/>
        <n v="3662268" u="1"/>
        <n v="3662370" u="1"/>
        <n v="3664795" u="1"/>
        <n v="3658911" u="1"/>
        <n v="3659492" u="1"/>
        <n v="3662301" u="1"/>
        <n v="3665206" u="1"/>
        <n v="3665126" u="1"/>
        <n v="3665141" u="1"/>
        <n v="3657373" u="1"/>
        <n v="3663246" u="1"/>
        <n v="3667171" u="1"/>
        <n v="3662306" u="1"/>
        <n v="3667505" u="1"/>
        <n v="3656108" u="1"/>
        <n v="3667134" u="1"/>
        <n v="3667348" u="1"/>
        <n v="3660064" u="1"/>
        <n v="3658933" u="1"/>
        <n v="3665111" u="1"/>
        <n v="3658861" u="1"/>
        <n v="3659589" u="1"/>
        <n v="3662288" u="1"/>
        <n v="3666735" u="1"/>
        <n v="3656469" u="1"/>
        <n v="3658851" u="1"/>
        <n v="3658285" u="1"/>
        <n v="3656328" u="1"/>
        <n v="3663354" u="1"/>
        <n v="3663033" u="1"/>
        <n v="3656528" u="1"/>
        <n v="3658924" u="1"/>
        <n v="3661913" u="1"/>
        <n v="3661845" u="1"/>
        <n v="3664974" u="1"/>
        <n v="3658884" u="1"/>
        <n v="3658932" u="1"/>
        <n v="3664777" u="1"/>
        <n v="3664799" u="1"/>
        <n v="3656030" u="1"/>
        <n v="3661806" u="1"/>
        <n v="3662351" u="1"/>
        <n v="3658055" u="1"/>
        <n v="3659788" u="1"/>
        <n v="3660414" u="1"/>
        <n v="3663007" u="1"/>
        <n v="3663182" u="1"/>
        <n v="3665386" u="1"/>
        <n v="3658286" u="1"/>
        <n v="3658070" u="1"/>
        <n v="3659371" u="1"/>
        <n v="3656185" u="1"/>
        <n v="3662067" u="1"/>
        <n v="3665299" u="1"/>
        <n v="3666135" u="1"/>
        <n v="3666642" u="1"/>
        <n v="3667596" u="1"/>
        <n v="3667997" u="1"/>
        <n v="3661020" u="1"/>
        <n v="3663050" u="1"/>
        <n v="3663811" u="1"/>
        <n v="3661676" u="1"/>
        <n v="3656271" u="1"/>
        <n v="3655971" u="1"/>
        <n v="3658197" u="1"/>
        <n v="3653779" u="1"/>
        <n v="3665329" u="1"/>
        <n v="3659215" u="1"/>
        <n v="3664294" u="1"/>
        <n v="3667023" u="1"/>
        <n v="3662382" u="1"/>
        <n v="3659957" u="1"/>
        <n v="3665750" u="1"/>
        <n v="3611658" u="1"/>
        <n v="3661407" u="1"/>
        <n v="3657224" u="1"/>
        <n v="3662341" u="1"/>
        <n v="3617043" u="1"/>
        <n v="3662830" u="1"/>
        <n v="3661881" u="1"/>
        <n v="3665177" u="1"/>
        <n v="3661954" u="1"/>
        <n v="3665961" u="1"/>
        <n v="3656087" u="1"/>
        <n v="3654075" u="1"/>
        <n v="3666166" u="1"/>
        <n v="3657068" u="1"/>
        <n v="3665030" u="1"/>
        <n v="3668292" u="1"/>
        <n v="3668415" u="1"/>
        <n v="3675561" u="1"/>
        <n v="3671404" u="1"/>
        <n v="3671008" u="1"/>
        <n v="3670534" u="1"/>
        <n v="3674842" u="1"/>
        <n v="3671886" u="1"/>
        <n v="3666241" u="1"/>
        <n v="3668901" u="1"/>
        <n v="3669361" u="1"/>
        <n v="3673577" u="1"/>
        <n v="3673556" u="1"/>
        <n v="3655382" u="1"/>
        <n v="3666476" u="1"/>
        <n v="3671672" u="1"/>
        <n v="3675331" u="1"/>
        <n v="3673644" u="1"/>
        <n v="3670461" u="1"/>
        <n v="3670399" u="1"/>
        <n v="3617016" u="1"/>
        <n v="3660666" u="1"/>
        <n v="3668283" u="1"/>
        <n v="3671429" u="1"/>
        <n v="3651707" u="1"/>
        <n v="3666249" u="1"/>
        <n v="3671335" u="1"/>
        <n v="3671964" u="1"/>
        <n v="3668273" u="1"/>
        <n v="3663697" u="1"/>
        <n v="3666393" u="1"/>
        <n v="3670516" u="1"/>
        <n v="3663404" u="1"/>
        <n v="3660658" u="1"/>
        <n v="3670774" u="1"/>
        <n v="3669348" u="1"/>
        <n v="3669485" u="1"/>
        <n v="3668736" u="1"/>
        <n v="3668758" u="1"/>
        <n v="3671239" u="1"/>
        <n v="3670308" u="1"/>
        <n v="3672102" u="1"/>
        <n v="3670340" u="1"/>
        <n v="3670211" u="1"/>
        <n v="3672427" u="1"/>
        <n v="3673045" u="1"/>
        <n v="3674588" u="1"/>
        <n v="3671705" u="1"/>
        <n v="3671272" u="1"/>
        <n v="3667436" u="1"/>
        <n v="3667819" u="1"/>
        <n v="3670810" u="1"/>
        <n v="3671156" u="1"/>
        <n v="3673330" u="1"/>
        <n v="3673336" u="1"/>
        <n v="3659891" u="1"/>
        <n v="3669260" u="1"/>
        <n v="3672403" u="1"/>
        <n v="3669955" u="1"/>
        <n v="3668831" u="1"/>
        <n v="3671760" u="1"/>
        <n v="3672398" u="1"/>
        <n v="3669396" u="1"/>
        <n v="3669737" u="1"/>
        <n v="3668250" u="1"/>
        <n v="3670451" u="1"/>
        <n v="3668925" u="1"/>
        <n v="3669490" u="1"/>
        <n v="3666789" u="1"/>
        <n v="3669431" u="1"/>
        <n v="3670464" u="1"/>
        <n v="3670720" u="1"/>
        <n v="3673666" u="1"/>
        <n v="3671078" u="1"/>
        <n v="3670529" u="1"/>
        <n v="3660678" u="1"/>
        <n v="3671940" u="1"/>
        <n v="3670225" u="1"/>
        <n v="3669993" u="1"/>
        <n v="3670894" u="1"/>
        <n v="3673504" u="1"/>
        <n v="3673086" u="1"/>
        <n v="3673100" u="1"/>
        <n v="3673443" u="1"/>
        <n v="3669119" u="1"/>
        <n v="3669456" u="1"/>
        <n v="3640517" u="1"/>
        <n v="3609267" u="1"/>
        <n v="3669190" u="1"/>
        <n v="3667987" u="1"/>
        <n v="3672434" u="1"/>
        <n v="3672931" u="1"/>
        <n v="3671605" u="1"/>
        <n v="3674839" u="1"/>
        <n v="3670479" u="1"/>
        <n v="3658007" u="1"/>
        <n v="3671491" u="1"/>
        <n v="3668915" u="1"/>
        <n v="3669724" u="1"/>
        <n v="3672219" u="1"/>
        <n v="3672363" u="1"/>
        <n v="3674262" u="1"/>
        <n v="3666479" u="1"/>
        <n v="3670038" u="1"/>
        <n v="3674479" u="1"/>
        <n v="3668110" u="1"/>
        <n v="3669106" u="1"/>
        <n v="3669694" u="1"/>
        <n v="3670604" u="1"/>
        <n v="3670704" u="1"/>
        <n v="3669778" u="1"/>
        <n v="3668635" u="1"/>
        <n v="3666700" u="1"/>
        <n v="3671022" u="1"/>
        <n v="3672484" u="1"/>
        <n v="3673979" u="1"/>
        <n v="3674273" u="1"/>
        <n v="3670285" u="1"/>
        <n v="3671925" u="1"/>
        <n v="3623816" u="1"/>
        <n v="3666601" u="1"/>
        <n v="3661977" u="1"/>
        <n v="3641953" u="1"/>
        <n v="3673754" u="1"/>
        <n v="3668629" u="1"/>
        <n v="3669256" u="1"/>
        <n v="3671245" u="1"/>
        <n v="3670599" u="1"/>
        <n v="3670910" u="1"/>
        <n v="3657326" u="1"/>
        <n v="3650937" u="1"/>
        <n v="3670236" u="1"/>
        <n v="3670141" u="1"/>
        <n v="3670098" u="1"/>
        <n v="3669108" u="1"/>
        <n v="3668865" u="1"/>
        <n v="3673946" u="1"/>
        <n v="3672013" u="1"/>
        <n v="3582305" u="1"/>
        <n v="3666993" u="1"/>
        <n v="3660652" u="1"/>
        <n v="3668788" u="1"/>
        <n v="3673039" u="1"/>
        <n v="3673740" u="1"/>
        <n v="3672051" u="1"/>
        <n v="3605219" u="1"/>
        <n v="3673943" u="1"/>
        <n v="3606011" u="1"/>
        <n v="3673931" u="1"/>
        <n v="3674950" u="1"/>
        <n v="3663342" u="1"/>
        <n v="3668852" u="1"/>
        <n v="3668767" u="1"/>
        <n v="3671066" u="1"/>
        <n v="3669369" u="1"/>
        <n v="3669375" u="1"/>
        <n v="3673581" u="1"/>
        <n v="3672623" u="1"/>
        <n v="3674718" u="1"/>
        <n v="3675764" u="1"/>
        <n v="3668511" u="1"/>
        <n v="3673040" u="1"/>
        <n v="3670306" u="1"/>
        <n v="3670074" u="1"/>
        <n v="3670160" u="1"/>
        <n v="3672238" u="1"/>
        <n v="3670055" u="1"/>
        <n v="3671332" u="1"/>
        <n v="3670140" u="1"/>
        <n v="3669506" u="1"/>
        <n v="3671528" u="1"/>
        <n v="3669609" u="1"/>
        <n v="3672364" u="1"/>
        <n v="3675238" u="1"/>
        <n v="3668387" u="1"/>
        <n v="3665451" u="1"/>
        <n v="3671084" u="1"/>
        <n v="3671531" u="1"/>
        <n v="3671931" u="1"/>
        <n v="3648763" u="1"/>
        <n v="3666994" u="1"/>
        <n v="3674533" u="1"/>
        <n v="3670439" u="1"/>
        <n v="3670262" u="1"/>
        <n v="3670994" u="1"/>
        <n v="3672749" u="1"/>
        <n v="3667622" u="1"/>
        <n v="3667658" u="1"/>
        <n v="3657348" u="1"/>
        <n v="3669127" u="1"/>
        <n v="3674675" u="1"/>
        <n v="3669211" u="1"/>
        <n v="3673212" u="1"/>
        <n v="3669669" u="1"/>
        <n v="3660641" u="1"/>
        <n v="3668977" u="1"/>
        <n v="3669518" u="1"/>
        <n v="3657723" u="1"/>
        <n v="3667102" u="1"/>
        <n v="3632864" u="1"/>
        <n v="3666424" u="1"/>
        <n v="3668780" u="1"/>
        <n v="3668817" u="1"/>
        <n v="3669134" u="1"/>
        <n v="3675763" u="1"/>
        <n v="3673873" u="1"/>
        <n v="3674041" u="1"/>
        <n v="3655848" u="1"/>
        <n v="3669424" u="1"/>
        <n v="3663495" u="1"/>
        <n v="3667137" u="1"/>
        <n v="3670878" u="1"/>
        <n v="3673323" u="1"/>
        <n v="3671579" u="1"/>
        <n v="3672316" u="1"/>
        <n v="3673750" u="1"/>
        <n v="3668900" u="1"/>
        <n v="3672604" u="1"/>
        <n v="3624790" u="1"/>
        <n v="3659866" u="1"/>
        <n v="3673406" u="1"/>
        <n v="3666037" u="1"/>
        <n v="3665445" u="1"/>
        <n v="3668984" u="1"/>
        <n v="3667119" u="1"/>
        <n v="3665957" u="1"/>
        <n v="3665075" u="1"/>
        <n v="3671485" u="1"/>
        <n v="3671054" u="1"/>
        <n v="3667559" u="1"/>
        <n v="3669271" u="1"/>
        <n v="3670011" u="1"/>
        <n v="3669661" u="1"/>
        <n v="3670193" u="1"/>
        <n v="3670677" u="1"/>
        <n v="3670974" u="1"/>
        <n v="3671381" u="1"/>
        <n v="3672342" u="1"/>
        <n v="3672556" u="1"/>
        <n v="3673798" u="1"/>
        <n v="3668361" u="1"/>
        <n v="3671883" u="1"/>
        <n v="3668501" u="1"/>
        <n v="3674266" u="1"/>
        <n v="3668105" u="1"/>
        <n v="3671410" u="1"/>
        <n v="3668850" u="1"/>
        <n v="3669136" u="1"/>
        <n v="3666503" u="1"/>
        <n v="3670286" u="1"/>
        <n v="3672086" u="1"/>
        <n v="3669169" u="1"/>
        <n v="3675132" u="1"/>
        <n v="3669464" u="1"/>
        <n v="3670799" u="1"/>
        <n v="3671292" u="1"/>
        <n v="3668010" u="1"/>
        <n v="3670882" u="1"/>
        <n v="3674289" u="1"/>
        <n v="3668491" u="1"/>
        <n v="3669597" u="1"/>
        <n v="3670495" u="1"/>
        <n v="3671588" u="1"/>
        <n v="3664385" u="1"/>
        <n v="3673208" u="1"/>
        <n v="3673720" u="1"/>
        <n v="3626624" u="1"/>
        <n v="3670688" u="1"/>
        <n v="3669994" u="1"/>
        <n v="3670209" u="1"/>
        <n v="3667836" u="1"/>
        <n v="3670687" u="1"/>
        <n v="3668503" u="1"/>
        <n v="3674410" u="1"/>
        <n v="3667429" u="1"/>
        <n v="3668918" u="1"/>
        <n v="3670678" u="1"/>
        <n v="3670684" u="1"/>
        <n v="3667405" u="1"/>
        <n v="3668520" u="1"/>
        <n v="3668662" u="1"/>
        <n v="3672982" u="1"/>
        <n v="3674712" u="1"/>
        <n v="3670374" u="1"/>
        <n v="3668096" u="1"/>
        <n v="3666063" u="1"/>
        <n v="3667419" u="1"/>
        <n v="3673454" u="1"/>
        <n v="3668960" u="1"/>
        <n v="3670898" u="1"/>
        <n v="3667643" u="1"/>
        <n v="3668290" u="1"/>
        <n v="3670511" u="1"/>
        <n v="3674092" u="1"/>
        <n v="3667073" u="1"/>
        <n v="3673095" u="1"/>
        <n v="3670186" u="1"/>
        <n v="3671892" u="1"/>
        <n v="3673528" u="1"/>
        <n v="3668856" u="1"/>
        <n v="3670903" u="1"/>
        <n v="3673936" u="1"/>
        <n v="3671247" u="1"/>
        <n v="3672113" u="1"/>
        <n v="3670007" u="1"/>
        <n v="3668785" u="1"/>
        <n v="3668238" u="1"/>
        <n v="3669710" u="1"/>
        <n v="3671056" u="1"/>
        <n v="3659260" u="1"/>
        <n v="3666087" u="1"/>
        <n v="3670733" u="1"/>
        <n v="3674507" u="1"/>
        <n v="3669834" u="1"/>
        <n v="3670907" u="1"/>
        <n v="3669437" u="1"/>
        <n v="3668516" u="1"/>
        <n v="3667404" u="1"/>
        <n v="3669022" u="1"/>
        <n v="3670191" u="1"/>
        <n v="3672428" u="1"/>
        <n v="3668809" u="1"/>
        <n v="3672454" u="1"/>
        <n v="3673895" u="1"/>
        <n v="3675347" u="1"/>
        <n v="3673985" u="1"/>
        <n v="3669649" u="1"/>
        <n v="3665027" u="1"/>
        <n v="3666317" u="1"/>
        <n v="3669009" u="1"/>
        <n v="3669201" u="1"/>
        <n v="3670242" u="1"/>
        <n v="3671958" u="1"/>
        <n v="3668485" u="1"/>
        <n v="3667787" u="1"/>
        <n v="3670095" u="1"/>
        <n v="3672313" u="1"/>
        <n v="3670839" u="1"/>
        <n v="3669818" u="1"/>
        <n v="3670973" u="1"/>
        <n v="3668184" u="1"/>
        <n v="3668212" u="1"/>
        <n v="3668267" u="1"/>
        <n v="3668647" u="1"/>
        <n v="3668157" u="1"/>
        <n v="3671177" u="1"/>
        <n v="3668136" u="1"/>
        <n v="3674089" u="1"/>
        <n v="3671203" u="1"/>
        <n v="3670015" u="1"/>
        <n v="3667814" u="1"/>
        <n v="3668235" u="1"/>
        <n v="3673350" u="1"/>
        <n v="3668652" u="1"/>
        <n v="3667852" u="1"/>
        <n v="3670660" u="1"/>
        <n v="3668151" u="1"/>
        <n v="3668165" u="1"/>
        <n v="3666179" u="1"/>
        <n v="3674880" u="1"/>
        <n v="3670868" u="1"/>
        <n v="3665139" u="1"/>
        <n v="3666635" u="1"/>
        <n v="3671185" u="1"/>
        <n v="3667408" u="1"/>
        <n v="3668582" u="1"/>
        <n v="3669019" u="1"/>
        <n v="3667642" u="1"/>
        <n v="3670194" u="1"/>
        <n v="3659890" u="1"/>
        <n v="3671196" u="1"/>
        <n v="3673079" u="1"/>
        <n v="3670867" u="1"/>
        <n v="3674661" u="1"/>
        <n v="3671560" u="1"/>
        <n v="3664748" u="1"/>
        <n v="3667863" u="1"/>
        <n v="3671210" u="1"/>
        <n v="3673094" u="1"/>
        <n v="3668232" u="1"/>
        <n v="3668156" u="1"/>
        <n v="3667859" u="1"/>
        <n v="3670828" u="1"/>
        <n v="3667842" u="1"/>
        <n v="3670372" u="1"/>
        <n v="3668193" u="1"/>
        <n v="3671145" u="1"/>
        <n v="3671896" u="1"/>
        <n v="3670837" u="1"/>
        <n v="3671899" u="1"/>
        <n v="3671143" u="1"/>
        <n v="3672165" u="1"/>
        <n v="3628826" u="1"/>
        <n v="3670850" u="1"/>
        <n v="3663405" u="1"/>
        <n v="3670016" u="1"/>
        <n v="3674753" u="1"/>
        <n v="3671808" u="1"/>
        <n v="3670853" u="1"/>
        <n v="3670708" u="1"/>
        <n v="3668177" u="1"/>
        <n v="3665462" u="1"/>
        <n v="3644579" u="1"/>
        <n v="3673209" u="1"/>
        <n v="3671729" u="1"/>
        <n v="3667850" u="1"/>
        <n v="3667781" u="1"/>
        <n v="3668228" u="1"/>
        <n v="3668179" u="1"/>
        <n v="3670879" u="1"/>
        <n v="3668816" u="1"/>
        <n v="3669023" u="1"/>
        <n v="3662786" u="1"/>
        <n v="3671197" u="1"/>
        <n v="3673481" u="1"/>
        <n v="3668131" u="1"/>
        <n v="3668648" u="1"/>
        <n v="3672264" u="1"/>
        <n v="3672489" u="1"/>
        <n v="3660688" u="1"/>
        <n v="3673064" u="1"/>
        <n v="3673372" u="1"/>
        <n v="3673423" u="1"/>
        <n v="3675680" u="1"/>
        <n v="3675165" u="1"/>
        <n v="3674276" u="1"/>
        <n v="3666324" u="1"/>
        <n v="3672957" u="1"/>
        <n v="3667818" u="1"/>
        <n v="3673605" u="1"/>
        <n v="3670482" u="1"/>
        <n v="3672582" u="1"/>
        <n v="3671762" u="1"/>
        <n v="3673199" u="1"/>
        <n v="3671824" u="1"/>
        <n v="3669886" u="1"/>
        <n v="3637973" u="1"/>
        <n v="3637954" u="1"/>
        <n v="3639249" u="1"/>
        <n v="3643869" u="1"/>
        <n v="3645493" u="1"/>
        <n v="3652422" u="1"/>
        <n v="3642352" u="1"/>
        <n v="3644200" u="1"/>
        <n v="3647136" u="1"/>
        <n v="3640333" u="1"/>
        <n v="3512026" u="1"/>
        <n v="3650591" u="1"/>
        <n v="3639211" u="1"/>
        <n v="3654936" u="1"/>
        <n v="3596490" u="1"/>
        <n v="3626207" u="1"/>
        <n v="3640838" u="1"/>
        <n v="3641119" u="1"/>
        <n v="3653632" u="1"/>
        <n v="3654992" u="1"/>
        <n v="3636608" u="1"/>
        <n v="3636537" u="1"/>
        <n v="3639531" u="1"/>
        <n v="3640534" u="1"/>
        <n v="3639067" u="1"/>
        <n v="3642971" u="1"/>
        <n v="3647203" u="1"/>
        <n v="3647409" u="1"/>
        <n v="3647500" u="1"/>
        <n v="3647912" u="1"/>
        <n v="3649706" u="1"/>
        <n v="3643948" u="1"/>
        <n v="3654440" u="1"/>
        <n v="3654846" u="1"/>
        <n v="3650601" u="1"/>
        <n v="3655056" u="1"/>
        <n v="3645206" u="1"/>
        <n v="3651807" u="1"/>
        <n v="3638617" u="1"/>
        <n v="3639131" u="1"/>
        <n v="3643230" u="1"/>
        <n v="3642731" u="1"/>
        <n v="3647431" u="1"/>
        <n v="3629887" u="1"/>
        <n v="3620886" u="1"/>
        <n v="3636605" u="1"/>
        <n v="3644080" u="1"/>
        <n v="3638127" u="1"/>
        <n v="3643244" u="1"/>
        <n v="3644963" u="1"/>
        <n v="3646576" u="1"/>
        <n v="3649411" u="1"/>
        <n v="3654553" u="1"/>
        <n v="3632596" u="1"/>
        <n v="3643018" u="1"/>
        <n v="3644207" u="1"/>
        <n v="3642152" u="1"/>
        <n v="3639160" u="1"/>
        <n v="3651719" u="1"/>
        <n v="3632862" u="1"/>
        <n v="3655222" u="1"/>
        <n v="3639689" u="1"/>
        <n v="3643448" u="1"/>
        <n v="3644892" u="1"/>
        <n v="3646821" u="1"/>
        <n v="3648669" u="1"/>
        <n v="3649851" u="1"/>
        <n v="3655025" u="1"/>
        <n v="3645436" u="1"/>
        <n v="3654687" u="1"/>
        <n v="3641059" u="1"/>
        <n v="3649492" u="1"/>
        <n v="3640063" u="1"/>
        <n v="3640919" u="1"/>
        <n v="3639437" u="1"/>
        <n v="3645236" u="1"/>
        <n v="3644642" u="1"/>
        <n v="3643095" u="1"/>
        <n v="3653207" u="1"/>
        <n v="3642361" u="1"/>
        <n v="3650856" u="1"/>
        <n v="3647914" u="1"/>
        <n v="3639226" u="1"/>
        <n v="3653583" u="1"/>
        <n v="3641162" u="1"/>
        <n v="3633577" u="1"/>
        <n v="3641587" u="1"/>
        <n v="3644164" u="1"/>
        <n v="3644203" u="1"/>
        <n v="3647342" u="1"/>
        <n v="3637908" u="1"/>
        <n v="3640222" u="1"/>
        <n v="3646045" u="1"/>
        <n v="3649049" u="1"/>
        <n v="3653135" u="1"/>
        <n v="3638698" u="1"/>
        <n v="3643078" u="1"/>
        <n v="3637501" u="1"/>
        <n v="3650580" u="1"/>
        <n v="3636897" u="1"/>
        <n v="3641487" u="1"/>
        <n v="3641983" u="1"/>
        <n v="3648226" u="1"/>
        <n v="3651851" u="1"/>
        <n v="3653407" u="1"/>
        <n v="3650992" u="1"/>
        <n v="3654791" u="1"/>
        <n v="3638662" u="1"/>
        <n v="3641830" u="1"/>
        <n v="3631724" u="1"/>
        <n v="3641503" u="1"/>
        <n v="3643540" u="1"/>
        <n v="3651553" u="1"/>
        <n v="3638570" u="1"/>
        <n v="3644054" u="1"/>
        <n v="3644358" u="1"/>
        <n v="3650132" u="1"/>
        <n v="3639918" u="1"/>
        <n v="3643866" u="1"/>
        <n v="3643330" u="1"/>
        <n v="3626045" u="1"/>
        <n v="3646206" u="1"/>
        <n v="3646309" u="1"/>
        <n v="3637976" u="1"/>
        <n v="3638097" u="1"/>
        <n v="3638907" u="1"/>
        <n v="3641766" u="1"/>
        <n v="3642976" u="1"/>
        <n v="3644006" u="1"/>
        <n v="3644576" u="1"/>
        <n v="3638673" u="1"/>
        <n v="3642936" u="1"/>
        <n v="3642231" u="1"/>
        <n v="3646679" u="1"/>
        <n v="3647194" u="1"/>
        <n v="3638388" u="1"/>
        <n v="3638292" u="1"/>
        <n v="3633139" u="1"/>
        <n v="3644257" u="1"/>
        <n v="3647098" u="1"/>
        <n v="3649351" u="1"/>
        <n v="3649936" u="1"/>
        <n v="3641655" u="1"/>
        <n v="3641464" u="1"/>
        <n v="3646904" u="1"/>
        <n v="3647053" u="1"/>
        <n v="3647929" u="1"/>
        <n v="3649405" u="1"/>
        <n v="3652451" u="1"/>
        <n v="3652614" u="1"/>
        <n v="3638163" u="1"/>
        <n v="3642201" u="1"/>
        <n v="3646681" u="1"/>
        <n v="3641292" u="1"/>
        <n v="3641843" u="1"/>
        <n v="3641275" u="1"/>
        <n v="3646590" u="1"/>
        <n v="3649588" u="1"/>
        <n v="3650339" u="1"/>
        <n v="3653033" u="1"/>
        <n v="3653928" u="1"/>
        <n v="3641893" u="1"/>
        <n v="3646436" u="1"/>
        <n v="3646696" u="1"/>
        <n v="3655226" u="1"/>
        <n v="3646479" u="1"/>
        <n v="3638123" u="1"/>
        <n v="3638359" u="1"/>
        <n v="3639270" u="1"/>
        <n v="3641155" u="1"/>
        <n v="3640508" u="1"/>
        <n v="3639793" u="1"/>
        <n v="3641860" u="1"/>
        <n v="3639865" u="1"/>
        <n v="3644644" u="1"/>
        <n v="3611908" u="1"/>
        <n v="3649302" u="1"/>
        <n v="3634798" u="1"/>
        <n v="3640901" u="1"/>
        <n v="3644007" u="1"/>
        <n v="3645882" u="1"/>
        <n v="3649747" u="1"/>
        <n v="3645009" u="1"/>
        <n v="3647357" u="1"/>
        <n v="3650380" u="1"/>
        <n v="3640433" u="1"/>
        <n v="3639348" u="1"/>
        <n v="3649261" u="1"/>
        <n v="3648506" u="1"/>
        <n v="3649374" u="1"/>
        <n v="3650104" u="1"/>
        <n v="3651361" u="1"/>
        <n v="3654789" u="1"/>
        <n v="3655169" u="1"/>
        <n v="3643536" u="1"/>
        <n v="3649171" u="1"/>
        <n v="3648864" u="1"/>
        <n v="3648478" u="1"/>
        <n v="3648697" u="1"/>
        <n v="3638474" u="1"/>
        <n v="3638488" u="1"/>
        <n v="3639854" u="1"/>
        <n v="3653176" u="1"/>
        <n v="3646305" u="1"/>
        <n v="3638185" u="1"/>
        <n v="3642959" u="1"/>
        <n v="3639866" u="1"/>
        <n v="3647621" u="1"/>
        <n v="3637773" u="1"/>
        <n v="3654535" u="1"/>
        <n v="3639706" u="1"/>
        <n v="3649191" u="1"/>
        <n v="3637770" u="1"/>
        <n v="3641705" u="1"/>
        <n v="3637771" u="1"/>
        <n v="3644001" u="1"/>
        <n v="3592315" u="1"/>
        <n v="3642948" u="1"/>
        <n v="3645854" u="1"/>
        <n v="3632046" u="1"/>
        <n v="3641189" u="1"/>
        <n v="3643742" u="1"/>
        <n v="3648958" u="1"/>
        <n v="3650074" u="1"/>
        <n v="3651205" u="1"/>
        <n v="3651793" u="1"/>
        <n v="3629036" u="1"/>
        <n v="3652618" u="1"/>
        <n v="3641391" u="1"/>
        <n v="3636575" u="1"/>
        <n v="3637980" u="1"/>
        <n v="3638476" u="1"/>
        <n v="3639073" u="1"/>
        <n v="3642400" u="1"/>
        <n v="3641522" u="1"/>
        <n v="3643047" u="1"/>
        <n v="3649363" u="1"/>
        <n v="3654431" u="1"/>
        <n v="3652667" u="1"/>
        <n v="3639427" u="1"/>
        <n v="3638859" u="1"/>
        <n v="3644180" u="1"/>
        <n v="3647823" u="1"/>
        <n v="3650153" u="1"/>
        <n v="3633021" u="1"/>
        <n v="3623809" u="1"/>
        <n v="3645358" u="1"/>
        <n v="3650821" u="1"/>
        <n v="3645310" u="1"/>
        <n v="3637069" u="1"/>
        <n v="3643212" u="1"/>
        <n v="3644271" u="1"/>
        <n v="3650930" u="1"/>
        <n v="3652668" u="1"/>
        <n v="3637612" u="1"/>
        <n v="3637469" u="1"/>
        <n v="3631961" u="1"/>
        <n v="3639695" u="1"/>
        <n v="3644682" u="1"/>
        <n v="3644735" u="1"/>
        <n v="3643772" u="1"/>
        <n v="3646153" u="1"/>
        <n v="3644845" u="1"/>
        <n v="3647108" u="1"/>
        <n v="3649457" u="1"/>
        <n v="3652505" u="1"/>
        <n v="3654940" u="1"/>
        <n v="3638903" u="1"/>
        <n v="3641202" u="1"/>
        <n v="3643233" u="1"/>
        <n v="3644528" u="1"/>
        <n v="3646582" u="1"/>
        <n v="3627205" u="1"/>
        <n v="3652597" u="1"/>
        <n v="3654165" u="1"/>
        <n v="3636672" u="1"/>
        <n v="3639113" u="1"/>
        <n v="3639589" u="1"/>
        <n v="3641116" u="1"/>
        <n v="3639379" u="1"/>
        <n v="3644137" u="1"/>
        <n v="3644219" u="1"/>
        <n v="3647035" u="1"/>
        <n v="3647054" u="1"/>
        <n v="3646683" u="1"/>
        <n v="3649220" u="1"/>
        <n v="3641811" u="1"/>
        <n v="3645930" u="1"/>
        <n v="3640043" u="1"/>
        <n v="3627130" u="1"/>
        <n v="3653835" u="1"/>
        <n v="3641590" u="1"/>
        <n v="3650387" u="1"/>
        <n v="3644847" u="1"/>
        <n v="3647754" u="1"/>
        <n v="3650344" u="1"/>
        <n v="3650018" u="1"/>
        <n v="3638301" u="1"/>
        <n v="3642168" u="1"/>
        <n v="3637968" u="1"/>
        <n v="3640312" u="1"/>
        <n v="3582367" u="1"/>
        <n v="3641204" u="1"/>
        <n v="3652691" u="1"/>
        <n v="3602180" u="1"/>
        <n v="3640380" u="1"/>
        <n v="3649344" u="1"/>
        <n v="3644985" u="1"/>
        <n v="3652844" u="1"/>
        <n v="3640915" u="1"/>
        <n v="3639095" u="1"/>
        <n v="3643039" u="1"/>
        <n v="3639413" u="1"/>
        <n v="3649672" u="1"/>
        <n v="3654574" u="1"/>
        <n v="3655560" u="1"/>
        <n v="3648000" u="1"/>
        <n v="3650005" u="1"/>
        <n v="3589255" u="1"/>
        <n v="3645165" u="1"/>
        <n v="3645312" u="1"/>
        <n v="3616869" u="1"/>
        <n v="3641678" u="1"/>
        <n v="3639005" u="1"/>
        <n v="3642748" u="1"/>
        <n v="3638167" u="1"/>
        <n v="3653892" u="1"/>
        <n v="3639788" u="1"/>
        <n v="3637867" u="1"/>
        <n v="3640881" u="1"/>
        <n v="3640602" u="1"/>
        <n v="3648136" u="1"/>
        <n v="3646004" u="1"/>
        <n v="3644451" u="1"/>
        <n v="3646127" u="1"/>
        <n v="3651399" u="1"/>
        <n v="3645093" u="1"/>
        <n v="3655962" u="1"/>
        <n v="3638657" u="1"/>
        <n v="3643457" u="1"/>
        <n v="3647407" u="1"/>
        <n v="3654902" u="1"/>
        <n v="3655868" u="1"/>
        <n v="3644514" u="1"/>
        <n v="3595388" u="1"/>
        <n v="3643108" u="1"/>
        <n v="3649812" u="1"/>
        <n v="3649716" u="1"/>
        <n v="3639799" u="1"/>
        <n v="3639234" u="1"/>
        <n v="3643787" u="1"/>
        <n v="3644678" u="1"/>
        <n v="3638230" u="1"/>
        <n v="3649665" u="1"/>
        <n v="3650791" u="1"/>
        <n v="3631707" u="1"/>
        <n v="3642541" u="1"/>
        <n v="3655516" u="1"/>
        <n v="3642307" u="1"/>
        <n v="3611736" u="1"/>
        <n v="3656387" u="1"/>
        <n v="3655741" u="1"/>
        <n v="3646613" u="1"/>
        <n v="3646001" u="1"/>
        <n v="3646852" u="1"/>
        <n v="3642167" u="1"/>
        <n v="3642639" u="1"/>
        <n v="3646109" u="1"/>
        <n v="3647479" u="1"/>
        <n v="3650683" u="1"/>
        <n v="3654799" u="1"/>
        <n v="3611123" u="1"/>
        <n v="3640327" u="1"/>
        <n v="3647472" u="1"/>
        <n v="3655743" u="1"/>
        <n v="3639096" u="1"/>
        <n v="3639403" u="1"/>
        <n v="3643614" u="1"/>
        <n v="3646559" u="1"/>
        <n v="3633568" u="1"/>
        <n v="3620887" u="1"/>
        <n v="3641286" u="1"/>
        <n v="3640859" u="1"/>
        <n v="3648145" u="1"/>
        <n v="3640507" u="1"/>
        <n v="3654417" u="1"/>
        <n v="3654730" u="1"/>
        <n v="3637988" u="1"/>
        <n v="3639332" u="1"/>
        <n v="3643126" u="1"/>
        <n v="3642222" u="1"/>
        <n v="3488162" u="1"/>
        <n v="3646073" u="1"/>
        <n v="3648326" u="1"/>
        <n v="3656708" u="1"/>
        <n v="3644407" u="1"/>
        <n v="3639849" u="1"/>
        <n v="3640856" u="1"/>
        <n v="3645116" u="1"/>
        <n v="3646636" u="1"/>
        <n v="3647236" u="1"/>
        <n v="3654247" u="1"/>
        <n v="3655734" u="1"/>
        <n v="3639872" u="1"/>
        <n v="3646857" u="1"/>
        <n v="3643110" u="1"/>
        <n v="3653677" u="1"/>
        <n v="3654536" u="1"/>
        <n v="3641521" u="1"/>
        <n v="3651316" u="1"/>
        <n v="3638680" u="1"/>
        <n v="3642387" u="1"/>
        <n v="3644724" u="1"/>
        <n v="3582304" u="1"/>
        <n v="3640311" u="1"/>
        <n v="3648119" u="1"/>
        <n v="3646416" u="1"/>
        <n v="3651138" u="1"/>
        <n v="3655920" u="1"/>
        <n v="3640629" u="1"/>
        <n v="3642143" u="1"/>
        <n v="3647585" u="1"/>
        <n v="3652038" u="1"/>
        <n v="3642261" u="1"/>
        <n v="3644837" u="1"/>
        <n v="3645361" u="1"/>
        <n v="3649181" u="1"/>
        <n v="3647916" u="1"/>
        <n v="3641864" u="1"/>
        <n v="3649594" u="1"/>
        <n v="3644895" u="1"/>
        <n v="3653876" u="1"/>
        <n v="3639532" u="1"/>
        <n v="3645437" u="1"/>
        <n v="3651105" u="1"/>
        <n v="3653124" u="1"/>
        <n v="3636625" u="1"/>
        <n v="3646797" u="1"/>
        <n v="3649528" u="1"/>
        <n v="3637959" u="1"/>
        <n v="3641422" u="1"/>
        <n v="3653727" u="1"/>
        <n v="3637654" u="1"/>
        <n v="3640860" u="1"/>
        <n v="3653900" u="1"/>
        <n v="3642469" u="1"/>
        <n v="3643601" u="1"/>
        <n v="3642529" u="1"/>
        <n v="3643705" u="1"/>
        <n v="3654857" u="1"/>
        <n v="3655287" u="1"/>
        <n v="3631962" u="1"/>
        <n v="3638485" u="1"/>
        <n v="3642297" u="1"/>
        <n v="3639174" u="1"/>
        <n v="3647569" u="1"/>
        <n v="3646347" u="1"/>
        <n v="3648685" u="1"/>
        <n v="3515259" u="1"/>
        <n v="3651570" u="1"/>
        <n v="3647107" u="1"/>
        <n v="3611039" u="1"/>
        <n v="3655954" u="1"/>
        <n v="3638856" u="1"/>
        <n v="3651194" u="1"/>
        <n v="3647244" u="1"/>
        <n v="3651216" u="1"/>
        <n v="3653101" u="1"/>
        <n v="3653117" u="1"/>
        <n v="3639798" u="1"/>
        <n v="3645578" u="1"/>
        <n v="3646458" u="1"/>
        <n v="3636603" u="1"/>
        <n v="3638906" u="1"/>
        <n v="3643221" u="1"/>
        <n v="3643074" u="1"/>
        <n v="3640039" u="1"/>
        <n v="3641324" u="1"/>
        <n v="3608787" u="1"/>
        <n v="3630001" u="1"/>
        <n v="3650551" u="1"/>
        <n v="3651845" u="1"/>
        <n v="3638089" u="1"/>
        <n v="3640009" u="1"/>
        <n v="3641588" u="1"/>
        <n v="3642409" u="1"/>
        <n v="3652063" u="1"/>
        <n v="3654515" u="1"/>
        <n v="3645977" u="1"/>
        <n v="3651575" u="1"/>
        <n v="3652144" u="1"/>
        <n v="3647423" u="1"/>
        <n v="3648436" u="1"/>
        <n v="3648113" u="1"/>
        <n v="3642153" u="1"/>
        <n v="3618318" u="1"/>
        <n v="3638494" u="1"/>
        <n v="3626233" u="1"/>
        <n v="3638420" u="1"/>
        <n v="3638578" u="1"/>
        <n v="3640878" u="1"/>
        <n v="3646442" u="1"/>
        <n v="3646957" u="1"/>
        <n v="3647499" u="1"/>
        <n v="3649743" u="1"/>
        <n v="3655692" u="1"/>
        <n v="3647106" u="1"/>
        <n v="3638627" u="1"/>
        <n v="3639177" u="1"/>
        <n v="3644329" u="1"/>
        <n v="3645370" u="1"/>
        <n v="3644319" u="1"/>
        <n v="3648217" u="1"/>
        <n v="3650346" u="1"/>
        <n v="3637733" u="1"/>
        <n v="3641916" u="1"/>
        <n v="3642439" u="1"/>
        <n v="3606010" u="1"/>
        <n v="3643883" u="1"/>
        <n v="3649198" u="1"/>
        <n v="3651200" u="1"/>
        <n v="3637108" u="1"/>
        <n v="3638028" u="1"/>
        <n v="3640468" u="1"/>
        <n v="3642517" u="1"/>
        <n v="3643094" u="1"/>
        <n v="3645281" u="1"/>
        <n v="3647315" u="1"/>
        <n v="3651413" u="1"/>
        <n v="3654396" u="1"/>
        <n v="3655415" u="1"/>
        <n v="3639167" u="1"/>
        <n v="3616868" u="1"/>
        <n v="3640537" u="1"/>
        <n v="3641649" u="1"/>
        <n v="3643533" u="1"/>
        <n v="3642703" u="1"/>
        <n v="3623278" u="1"/>
        <n v="3649416" u="1"/>
        <n v="3649613" u="1"/>
        <n v="3647258" u="1"/>
        <n v="3649022" u="1"/>
        <n v="3647286" u="1"/>
        <n v="3650181" u="1"/>
        <n v="3655011" u="1"/>
        <n v="3643833" u="1"/>
        <n v="3647084" u="1"/>
        <n v="3641569" u="1"/>
        <n v="3639459" u="1"/>
        <n v="3649964" u="1"/>
        <n v="3650965" u="1"/>
        <n v="3637532" u="1"/>
        <n v="3644568" u="1"/>
        <n v="3648841" u="1"/>
        <n v="3651982" u="1"/>
        <n v="3638600" u="1"/>
        <n v="3639757" u="1"/>
        <n v="3630000" u="1"/>
        <n v="3645267" u="1"/>
        <n v="3646932" u="1"/>
        <n v="3650231" u="1"/>
        <n v="3641349" u="1"/>
        <n v="3652503" u="1"/>
        <n v="3653244" u="1"/>
        <n v="3647049" u="1"/>
        <n v="3647128" u="1"/>
        <n v="3639524" u="1"/>
        <n v="3646377" u="1"/>
        <n v="3646745" u="1"/>
        <n v="3654994" u="1"/>
        <n v="3655037" u="1"/>
        <n v="3637961" u="1"/>
        <n v="3639023" u="1"/>
        <n v="3642037" u="1"/>
        <n v="3640392" u="1"/>
        <n v="3620810" u="1"/>
        <n v="3645148" u="1"/>
        <n v="3644513" u="1"/>
        <n v="3644222" u="1"/>
        <n v="3639262" u="1"/>
        <n v="3637999" u="1"/>
        <n v="3639708" u="1"/>
        <n v="3642620" u="1"/>
        <n v="3647944" u="1"/>
        <n v="3637113" u="1"/>
        <n v="3639509" u="1"/>
        <n v="3644354" u="1"/>
        <n v="3644176" u="1"/>
        <n v="3644855" u="1"/>
        <n v="3648895" u="1"/>
        <n v="3633184" u="1"/>
        <n v="3632582" u="1"/>
        <n v="3639500" u="1"/>
        <n v="3644327" u="1"/>
        <n v="3647132" u="1"/>
        <n v="3649872" u="1"/>
        <n v="3641951" u="1"/>
        <n v="3652853" u="1"/>
        <n v="3654938" u="1"/>
        <n v="3650360" u="1"/>
        <n v="3611038" u="1"/>
        <n v="3638541" u="1"/>
        <n v="3641602" u="1"/>
        <n v="3648748" u="1"/>
        <n v="3638006" u="1"/>
        <n v="3639060" u="1"/>
        <n v="3641182" u="1"/>
        <n v="3641753" u="1"/>
        <n v="3642972" u="1"/>
        <n v="3639357" u="1"/>
        <n v="3648160" u="1"/>
        <n v="3649734" u="1"/>
        <n v="3648393" u="1"/>
        <n v="3641892" u="1"/>
        <n v="3644265" u="1"/>
        <n v="3652392" u="1"/>
        <n v="3654908" u="1"/>
        <n v="3639884" u="1"/>
        <n v="3639922" u="1"/>
        <n v="3643215" u="1"/>
        <n v="3646851" u="1"/>
        <n v="3636950" u="1"/>
        <n v="3640364" u="1"/>
        <n v="3641621" u="1"/>
        <n v="3639920" u="1"/>
        <n v="3650672" u="1"/>
        <n v="3645335" u="1"/>
        <n v="3651159" u="1"/>
        <n v="3642345" u="1"/>
        <n v="3641664" u="1"/>
        <n v="3650917" u="1"/>
        <n v="3655303" u="1"/>
        <n v="3639879" u="1"/>
        <n v="3639371" u="1"/>
        <n v="3639372" u="1"/>
        <n v="3639366" u="1"/>
        <n v="3654164" u="1"/>
        <n v="3641246" u="1"/>
        <n v="3634811" u="1"/>
        <n v="3645857" u="1"/>
        <n v="3634791" u="1"/>
        <n v="3646157" u="1"/>
        <n v="3645907" u="1"/>
        <n v="3644691" u="1"/>
        <n v="3653169" u="1"/>
        <n v="3638118" u="1"/>
        <n v="3639875" u="1"/>
        <n v="3641170" u="1"/>
        <n v="3645423" u="1"/>
        <n v="3645881" u="1"/>
        <n v="3646581" u="1"/>
        <n v="3648488" u="1"/>
        <n v="3637769" u="1"/>
        <n v="3643560" u="1"/>
        <n v="3652434" u="1"/>
        <n v="3654480" u="1"/>
        <n v="3656264" u="1"/>
        <n v="3646684" u="1"/>
        <n v="3647020" u="1"/>
        <n v="3648755" u="1"/>
        <n v="3648353" u="1"/>
        <n v="3650418" u="1"/>
        <n v="3652662" u="1"/>
        <n v="3644976" u="1"/>
        <n v="3637303" u="1"/>
        <n v="3634780" u="1"/>
        <n v="3630182" u="1"/>
        <n v="3642003" u="1"/>
        <n v="3642633" u="1"/>
        <n v="3639914" u="1"/>
        <n v="3645306" u="1"/>
        <n v="3642981" u="1"/>
        <n v="3645856" u="1"/>
        <n v="3651332" u="1"/>
        <n v="3648097" u="1"/>
        <n v="3642980" u="1"/>
        <n v="3652284" u="1"/>
        <n v="3652672" u="1"/>
        <n v="3654106" u="1"/>
        <n v="3652789" u="1"/>
        <n v="3634806" u="1"/>
        <n v="3642989" u="1"/>
        <n v="3639301" u="1"/>
        <n v="3641706" u="1"/>
        <n v="3637772" u="1"/>
        <n v="3650349" u="1"/>
        <n v="3652537" u="1"/>
        <n v="3652698" u="1"/>
        <n v="3643976" u="1"/>
        <n v="3645958" u="1"/>
        <n v="3641190" u="1"/>
        <n v="3644070" u="1"/>
        <n v="3639367" u="1"/>
        <n v="3648884" u="1"/>
        <n v="3640816" u="1"/>
        <n v="3644355" u="1"/>
        <n v="3644968" u="1"/>
        <n v="3642987" u="1"/>
        <n v="3649840" u="1"/>
        <n v="3651771" u="1"/>
        <n v="3644816" u="1"/>
        <n v="3647204" u="1"/>
        <n v="3649510" u="1"/>
        <n v="3641471" u="1"/>
        <n v="3644669" u="1"/>
        <n v="3647046" u="1"/>
        <n v="3647143" u="1"/>
        <n v="3648509" u="1"/>
        <n v="3649733" u="1"/>
        <n v="3651843" u="1"/>
        <n v="3652822" u="1"/>
        <n v="3650895" u="1"/>
        <n v="3651343" u="1"/>
        <n v="3638686" u="1"/>
        <n v="3639889" u="1"/>
        <n v="3642946" u="1"/>
        <n v="3643107" u="1"/>
        <n v="3646123" u="1"/>
        <n v="3648887" u="1"/>
        <n v="3648416" u="1"/>
        <n v="3651331" u="1"/>
        <n v="3638393" u="1"/>
        <n v="3632297" u="1"/>
        <n v="3644483" u="1"/>
        <n v="3639576" u="1"/>
        <n v="3651820" u="1"/>
        <n v="3653739" u="1"/>
        <n v="3655436" u="1"/>
        <n v="3640295" u="1"/>
        <n v="3643109" u="1"/>
        <n v="3649512" u="1"/>
        <n v="3637774" u="1"/>
        <n v="3656382" u="1"/>
        <n v="3650201" u="1"/>
        <n v="3640502" u="1"/>
        <n v="3639896" u="1"/>
        <n v="3639928" u="1"/>
        <n v="3648812" u="1"/>
        <n v="3655186" u="1"/>
        <n v="3645001" u="1"/>
        <n v="3646689" u="1"/>
        <n v="3647985" u="1"/>
        <n v="3648908" u="1"/>
        <n v="3648529" u="1"/>
        <n v="3651352" u="1"/>
        <n v="3640035" u="1"/>
        <n v="3651757" u="1"/>
        <n v="3637788" u="1"/>
        <n v="3637787" u="1"/>
        <n v="3639515" u="1"/>
        <n v="3646584" u="1"/>
        <n v="3646921" u="1"/>
        <n v="3647266" u="1"/>
        <n v="3647633" u="1"/>
        <n v="3647818" u="1"/>
        <n v="3652722" u="1"/>
        <n v="3648259" u="1"/>
        <n v="3645119" u="1"/>
        <n v="3646811" u="1"/>
        <n v="3649658" u="1"/>
        <n v="3650671" u="1"/>
        <n v="3638162" u="1"/>
        <n v="3639125" u="1"/>
        <n v="3639764" u="1"/>
        <n v="3640083" u="1"/>
        <n v="3650127" u="1"/>
        <n v="3637578" u="1"/>
        <n v="3644582" u="1"/>
        <n v="3650037" u="1"/>
        <n v="3642952" u="1"/>
        <n v="3643474" u="1"/>
        <n v="3651284" u="1"/>
        <n v="3648515" u="1"/>
        <n v="3637550" u="1"/>
        <n v="3622841" u="1"/>
        <n v="3638035" u="1"/>
        <n v="3639580" u="1"/>
        <n v="3642555" u="1"/>
        <n v="3641282" u="1"/>
        <n v="3643192" u="1"/>
        <n v="3640042" u="1"/>
        <n v="3649197" u="1"/>
        <n v="3640393" u="1"/>
        <n v="3644478" u="1"/>
        <n v="3644068" u="1"/>
        <n v="3593495" u="1"/>
        <n v="3647419" u="1"/>
        <n v="3646089" u="1"/>
        <n v="3643464" u="1"/>
        <n v="3652340" u="1"/>
        <n v="3641431" u="1"/>
        <n v="3644124" u="1"/>
        <n v="3651294" u="1"/>
        <n v="3640980" u="1"/>
        <n v="3640530" u="1"/>
        <n v="3637721" u="1"/>
        <n v="3638575" u="1"/>
        <n v="3640607" u="1"/>
        <n v="3634813" u="1"/>
        <n v="3640551" u="1"/>
        <n v="3638693" u="1"/>
        <n v="3639365" u="1"/>
        <n v="3644367" u="1"/>
        <n v="3643928" u="1"/>
        <n v="3646865" u="1"/>
        <n v="3646255" u="1"/>
        <n v="3639362" u="1"/>
        <n v="3642838" u="1"/>
        <n v="3644086" u="1"/>
        <n v="3645419" u="1"/>
        <n v="3642995" u="1"/>
        <n v="3649433" u="1"/>
        <n v="3651342" u="1"/>
        <n v="3651819" u="1"/>
        <n v="3652586" u="1"/>
        <n v="3653186" u="1"/>
        <n v="3655697" u="1"/>
        <n v="3640988" u="1"/>
        <n v="3640700" u="1"/>
        <n v="3649131" u="1"/>
        <n v="3644914" u="1"/>
        <n v="3642500" u="1"/>
        <n v="3639381" u="1"/>
        <n v="3644990" u="1"/>
        <n v="3652637" u="1"/>
        <n v="3637455" u="1"/>
        <n v="3641361" u="1"/>
        <n v="3643290" u="1"/>
        <n v="3639643" u="1"/>
        <n v="3651443" u="1"/>
        <n v="3637377" u="1"/>
        <n v="3638589" u="1"/>
        <n v="3641795" u="1"/>
        <n v="3644019" u="1"/>
        <n v="3643828" u="1"/>
        <n v="3640837" u="1"/>
        <n v="3648457" u="1"/>
        <n v="3640614" u="1"/>
        <n v="3646346" u="1"/>
        <n v="3637508" u="1"/>
        <n v="3639787" u="1"/>
        <n v="3641345" u="1"/>
        <n v="3643429" u="1"/>
        <n v="3645468" u="1"/>
        <n v="3643376" u="1"/>
        <n v="3651561" u="1"/>
        <n v="3651914" u="1"/>
        <n v="3637688" u="1"/>
        <n v="3642303" u="1"/>
        <n v="3643409" u="1"/>
        <n v="3642906" u="1"/>
        <n v="3643348" u="1"/>
        <n v="3646201" u="1"/>
        <n v="3645729" u="1"/>
        <n v="3643167" u="1"/>
        <n v="3646294" u="1"/>
        <n v="3645748" u="1"/>
        <n v="3651531" u="1"/>
        <n v="3638216" u="1"/>
        <n v="3640741" u="1"/>
        <n v="3646064" u="1"/>
        <n v="3649021" u="1"/>
        <n v="3648869" u="1"/>
        <n v="3648592" u="1"/>
        <n v="3648699" u="1"/>
        <n v="3651488" u="1"/>
        <n v="3649298" u="1"/>
        <n v="3644947" u="1"/>
        <n v="3645659" u="1"/>
        <n v="3647690" u="1"/>
        <n v="3637686" u="1"/>
        <n v="3637507" u="1"/>
        <n v="3622842" u="1"/>
        <n v="3646069" u="1"/>
        <n v="3646369" u="1"/>
        <n v="3652386" u="1"/>
        <n v="3653271" u="1"/>
        <n v="3646238" u="1"/>
        <n v="3609218" u="1"/>
        <n v="3640483" u="1"/>
        <n v="3643420" u="1"/>
        <n v="3651948" u="1"/>
        <n v="3640122" u="1"/>
        <n v="3641799" u="1"/>
        <n v="3643690" u="1"/>
        <n v="3642879" u="1"/>
        <n v="3643325" u="1"/>
        <n v="3651731" u="1"/>
        <n v="3640696" u="1"/>
        <n v="3651548" u="1"/>
        <n v="3655549" u="1"/>
        <n v="3640194" u="1"/>
        <n v="3640724" u="1"/>
        <n v="3644206" u="1"/>
        <n v="3642893" u="1"/>
        <n v="3646528" u="1"/>
        <n v="3646306" u="1"/>
        <n v="3649108" u="1"/>
        <n v="3649126" u="1"/>
        <n v="3651945" u="1"/>
        <n v="3651969" u="1"/>
        <n v="3654038" u="1"/>
        <n v="3643327" u="1"/>
        <n v="3645710" u="1"/>
        <n v="3645643" u="1"/>
        <n v="3651950" u="1"/>
        <n v="3638588" u="1"/>
        <n v="3647557" u="1"/>
        <n v="3651888" u="1"/>
        <n v="3654155" u="1"/>
        <n v="3637838" u="1"/>
        <n v="3642912" u="1"/>
        <n v="3646047" u="1"/>
        <n v="3649043" u="1"/>
        <n v="3643415" u="1"/>
        <n v="3642859" u="1"/>
        <n v="3642782" u="1"/>
        <n v="3648664" u="1"/>
        <n v="3648578" u="1"/>
        <n v="3648868" u="1"/>
        <n v="3649133" u="1"/>
        <n v="3637456" u="1"/>
        <n v="3644384" u="1"/>
        <n v="3640911" u="1"/>
        <n v="3639758" u="1"/>
        <n v="3641927" u="1"/>
        <n v="3645555" u="1"/>
        <n v="3645867" u="1"/>
        <n v="3646874" u="1"/>
        <n v="3648491" u="1"/>
        <n v="3652034" u="1"/>
        <n v="3648522" u="1"/>
        <n v="3650936" u="1"/>
        <n v="3637845" u="1"/>
        <n v="3640730" u="1"/>
        <n v="3647117" u="1"/>
        <n v="3654172" u="1"/>
        <n v="3654060" u="1"/>
        <n v="3654069" u="1"/>
        <n v="3646236" u="1"/>
        <n v="3651513" u="1"/>
        <n v="3653913" u="1"/>
        <n v="3586953" u="1"/>
        <n v="3644432" u="1"/>
        <n v="3645059" u="1"/>
        <n v="3645285" u="1"/>
        <n v="3646437" u="1"/>
        <n v="3651225" u="1"/>
        <n v="3621337" u="1"/>
        <n v="3641312" u="1"/>
        <n v="3646568" u="1"/>
        <n v="3645745" u="1"/>
        <n v="3650647" u="1"/>
        <n v="3648530" u="1"/>
        <n v="3651905" u="1"/>
        <n v="3654061" u="1"/>
        <n v="3640440" u="1"/>
        <n v="3649026" u="1"/>
        <n v="3651539" u="1"/>
        <n v="3654066" u="1"/>
        <n v="3642466" u="1"/>
        <n v="3647565" u="1"/>
        <n v="3649129" u="1"/>
        <n v="3654430" u="1"/>
        <n v="3640693" u="1"/>
        <n v="3646322" u="1"/>
        <n v="3648684" u="1"/>
        <n v="3638004" u="1"/>
        <n v="3644551" u="1"/>
        <n v="3632871" u="1"/>
        <n v="3647588" u="1"/>
        <n v="3632565" u="1"/>
        <n v="3649406" u="1"/>
        <n v="3654731" u="1"/>
        <n v="3642099" u="1"/>
        <n v="3645685" u="1"/>
        <n v="3651738" u="1"/>
        <n v="3653210" u="1"/>
        <n v="3651908" u="1"/>
        <n v="3643361" u="1"/>
        <n v="3651895" u="1"/>
        <n v="3653642" u="1"/>
        <n v="3651740" u="1"/>
        <n v="3654194" u="1"/>
        <n v="3651896" u="1"/>
        <n v="3642918" u="1"/>
        <n v="3649012" u="1"/>
        <n v="3626125" u="1"/>
        <n v="3637846" u="1"/>
        <n v="3639382" u="1"/>
        <n v="3649040" u="1"/>
        <n v="3649136" u="1"/>
        <n v="3655837" u="1"/>
        <n v="3638483" u="1"/>
        <n v="3644288" u="1"/>
        <n v="3645751" u="1"/>
        <n v="3646237" u="1"/>
        <n v="3648711" u="1"/>
        <n v="3651951" u="1"/>
        <n v="3639660" u="1"/>
        <n v="3645750" u="1"/>
        <n v="3649107" u="1"/>
        <n v="3637425" u="1"/>
        <n v="3641223" u="1"/>
        <n v="3642863" u="1"/>
        <n v="3643424" u="1"/>
        <n v="3646292" u="1"/>
        <n v="3646308" u="1"/>
        <n v="3653914" u="1"/>
        <n v="3643904" u="1"/>
        <n v="3649121" u="1"/>
        <n v="3637694" u="1"/>
        <n v="3638098" u="1"/>
        <n v="3643582" u="1"/>
        <n v="3643631" u="1"/>
        <n v="3644991" u="1"/>
        <n v="3645002" u="1"/>
        <n v="3650081" u="1"/>
        <n v="3650253" u="1"/>
        <n v="3650479" u="1"/>
        <n v="3651582" u="1"/>
        <n v="3652673" u="1"/>
        <n v="3643550" u="1"/>
        <n v="3647622" u="1"/>
        <n v="3648372" u="1"/>
        <n v="3646575" u="1"/>
        <n v="3650278" u="1"/>
        <n v="3641372" u="1"/>
        <n v="3643056" u="1"/>
        <n v="3648088" u="1"/>
        <n v="3650184" u="1"/>
        <n v="3648723" u="1"/>
        <n v="3640223" u="1"/>
        <n v="3653586" u="1"/>
        <n v="3643198" u="1"/>
        <n v="3637878" u="1"/>
        <n v="3643407" u="1"/>
        <n v="3648649" u="1"/>
        <n v="3651943" u="1"/>
        <n v="3641027" u="1"/>
        <n v="3645983" u="1"/>
        <n v="3646585" u="1"/>
        <n v="3652050" u="1"/>
        <n v="3569818" u="1"/>
        <n v="3654251" u="1"/>
        <n v="3634781" u="1"/>
        <n v="3638034" u="1"/>
        <n v="3638234" u="1"/>
        <n v="3639885" u="1"/>
        <n v="3642958" u="1"/>
        <n v="3645156" u="1"/>
        <n v="3637723" u="1"/>
        <n v="3639756" u="1"/>
        <n v="3641026" u="1"/>
        <n v="3639913" u="1"/>
        <n v="3644015" u="1"/>
        <n v="3644911" u="1"/>
        <n v="3645892" u="1"/>
        <n v="3642200" u="1"/>
        <n v="3647590" u="1"/>
        <n v="3644014" u="1"/>
        <n v="3645273" u="1"/>
        <n v="3646940" u="1"/>
        <n v="3649099" u="1"/>
        <n v="3638265" u="1"/>
        <n v="3640201" u="1"/>
        <n v="3643411" u="1"/>
        <n v="3648647" u="1"/>
        <n v="3646301" u="1"/>
        <n v="3645275" u="1"/>
        <n v="3647163" u="1"/>
        <n v="3629092" u="1"/>
        <n v="3644220" u="1"/>
        <n v="3645933" u="1"/>
        <n v="3656808" u="1"/>
        <n v="3651411" u="1"/>
        <n v="3649186" u="1"/>
        <n v="3628408" u="1"/>
        <n v="3630083" u="1"/>
        <n v="3605218" u="1"/>
        <n v="3636042" u="1"/>
        <n v="3595343" u="1"/>
        <n v="3625764" u="1"/>
        <n v="3629270" u="1"/>
        <n v="3621938" u="1"/>
        <n v="3628946" u="1"/>
        <n v="3630746" u="1"/>
        <n v="3624311" u="1"/>
        <n v="3586276" u="1"/>
        <n v="3623747" u="1"/>
        <n v="3596347" u="1"/>
        <n v="3636700" u="1"/>
        <n v="3621210" u="1"/>
        <n v="3629105" u="1"/>
        <n v="3633708" u="1"/>
        <n v="3620201" u="1"/>
        <n v="3619550" u="1"/>
        <n v="3632403" u="1"/>
        <n v="3632564" u="1"/>
        <n v="3622784" u="1"/>
        <n v="3625769" u="1"/>
        <n v="3618984" u="1"/>
        <n v="3621800" u="1"/>
        <n v="3625075" u="1"/>
        <n v="3628636" u="1"/>
        <n v="3634156" u="1"/>
        <n v="3627779" u="1"/>
        <n v="3620473" u="1"/>
        <n v="3626278" u="1"/>
        <n v="3621858" u="1"/>
        <n v="3621202" u="1"/>
        <n v="3632129" u="1"/>
        <n v="3508523" u="1"/>
        <n v="3635151" u="1"/>
        <n v="3619186" u="1"/>
        <n v="3628125" u="1"/>
        <n v="3627900" u="1"/>
        <n v="3630699" u="1"/>
        <n v="3630993" u="1"/>
        <n v="3633437" u="1"/>
        <n v="3621787" u="1"/>
        <n v="3619910" u="1"/>
        <n v="3620508" u="1"/>
        <n v="3613941" u="1"/>
        <n v="3625958" u="1"/>
        <n v="3620346" u="1"/>
        <n v="3626754" u="1"/>
        <n v="3628564" u="1"/>
        <n v="3629285" u="1"/>
        <n v="3621597" u="1"/>
        <n v="3630863" u="1"/>
        <n v="3629335" u="1"/>
        <n v="3634488" u="1"/>
        <n v="3616966" u="1"/>
        <n v="3631568" u="1"/>
        <n v="3634399" u="1"/>
        <n v="3634730" u="1"/>
        <n v="3620933" u="1"/>
        <n v="3621574" u="1"/>
        <n v="3596718" u="1"/>
        <n v="3627263" u="1"/>
        <n v="3619534" u="1"/>
        <n v="3628273" u="1"/>
        <n v="3628133" u="1"/>
        <n v="3595329" u="1"/>
        <n v="3630151" u="1"/>
        <n v="3628940" u="1"/>
        <n v="3634290" u="1"/>
        <n v="3637188" u="1"/>
        <n v="3622118" u="1"/>
        <n v="3634017" u="1"/>
        <n v="3634354" u="1"/>
        <n v="3638116" u="1"/>
        <n v="3620090" u="1"/>
        <n v="3623667" u="1"/>
        <n v="3636673" u="1"/>
        <n v="3632086" u="1"/>
        <n v="3632069" u="1"/>
        <n v="3631502" u="1"/>
        <n v="3622265" u="1"/>
        <n v="3631844" u="1"/>
        <n v="3629253" u="1"/>
        <n v="3632109" u="1"/>
        <n v="3626015" u="1"/>
        <n v="3627799" u="1"/>
        <n v="3628686" u="1"/>
        <n v="3631877" u="1"/>
        <n v="3632550" u="1"/>
        <n v="3625476" u="1"/>
        <n v="3626661" u="1"/>
        <n v="3629343" u="1"/>
        <n v="3629637" u="1"/>
        <n v="3630688" u="1"/>
        <n v="3636188" u="1"/>
        <n v="3625439" u="1"/>
        <n v="3629948" u="1"/>
        <n v="3637137" u="1"/>
        <n v="3626250" u="1"/>
        <n v="3636629" u="1"/>
        <n v="3625251" u="1"/>
        <n v="3625214" u="1"/>
        <n v="3623335" u="1"/>
        <n v="3630473" u="1"/>
        <n v="3636084" u="1"/>
        <n v="3625327" u="1"/>
        <n v="3631422" u="1"/>
        <n v="3634426" u="1"/>
        <n v="3637131" u="1"/>
        <n v="3619286" u="1"/>
        <n v="3621328" u="1"/>
        <n v="3620926" u="1"/>
        <n v="3622893" u="1"/>
        <n v="3623361" u="1"/>
        <n v="3630723" u="1"/>
        <n v="3632013" u="1"/>
        <n v="3634665" u="1"/>
        <n v="3622153" u="1"/>
        <n v="3622561" u="1"/>
        <n v="3636840" u="1"/>
        <n v="3620913" u="1"/>
        <n v="3621872" u="1"/>
        <n v="3625385" u="1"/>
        <n v="3630209" u="1"/>
        <n v="3631352" u="1"/>
        <n v="3631188" u="1"/>
        <n v="3634391" u="1"/>
        <n v="3630932" u="1"/>
        <n v="3635372" u="1"/>
        <n v="3621153" u="1"/>
        <n v="3632648" u="1"/>
        <n v="3612916" u="1"/>
        <n v="3626785" u="1"/>
        <n v="3628280" u="1"/>
        <n v="3630105" u="1"/>
        <n v="3630297" u="1"/>
        <n v="3621465" u="1"/>
        <n v="3621158" u="1"/>
        <n v="3633733" u="1"/>
        <n v="3620307" u="1"/>
        <n v="3622348" u="1"/>
        <n v="3623528" u="1"/>
        <n v="3625948" u="1"/>
        <n v="3626531" u="1"/>
        <n v="3621467" u="1"/>
        <n v="3632555" u="1"/>
        <n v="3623145" u="1"/>
        <n v="3634660" u="1"/>
        <n v="3621175" u="1"/>
        <n v="3623884" u="1"/>
        <n v="3631978" u="1"/>
        <n v="3629137" u="1"/>
        <n v="3635032" u="1"/>
        <n v="3621381" u="1"/>
        <n v="3631652" u="1"/>
        <n v="3634370" u="1"/>
        <n v="3608950" u="1"/>
        <n v="3622732" u="1"/>
        <n v="3623485" u="1"/>
        <n v="3625357" u="1"/>
        <n v="3620577" u="1"/>
        <n v="3622852" u="1"/>
        <n v="3619944" u="1"/>
        <n v="3630284" u="1"/>
        <n v="3631998" u="1"/>
        <n v="3625098" u="1"/>
        <n v="3618279" u="1"/>
        <n v="3619895" u="1"/>
        <n v="3619698" u="1"/>
        <n v="3623527" u="1"/>
        <n v="3625611" u="1"/>
        <n v="3626820" u="1"/>
        <n v="3629299" u="1"/>
        <n v="3627277" u="1"/>
        <n v="3620118" u="1"/>
        <n v="3621260" u="1"/>
        <n v="3621762" u="1"/>
        <n v="3626329" u="1"/>
        <n v="3632480" u="1"/>
        <n v="3636824" u="1"/>
        <n v="3627471" u="1"/>
        <n v="3625043" u="1"/>
        <n v="3627713" u="1"/>
        <n v="3629399" u="1"/>
        <n v="3619388" u="1"/>
        <n v="3619201" u="1"/>
        <n v="3621035" u="1"/>
        <n v="3619055" u="1"/>
        <n v="3622214" u="1"/>
        <n v="3623606" u="1"/>
        <n v="3631581" u="1"/>
        <n v="3636187" u="1"/>
        <n v="3622598" u="1"/>
        <n v="3628816" u="1"/>
        <n v="3628764" u="1"/>
        <n v="3619276" u="1"/>
        <n v="3628612" u="1"/>
        <n v="3635414" u="1"/>
        <n v="3620865" u="1"/>
        <n v="3621230" u="1"/>
        <n v="3625131" u="1"/>
        <n v="3621160" u="1"/>
        <n v="3630570" u="1"/>
        <n v="3628358" u="1"/>
        <n v="3619940" u="1"/>
        <n v="3620392" u="1"/>
        <n v="3621871" u="1"/>
        <n v="3622848" u="1"/>
        <n v="3621466" u="1"/>
        <n v="3622160" u="1"/>
        <n v="3625742" u="1"/>
        <n v="3625822" u="1"/>
        <n v="3621468" u="1"/>
        <n v="3630645" u="1"/>
        <n v="3627380" u="1"/>
        <n v="3629472" u="1"/>
        <n v="3636946" u="1"/>
        <n v="3622579" u="1"/>
        <n v="3631735" u="1"/>
        <n v="3619773" u="1"/>
        <n v="3619196" u="1"/>
        <n v="3619536" u="1"/>
        <n v="3626240" u="1"/>
        <n v="3593494" u="1"/>
        <n v="3628921" u="1"/>
        <n v="3636513" u="1"/>
        <n v="3636671" u="1"/>
        <n v="3626490" u="1"/>
        <n v="3620147" u="1"/>
        <n v="3621603" u="1"/>
        <n v="3630848" u="1"/>
        <n v="3619587" u="1"/>
        <n v="3619775" u="1"/>
        <n v="3629184" u="1"/>
        <n v="3629901" u="1"/>
        <n v="3632544" u="1"/>
        <n v="3632868" u="1"/>
        <n v="3618269" u="1"/>
        <n v="3619488" u="1"/>
        <n v="3631950" u="1"/>
        <n v="3634414" u="1"/>
        <n v="3622704" u="1"/>
        <n v="3619641" u="1"/>
        <n v="3620674" u="1"/>
        <n v="3620428" u="1"/>
        <n v="3547738" u="1"/>
        <n v="3632108" u="1"/>
        <n v="3596042" u="1"/>
        <n v="3632350" u="1"/>
        <n v="3617015" u="1"/>
        <n v="3621152" u="1"/>
        <n v="3625221" u="1"/>
        <n v="3627719" u="1"/>
        <n v="3631684" u="1"/>
        <n v="3636613" u="1"/>
        <n v="3626975" u="1"/>
        <n v="3623375" u="1"/>
        <n v="3627120" u="1"/>
        <n v="3608504" u="1"/>
        <n v="3619253" u="1"/>
        <n v="3626029" u="1"/>
        <n v="3628571" u="1"/>
        <n v="3623605" u="1"/>
        <n v="3632025" u="1"/>
        <n v="3619732" u="1"/>
        <n v="3621239" u="1"/>
        <n v="3622699" u="1"/>
        <n v="3623189" u="1"/>
        <n v="3623578" u="1"/>
        <n v="3626725" u="1"/>
        <n v="3626793" u="1"/>
        <n v="3627925" u="1"/>
        <n v="3629501" u="1"/>
        <n v="3629403" u="1"/>
        <n v="3608501" u="1"/>
        <n v="3632030" u="1"/>
        <n v="3614039" u="1"/>
        <n v="3616012" u="1"/>
        <n v="3619407" u="1"/>
        <n v="3613404" u="1"/>
        <n v="3622559" u="1"/>
        <n v="3621191" u="1"/>
        <n v="3623785" u="1"/>
        <n v="3623604" u="1"/>
        <n v="3618642" u="1"/>
        <n v="3631436" u="1"/>
        <n v="3636827" u="1"/>
        <n v="3629475" u="1"/>
        <n v="3633363" u="1"/>
        <n v="3622376" u="1"/>
        <n v="3622206" u="1"/>
        <n v="3624845" u="1"/>
        <n v="3626434" u="1"/>
        <n v="3626916" u="1"/>
        <n v="3623451" u="1"/>
        <n v="3624879" u="1"/>
        <n v="3627337" u="1"/>
        <n v="3620595" u="1"/>
        <n v="3629027" u="1"/>
        <n v="3633060" u="1"/>
        <n v="3634506" u="1"/>
        <n v="3634981" u="1"/>
        <n v="3636589" u="1"/>
        <n v="3621146" u="1"/>
        <n v="3633170" u="1"/>
        <n v="3633343" u="1"/>
        <n v="3623976" u="1"/>
        <n v="3572563" u="1"/>
        <n v="3628817" u="1"/>
        <n v="3622709" u="1"/>
        <n v="3623250" u="1"/>
        <n v="3629392" u="1"/>
        <n v="3628916" u="1"/>
        <n v="3553827" u="1"/>
        <n v="3631700" u="1"/>
        <n v="3636787" u="1"/>
        <n v="3619963" u="1"/>
        <n v="3630840" u="1"/>
        <n v="3631945" u="1"/>
        <n v="3625465" u="1"/>
        <n v="3626323" u="1"/>
        <n v="3637213" u="1"/>
        <n v="3619873" u="1"/>
        <n v="3618940" u="1"/>
        <n v="3622575" u="1"/>
        <n v="3625949" u="1"/>
        <n v="3626697" u="1"/>
        <n v="3629149" u="1"/>
        <n v="3634623" u="1"/>
      </sharedItems>
    </cacheField>
    <cacheField name="OBSV" numFmtId="0">
      <sharedItems containsBlank="1" count="6">
        <s v="DESCONTAR SERVICIO EN EFECTIVO"/>
        <m/>
        <s v="DESCONTAR POR USO PERSONAL"/>
        <s v="DESCONTAR POR INCIDENCIA"/>
        <s v="DESCONTAR USO PERSONAL" u="1"/>
        <s v="SERVICIO EN EFECTIVO" u="1"/>
      </sharedItems>
    </cacheField>
    <cacheField name="AREA" numFmtId="0">
      <sharedItems count="3">
        <s v="CONDUCTOR AEROPUERTO"/>
        <s v="CONDUCTOR NO AEROPUERTO"/>
        <e v="#N/A"/>
      </sharedItems>
    </cacheField>
    <cacheField name="FLOTA" numFmtId="0">
      <sharedItems/>
    </cacheField>
    <cacheField name="Fecha Entrada" numFmtId="14">
      <sharedItems containsSemiMixedTypes="0" containsNonDate="0" containsDate="1" containsString="0" minDate="2024-02-26T00:00:00" maxDate="2024-03-01T00:00:00"/>
    </cacheField>
    <cacheField name="Hora Entrada" numFmtId="21">
      <sharedItems containsSemiMixedTypes="0" containsNonDate="0" containsDate="1" containsString="0" minDate="1899-12-30T00:00:17" maxDate="1899-12-30T23:58:54"/>
    </cacheField>
    <cacheField name="Monto" numFmtId="2">
      <sharedItems containsSemiMixedTypes="0" containsString="0" containsNumber="1" minValue="6.6" maxValue="13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zo" refreshedDate="45364.72082037037" createdVersion="8" refreshedVersion="8" minRefreshableVersion="3" recordCount="72" xr:uid="{95926342-24D6-477B-8C4C-19AAA999B680}">
  <cacheSource type="worksheet">
    <worksheetSource name="Tabla43"/>
  </cacheSource>
  <cacheFields count="10">
    <cacheField name="IdServicio" numFmtId="0">
      <sharedItems containsNonDate="0" containsString="0" containsBlank="1"/>
    </cacheField>
    <cacheField name="PlacaAuto" numFmtId="0">
      <sharedItems containsNonDate="0" containsString="0" containsBlank="1"/>
    </cacheField>
    <cacheField name="IdMovil" numFmtId="0">
      <sharedItems containsSemiMixedTypes="0" containsString="0" containsNumber="1" containsInteger="1" minValue="203" maxValue="9402" count="209">
        <n v="1981"/>
        <n v="521"/>
        <n v="420"/>
        <n v="2647"/>
        <n v="2220"/>
        <n v="412"/>
        <n v="722"/>
        <n v="5032"/>
        <n v="2035"/>
        <n v="769"/>
        <n v="5130"/>
        <n v="404"/>
        <n v="902"/>
        <n v="828"/>
        <n v="3386"/>
        <n v="1413"/>
        <n v="561"/>
        <n v="1698"/>
        <n v="1615"/>
        <n v="2039"/>
        <n v="2631"/>
        <n v="2627"/>
        <n v="3173"/>
        <n v="2246"/>
        <n v="2703"/>
        <n v="1675"/>
        <n v="3456"/>
        <n v="223"/>
        <n v="229"/>
        <n v="688"/>
        <n v="2701"/>
        <n v="529"/>
        <n v="1567"/>
        <n v="626"/>
        <n v="466"/>
        <n v="208"/>
        <n v="2253"/>
        <n v="2135"/>
        <n v="2254"/>
        <n v="7609"/>
        <n v="923"/>
        <n v="2501"/>
        <n v="398"/>
        <n v="1440"/>
        <n v="627"/>
        <n v="423"/>
        <n v="331"/>
        <n v="7092"/>
        <n v="713"/>
        <n v="2278"/>
        <n v="2669" u="1"/>
        <n v="1471" u="1"/>
        <n v="5164" u="1"/>
        <n v="7106" u="1"/>
        <n v="675" u="1"/>
        <n v="2261" u="1"/>
        <n v="380" u="1"/>
        <n v="286" u="1"/>
        <n v="2063" u="1"/>
        <n v="407" u="1"/>
        <n v="402" u="1"/>
        <n v="1553" u="1"/>
        <n v="2520" u="1"/>
        <n v="2441" u="1"/>
        <n v="7042" u="1"/>
        <n v="2316" u="1"/>
        <n v="515" u="1"/>
        <n v="1463" u="1"/>
        <n v="674" u="1"/>
        <n v="2615" u="1"/>
        <n v="5142" u="1"/>
        <n v="571" u="1"/>
        <n v="633" u="1"/>
        <n v="684" u="1"/>
        <n v="2394" u="1"/>
        <n v="803" u="1"/>
        <n v="411" u="1"/>
        <n v="2325" u="1"/>
        <n v="987" u="1"/>
        <n v="1441" u="1"/>
        <n v="680" u="1"/>
        <n v="2207" u="1"/>
        <n v="807" u="1"/>
        <n v="2684" u="1"/>
        <n v="2549" u="1"/>
        <n v="221" u="1"/>
        <n v="2122" u="1"/>
        <n v="761" u="1"/>
        <n v="523" u="1"/>
        <n v="212" u="1"/>
        <n v="227" u="1"/>
        <n v="361" u="1"/>
        <n v="408" u="1"/>
        <n v="763" u="1"/>
        <n v="241" u="1"/>
        <n v="2632" u="1"/>
        <n v="2417" u="1"/>
        <n v="219" u="1"/>
        <n v="507" u="1"/>
        <n v="3315" u="1"/>
        <n v="460" u="1"/>
        <n v="1459" u="1"/>
        <n v="766" u="1"/>
        <n v="659" u="1"/>
        <n v="1468" u="1"/>
        <n v="5023" u="1"/>
        <n v="9281" u="1"/>
        <n v="2168" u="1"/>
        <n v="3310" u="1"/>
        <n v="553" u="1"/>
        <n v="307" u="1"/>
        <n v="7027" u="1"/>
        <n v="224" u="1"/>
        <n v="2702" u="1"/>
        <n v="707" u="1"/>
        <n v="859" u="1"/>
        <n v="2030" u="1"/>
        <n v="995" u="1"/>
        <n v="1454" u="1"/>
        <n v="692" u="1"/>
        <n v="2654" u="1"/>
        <n v="975" u="1"/>
        <n v="1434" u="1"/>
        <n v="3394" u="1"/>
        <n v="846" u="1"/>
        <n v="596" u="1"/>
        <n v="997" u="1"/>
        <n v="2356" u="1"/>
        <n v="951" u="1"/>
        <n v="3303" u="1"/>
        <n v="3293" u="1"/>
        <n v="2416" u="1"/>
        <n v="953" u="1"/>
        <n v="2349" u="1"/>
        <n v="2372" u="1"/>
        <n v="837" u="1"/>
        <n v="2406" u="1"/>
        <n v="662" u="1"/>
        <n v="760" u="1"/>
        <n v="926" u="1"/>
        <n v="291" u="1"/>
        <n v="434" u="1"/>
        <n v="660" u="1"/>
        <n v="676" u="1"/>
        <n v="734" u="1"/>
        <n v="746" u="1"/>
        <n v="845" u="1"/>
        <n v="850" u="1"/>
        <n v="1485" u="1"/>
        <n v="1603" u="1"/>
        <n v="2102" u="1"/>
        <n v="2186" u="1"/>
        <n v="2197" u="1"/>
        <n v="2229" u="1"/>
        <n v="2285" u="1"/>
        <n v="2322" u="1"/>
        <n v="2517" u="1"/>
        <n v="2583" u="1"/>
        <n v="3292" u="1"/>
        <n v="5013" u="1"/>
        <n v="5115" u="1"/>
        <n v="7608" u="1"/>
        <n v="213" u="1"/>
        <n v="772" u="1"/>
        <n v="966" u="1"/>
        <n v="1484" u="1"/>
        <n v="2014" u="1"/>
        <n v="2231" u="1"/>
        <n v="2255" u="1"/>
        <n v="2392" u="1"/>
        <n v="2442" u="1"/>
        <n v="2550" u="1"/>
        <n v="9259" u="1"/>
        <n v="2093" u="1"/>
        <n v="677" u="1"/>
        <n v="739" u="1"/>
        <n v="996" u="1"/>
        <n v="1607" u="1"/>
        <n v="1699" u="1"/>
        <n v="2086" u="1"/>
        <n v="2163" u="1"/>
        <n v="2188" u="1"/>
        <n v="2247" u="1"/>
        <n v="2463" u="1"/>
        <n v="2568" u="1"/>
        <n v="3243" u="1"/>
        <n v="7015" u="1"/>
        <n v="7438" u="1"/>
        <n v="2047" u="1"/>
        <n v="373" u="1"/>
        <n v="2478" u="1"/>
        <n v="2422" u="1"/>
        <n v="564" u="1"/>
        <n v="7559" u="1"/>
        <n v="2489" u="1"/>
        <n v="9402" u="1"/>
        <n v="2587" u="1"/>
        <n v="3404" u="1"/>
        <n v="2365" u="1"/>
        <n v="1601" u="1"/>
        <n v="3427" u="1"/>
        <n v="2538" u="1"/>
        <n v="2622" u="1"/>
        <n v="7581" u="1"/>
        <n v="203" u="1"/>
        <n v="7026" u="1"/>
        <n v="2429" u="1"/>
        <n v="2020" u="1"/>
        <n v="7554" u="1"/>
      </sharedItems>
    </cacheField>
    <cacheField name="FLOTA" numFmtId="0">
      <sharedItems count="7">
        <s v="URBANO"/>
        <e v="#N/A"/>
        <s v="AEROPUERTO"/>
        <s v="PLAZAS"/>
        <s v="LATAM" u="1"/>
        <s v="JOCKEY" u="1"/>
        <s v="NO AEROPUERTO" u="1"/>
      </sharedItems>
    </cacheField>
    <cacheField name="REEMBOLSO" numFmtId="2">
      <sharedItems containsNonDate="0" containsString="0" containsBlank="1"/>
    </cacheField>
    <cacheField name="Fecha_Servicio" numFmtId="164">
      <sharedItems containsNonDate="0" containsString="0" containsBlank="1"/>
    </cacheField>
    <cacheField name="Fecha_Inicio" numFmtId="164">
      <sharedItems containsNonDate="0" containsString="0" containsBlank="1"/>
    </cacheField>
    <cacheField name="Fecha_Termino" numFmtId="164">
      <sharedItems containsNonDate="0" containsString="0" containsBlank="1"/>
    </cacheField>
    <cacheField name="Total_Peaje" numFmtId="0">
      <sharedItems containsNonDate="0" containsString="0" containsBlank="1"/>
    </cacheField>
    <cacheField name="DescTipoPag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3">
  <r>
    <s v="BJD367"/>
    <x v="0"/>
    <x v="0"/>
    <x v="0"/>
    <x v="0"/>
    <s v="AEROPUERTO"/>
    <d v="2024-02-26T00:00:00"/>
    <d v="1899-12-30T04:15:48"/>
    <n v="6.6"/>
  </r>
  <r>
    <s v="BJD367"/>
    <x v="0"/>
    <x v="0"/>
    <x v="0"/>
    <x v="0"/>
    <s v="AEROPUERTO"/>
    <d v="2024-02-26T00:00:00"/>
    <d v="1899-12-30T04:21:35"/>
    <n v="6.6"/>
  </r>
  <r>
    <s v="BJD367"/>
    <x v="0"/>
    <x v="1"/>
    <x v="1"/>
    <x v="0"/>
    <s v="AEROPUERTO"/>
    <d v="2024-02-27T00:00:00"/>
    <d v="1899-12-30T23:21:57"/>
    <n v="6.6"/>
  </r>
  <r>
    <s v="BJD367"/>
    <x v="0"/>
    <x v="1"/>
    <x v="1"/>
    <x v="0"/>
    <s v="AEROPUERTO"/>
    <d v="2024-02-27T00:00:00"/>
    <d v="1899-12-30T23:31:53"/>
    <n v="6.6"/>
  </r>
  <r>
    <s v="BJD367"/>
    <x v="0"/>
    <x v="2"/>
    <x v="2"/>
    <x v="0"/>
    <s v="AEROPUERTO"/>
    <d v="2024-02-27T00:00:00"/>
    <d v="1899-12-30T23:43:46"/>
    <n v="6.6"/>
  </r>
  <r>
    <s v="BJD367"/>
    <x v="0"/>
    <x v="2"/>
    <x v="2"/>
    <x v="0"/>
    <s v="AEROPUERTO"/>
    <d v="2024-02-27T00:00:00"/>
    <d v="1899-12-30T23:51:24"/>
    <n v="6.6"/>
  </r>
  <r>
    <s v="BJD367"/>
    <x v="0"/>
    <x v="3"/>
    <x v="1"/>
    <x v="0"/>
    <s v="AEROPUERTO"/>
    <d v="2024-02-28T00:00:00"/>
    <d v="1899-12-30T22:05:44"/>
    <n v="6.6"/>
  </r>
  <r>
    <s v="BJD367"/>
    <x v="0"/>
    <x v="2"/>
    <x v="2"/>
    <x v="0"/>
    <s v="AEROPUERTO"/>
    <d v="2024-02-28T00:00:00"/>
    <d v="1899-12-30T22:44:16"/>
    <n v="6.6"/>
  </r>
  <r>
    <s v="CHK361"/>
    <x v="1"/>
    <x v="4"/>
    <x v="1"/>
    <x v="0"/>
    <s v="AEROPUERTO"/>
    <d v="2024-02-26T00:00:00"/>
    <d v="1899-12-30T01:07:14"/>
    <n v="6.6"/>
  </r>
  <r>
    <s v="CHK361"/>
    <x v="1"/>
    <x v="4"/>
    <x v="1"/>
    <x v="0"/>
    <s v="AEROPUERTO"/>
    <d v="2024-02-26T00:00:00"/>
    <d v="1899-12-30T01:18:45"/>
    <n v="6.6"/>
  </r>
  <r>
    <s v="CHK361"/>
    <x v="1"/>
    <x v="5"/>
    <x v="1"/>
    <x v="0"/>
    <s v="AEROPUERTO"/>
    <d v="2024-02-26T00:00:00"/>
    <d v="1899-12-30T05:11:46"/>
    <n v="6.6"/>
  </r>
  <r>
    <s v="CHK361"/>
    <x v="1"/>
    <x v="5"/>
    <x v="1"/>
    <x v="0"/>
    <s v="AEROPUERTO"/>
    <d v="2024-02-26T00:00:00"/>
    <d v="1899-12-30T05:18:58"/>
    <n v="6.6"/>
  </r>
  <r>
    <s v="CHK361"/>
    <x v="1"/>
    <x v="6"/>
    <x v="1"/>
    <x v="0"/>
    <s v="AEROPUERTO"/>
    <d v="2024-02-26T00:00:00"/>
    <d v="1899-12-30T17:52:26"/>
    <n v="6.6"/>
  </r>
  <r>
    <s v="CHK361"/>
    <x v="1"/>
    <x v="6"/>
    <x v="1"/>
    <x v="0"/>
    <s v="AEROPUERTO"/>
    <d v="2024-02-26T00:00:00"/>
    <d v="1899-12-30T18:15:20"/>
    <n v="6.6"/>
  </r>
  <r>
    <s v="CHK361"/>
    <x v="1"/>
    <x v="2"/>
    <x v="2"/>
    <x v="0"/>
    <s v="AEROPUERTO"/>
    <d v="2024-02-26T00:00:00"/>
    <d v="1899-12-30T18:30:26"/>
    <n v="6.6"/>
  </r>
  <r>
    <s v="CHK361"/>
    <x v="1"/>
    <x v="2"/>
    <x v="2"/>
    <x v="0"/>
    <s v="AEROPUERTO"/>
    <d v="2024-02-26T00:00:00"/>
    <d v="1899-12-30T18:56:54"/>
    <n v="6.6"/>
  </r>
  <r>
    <s v="CHK361"/>
    <x v="1"/>
    <x v="7"/>
    <x v="1"/>
    <x v="0"/>
    <s v="AEROPUERTO"/>
    <d v="2024-02-26T00:00:00"/>
    <d v="1899-12-30T21:07:25"/>
    <n v="6.6"/>
  </r>
  <r>
    <s v="CHK361"/>
    <x v="1"/>
    <x v="7"/>
    <x v="1"/>
    <x v="0"/>
    <s v="AEROPUERTO"/>
    <d v="2024-02-26T00:00:00"/>
    <d v="1899-12-30T21:17:36"/>
    <n v="6.6"/>
  </r>
  <r>
    <s v="CHK361"/>
    <x v="1"/>
    <x v="8"/>
    <x v="3"/>
    <x v="0"/>
    <s v="AEROPUERTO"/>
    <d v="2024-02-27T00:00:00"/>
    <d v="1899-12-30T04:12:59"/>
    <n v="6.6"/>
  </r>
  <r>
    <s v="CHK361"/>
    <x v="1"/>
    <x v="8"/>
    <x v="3"/>
    <x v="0"/>
    <s v="AEROPUERTO"/>
    <d v="2024-02-27T00:00:00"/>
    <d v="1899-12-30T04:19:53"/>
    <n v="6.6"/>
  </r>
  <r>
    <s v="CHK361"/>
    <x v="1"/>
    <x v="9"/>
    <x v="1"/>
    <x v="0"/>
    <s v="AEROPUERTO"/>
    <d v="2024-02-27T00:00:00"/>
    <d v="1899-12-30T06:01:38"/>
    <n v="6.6"/>
  </r>
  <r>
    <s v="CHK361"/>
    <x v="1"/>
    <x v="9"/>
    <x v="1"/>
    <x v="0"/>
    <s v="AEROPUERTO"/>
    <d v="2024-02-27T00:00:00"/>
    <d v="1899-12-30T06:11:07"/>
    <n v="6.6"/>
  </r>
  <r>
    <s v="CHK361"/>
    <x v="1"/>
    <x v="10"/>
    <x v="1"/>
    <x v="0"/>
    <s v="AEROPUERTO"/>
    <d v="2024-02-28T00:00:00"/>
    <d v="1899-12-30T19:37:33"/>
    <n v="6.6"/>
  </r>
  <r>
    <s v="CHK361"/>
    <x v="1"/>
    <x v="10"/>
    <x v="1"/>
    <x v="0"/>
    <s v="AEROPUERTO"/>
    <d v="2024-02-28T00:00:00"/>
    <d v="1899-12-30T19:56:23"/>
    <n v="6.6"/>
  </r>
  <r>
    <s v="CHK361"/>
    <x v="1"/>
    <x v="11"/>
    <x v="1"/>
    <x v="0"/>
    <s v="AEROPUERTO"/>
    <d v="2024-02-28T00:00:00"/>
    <d v="1899-12-30T23:29:33"/>
    <n v="6.6"/>
  </r>
  <r>
    <s v="CHK361"/>
    <x v="1"/>
    <x v="11"/>
    <x v="1"/>
    <x v="0"/>
    <s v="AEROPUERTO"/>
    <d v="2024-02-28T00:00:00"/>
    <d v="1899-12-30T23:44:37"/>
    <n v="6.6"/>
  </r>
  <r>
    <s v="CHK361"/>
    <x v="1"/>
    <x v="12"/>
    <x v="1"/>
    <x v="0"/>
    <s v="AEROPUERTO"/>
    <d v="2024-02-29T00:00:00"/>
    <d v="1899-12-30T19:50:54"/>
    <n v="6.6"/>
  </r>
  <r>
    <s v="CHK361"/>
    <x v="1"/>
    <x v="12"/>
    <x v="1"/>
    <x v="0"/>
    <s v="AEROPUERTO"/>
    <d v="2024-02-29T00:00:00"/>
    <d v="1899-12-30T20:02:08"/>
    <n v="6.6"/>
  </r>
  <r>
    <s v="BKG258"/>
    <x v="2"/>
    <x v="2"/>
    <x v="2"/>
    <x v="0"/>
    <s v="AEROPUERTO"/>
    <d v="2024-02-26T00:00:00"/>
    <d v="1899-12-30T08:37:00"/>
    <n v="6.6"/>
  </r>
  <r>
    <s v="BKG258"/>
    <x v="2"/>
    <x v="13"/>
    <x v="1"/>
    <x v="0"/>
    <s v="AEROPUERTO"/>
    <d v="2024-02-26T00:00:00"/>
    <d v="1899-12-30T09:38:19"/>
    <n v="6.6"/>
  </r>
  <r>
    <s v="BKG258"/>
    <x v="2"/>
    <x v="2"/>
    <x v="2"/>
    <x v="0"/>
    <s v="AEROPUERTO"/>
    <d v="2024-02-27T00:00:00"/>
    <d v="1899-12-30T08:07:43"/>
    <n v="6.6"/>
  </r>
  <r>
    <s v="BKG258"/>
    <x v="2"/>
    <x v="14"/>
    <x v="1"/>
    <x v="0"/>
    <s v="AEROPUERTO"/>
    <d v="2024-02-27T00:00:00"/>
    <d v="1899-12-30T20:55:07"/>
    <n v="6.6"/>
  </r>
  <r>
    <s v="BKG258"/>
    <x v="2"/>
    <x v="14"/>
    <x v="1"/>
    <x v="0"/>
    <s v="AEROPUERTO"/>
    <d v="2024-02-27T00:00:00"/>
    <d v="1899-12-30T21:04:19"/>
    <n v="6.6"/>
  </r>
  <r>
    <s v="BKG258"/>
    <x v="2"/>
    <x v="2"/>
    <x v="2"/>
    <x v="0"/>
    <s v="AEROPUERTO"/>
    <d v="2024-02-27T00:00:00"/>
    <d v="1899-12-30T21:23:47"/>
    <n v="6.6"/>
  </r>
  <r>
    <s v="BKG258"/>
    <x v="2"/>
    <x v="2"/>
    <x v="2"/>
    <x v="0"/>
    <s v="AEROPUERTO"/>
    <d v="2024-02-27T00:00:00"/>
    <d v="1899-12-30T21:31:27"/>
    <n v="6.6"/>
  </r>
  <r>
    <s v="BKG258"/>
    <x v="2"/>
    <x v="15"/>
    <x v="1"/>
    <x v="0"/>
    <s v="AEROPUERTO"/>
    <d v="2024-02-27T00:00:00"/>
    <d v="1899-12-30T22:16:40"/>
    <n v="6.6"/>
  </r>
  <r>
    <s v="BKG258"/>
    <x v="2"/>
    <x v="15"/>
    <x v="1"/>
    <x v="0"/>
    <s v="AEROPUERTO"/>
    <d v="2024-02-27T00:00:00"/>
    <d v="1899-12-30T22:26:49"/>
    <n v="6.6"/>
  </r>
  <r>
    <s v="BKG258"/>
    <x v="2"/>
    <x v="16"/>
    <x v="1"/>
    <x v="0"/>
    <s v="AEROPUERTO"/>
    <d v="2024-02-28T00:00:00"/>
    <d v="1899-12-30T23:27:14"/>
    <n v="6.6"/>
  </r>
  <r>
    <s v="BKG258"/>
    <x v="2"/>
    <x v="16"/>
    <x v="1"/>
    <x v="0"/>
    <s v="AEROPUERTO"/>
    <d v="2024-02-28T00:00:00"/>
    <d v="1899-12-30T23:47:04"/>
    <n v="6.6"/>
  </r>
  <r>
    <s v="BKG258"/>
    <x v="2"/>
    <x v="17"/>
    <x v="1"/>
    <x v="0"/>
    <s v="AEROPUERTO"/>
    <d v="2024-02-29T00:00:00"/>
    <d v="1899-12-30T10:32:40"/>
    <n v="6.6"/>
  </r>
  <r>
    <s v="BKG258"/>
    <x v="2"/>
    <x v="17"/>
    <x v="1"/>
    <x v="0"/>
    <s v="AEROPUERTO"/>
    <d v="2024-02-29T00:00:00"/>
    <d v="1899-12-30T10:44:44"/>
    <n v="6.6"/>
  </r>
  <r>
    <s v="BKG258"/>
    <x v="2"/>
    <x v="18"/>
    <x v="1"/>
    <x v="0"/>
    <s v="AEROPUERTO"/>
    <d v="2024-02-29T00:00:00"/>
    <d v="1899-12-30T18:34:37"/>
    <n v="6.6"/>
  </r>
  <r>
    <s v="BKG258"/>
    <x v="2"/>
    <x v="18"/>
    <x v="1"/>
    <x v="0"/>
    <s v="AEROPUERTO"/>
    <d v="2024-02-29T00:00:00"/>
    <d v="1899-12-30T18:46:20"/>
    <n v="6.6"/>
  </r>
  <r>
    <s v="AFK601"/>
    <x v="3"/>
    <x v="19"/>
    <x v="1"/>
    <x v="0"/>
    <s v="AEROPUERTO"/>
    <d v="2024-02-28T00:00:00"/>
    <d v="1899-12-30T09:41:51"/>
    <n v="6.6"/>
  </r>
  <r>
    <s v="AFK601"/>
    <x v="3"/>
    <x v="19"/>
    <x v="1"/>
    <x v="0"/>
    <s v="AEROPUERTO"/>
    <d v="2024-02-28T00:00:00"/>
    <d v="1899-12-30T10:00:23"/>
    <n v="6.6"/>
  </r>
  <r>
    <s v="AFK601"/>
    <x v="3"/>
    <x v="2"/>
    <x v="2"/>
    <x v="0"/>
    <s v="AEROPUERTO"/>
    <d v="2024-02-28T00:00:00"/>
    <d v="1899-12-30T10:21:10"/>
    <n v="6.6"/>
  </r>
  <r>
    <s v="AFK601"/>
    <x v="3"/>
    <x v="2"/>
    <x v="2"/>
    <x v="0"/>
    <s v="AEROPUERTO"/>
    <d v="2024-02-28T00:00:00"/>
    <d v="1899-12-30T10:38:20"/>
    <n v="6.6"/>
  </r>
  <r>
    <s v="AFK601"/>
    <x v="3"/>
    <x v="2"/>
    <x v="2"/>
    <x v="0"/>
    <s v="AEROPUERTO"/>
    <d v="2024-02-28T00:00:00"/>
    <d v="1899-12-30T23:15:54"/>
    <n v="6.6"/>
  </r>
  <r>
    <s v="AFK601"/>
    <x v="3"/>
    <x v="20"/>
    <x v="1"/>
    <x v="0"/>
    <s v="AEROPUERTO"/>
    <d v="2024-02-29T00:00:00"/>
    <d v="1899-12-30T21:09:35"/>
    <n v="6.6"/>
  </r>
  <r>
    <s v="AFK601"/>
    <x v="3"/>
    <x v="20"/>
    <x v="1"/>
    <x v="0"/>
    <s v="AEROPUERTO"/>
    <d v="2024-02-29T00:00:00"/>
    <d v="1899-12-30T21:20:37"/>
    <n v="6.6"/>
  </r>
  <r>
    <s v="ALN251"/>
    <x v="4"/>
    <x v="2"/>
    <x v="2"/>
    <x v="0"/>
    <s v="AEROPUERTO"/>
    <d v="2024-02-27T00:00:00"/>
    <d v="1899-12-30T12:55:19"/>
    <n v="6.6"/>
  </r>
  <r>
    <s v="ALN251"/>
    <x v="4"/>
    <x v="2"/>
    <x v="2"/>
    <x v="0"/>
    <s v="AEROPUERTO"/>
    <d v="2024-02-27T00:00:00"/>
    <d v="1899-12-30T13:23:20"/>
    <n v="6.6"/>
  </r>
  <r>
    <s v="ALN251"/>
    <x v="4"/>
    <x v="2"/>
    <x v="2"/>
    <x v="0"/>
    <s v="AEROPUERTO"/>
    <d v="2024-02-29T00:00:00"/>
    <d v="1899-12-30T07:50:08"/>
    <n v="6.6"/>
  </r>
  <r>
    <s v="ALN251"/>
    <x v="4"/>
    <x v="2"/>
    <x v="2"/>
    <x v="0"/>
    <s v="AEROPUERTO"/>
    <d v="2024-02-29T00:00:00"/>
    <d v="1899-12-30T08:08:03"/>
    <n v="6.6"/>
  </r>
  <r>
    <s v="ABI163"/>
    <x v="5"/>
    <x v="21"/>
    <x v="1"/>
    <x v="0"/>
    <s v="AEROPUERTO"/>
    <d v="2024-02-26T00:00:00"/>
    <d v="1899-12-30T09:10:48"/>
    <n v="6.6"/>
  </r>
  <r>
    <s v="ABI163"/>
    <x v="5"/>
    <x v="21"/>
    <x v="1"/>
    <x v="0"/>
    <s v="AEROPUERTO"/>
    <d v="2024-02-26T00:00:00"/>
    <d v="1899-12-30T09:23:16"/>
    <n v="6.6"/>
  </r>
  <r>
    <s v="ABI163"/>
    <x v="5"/>
    <x v="2"/>
    <x v="2"/>
    <x v="0"/>
    <s v="AEROPUERTO"/>
    <d v="2024-02-26T00:00:00"/>
    <d v="1899-12-30T09:53:27"/>
    <n v="6.6"/>
  </r>
  <r>
    <s v="ABI163"/>
    <x v="5"/>
    <x v="2"/>
    <x v="2"/>
    <x v="0"/>
    <s v="AEROPUERTO"/>
    <d v="2024-02-26T00:00:00"/>
    <d v="1899-12-30T10:01:58"/>
    <n v="6.6"/>
  </r>
  <r>
    <s v="ABI163"/>
    <x v="5"/>
    <x v="2"/>
    <x v="2"/>
    <x v="0"/>
    <s v="AEROPUERTO"/>
    <d v="2024-02-29T00:00:00"/>
    <d v="1899-12-30T11:42:51"/>
    <n v="6.6"/>
  </r>
  <r>
    <s v="ABI163"/>
    <x v="5"/>
    <x v="2"/>
    <x v="2"/>
    <x v="0"/>
    <s v="AEROPUERTO"/>
    <d v="2024-02-29T00:00:00"/>
    <d v="1899-12-30T12:49:17"/>
    <n v="6.6"/>
  </r>
  <r>
    <s v="BBS203"/>
    <x v="6"/>
    <x v="22"/>
    <x v="1"/>
    <x v="0"/>
    <s v="AEROPUERTO"/>
    <d v="2024-02-27T00:00:00"/>
    <d v="1899-12-30T04:55:27"/>
    <n v="6.6"/>
  </r>
  <r>
    <s v="BBS203"/>
    <x v="6"/>
    <x v="22"/>
    <x v="1"/>
    <x v="0"/>
    <s v="AEROPUERTO"/>
    <d v="2024-02-27T00:00:00"/>
    <d v="1899-12-30T05:01:14"/>
    <n v="6.6"/>
  </r>
  <r>
    <s v="BBS203"/>
    <x v="6"/>
    <x v="23"/>
    <x v="1"/>
    <x v="0"/>
    <s v="AEROPUERTO"/>
    <d v="2024-02-27T00:00:00"/>
    <d v="1899-12-30T08:16:15"/>
    <n v="6.6"/>
  </r>
  <r>
    <s v="BBS203"/>
    <x v="6"/>
    <x v="24"/>
    <x v="1"/>
    <x v="0"/>
    <s v="AEROPUERTO"/>
    <d v="2024-02-27T00:00:00"/>
    <d v="1899-12-30T09:56:15"/>
    <n v="6.6"/>
  </r>
  <r>
    <s v="BBS203"/>
    <x v="6"/>
    <x v="24"/>
    <x v="1"/>
    <x v="0"/>
    <s v="AEROPUERTO"/>
    <d v="2024-02-27T00:00:00"/>
    <d v="1899-12-30T10:04:19"/>
    <n v="6.6"/>
  </r>
  <r>
    <s v="BBS203"/>
    <x v="6"/>
    <x v="25"/>
    <x v="1"/>
    <x v="0"/>
    <s v="AEROPUERTO"/>
    <d v="2024-02-28T00:00:00"/>
    <d v="1899-12-30T07:39:30"/>
    <n v="6.6"/>
  </r>
  <r>
    <s v="BXG178"/>
    <x v="7"/>
    <x v="26"/>
    <x v="0"/>
    <x v="0"/>
    <s v="AEROPUERTO"/>
    <d v="2024-02-26T00:00:00"/>
    <d v="1899-12-30T07:19:26"/>
    <n v="6.6"/>
  </r>
  <r>
    <s v="BXG178"/>
    <x v="7"/>
    <x v="26"/>
    <x v="0"/>
    <x v="0"/>
    <s v="AEROPUERTO"/>
    <d v="2024-02-26T00:00:00"/>
    <d v="1899-12-30T07:29:05"/>
    <n v="6.6"/>
  </r>
  <r>
    <s v="BXG178"/>
    <x v="7"/>
    <x v="27"/>
    <x v="1"/>
    <x v="0"/>
    <s v="AEROPUERTO"/>
    <d v="2024-02-27T00:00:00"/>
    <d v="1899-12-30T19:47:18"/>
    <n v="6.6"/>
  </r>
  <r>
    <s v="BXG178"/>
    <x v="7"/>
    <x v="27"/>
    <x v="1"/>
    <x v="0"/>
    <s v="AEROPUERTO"/>
    <d v="2024-02-27T00:00:00"/>
    <d v="1899-12-30T19:57:44"/>
    <n v="6.6"/>
  </r>
  <r>
    <s v="BXG178"/>
    <x v="7"/>
    <x v="2"/>
    <x v="2"/>
    <x v="0"/>
    <s v="AEROPUERTO"/>
    <d v="2024-02-27T00:00:00"/>
    <d v="1899-12-30T20:22:37"/>
    <n v="6.6"/>
  </r>
  <r>
    <s v="BXG178"/>
    <x v="7"/>
    <x v="2"/>
    <x v="2"/>
    <x v="0"/>
    <s v="AEROPUERTO"/>
    <d v="2024-02-27T00:00:00"/>
    <d v="1899-12-30T20:51:29"/>
    <n v="6.6"/>
  </r>
  <r>
    <s v="BXG178"/>
    <x v="7"/>
    <x v="28"/>
    <x v="1"/>
    <x v="0"/>
    <s v="AEROPUERTO"/>
    <d v="2024-02-28T00:00:00"/>
    <d v="1899-12-30T00:36:09"/>
    <n v="6.6"/>
  </r>
  <r>
    <s v="BXG178"/>
    <x v="7"/>
    <x v="29"/>
    <x v="1"/>
    <x v="0"/>
    <s v="AEROPUERTO"/>
    <d v="2024-02-28T00:00:00"/>
    <d v="1899-12-30T22:16:46"/>
    <n v="6.6"/>
  </r>
  <r>
    <s v="BXG178"/>
    <x v="7"/>
    <x v="29"/>
    <x v="1"/>
    <x v="0"/>
    <s v="AEROPUERTO"/>
    <d v="2024-02-28T00:00:00"/>
    <d v="1899-12-30T22:27:50"/>
    <n v="6.6"/>
  </r>
  <r>
    <s v="BXG178"/>
    <x v="7"/>
    <x v="2"/>
    <x v="2"/>
    <x v="0"/>
    <s v="AEROPUERTO"/>
    <d v="2024-02-28T00:00:00"/>
    <d v="1899-12-30T22:45:48"/>
    <n v="6.6"/>
  </r>
  <r>
    <s v="BXG178"/>
    <x v="7"/>
    <x v="30"/>
    <x v="3"/>
    <x v="0"/>
    <s v="AEROPUERTO"/>
    <d v="2024-02-29T00:00:00"/>
    <d v="1899-12-30T08:00:26"/>
    <n v="6.6"/>
  </r>
  <r>
    <s v="BXG178"/>
    <x v="7"/>
    <x v="30"/>
    <x v="3"/>
    <x v="0"/>
    <s v="AEROPUERTO"/>
    <d v="2024-02-29T00:00:00"/>
    <d v="1899-12-30T08:10:14"/>
    <n v="6.6"/>
  </r>
  <r>
    <s v="BXG178"/>
    <x v="7"/>
    <x v="31"/>
    <x v="1"/>
    <x v="0"/>
    <s v="AEROPUERTO"/>
    <d v="2024-02-29T00:00:00"/>
    <d v="1899-12-30T20:54:30"/>
    <n v="6.6"/>
  </r>
  <r>
    <s v="BXG178"/>
    <x v="7"/>
    <x v="31"/>
    <x v="1"/>
    <x v="0"/>
    <s v="AEROPUERTO"/>
    <d v="2024-02-29T00:00:00"/>
    <d v="1899-12-30T21:04:56"/>
    <n v="6.6"/>
  </r>
  <r>
    <s v="BXG178"/>
    <x v="7"/>
    <x v="2"/>
    <x v="2"/>
    <x v="0"/>
    <s v="AEROPUERTO"/>
    <d v="2024-02-29T00:00:00"/>
    <d v="1899-12-30T21:56:41"/>
    <n v="6.6"/>
  </r>
  <r>
    <s v="BKB382"/>
    <x v="8"/>
    <x v="2"/>
    <x v="2"/>
    <x v="1"/>
    <s v="URBANO"/>
    <d v="2024-02-26T00:00:00"/>
    <d v="1899-12-30T22:21:02"/>
    <n v="6.6"/>
  </r>
  <r>
    <s v="BKB382"/>
    <x v="8"/>
    <x v="2"/>
    <x v="2"/>
    <x v="1"/>
    <s v="URBANO"/>
    <d v="2024-02-27T00:00:00"/>
    <d v="1899-12-30T11:14:10"/>
    <n v="6.6"/>
  </r>
  <r>
    <s v="BKB382"/>
    <x v="8"/>
    <x v="2"/>
    <x v="2"/>
    <x v="1"/>
    <s v="URBANO"/>
    <d v="2024-02-27T00:00:00"/>
    <d v="1899-12-30T14:23:44"/>
    <n v="6.6"/>
  </r>
  <r>
    <s v="BKB382"/>
    <x v="8"/>
    <x v="32"/>
    <x v="1"/>
    <x v="1"/>
    <s v="URBANO"/>
    <d v="2024-02-28T00:00:00"/>
    <d v="1899-12-30T06:13:11"/>
    <n v="6.6"/>
  </r>
  <r>
    <s v="BKB382"/>
    <x v="8"/>
    <x v="32"/>
    <x v="1"/>
    <x v="1"/>
    <s v="URBANO"/>
    <d v="2024-02-28T00:00:00"/>
    <d v="1899-12-30T06:20:24"/>
    <n v="6.6"/>
  </r>
  <r>
    <s v="BKB382"/>
    <x v="8"/>
    <x v="2"/>
    <x v="2"/>
    <x v="1"/>
    <s v="URBANO"/>
    <d v="2024-02-28T00:00:00"/>
    <d v="1899-12-30T13:27:20"/>
    <n v="6.6"/>
  </r>
  <r>
    <s v="BKB382"/>
    <x v="8"/>
    <x v="2"/>
    <x v="2"/>
    <x v="1"/>
    <s v="URBANO"/>
    <d v="2024-02-28T00:00:00"/>
    <d v="1899-12-30T13:37:20"/>
    <n v="6.6"/>
  </r>
  <r>
    <s v="AZM405"/>
    <x v="9"/>
    <x v="33"/>
    <x v="1"/>
    <x v="0"/>
    <s v="AEROPUERTO"/>
    <d v="2024-02-27T00:00:00"/>
    <d v="1899-12-30T05:38:48"/>
    <n v="6.6"/>
  </r>
  <r>
    <s v="AZM405"/>
    <x v="9"/>
    <x v="33"/>
    <x v="1"/>
    <x v="0"/>
    <s v="AEROPUERTO"/>
    <d v="2024-02-27T00:00:00"/>
    <d v="1899-12-30T05:49:28"/>
    <n v="6.6"/>
  </r>
  <r>
    <s v="AZM405"/>
    <x v="9"/>
    <x v="34"/>
    <x v="1"/>
    <x v="0"/>
    <s v="AEROPUERTO"/>
    <d v="2024-02-29T00:00:00"/>
    <d v="1899-12-30T01:29:13"/>
    <n v="6.6"/>
  </r>
  <r>
    <s v="AZM405"/>
    <x v="9"/>
    <x v="34"/>
    <x v="1"/>
    <x v="0"/>
    <s v="AEROPUERTO"/>
    <d v="2024-02-29T00:00:00"/>
    <d v="1899-12-30T01:39:00"/>
    <n v="6.6"/>
  </r>
  <r>
    <s v="AZM405"/>
    <x v="9"/>
    <x v="35"/>
    <x v="1"/>
    <x v="0"/>
    <s v="AEROPUERTO"/>
    <d v="2024-02-29T00:00:00"/>
    <d v="1899-12-30T02:57:26"/>
    <n v="6.6"/>
  </r>
  <r>
    <s v="AZM405"/>
    <x v="9"/>
    <x v="35"/>
    <x v="1"/>
    <x v="0"/>
    <s v="AEROPUERTO"/>
    <d v="2024-02-29T00:00:00"/>
    <d v="1899-12-30T03:04:13"/>
    <n v="6.6"/>
  </r>
  <r>
    <s v="ABG350"/>
    <x v="10"/>
    <x v="36"/>
    <x v="3"/>
    <x v="0"/>
    <s v="AEROPUERTO"/>
    <d v="2024-02-27T00:00:00"/>
    <d v="1899-12-30T07:37:53"/>
    <n v="6.6"/>
  </r>
  <r>
    <s v="ABG350"/>
    <x v="10"/>
    <x v="37"/>
    <x v="1"/>
    <x v="0"/>
    <s v="AEROPUERTO"/>
    <d v="2024-02-27T00:00:00"/>
    <d v="1899-12-30T21:45:32"/>
    <n v="6.6"/>
  </r>
  <r>
    <s v="ABG350"/>
    <x v="10"/>
    <x v="37"/>
    <x v="1"/>
    <x v="0"/>
    <s v="AEROPUERTO"/>
    <d v="2024-02-27T00:00:00"/>
    <d v="1899-12-30T21:54:33"/>
    <n v="6.6"/>
  </r>
  <r>
    <s v="BVI697"/>
    <x v="11"/>
    <x v="38"/>
    <x v="1"/>
    <x v="0"/>
    <s v="AEROPUERTO"/>
    <d v="2024-02-26T00:00:00"/>
    <d v="1899-12-30T18:31:14"/>
    <n v="6.6"/>
  </r>
  <r>
    <s v="BVI697"/>
    <x v="11"/>
    <x v="38"/>
    <x v="1"/>
    <x v="0"/>
    <s v="AEROPUERTO"/>
    <d v="2024-02-26T00:00:00"/>
    <d v="1899-12-30T18:44:16"/>
    <n v="6.6"/>
  </r>
  <r>
    <s v="BVI697"/>
    <x v="11"/>
    <x v="39"/>
    <x v="3"/>
    <x v="0"/>
    <s v="AEROPUERTO"/>
    <d v="2024-02-27T00:00:00"/>
    <d v="1899-12-30T00:09:37"/>
    <n v="6.6"/>
  </r>
  <r>
    <s v="BAS253"/>
    <x v="12"/>
    <x v="40"/>
    <x v="1"/>
    <x v="0"/>
    <s v="AEROPUERTO"/>
    <d v="2024-02-26T00:00:00"/>
    <d v="1899-12-30T09:33:52"/>
    <n v="6.6"/>
  </r>
  <r>
    <s v="BAS253"/>
    <x v="12"/>
    <x v="40"/>
    <x v="1"/>
    <x v="0"/>
    <s v="AEROPUERTO"/>
    <d v="2024-02-26T00:00:00"/>
    <d v="1899-12-30T09:45:31"/>
    <n v="6.6"/>
  </r>
  <r>
    <s v="BAS253"/>
    <x v="12"/>
    <x v="41"/>
    <x v="1"/>
    <x v="0"/>
    <s v="AEROPUERTO"/>
    <d v="2024-02-26T00:00:00"/>
    <d v="1899-12-30T11:03:10"/>
    <n v="6.6"/>
  </r>
  <r>
    <s v="BAS253"/>
    <x v="12"/>
    <x v="41"/>
    <x v="1"/>
    <x v="0"/>
    <s v="AEROPUERTO"/>
    <d v="2024-02-26T00:00:00"/>
    <d v="1899-12-30T11:11:50"/>
    <n v="6.6"/>
  </r>
  <r>
    <s v="F9P237"/>
    <x v="13"/>
    <x v="42"/>
    <x v="3"/>
    <x v="0"/>
    <s v="AEROPUERTO"/>
    <d v="2024-02-26T00:00:00"/>
    <d v="1899-12-30T02:54:44"/>
    <n v="6.6"/>
  </r>
  <r>
    <s v="F9P237"/>
    <x v="13"/>
    <x v="43"/>
    <x v="1"/>
    <x v="0"/>
    <s v="AEROPUERTO"/>
    <d v="2024-02-27T00:00:00"/>
    <d v="1899-12-30T18:38:45"/>
    <n v="6.6"/>
  </r>
  <r>
    <s v="F9P237"/>
    <x v="13"/>
    <x v="44"/>
    <x v="1"/>
    <x v="0"/>
    <s v="AEROPUERTO"/>
    <d v="2024-02-29T00:00:00"/>
    <d v="1899-12-30T22:27:34"/>
    <n v="6.6"/>
  </r>
  <r>
    <s v="F9P237"/>
    <x v="13"/>
    <x v="44"/>
    <x v="1"/>
    <x v="0"/>
    <s v="AEROPUERTO"/>
    <d v="2024-02-29T00:00:00"/>
    <d v="1899-12-30T23:04:24"/>
    <n v="6.6"/>
  </r>
  <r>
    <s v="AJO016"/>
    <x v="14"/>
    <x v="45"/>
    <x v="1"/>
    <x v="0"/>
    <s v="AEROPUERTO"/>
    <d v="2024-02-29T00:00:00"/>
    <d v="1899-12-30T20:30:25"/>
    <n v="6.6"/>
  </r>
  <r>
    <s v="AJO016"/>
    <x v="14"/>
    <x v="45"/>
    <x v="1"/>
    <x v="0"/>
    <s v="AEROPUERTO"/>
    <d v="2024-02-29T00:00:00"/>
    <d v="1899-12-30T20:40:07"/>
    <n v="6.6"/>
  </r>
  <r>
    <s v="AJO016"/>
    <x v="14"/>
    <x v="46"/>
    <x v="3"/>
    <x v="0"/>
    <s v="AEROPUERTO"/>
    <d v="2024-02-29T00:00:00"/>
    <d v="1899-12-30T22:51:04"/>
    <n v="6.6"/>
  </r>
  <r>
    <s v="AJO016"/>
    <x v="14"/>
    <x v="46"/>
    <x v="3"/>
    <x v="0"/>
    <s v="AEROPUERTO"/>
    <d v="2024-02-29T00:00:00"/>
    <d v="1899-12-30T23:00:14"/>
    <n v="6.6"/>
  </r>
  <r>
    <s v="ATU353"/>
    <x v="15"/>
    <x v="47"/>
    <x v="1"/>
    <x v="0"/>
    <s v="AEROPUERTO"/>
    <d v="2024-02-26T00:00:00"/>
    <d v="1899-12-30T09:24:59"/>
    <n v="6.6"/>
  </r>
  <r>
    <s v="ATU353"/>
    <x v="15"/>
    <x v="47"/>
    <x v="1"/>
    <x v="0"/>
    <s v="AEROPUERTO"/>
    <d v="2024-02-26T00:00:00"/>
    <d v="1899-12-30T09:33:17"/>
    <n v="6.6"/>
  </r>
  <r>
    <s v="ATU353"/>
    <x v="15"/>
    <x v="2"/>
    <x v="2"/>
    <x v="0"/>
    <s v="AEROPUERTO"/>
    <d v="2024-02-26T00:00:00"/>
    <d v="1899-12-30T10:03:05"/>
    <n v="6.6"/>
  </r>
  <r>
    <s v="ATU353"/>
    <x v="15"/>
    <x v="2"/>
    <x v="2"/>
    <x v="0"/>
    <s v="AEROPUERTO"/>
    <d v="2024-02-26T00:00:00"/>
    <d v="1899-12-30T10:07:41"/>
    <n v="6.6"/>
  </r>
  <r>
    <s v="ATU353"/>
    <x v="15"/>
    <x v="48"/>
    <x v="1"/>
    <x v="0"/>
    <s v="AEROPUERTO"/>
    <d v="2024-02-27T00:00:00"/>
    <d v="1899-12-30T15:30:22"/>
    <n v="6.6"/>
  </r>
  <r>
    <s v="ATU353"/>
    <x v="15"/>
    <x v="48"/>
    <x v="1"/>
    <x v="0"/>
    <s v="AEROPUERTO"/>
    <d v="2024-02-27T00:00:00"/>
    <d v="1899-12-30T15:42:25"/>
    <n v="6.6"/>
  </r>
  <r>
    <s v="ATU353"/>
    <x v="15"/>
    <x v="49"/>
    <x v="1"/>
    <x v="0"/>
    <s v="AEROPUERTO"/>
    <d v="2024-02-29T00:00:00"/>
    <d v="1899-12-30T09:44:14"/>
    <n v="6.6"/>
  </r>
  <r>
    <s v="ATU353"/>
    <x v="15"/>
    <x v="49"/>
    <x v="1"/>
    <x v="0"/>
    <s v="AEROPUERTO"/>
    <d v="2024-02-29T00:00:00"/>
    <d v="1899-12-30T09:57:06"/>
    <n v="6.6"/>
  </r>
  <r>
    <s v="BFT573"/>
    <x v="16"/>
    <x v="50"/>
    <x v="1"/>
    <x v="0"/>
    <s v="AEROPUERTO"/>
    <d v="2024-02-27T00:00:00"/>
    <d v="1899-12-30T13:28:57"/>
    <n v="6.6"/>
  </r>
  <r>
    <s v="BFT573"/>
    <x v="16"/>
    <x v="50"/>
    <x v="1"/>
    <x v="0"/>
    <s v="AEROPUERTO"/>
    <d v="2024-02-27T00:00:00"/>
    <d v="1899-12-30T13:39:41"/>
    <n v="6.6"/>
  </r>
  <r>
    <s v="BFT573"/>
    <x v="16"/>
    <x v="51"/>
    <x v="1"/>
    <x v="0"/>
    <s v="AEROPUERTO"/>
    <d v="2024-02-28T00:00:00"/>
    <d v="1899-12-30T09:13:01"/>
    <n v="6.6"/>
  </r>
  <r>
    <s v="BFT573"/>
    <x v="16"/>
    <x v="51"/>
    <x v="1"/>
    <x v="0"/>
    <s v="AEROPUERTO"/>
    <d v="2024-02-28T00:00:00"/>
    <d v="1899-12-30T09:30:13"/>
    <n v="6.6"/>
  </r>
  <r>
    <s v="BFT573"/>
    <x v="16"/>
    <x v="2"/>
    <x v="2"/>
    <x v="0"/>
    <s v="AEROPUERTO"/>
    <d v="2024-02-28T00:00:00"/>
    <d v="1899-12-30T10:00:43"/>
    <n v="6.6"/>
  </r>
  <r>
    <s v="BFT573"/>
    <x v="16"/>
    <x v="2"/>
    <x v="2"/>
    <x v="0"/>
    <s v="AEROPUERTO"/>
    <d v="2024-02-28T00:00:00"/>
    <d v="1899-12-30T10:15:12"/>
    <n v="6.6"/>
  </r>
  <r>
    <s v="BFT573"/>
    <x v="16"/>
    <x v="52"/>
    <x v="1"/>
    <x v="0"/>
    <s v="AEROPUERTO"/>
    <d v="2024-02-28T00:00:00"/>
    <d v="1899-12-30T13:50:07"/>
    <n v="6.6"/>
  </r>
  <r>
    <s v="ARG589"/>
    <x v="17"/>
    <x v="53"/>
    <x v="3"/>
    <x v="0"/>
    <s v="AEROPUERTO"/>
    <d v="2024-02-26T00:00:00"/>
    <d v="1899-12-30T04:43:02"/>
    <n v="6.6"/>
  </r>
  <r>
    <s v="ARG589"/>
    <x v="17"/>
    <x v="53"/>
    <x v="1"/>
    <x v="0"/>
    <s v="AEROPUERTO"/>
    <d v="2024-02-26T00:00:00"/>
    <d v="1899-12-30T06:08:30"/>
    <n v="6.6"/>
  </r>
  <r>
    <s v="ARG589"/>
    <x v="17"/>
    <x v="53"/>
    <x v="1"/>
    <x v="0"/>
    <s v="AEROPUERTO"/>
    <d v="2024-02-26T00:00:00"/>
    <d v="1899-12-30T06:12:35"/>
    <n v="6.6"/>
  </r>
  <r>
    <s v="ARG589"/>
    <x v="17"/>
    <x v="54"/>
    <x v="3"/>
    <x v="0"/>
    <s v="AEROPUERTO"/>
    <d v="2024-02-27T00:00:00"/>
    <d v="1899-12-30T03:40:23"/>
    <n v="6.6"/>
  </r>
  <r>
    <s v="ARG589"/>
    <x v="17"/>
    <x v="54"/>
    <x v="1"/>
    <x v="0"/>
    <s v="AEROPUERTO"/>
    <d v="2024-02-27T00:00:00"/>
    <d v="1899-12-30T04:51:20"/>
    <n v="6.6"/>
  </r>
  <r>
    <s v="ARG589"/>
    <x v="17"/>
    <x v="54"/>
    <x v="1"/>
    <x v="0"/>
    <s v="AEROPUERTO"/>
    <d v="2024-02-27T00:00:00"/>
    <d v="1899-12-30T04:54:56"/>
    <n v="6.6"/>
  </r>
  <r>
    <s v="ARG589"/>
    <x v="17"/>
    <x v="2"/>
    <x v="2"/>
    <x v="0"/>
    <s v="AEROPUERTO"/>
    <d v="2024-02-27T00:00:00"/>
    <d v="1899-12-30T22:12:41"/>
    <n v="6.6"/>
  </r>
  <r>
    <s v="ARG589"/>
    <x v="17"/>
    <x v="2"/>
    <x v="2"/>
    <x v="0"/>
    <s v="AEROPUERTO"/>
    <d v="2024-02-27T00:00:00"/>
    <d v="1899-12-30T23:08:23"/>
    <n v="6.6"/>
  </r>
  <r>
    <s v="ARG589"/>
    <x v="17"/>
    <x v="55"/>
    <x v="1"/>
    <x v="0"/>
    <s v="AEROPUERTO"/>
    <d v="2024-02-28T00:00:00"/>
    <d v="1899-12-30T06:49:21"/>
    <n v="6.6"/>
  </r>
  <r>
    <s v="ARG589"/>
    <x v="17"/>
    <x v="56"/>
    <x v="1"/>
    <x v="0"/>
    <s v="AEROPUERTO"/>
    <d v="2024-02-28T00:00:00"/>
    <d v="1899-12-30T22:22:07"/>
    <n v="6.6"/>
  </r>
  <r>
    <s v="ARG589"/>
    <x v="17"/>
    <x v="56"/>
    <x v="1"/>
    <x v="0"/>
    <s v="AEROPUERTO"/>
    <d v="2024-02-28T00:00:00"/>
    <d v="1899-12-30T22:34:53"/>
    <n v="6.6"/>
  </r>
  <r>
    <s v="AJV272"/>
    <x v="18"/>
    <x v="57"/>
    <x v="1"/>
    <x v="0"/>
    <s v="AEROPUERTO"/>
    <d v="2024-02-27T00:00:00"/>
    <d v="1899-12-30T11:13:33"/>
    <n v="6.6"/>
  </r>
  <r>
    <s v="AJV272"/>
    <x v="18"/>
    <x v="57"/>
    <x v="1"/>
    <x v="0"/>
    <s v="AEROPUERTO"/>
    <d v="2024-02-27T00:00:00"/>
    <d v="1899-12-30T11:24:30"/>
    <n v="6.6"/>
  </r>
  <r>
    <s v="AJV272"/>
    <x v="18"/>
    <x v="58"/>
    <x v="1"/>
    <x v="0"/>
    <s v="AEROPUERTO"/>
    <d v="2024-02-28T00:00:00"/>
    <d v="1899-12-30T11:38:14"/>
    <n v="6.6"/>
  </r>
  <r>
    <s v="AJV272"/>
    <x v="18"/>
    <x v="58"/>
    <x v="1"/>
    <x v="0"/>
    <s v="AEROPUERTO"/>
    <d v="2024-02-28T00:00:00"/>
    <d v="1899-12-30T11:48:23"/>
    <n v="6.6"/>
  </r>
  <r>
    <s v="AJV272"/>
    <x v="18"/>
    <x v="59"/>
    <x v="1"/>
    <x v="0"/>
    <s v="AEROPUERTO"/>
    <d v="2024-02-29T00:00:00"/>
    <d v="1899-12-30T06:17:28"/>
    <n v="6.6"/>
  </r>
  <r>
    <s v="AJV272"/>
    <x v="18"/>
    <x v="59"/>
    <x v="1"/>
    <x v="0"/>
    <s v="AEROPUERTO"/>
    <d v="2024-02-29T00:00:00"/>
    <d v="1899-12-30T06:25:01"/>
    <n v="6.6"/>
  </r>
  <r>
    <s v="BUA648"/>
    <x v="19"/>
    <x v="2"/>
    <x v="2"/>
    <x v="0"/>
    <s v="AEROPUERTO"/>
    <d v="2024-02-26T00:00:00"/>
    <d v="1899-12-30T16:29:35"/>
    <n v="6.6"/>
  </r>
  <r>
    <s v="BUA648"/>
    <x v="19"/>
    <x v="2"/>
    <x v="2"/>
    <x v="0"/>
    <s v="AEROPUERTO"/>
    <d v="2024-02-26T00:00:00"/>
    <d v="1899-12-30T16:39:03"/>
    <n v="6.6"/>
  </r>
  <r>
    <s v="BUA648"/>
    <x v="19"/>
    <x v="60"/>
    <x v="1"/>
    <x v="0"/>
    <s v="AEROPUERTO"/>
    <d v="2024-02-28T00:00:00"/>
    <d v="1899-12-30T09:24:10"/>
    <n v="6.6"/>
  </r>
  <r>
    <s v="BUA648"/>
    <x v="19"/>
    <x v="60"/>
    <x v="1"/>
    <x v="0"/>
    <s v="AEROPUERTO"/>
    <d v="2024-02-28T00:00:00"/>
    <d v="1899-12-30T09:43:12"/>
    <n v="6.6"/>
  </r>
  <r>
    <s v="BUA648"/>
    <x v="19"/>
    <x v="2"/>
    <x v="2"/>
    <x v="0"/>
    <s v="AEROPUERTO"/>
    <d v="2024-02-28T00:00:00"/>
    <d v="1899-12-30T10:03:35"/>
    <n v="6.6"/>
  </r>
  <r>
    <s v="BUA648"/>
    <x v="19"/>
    <x v="2"/>
    <x v="2"/>
    <x v="0"/>
    <s v="AEROPUERTO"/>
    <d v="2024-02-28T00:00:00"/>
    <d v="1899-12-30T10:20:09"/>
    <n v="6.6"/>
  </r>
  <r>
    <s v="BUA648"/>
    <x v="19"/>
    <x v="61"/>
    <x v="1"/>
    <x v="0"/>
    <s v="AEROPUERTO"/>
    <d v="2024-02-28T00:00:00"/>
    <d v="1899-12-30T21:07:32"/>
    <n v="6.6"/>
  </r>
  <r>
    <s v="BUA648"/>
    <x v="19"/>
    <x v="61"/>
    <x v="1"/>
    <x v="0"/>
    <s v="AEROPUERTO"/>
    <d v="2024-02-28T00:00:00"/>
    <d v="1899-12-30T21:18:53"/>
    <n v="6.6"/>
  </r>
  <r>
    <s v="BUA648"/>
    <x v="19"/>
    <x v="2"/>
    <x v="2"/>
    <x v="0"/>
    <s v="AEROPUERTO"/>
    <d v="2024-02-28T00:00:00"/>
    <d v="1899-12-30T21:40:29"/>
    <n v="6.6"/>
  </r>
  <r>
    <s v="ATP510"/>
    <x v="20"/>
    <x v="2"/>
    <x v="2"/>
    <x v="0"/>
    <s v="AEROPUERTO"/>
    <d v="2024-02-26T00:00:00"/>
    <d v="1899-12-30T20:17:09"/>
    <n v="6.6"/>
  </r>
  <r>
    <s v="ATP510"/>
    <x v="20"/>
    <x v="2"/>
    <x v="2"/>
    <x v="0"/>
    <s v="AEROPUERTO"/>
    <d v="2024-02-26T00:00:00"/>
    <d v="1899-12-30T20:28:15"/>
    <n v="6.6"/>
  </r>
  <r>
    <s v="ATP510"/>
    <x v="20"/>
    <x v="62"/>
    <x v="3"/>
    <x v="0"/>
    <s v="AEROPUERTO"/>
    <d v="2024-02-27T00:00:00"/>
    <d v="1899-12-30T19:48:25"/>
    <n v="6.6"/>
  </r>
  <r>
    <s v="ATP510"/>
    <x v="20"/>
    <x v="62"/>
    <x v="3"/>
    <x v="0"/>
    <s v="AEROPUERTO"/>
    <d v="2024-02-27T00:00:00"/>
    <d v="1899-12-30T19:58:54"/>
    <n v="6.6"/>
  </r>
  <r>
    <s v="ATP510"/>
    <x v="20"/>
    <x v="2"/>
    <x v="2"/>
    <x v="0"/>
    <s v="AEROPUERTO"/>
    <d v="2024-02-27T00:00:00"/>
    <d v="1899-12-30T21:19:09"/>
    <n v="6.6"/>
  </r>
  <r>
    <s v="ATP510"/>
    <x v="20"/>
    <x v="2"/>
    <x v="2"/>
    <x v="0"/>
    <s v="AEROPUERTO"/>
    <d v="2024-02-29T00:00:00"/>
    <d v="1899-12-30T19:43:17"/>
    <n v="6.6"/>
  </r>
  <r>
    <s v="BYB664"/>
    <x v="21"/>
    <x v="63"/>
    <x v="3"/>
    <x v="0"/>
    <s v="AEROPUERTO"/>
    <d v="2024-02-27T00:00:00"/>
    <d v="1899-12-30T05:15:03"/>
    <n v="6.6"/>
  </r>
  <r>
    <s v="BYB664"/>
    <x v="21"/>
    <x v="63"/>
    <x v="3"/>
    <x v="0"/>
    <s v="AEROPUERTO"/>
    <d v="2024-02-27T00:00:00"/>
    <d v="1899-12-30T05:23:22"/>
    <n v="6.6"/>
  </r>
  <r>
    <s v="BYB664"/>
    <x v="21"/>
    <x v="63"/>
    <x v="1"/>
    <x v="0"/>
    <s v="AEROPUERTO"/>
    <d v="2024-02-27T00:00:00"/>
    <d v="1899-12-30T06:56:12"/>
    <n v="6.6"/>
  </r>
  <r>
    <s v="BYB664"/>
    <x v="21"/>
    <x v="63"/>
    <x v="1"/>
    <x v="0"/>
    <s v="AEROPUERTO"/>
    <d v="2024-02-27T00:00:00"/>
    <d v="1899-12-30T07:02:32"/>
    <n v="6.6"/>
  </r>
  <r>
    <s v="BYB664"/>
    <x v="21"/>
    <x v="64"/>
    <x v="1"/>
    <x v="0"/>
    <s v="AEROPUERTO"/>
    <d v="2024-02-28T00:00:00"/>
    <d v="1899-12-30T07:51:58"/>
    <n v="6.6"/>
  </r>
  <r>
    <s v="BYB664"/>
    <x v="21"/>
    <x v="64"/>
    <x v="1"/>
    <x v="0"/>
    <s v="AEROPUERTO"/>
    <d v="2024-02-28T00:00:00"/>
    <d v="1899-12-30T08:05:21"/>
    <n v="6.6"/>
  </r>
  <r>
    <s v="BYB664"/>
    <x v="21"/>
    <x v="2"/>
    <x v="2"/>
    <x v="0"/>
    <s v="AEROPUERTO"/>
    <d v="2024-02-28T00:00:00"/>
    <d v="1899-12-30T08:21:12"/>
    <n v="6.6"/>
  </r>
  <r>
    <s v="BYB664"/>
    <x v="21"/>
    <x v="2"/>
    <x v="2"/>
    <x v="0"/>
    <s v="AEROPUERTO"/>
    <d v="2024-02-28T00:00:00"/>
    <d v="1899-12-30T08:31:02"/>
    <n v="6.6"/>
  </r>
  <r>
    <s v="BYT048"/>
    <x v="22"/>
    <x v="65"/>
    <x v="1"/>
    <x v="0"/>
    <s v="AEROPUERTO"/>
    <d v="2024-02-26T00:00:00"/>
    <d v="1899-12-30T16:51:57"/>
    <n v="6.6"/>
  </r>
  <r>
    <s v="BYT048"/>
    <x v="22"/>
    <x v="65"/>
    <x v="1"/>
    <x v="0"/>
    <s v="AEROPUERTO"/>
    <d v="2024-02-26T00:00:00"/>
    <d v="1899-12-30T17:03:14"/>
    <n v="6.6"/>
  </r>
  <r>
    <s v="BYT048"/>
    <x v="22"/>
    <x v="2"/>
    <x v="2"/>
    <x v="0"/>
    <s v="AEROPUERTO"/>
    <d v="2024-02-26T00:00:00"/>
    <d v="1899-12-30T19:46:55"/>
    <n v="6.6"/>
  </r>
  <r>
    <s v="BYT048"/>
    <x v="22"/>
    <x v="2"/>
    <x v="2"/>
    <x v="0"/>
    <s v="AEROPUERTO"/>
    <d v="2024-02-26T00:00:00"/>
    <d v="1899-12-30T20:31:05"/>
    <n v="6.6"/>
  </r>
  <r>
    <s v="BYT048"/>
    <x v="22"/>
    <x v="66"/>
    <x v="0"/>
    <x v="0"/>
    <s v="AEROPUERTO"/>
    <d v="2024-02-27T00:00:00"/>
    <d v="1899-12-30T15:57:46"/>
    <n v="6.6"/>
  </r>
  <r>
    <s v="BYT048"/>
    <x v="22"/>
    <x v="67"/>
    <x v="1"/>
    <x v="0"/>
    <s v="AEROPUERTO"/>
    <d v="2024-02-27T00:00:00"/>
    <d v="1899-12-30T16:58:06"/>
    <n v="6.6"/>
  </r>
  <r>
    <s v="BYT048"/>
    <x v="22"/>
    <x v="67"/>
    <x v="1"/>
    <x v="0"/>
    <s v="AEROPUERTO"/>
    <d v="2024-02-27T00:00:00"/>
    <d v="1899-12-30T17:10:50"/>
    <n v="6.6"/>
  </r>
  <r>
    <s v="BYT048"/>
    <x v="22"/>
    <x v="2"/>
    <x v="2"/>
    <x v="0"/>
    <s v="AEROPUERTO"/>
    <d v="2024-02-29T00:00:00"/>
    <d v="1899-12-30T19:42:08"/>
    <n v="6.6"/>
  </r>
  <r>
    <s v="AZA463"/>
    <x v="23"/>
    <x v="68"/>
    <x v="1"/>
    <x v="1"/>
    <s v="URBANO"/>
    <d v="2024-02-26T00:00:00"/>
    <d v="1899-12-30T12:26:47"/>
    <n v="6.6"/>
  </r>
  <r>
    <s v="AZA463"/>
    <x v="23"/>
    <x v="68"/>
    <x v="1"/>
    <x v="1"/>
    <s v="URBANO"/>
    <d v="2024-02-26T00:00:00"/>
    <d v="1899-12-30T12:34:19"/>
    <n v="6.6"/>
  </r>
  <r>
    <s v="AZA463"/>
    <x v="23"/>
    <x v="69"/>
    <x v="1"/>
    <x v="1"/>
    <s v="URBANO"/>
    <d v="2024-02-26T00:00:00"/>
    <d v="1899-12-30T23:09:44"/>
    <n v="6.6"/>
  </r>
  <r>
    <s v="AZA463"/>
    <x v="23"/>
    <x v="69"/>
    <x v="1"/>
    <x v="1"/>
    <s v="URBANO"/>
    <d v="2024-02-26T00:00:00"/>
    <d v="1899-12-30T23:17:31"/>
    <n v="6.6"/>
  </r>
  <r>
    <s v="AZA463"/>
    <x v="23"/>
    <x v="2"/>
    <x v="2"/>
    <x v="1"/>
    <s v="URBANO"/>
    <d v="2024-02-28T00:00:00"/>
    <d v="1899-12-30T03:24:58"/>
    <n v="6.6"/>
  </r>
  <r>
    <s v="AZA463"/>
    <x v="23"/>
    <x v="2"/>
    <x v="2"/>
    <x v="1"/>
    <s v="URBANO"/>
    <d v="2024-02-28T00:00:00"/>
    <d v="1899-12-30T05:59:18"/>
    <n v="6.6"/>
  </r>
  <r>
    <s v="BFO116"/>
    <x v="24"/>
    <x v="70"/>
    <x v="1"/>
    <x v="0"/>
    <s v="AEROPUERTO"/>
    <d v="2024-02-26T00:00:00"/>
    <d v="1899-12-30T12:59:00"/>
    <n v="6.6"/>
  </r>
  <r>
    <s v="BFO116"/>
    <x v="24"/>
    <x v="70"/>
    <x v="1"/>
    <x v="0"/>
    <s v="AEROPUERTO"/>
    <d v="2024-02-26T00:00:00"/>
    <d v="1899-12-30T13:09:57"/>
    <n v="6.6"/>
  </r>
  <r>
    <s v="BFO116"/>
    <x v="24"/>
    <x v="71"/>
    <x v="1"/>
    <x v="0"/>
    <s v="AEROPUERTO"/>
    <d v="2024-02-28T00:00:00"/>
    <d v="1899-12-30T08:24:33"/>
    <n v="6.6"/>
  </r>
  <r>
    <s v="BFO116"/>
    <x v="24"/>
    <x v="71"/>
    <x v="1"/>
    <x v="0"/>
    <s v="AEROPUERTO"/>
    <d v="2024-02-28T00:00:00"/>
    <d v="1899-12-30T08:42:53"/>
    <n v="6.6"/>
  </r>
  <r>
    <s v="BFO116"/>
    <x v="24"/>
    <x v="72"/>
    <x v="3"/>
    <x v="0"/>
    <s v="AEROPUERTO"/>
    <d v="2024-02-28T00:00:00"/>
    <d v="1899-12-30T13:15:46"/>
    <n v="6.6"/>
  </r>
  <r>
    <s v="BFO116"/>
    <x v="24"/>
    <x v="72"/>
    <x v="3"/>
    <x v="0"/>
    <s v="AEROPUERTO"/>
    <d v="2024-02-28T00:00:00"/>
    <d v="1899-12-30T13:23:41"/>
    <n v="6.6"/>
  </r>
  <r>
    <s v="BFO116"/>
    <x v="24"/>
    <x v="73"/>
    <x v="1"/>
    <x v="0"/>
    <s v="AEROPUERTO"/>
    <d v="2024-02-28T00:00:00"/>
    <d v="1899-12-30T15:57:17"/>
    <n v="6.6"/>
  </r>
  <r>
    <s v="BFO116"/>
    <x v="24"/>
    <x v="74"/>
    <x v="3"/>
    <x v="0"/>
    <s v="AEROPUERTO"/>
    <d v="2024-02-29T00:00:00"/>
    <d v="1899-12-30T11:19:43"/>
    <n v="6.6"/>
  </r>
  <r>
    <s v="BFO116"/>
    <x v="24"/>
    <x v="75"/>
    <x v="1"/>
    <x v="0"/>
    <s v="AEROPUERTO"/>
    <d v="2024-02-29T00:00:00"/>
    <d v="1899-12-30T14:37:39"/>
    <n v="6.6"/>
  </r>
  <r>
    <s v="BFO116"/>
    <x v="24"/>
    <x v="75"/>
    <x v="1"/>
    <x v="0"/>
    <s v="AEROPUERTO"/>
    <d v="2024-02-29T00:00:00"/>
    <d v="1899-12-30T14:48:06"/>
    <n v="6.6"/>
  </r>
  <r>
    <s v="ALL244"/>
    <x v="25"/>
    <x v="76"/>
    <x v="1"/>
    <x v="0"/>
    <s v="AEROPUERTO"/>
    <d v="2024-02-26T00:00:00"/>
    <d v="1899-12-30T04:17:02"/>
    <n v="6.6"/>
  </r>
  <r>
    <s v="ALL244"/>
    <x v="25"/>
    <x v="76"/>
    <x v="1"/>
    <x v="0"/>
    <s v="AEROPUERTO"/>
    <d v="2024-02-26T00:00:00"/>
    <d v="1899-12-30T04:26:53"/>
    <n v="6.6"/>
  </r>
  <r>
    <s v="ALL244"/>
    <x v="25"/>
    <x v="76"/>
    <x v="1"/>
    <x v="0"/>
    <s v="AEROPUERTO"/>
    <d v="2024-02-26T00:00:00"/>
    <d v="1899-12-30T05:22:53"/>
    <n v="6.6"/>
  </r>
  <r>
    <s v="ALL244"/>
    <x v="25"/>
    <x v="76"/>
    <x v="1"/>
    <x v="0"/>
    <s v="AEROPUERTO"/>
    <d v="2024-02-26T00:00:00"/>
    <d v="1899-12-30T05:30:46"/>
    <n v="6.6"/>
  </r>
  <r>
    <s v="ALL244"/>
    <x v="25"/>
    <x v="77"/>
    <x v="1"/>
    <x v="0"/>
    <s v="AEROPUERTO"/>
    <d v="2024-02-26T00:00:00"/>
    <d v="1899-12-30T06:22:56"/>
    <n v="6.6"/>
  </r>
  <r>
    <s v="ALL244"/>
    <x v="25"/>
    <x v="77"/>
    <x v="1"/>
    <x v="0"/>
    <s v="AEROPUERTO"/>
    <d v="2024-02-26T00:00:00"/>
    <d v="1899-12-30T06:34:20"/>
    <n v="6.6"/>
  </r>
  <r>
    <s v="ALL244"/>
    <x v="25"/>
    <x v="77"/>
    <x v="1"/>
    <x v="0"/>
    <s v="AEROPUERTO"/>
    <d v="2024-02-26T00:00:00"/>
    <d v="1899-12-30T07:22:55"/>
    <n v="6.6"/>
  </r>
  <r>
    <s v="ALL244"/>
    <x v="25"/>
    <x v="77"/>
    <x v="1"/>
    <x v="0"/>
    <s v="AEROPUERTO"/>
    <d v="2024-02-26T00:00:00"/>
    <d v="1899-12-30T07:34:54"/>
    <n v="6.6"/>
  </r>
  <r>
    <s v="ALL244"/>
    <x v="25"/>
    <x v="78"/>
    <x v="1"/>
    <x v="0"/>
    <s v="AEROPUERTO"/>
    <d v="2024-02-27T00:00:00"/>
    <d v="1899-12-30T20:37:48"/>
    <n v="6.6"/>
  </r>
  <r>
    <s v="ALL244"/>
    <x v="25"/>
    <x v="78"/>
    <x v="1"/>
    <x v="0"/>
    <s v="AEROPUERTO"/>
    <d v="2024-02-27T00:00:00"/>
    <d v="1899-12-30T20:48:42"/>
    <n v="6.6"/>
  </r>
  <r>
    <s v="ALL244"/>
    <x v="25"/>
    <x v="79"/>
    <x v="1"/>
    <x v="0"/>
    <s v="AEROPUERTO"/>
    <d v="2024-02-27T00:00:00"/>
    <d v="1899-12-30T22:47:06"/>
    <n v="6.6"/>
  </r>
  <r>
    <s v="ALL244"/>
    <x v="25"/>
    <x v="79"/>
    <x v="1"/>
    <x v="0"/>
    <s v="AEROPUERTO"/>
    <d v="2024-02-27T00:00:00"/>
    <d v="1899-12-30T22:56:28"/>
    <n v="6.6"/>
  </r>
  <r>
    <s v="ALL244"/>
    <x v="25"/>
    <x v="80"/>
    <x v="1"/>
    <x v="0"/>
    <s v="AEROPUERTO"/>
    <d v="2024-02-29T00:00:00"/>
    <d v="1899-12-30T06:56:18"/>
    <n v="6.6"/>
  </r>
  <r>
    <s v="ALL244"/>
    <x v="25"/>
    <x v="80"/>
    <x v="1"/>
    <x v="0"/>
    <s v="AEROPUERTO"/>
    <d v="2024-02-29T00:00:00"/>
    <d v="1899-12-30T07:10:10"/>
    <n v="6.6"/>
  </r>
  <r>
    <s v="BRN109"/>
    <x v="26"/>
    <x v="2"/>
    <x v="2"/>
    <x v="0"/>
    <s v="AEROPUERTO"/>
    <d v="2024-02-26T00:00:00"/>
    <d v="1899-12-30T10:33:05"/>
    <n v="6.6"/>
  </r>
  <r>
    <s v="BRN109"/>
    <x v="26"/>
    <x v="2"/>
    <x v="2"/>
    <x v="0"/>
    <s v="AEROPUERTO"/>
    <d v="2024-02-26T00:00:00"/>
    <d v="1899-12-30T10:41:25"/>
    <n v="6.6"/>
  </r>
  <r>
    <s v="BRN109"/>
    <x v="26"/>
    <x v="81"/>
    <x v="1"/>
    <x v="0"/>
    <s v="AEROPUERTO"/>
    <d v="2024-02-26T00:00:00"/>
    <d v="1899-12-30T21:24:00"/>
    <n v="6.6"/>
  </r>
  <r>
    <s v="BRN109"/>
    <x v="26"/>
    <x v="81"/>
    <x v="1"/>
    <x v="0"/>
    <s v="AEROPUERTO"/>
    <d v="2024-02-26T00:00:00"/>
    <d v="1899-12-30T21:35:46"/>
    <n v="6.6"/>
  </r>
  <r>
    <s v="BEI573"/>
    <x v="27"/>
    <x v="82"/>
    <x v="1"/>
    <x v="0"/>
    <s v="AEROPUERTO"/>
    <d v="2024-02-26T00:00:00"/>
    <d v="1899-12-30T12:53:51"/>
    <n v="6.6"/>
  </r>
  <r>
    <s v="BEI573"/>
    <x v="27"/>
    <x v="82"/>
    <x v="1"/>
    <x v="0"/>
    <s v="AEROPUERTO"/>
    <d v="2024-02-26T00:00:00"/>
    <d v="1899-12-30T13:04:20"/>
    <n v="6.6"/>
  </r>
  <r>
    <s v="BEI573"/>
    <x v="27"/>
    <x v="83"/>
    <x v="1"/>
    <x v="0"/>
    <s v="AEROPUERTO"/>
    <d v="2024-02-26T00:00:00"/>
    <d v="1899-12-30T14:40:34"/>
    <n v="6.6"/>
  </r>
  <r>
    <s v="BEI573"/>
    <x v="27"/>
    <x v="83"/>
    <x v="1"/>
    <x v="0"/>
    <s v="AEROPUERTO"/>
    <d v="2024-02-26T00:00:00"/>
    <d v="1899-12-30T14:50:12"/>
    <n v="6.6"/>
  </r>
  <r>
    <s v="BEI573"/>
    <x v="27"/>
    <x v="84"/>
    <x v="1"/>
    <x v="0"/>
    <s v="AEROPUERTO"/>
    <d v="2024-02-26T00:00:00"/>
    <d v="1899-12-30T22:29:04"/>
    <n v="6.6"/>
  </r>
  <r>
    <s v="BEI573"/>
    <x v="27"/>
    <x v="84"/>
    <x v="1"/>
    <x v="0"/>
    <s v="AEROPUERTO"/>
    <d v="2024-02-26T00:00:00"/>
    <d v="1899-12-30T22:38:41"/>
    <n v="6.6"/>
  </r>
  <r>
    <s v="BEI573"/>
    <x v="27"/>
    <x v="2"/>
    <x v="2"/>
    <x v="0"/>
    <s v="AEROPUERTO"/>
    <d v="2024-02-26T00:00:00"/>
    <d v="1899-12-30T23:18:09"/>
    <n v="6.6"/>
  </r>
  <r>
    <s v="BEI573"/>
    <x v="27"/>
    <x v="2"/>
    <x v="2"/>
    <x v="0"/>
    <s v="AEROPUERTO"/>
    <d v="2024-02-26T00:00:00"/>
    <d v="1899-12-30T23:24:45"/>
    <n v="6.6"/>
  </r>
  <r>
    <s v="BEI573"/>
    <x v="27"/>
    <x v="2"/>
    <x v="2"/>
    <x v="0"/>
    <s v="AEROPUERTO"/>
    <d v="2024-02-28T00:00:00"/>
    <d v="1899-12-30T13:23:54"/>
    <n v="6.6"/>
  </r>
  <r>
    <s v="BEI573"/>
    <x v="27"/>
    <x v="2"/>
    <x v="2"/>
    <x v="0"/>
    <s v="AEROPUERTO"/>
    <d v="2024-02-28T00:00:00"/>
    <d v="1899-12-30T13:36:28"/>
    <n v="6.6"/>
  </r>
  <r>
    <s v="BEI573"/>
    <x v="27"/>
    <x v="2"/>
    <x v="2"/>
    <x v="0"/>
    <s v="AEROPUERTO"/>
    <d v="2024-02-28T00:00:00"/>
    <d v="1899-12-30T14:43:49"/>
    <n v="6.6"/>
  </r>
  <r>
    <s v="BEI573"/>
    <x v="27"/>
    <x v="2"/>
    <x v="2"/>
    <x v="0"/>
    <s v="AEROPUERTO"/>
    <d v="2024-02-28T00:00:00"/>
    <d v="1899-12-30T15:32:45"/>
    <n v="6.6"/>
  </r>
  <r>
    <s v="BEI573"/>
    <x v="27"/>
    <x v="85"/>
    <x v="3"/>
    <x v="0"/>
    <s v="AEROPUERTO"/>
    <d v="2024-02-28T00:00:00"/>
    <d v="1899-12-30T18:47:24"/>
    <n v="6.6"/>
  </r>
  <r>
    <s v="BEI573"/>
    <x v="27"/>
    <x v="85"/>
    <x v="3"/>
    <x v="0"/>
    <s v="AEROPUERTO"/>
    <d v="2024-02-28T00:00:00"/>
    <d v="1899-12-30T19:18:20"/>
    <n v="6.6"/>
  </r>
  <r>
    <s v="BEI573"/>
    <x v="27"/>
    <x v="86"/>
    <x v="1"/>
    <x v="0"/>
    <s v="AEROPUERTO"/>
    <d v="2024-02-28T00:00:00"/>
    <d v="1899-12-30T20:35:54"/>
    <n v="6.6"/>
  </r>
  <r>
    <s v="BEI573"/>
    <x v="27"/>
    <x v="86"/>
    <x v="1"/>
    <x v="0"/>
    <s v="AEROPUERTO"/>
    <d v="2024-02-28T00:00:00"/>
    <d v="1899-12-30T20:51:52"/>
    <n v="6.6"/>
  </r>
  <r>
    <s v="BEI573"/>
    <x v="27"/>
    <x v="87"/>
    <x v="3"/>
    <x v="0"/>
    <s v="AEROPUERTO"/>
    <d v="2024-02-28T00:00:00"/>
    <d v="1899-12-30T22:43:17"/>
    <n v="6.6"/>
  </r>
  <r>
    <s v="BEI573"/>
    <x v="27"/>
    <x v="88"/>
    <x v="1"/>
    <x v="0"/>
    <s v="AEROPUERTO"/>
    <d v="2024-02-29T00:00:00"/>
    <d v="1899-12-30T22:44:24"/>
    <n v="6.6"/>
  </r>
  <r>
    <s v="BEI573"/>
    <x v="27"/>
    <x v="88"/>
    <x v="1"/>
    <x v="0"/>
    <s v="AEROPUERTO"/>
    <d v="2024-02-29T00:00:00"/>
    <d v="1899-12-30T22:54:34"/>
    <n v="6.6"/>
  </r>
  <r>
    <s v="CJA602"/>
    <x v="28"/>
    <x v="2"/>
    <x v="2"/>
    <x v="0"/>
    <s v="AEROPUERTO"/>
    <d v="2024-02-26T00:00:00"/>
    <d v="1899-12-30T06:10:39"/>
    <n v="6.6"/>
  </r>
  <r>
    <s v="CJA602"/>
    <x v="28"/>
    <x v="2"/>
    <x v="2"/>
    <x v="0"/>
    <s v="AEROPUERTO"/>
    <d v="2024-02-26T00:00:00"/>
    <d v="1899-12-30T06:17:37"/>
    <n v="6.6"/>
  </r>
  <r>
    <s v="CJA602"/>
    <x v="28"/>
    <x v="2"/>
    <x v="2"/>
    <x v="0"/>
    <s v="AEROPUERTO"/>
    <d v="2024-02-28T00:00:00"/>
    <d v="1899-12-30T06:26:42"/>
    <n v="6.6"/>
  </r>
  <r>
    <s v="CJA602"/>
    <x v="28"/>
    <x v="2"/>
    <x v="2"/>
    <x v="0"/>
    <s v="AEROPUERTO"/>
    <d v="2024-02-28T00:00:00"/>
    <d v="1899-12-30T06:36:57"/>
    <n v="6.6"/>
  </r>
  <r>
    <s v="CJA602"/>
    <x v="28"/>
    <x v="89"/>
    <x v="3"/>
    <x v="0"/>
    <s v="AEROPUERTO"/>
    <d v="2024-02-29T00:00:00"/>
    <d v="1899-12-30T09:30:15"/>
    <n v="6.6"/>
  </r>
  <r>
    <s v="CJA602"/>
    <x v="28"/>
    <x v="90"/>
    <x v="1"/>
    <x v="0"/>
    <s v="AEROPUERTO"/>
    <d v="2024-02-29T00:00:00"/>
    <d v="1899-12-30T13:57:21"/>
    <n v="6.6"/>
  </r>
  <r>
    <s v="CJA602"/>
    <x v="28"/>
    <x v="90"/>
    <x v="1"/>
    <x v="0"/>
    <s v="AEROPUERTO"/>
    <d v="2024-02-29T00:00:00"/>
    <d v="1899-12-30T14:04:25"/>
    <n v="6.6"/>
  </r>
  <r>
    <s v="F3G618"/>
    <x v="29"/>
    <x v="2"/>
    <x v="2"/>
    <x v="0"/>
    <s v="AEROPUERTO"/>
    <d v="2024-02-26T00:00:00"/>
    <d v="1899-12-30T00:08:44"/>
    <n v="6.6"/>
  </r>
  <r>
    <s v="F3G618"/>
    <x v="29"/>
    <x v="2"/>
    <x v="2"/>
    <x v="0"/>
    <s v="AEROPUERTO"/>
    <d v="2024-02-26T00:00:00"/>
    <d v="1899-12-30T14:11:11"/>
    <n v="6.6"/>
  </r>
  <r>
    <s v="F3G618"/>
    <x v="29"/>
    <x v="91"/>
    <x v="1"/>
    <x v="0"/>
    <s v="AEROPUERTO"/>
    <d v="2024-02-26T00:00:00"/>
    <d v="1899-12-30T22:28:53"/>
    <n v="6.6"/>
  </r>
  <r>
    <s v="F3G618"/>
    <x v="29"/>
    <x v="91"/>
    <x v="1"/>
    <x v="0"/>
    <s v="AEROPUERTO"/>
    <d v="2024-02-26T00:00:00"/>
    <d v="1899-12-30T22:38:23"/>
    <n v="6.6"/>
  </r>
  <r>
    <s v="F3G618"/>
    <x v="29"/>
    <x v="2"/>
    <x v="2"/>
    <x v="0"/>
    <s v="AEROPUERTO"/>
    <d v="2024-02-26T00:00:00"/>
    <d v="1899-12-30T23:03:50"/>
    <n v="6.6"/>
  </r>
  <r>
    <s v="F3G618"/>
    <x v="29"/>
    <x v="92"/>
    <x v="1"/>
    <x v="0"/>
    <s v="AEROPUERTO"/>
    <d v="2024-02-27T00:00:00"/>
    <d v="1899-12-30T00:05:07"/>
    <n v="6.6"/>
  </r>
  <r>
    <s v="F3G618"/>
    <x v="29"/>
    <x v="92"/>
    <x v="1"/>
    <x v="0"/>
    <s v="AEROPUERTO"/>
    <d v="2024-02-27T00:00:00"/>
    <d v="1899-12-30T00:15:34"/>
    <n v="6.6"/>
  </r>
  <r>
    <s v="CCG246"/>
    <x v="30"/>
    <x v="93"/>
    <x v="1"/>
    <x v="1"/>
    <s v="URBANO"/>
    <d v="2024-02-26T00:00:00"/>
    <d v="1899-12-30T22:31:51"/>
    <n v="6.6"/>
  </r>
  <r>
    <s v="CCG246"/>
    <x v="30"/>
    <x v="93"/>
    <x v="1"/>
    <x v="1"/>
    <s v="URBANO"/>
    <d v="2024-02-26T00:00:00"/>
    <d v="1899-12-30T22:42:30"/>
    <n v="6.6"/>
  </r>
  <r>
    <s v="CCG246"/>
    <x v="30"/>
    <x v="2"/>
    <x v="2"/>
    <x v="1"/>
    <s v="URBANO"/>
    <d v="2024-02-26T00:00:00"/>
    <d v="1899-12-30T23:02:59"/>
    <n v="6.6"/>
  </r>
  <r>
    <s v="CCG246"/>
    <x v="30"/>
    <x v="94"/>
    <x v="1"/>
    <x v="1"/>
    <s v="URBANO"/>
    <d v="2024-02-28T00:00:00"/>
    <d v="1899-12-30T17:54:03"/>
    <n v="6.6"/>
  </r>
  <r>
    <s v="CCG246"/>
    <x v="30"/>
    <x v="94"/>
    <x v="1"/>
    <x v="1"/>
    <s v="URBANO"/>
    <d v="2024-02-28T00:00:00"/>
    <d v="1899-12-30T18:27:43"/>
    <n v="6.6"/>
  </r>
  <r>
    <s v="CCG246"/>
    <x v="30"/>
    <x v="2"/>
    <x v="2"/>
    <x v="1"/>
    <s v="URBANO"/>
    <d v="2024-02-28T00:00:00"/>
    <d v="1899-12-30T19:27:40"/>
    <n v="6.6"/>
  </r>
  <r>
    <s v="CCG246"/>
    <x v="30"/>
    <x v="2"/>
    <x v="2"/>
    <x v="1"/>
    <s v="URBANO"/>
    <d v="2024-02-28T00:00:00"/>
    <d v="1899-12-30T19:51:18"/>
    <n v="6.6"/>
  </r>
  <r>
    <s v="CCG246"/>
    <x v="30"/>
    <x v="95"/>
    <x v="1"/>
    <x v="1"/>
    <s v="URBANO"/>
    <d v="2024-02-29T00:00:00"/>
    <d v="1899-12-30T16:53:34"/>
    <n v="6.6"/>
  </r>
  <r>
    <s v="CCG246"/>
    <x v="30"/>
    <x v="95"/>
    <x v="1"/>
    <x v="1"/>
    <s v="URBANO"/>
    <d v="2024-02-29T00:00:00"/>
    <d v="1899-12-30T17:05:48"/>
    <n v="6.6"/>
  </r>
  <r>
    <s v="CCG246"/>
    <x v="30"/>
    <x v="2"/>
    <x v="2"/>
    <x v="1"/>
    <s v="URBANO"/>
    <d v="2024-02-29T00:00:00"/>
    <d v="1899-12-30T18:40:50"/>
    <n v="6.6"/>
  </r>
  <r>
    <s v="CCG246"/>
    <x v="30"/>
    <x v="2"/>
    <x v="2"/>
    <x v="1"/>
    <s v="URBANO"/>
    <d v="2024-02-29T00:00:00"/>
    <d v="1899-12-30T19:11:15"/>
    <n v="6.6"/>
  </r>
  <r>
    <s v="AZK374"/>
    <x v="31"/>
    <x v="96"/>
    <x v="1"/>
    <x v="0"/>
    <s v="AEROPUERTO"/>
    <d v="2024-02-26T00:00:00"/>
    <d v="1899-12-30T11:48:45"/>
    <n v="6.6"/>
  </r>
  <r>
    <s v="AZK374"/>
    <x v="31"/>
    <x v="96"/>
    <x v="1"/>
    <x v="0"/>
    <s v="AEROPUERTO"/>
    <d v="2024-02-26T00:00:00"/>
    <d v="1899-12-30T11:56:59"/>
    <n v="6.6"/>
  </r>
  <r>
    <s v="AZK374"/>
    <x v="31"/>
    <x v="97"/>
    <x v="1"/>
    <x v="0"/>
    <s v="AEROPUERTO"/>
    <d v="2024-02-26T00:00:00"/>
    <d v="1899-12-30T18:00:11"/>
    <n v="6.6"/>
  </r>
  <r>
    <s v="AZK374"/>
    <x v="31"/>
    <x v="97"/>
    <x v="1"/>
    <x v="0"/>
    <s v="AEROPUERTO"/>
    <d v="2024-02-26T00:00:00"/>
    <d v="1899-12-30T18:26:47"/>
    <n v="6.6"/>
  </r>
  <r>
    <s v="AZK374"/>
    <x v="31"/>
    <x v="2"/>
    <x v="2"/>
    <x v="0"/>
    <s v="AEROPUERTO"/>
    <d v="2024-02-27T00:00:00"/>
    <d v="1899-12-30T22:47:22"/>
    <n v="6.6"/>
  </r>
  <r>
    <s v="AZK374"/>
    <x v="31"/>
    <x v="2"/>
    <x v="2"/>
    <x v="0"/>
    <s v="AEROPUERTO"/>
    <d v="2024-02-27T00:00:00"/>
    <d v="1899-12-30T22:57:59"/>
    <n v="6.6"/>
  </r>
  <r>
    <s v="AZK374"/>
    <x v="31"/>
    <x v="2"/>
    <x v="2"/>
    <x v="0"/>
    <s v="AEROPUERTO"/>
    <d v="2024-02-28T00:00:00"/>
    <d v="1899-12-30T20:41:08"/>
    <n v="6.6"/>
  </r>
  <r>
    <s v="AZK374"/>
    <x v="31"/>
    <x v="2"/>
    <x v="2"/>
    <x v="0"/>
    <s v="AEROPUERTO"/>
    <d v="2024-02-28T00:00:00"/>
    <d v="1899-12-30T20:50:12"/>
    <n v="6.6"/>
  </r>
  <r>
    <s v="AZK374"/>
    <x v="31"/>
    <x v="2"/>
    <x v="2"/>
    <x v="0"/>
    <s v="AEROPUERTO"/>
    <d v="2024-02-28T00:00:00"/>
    <d v="1899-12-30T21:02:30"/>
    <n v="6.6"/>
  </r>
  <r>
    <s v="AZK374"/>
    <x v="31"/>
    <x v="2"/>
    <x v="2"/>
    <x v="0"/>
    <s v="AEROPUERTO"/>
    <d v="2024-02-28T00:00:00"/>
    <d v="1899-12-30T21:10:29"/>
    <n v="6.6"/>
  </r>
  <r>
    <s v="AZK374"/>
    <x v="31"/>
    <x v="2"/>
    <x v="2"/>
    <x v="0"/>
    <s v="AEROPUERTO"/>
    <d v="2024-02-29T00:00:00"/>
    <d v="1899-12-30T00:14:46"/>
    <n v="6.6"/>
  </r>
  <r>
    <s v="AZK374"/>
    <x v="31"/>
    <x v="98"/>
    <x v="1"/>
    <x v="0"/>
    <s v="AEROPUERTO"/>
    <d v="2024-02-29T00:00:00"/>
    <d v="1899-12-30T10:42:27"/>
    <n v="6.6"/>
  </r>
  <r>
    <s v="AZK374"/>
    <x v="31"/>
    <x v="2"/>
    <x v="2"/>
    <x v="0"/>
    <s v="AEROPUERTO"/>
    <d v="2024-02-29T00:00:00"/>
    <d v="1899-12-30T11:14:26"/>
    <n v="6.6"/>
  </r>
  <r>
    <s v="BMT267"/>
    <x v="32"/>
    <x v="99"/>
    <x v="3"/>
    <x v="0"/>
    <s v="AEROPUERTO"/>
    <d v="2024-02-26T00:00:00"/>
    <d v="1899-12-30T00:39:47"/>
    <n v="6.6"/>
  </r>
  <r>
    <s v="BMT267"/>
    <x v="32"/>
    <x v="99"/>
    <x v="3"/>
    <x v="0"/>
    <s v="AEROPUERTO"/>
    <d v="2024-02-26T00:00:00"/>
    <d v="1899-12-30T00:56:50"/>
    <n v="6.6"/>
  </r>
  <r>
    <s v="BMT267"/>
    <x v="32"/>
    <x v="100"/>
    <x v="1"/>
    <x v="0"/>
    <s v="AEROPUERTO"/>
    <d v="2024-02-26T00:00:00"/>
    <d v="1899-12-30T19:28:12"/>
    <n v="6.6"/>
  </r>
  <r>
    <s v="BMT267"/>
    <x v="32"/>
    <x v="100"/>
    <x v="1"/>
    <x v="0"/>
    <s v="AEROPUERTO"/>
    <d v="2024-02-26T00:00:00"/>
    <d v="1899-12-30T19:40:49"/>
    <n v="6.6"/>
  </r>
  <r>
    <s v="BMT267"/>
    <x v="32"/>
    <x v="2"/>
    <x v="2"/>
    <x v="0"/>
    <s v="AEROPUERTO"/>
    <d v="2024-02-26T00:00:00"/>
    <d v="1899-12-30T20:03:48"/>
    <n v="6.6"/>
  </r>
  <r>
    <s v="BMT267"/>
    <x v="32"/>
    <x v="2"/>
    <x v="2"/>
    <x v="0"/>
    <s v="AEROPUERTO"/>
    <d v="2024-02-26T00:00:00"/>
    <d v="1899-12-30T20:27:26"/>
    <n v="6.6"/>
  </r>
  <r>
    <s v="BMT267"/>
    <x v="32"/>
    <x v="2"/>
    <x v="2"/>
    <x v="0"/>
    <s v="AEROPUERTO"/>
    <d v="2024-02-29T00:00:00"/>
    <d v="1899-12-30T14:43:26"/>
    <n v="6.6"/>
  </r>
  <r>
    <s v="BBZ313"/>
    <x v="33"/>
    <x v="101"/>
    <x v="1"/>
    <x v="0"/>
    <s v="AEROPUERTO"/>
    <d v="2024-02-27T00:00:00"/>
    <d v="1899-12-30T00:25:30"/>
    <n v="6.6"/>
  </r>
  <r>
    <s v="BBZ313"/>
    <x v="33"/>
    <x v="101"/>
    <x v="1"/>
    <x v="0"/>
    <s v="AEROPUERTO"/>
    <d v="2024-02-27T00:00:00"/>
    <d v="1899-12-30T00:37:02"/>
    <n v="6.6"/>
  </r>
  <r>
    <s v="BBZ313"/>
    <x v="33"/>
    <x v="102"/>
    <x v="1"/>
    <x v="0"/>
    <s v="AEROPUERTO"/>
    <d v="2024-02-28T00:00:00"/>
    <d v="1899-12-30T21:54:36"/>
    <n v="6.6"/>
  </r>
  <r>
    <s v="BBZ313"/>
    <x v="33"/>
    <x v="102"/>
    <x v="1"/>
    <x v="0"/>
    <s v="AEROPUERTO"/>
    <d v="2024-02-28T00:00:00"/>
    <d v="1899-12-30T22:05:10"/>
    <n v="6.6"/>
  </r>
  <r>
    <s v="BBZ313"/>
    <x v="33"/>
    <x v="103"/>
    <x v="1"/>
    <x v="0"/>
    <s v="AEROPUERTO"/>
    <d v="2024-02-29T00:00:00"/>
    <d v="1899-12-30T19:57:24"/>
    <n v="6.6"/>
  </r>
  <r>
    <s v="BWR431"/>
    <x v="34"/>
    <x v="104"/>
    <x v="3"/>
    <x v="0"/>
    <s v="AEROPUERTO"/>
    <d v="2024-02-26T00:00:00"/>
    <d v="1899-12-30T04:36:48"/>
    <n v="6.6"/>
  </r>
  <r>
    <s v="BWR431"/>
    <x v="34"/>
    <x v="104"/>
    <x v="3"/>
    <x v="0"/>
    <s v="AEROPUERTO"/>
    <d v="2024-02-26T00:00:00"/>
    <d v="1899-12-30T04:44:12"/>
    <n v="6.6"/>
  </r>
  <r>
    <s v="BWR431"/>
    <x v="34"/>
    <x v="105"/>
    <x v="1"/>
    <x v="0"/>
    <s v="AEROPUERTO"/>
    <d v="2024-02-27T00:00:00"/>
    <d v="1899-12-30T05:14:04"/>
    <n v="6.6"/>
  </r>
  <r>
    <s v="BWR431"/>
    <x v="34"/>
    <x v="105"/>
    <x v="1"/>
    <x v="0"/>
    <s v="AEROPUERTO"/>
    <d v="2024-02-27T00:00:00"/>
    <d v="1899-12-30T05:17:57"/>
    <n v="6.6"/>
  </r>
  <r>
    <s v="BWR431"/>
    <x v="34"/>
    <x v="106"/>
    <x v="1"/>
    <x v="0"/>
    <s v="AEROPUERTO"/>
    <d v="2024-02-28T00:00:00"/>
    <d v="1899-12-30T07:32:24"/>
    <n v="6.6"/>
  </r>
  <r>
    <s v="BWR431"/>
    <x v="34"/>
    <x v="106"/>
    <x v="1"/>
    <x v="0"/>
    <s v="AEROPUERTO"/>
    <d v="2024-02-28T00:00:00"/>
    <d v="1899-12-30T07:44:51"/>
    <n v="6.6"/>
  </r>
  <r>
    <s v="BSB588"/>
    <x v="35"/>
    <x v="107"/>
    <x v="1"/>
    <x v="0"/>
    <s v="AEROPUERTO"/>
    <d v="2024-02-29T00:00:00"/>
    <d v="1899-12-30T21:37:17"/>
    <n v="6.6"/>
  </r>
  <r>
    <s v="BSB588"/>
    <x v="35"/>
    <x v="107"/>
    <x v="1"/>
    <x v="0"/>
    <s v="AEROPUERTO"/>
    <d v="2024-02-29T00:00:00"/>
    <d v="1899-12-30T21:46:35"/>
    <n v="6.6"/>
  </r>
  <r>
    <s v="BSB588"/>
    <x v="35"/>
    <x v="108"/>
    <x v="1"/>
    <x v="0"/>
    <s v="AEROPUERTO"/>
    <d v="2024-02-29T00:00:00"/>
    <d v="1899-12-30T23:35:08"/>
    <n v="6.6"/>
  </r>
  <r>
    <s v="BPX168"/>
    <x v="36"/>
    <x v="109"/>
    <x v="1"/>
    <x v="0"/>
    <s v="AEROPUERTO"/>
    <d v="2024-02-29T00:00:00"/>
    <d v="1899-12-30T20:46:11"/>
    <n v="6.6"/>
  </r>
  <r>
    <s v="BPX168"/>
    <x v="36"/>
    <x v="109"/>
    <x v="1"/>
    <x v="0"/>
    <s v="AEROPUERTO"/>
    <d v="2024-02-29T00:00:00"/>
    <d v="1899-12-30T20:55:19"/>
    <n v="6.6"/>
  </r>
  <r>
    <s v="BPX168"/>
    <x v="36"/>
    <x v="110"/>
    <x v="1"/>
    <x v="0"/>
    <s v="AEROPUERTO"/>
    <d v="2024-02-29T00:00:00"/>
    <d v="1899-12-30T23:51:52"/>
    <n v="6.6"/>
  </r>
  <r>
    <s v="CFN017"/>
    <x v="37"/>
    <x v="111"/>
    <x v="1"/>
    <x v="0"/>
    <s v="AEROPUERTO"/>
    <d v="2024-02-27T00:00:00"/>
    <d v="1899-12-30T19:01:39"/>
    <n v="6.6"/>
  </r>
  <r>
    <s v="CFN017"/>
    <x v="37"/>
    <x v="111"/>
    <x v="1"/>
    <x v="0"/>
    <s v="AEROPUERTO"/>
    <d v="2024-02-27T00:00:00"/>
    <d v="1899-12-30T19:13:27"/>
    <n v="6.6"/>
  </r>
  <r>
    <s v="CFN017"/>
    <x v="37"/>
    <x v="112"/>
    <x v="1"/>
    <x v="0"/>
    <s v="AEROPUERTO"/>
    <d v="2024-02-27T00:00:00"/>
    <d v="1899-12-30T22:44:51"/>
    <n v="6.6"/>
  </r>
  <r>
    <s v="CFN017"/>
    <x v="37"/>
    <x v="112"/>
    <x v="1"/>
    <x v="0"/>
    <s v="AEROPUERTO"/>
    <d v="2024-02-27T00:00:00"/>
    <d v="1899-12-30T22:56:08"/>
    <n v="6.6"/>
  </r>
  <r>
    <s v="CFN017"/>
    <x v="37"/>
    <x v="2"/>
    <x v="2"/>
    <x v="0"/>
    <s v="AEROPUERTO"/>
    <d v="2024-02-28T00:00:00"/>
    <d v="1899-12-30T08:58:54"/>
    <n v="6.6"/>
  </r>
  <r>
    <s v="CFN017"/>
    <x v="37"/>
    <x v="2"/>
    <x v="2"/>
    <x v="0"/>
    <s v="AEROPUERTO"/>
    <d v="2024-02-28T00:00:00"/>
    <d v="1899-12-30T09:07:47"/>
    <n v="6.6"/>
  </r>
  <r>
    <s v="CFN017"/>
    <x v="37"/>
    <x v="2"/>
    <x v="2"/>
    <x v="0"/>
    <s v="AEROPUERTO"/>
    <d v="2024-02-28T00:00:00"/>
    <d v="1899-12-30T14:34:45"/>
    <n v="6.6"/>
  </r>
  <r>
    <s v="CFN017"/>
    <x v="37"/>
    <x v="2"/>
    <x v="2"/>
    <x v="0"/>
    <s v="AEROPUERTO"/>
    <d v="2024-02-28T00:00:00"/>
    <d v="1899-12-30T14:38:47"/>
    <n v="6.6"/>
  </r>
  <r>
    <s v="CFN017"/>
    <x v="37"/>
    <x v="113"/>
    <x v="1"/>
    <x v="0"/>
    <s v="AEROPUERTO"/>
    <d v="2024-02-29T00:00:00"/>
    <d v="1899-12-30T23:40:56"/>
    <n v="6.6"/>
  </r>
  <r>
    <s v="BEU666"/>
    <x v="38"/>
    <x v="114"/>
    <x v="0"/>
    <x v="1"/>
    <s v="URBANO"/>
    <d v="2024-02-27T00:00:00"/>
    <d v="1899-12-30T13:32:51"/>
    <n v="6.6"/>
  </r>
  <r>
    <s v="BEU666"/>
    <x v="38"/>
    <x v="115"/>
    <x v="1"/>
    <x v="1"/>
    <s v="URBANO"/>
    <d v="2024-02-27T00:00:00"/>
    <d v="1899-12-30T17:53:19"/>
    <n v="6.6"/>
  </r>
  <r>
    <s v="CEV648"/>
    <x v="39"/>
    <x v="116"/>
    <x v="1"/>
    <x v="1"/>
    <s v="URBANO"/>
    <d v="2024-02-26T00:00:00"/>
    <d v="1899-12-30T09:37:48"/>
    <n v="6.6"/>
  </r>
  <r>
    <s v="CEV648"/>
    <x v="39"/>
    <x v="117"/>
    <x v="1"/>
    <x v="1"/>
    <s v="URBANO"/>
    <d v="2024-02-27T00:00:00"/>
    <d v="1899-12-30T11:07:08"/>
    <n v="6.6"/>
  </r>
  <r>
    <s v="CEV648"/>
    <x v="39"/>
    <x v="2"/>
    <x v="2"/>
    <x v="1"/>
    <s v="URBANO"/>
    <d v="2024-02-27T00:00:00"/>
    <d v="1899-12-30T12:59:31"/>
    <n v="6.6"/>
  </r>
  <r>
    <s v="CEV648"/>
    <x v="39"/>
    <x v="118"/>
    <x v="1"/>
    <x v="1"/>
    <s v="URBANO"/>
    <d v="2024-02-27T00:00:00"/>
    <d v="1899-12-30T17:46:03"/>
    <n v="6.6"/>
  </r>
  <r>
    <s v="CEV648"/>
    <x v="39"/>
    <x v="2"/>
    <x v="2"/>
    <x v="1"/>
    <s v="URBANO"/>
    <d v="2024-02-27T00:00:00"/>
    <d v="1899-12-30T21:14:48"/>
    <n v="6.6"/>
  </r>
  <r>
    <s v="CEV648"/>
    <x v="39"/>
    <x v="119"/>
    <x v="1"/>
    <x v="1"/>
    <s v="URBANO"/>
    <d v="2024-02-28T00:00:00"/>
    <d v="1899-12-30T13:02:45"/>
    <n v="6.6"/>
  </r>
  <r>
    <s v="CEV648"/>
    <x v="39"/>
    <x v="120"/>
    <x v="1"/>
    <x v="1"/>
    <s v="URBANO"/>
    <d v="2024-02-29T00:00:00"/>
    <d v="1899-12-30T02:26:16"/>
    <n v="6.6"/>
  </r>
  <r>
    <s v="CEV648"/>
    <x v="39"/>
    <x v="121"/>
    <x v="1"/>
    <x v="1"/>
    <s v="URBANO"/>
    <d v="2024-02-29T00:00:00"/>
    <d v="1899-12-30T13:48:26"/>
    <n v="6.6"/>
  </r>
  <r>
    <s v="CEV648"/>
    <x v="39"/>
    <x v="121"/>
    <x v="1"/>
    <x v="1"/>
    <s v="URBANO"/>
    <d v="2024-02-29T00:00:00"/>
    <d v="1899-12-30T13:56:16"/>
    <n v="6.6"/>
  </r>
  <r>
    <s v="CEV648"/>
    <x v="39"/>
    <x v="2"/>
    <x v="2"/>
    <x v="1"/>
    <s v="URBANO"/>
    <d v="2024-02-29T00:00:00"/>
    <d v="1899-12-30T20:38:35"/>
    <n v="6.6"/>
  </r>
  <r>
    <s v="Z6E603"/>
    <x v="40"/>
    <x v="2"/>
    <x v="2"/>
    <x v="1"/>
    <s v="URBANO"/>
    <d v="2024-02-27T00:00:00"/>
    <d v="1899-12-30T13:14:33"/>
    <n v="6.6"/>
  </r>
  <r>
    <s v="Z6E603"/>
    <x v="40"/>
    <x v="2"/>
    <x v="2"/>
    <x v="1"/>
    <s v="URBANO"/>
    <d v="2024-02-29T00:00:00"/>
    <d v="1899-12-30T08:49:47"/>
    <n v="6.6"/>
  </r>
  <r>
    <s v="BFR215"/>
    <x v="41"/>
    <x v="122"/>
    <x v="1"/>
    <x v="1"/>
    <s v="URBANO"/>
    <d v="2024-02-26T00:00:00"/>
    <d v="1899-12-30T07:15:34"/>
    <n v="6.6"/>
  </r>
  <r>
    <s v="BFR215"/>
    <x v="41"/>
    <x v="123"/>
    <x v="1"/>
    <x v="1"/>
    <s v="URBANO"/>
    <d v="2024-02-26T00:00:00"/>
    <d v="1899-12-30T13:37:47"/>
    <n v="6.6"/>
  </r>
  <r>
    <s v="BFR215"/>
    <x v="41"/>
    <x v="123"/>
    <x v="1"/>
    <x v="1"/>
    <s v="URBANO"/>
    <d v="2024-02-26T00:00:00"/>
    <d v="1899-12-30T13:46:00"/>
    <n v="6.6"/>
  </r>
  <r>
    <s v="BFR215"/>
    <x v="41"/>
    <x v="124"/>
    <x v="1"/>
    <x v="1"/>
    <s v="URBANO"/>
    <d v="2024-02-27T00:00:00"/>
    <d v="1899-12-30T05:51:19"/>
    <n v="6.6"/>
  </r>
  <r>
    <s v="BFR215"/>
    <x v="41"/>
    <x v="125"/>
    <x v="1"/>
    <x v="1"/>
    <s v="URBANO"/>
    <d v="2024-02-27T00:00:00"/>
    <d v="1899-12-30T06:56:47"/>
    <n v="6.6"/>
  </r>
  <r>
    <s v="BFR215"/>
    <x v="41"/>
    <x v="125"/>
    <x v="1"/>
    <x v="1"/>
    <s v="URBANO"/>
    <d v="2024-02-27T00:00:00"/>
    <d v="1899-12-30T07:05:27"/>
    <n v="6.6"/>
  </r>
  <r>
    <s v="BFR215"/>
    <x v="41"/>
    <x v="126"/>
    <x v="1"/>
    <x v="1"/>
    <s v="URBANO"/>
    <d v="2024-02-27T00:00:00"/>
    <d v="1899-12-30T09:25:22"/>
    <n v="6.6"/>
  </r>
  <r>
    <s v="BFR215"/>
    <x v="41"/>
    <x v="126"/>
    <x v="1"/>
    <x v="1"/>
    <s v="URBANO"/>
    <d v="2024-02-27T00:00:00"/>
    <d v="1899-12-30T09:38:04"/>
    <n v="6.6"/>
  </r>
  <r>
    <s v="BFR215"/>
    <x v="41"/>
    <x v="2"/>
    <x v="2"/>
    <x v="1"/>
    <s v="URBANO"/>
    <d v="2024-02-27T00:00:00"/>
    <d v="1899-12-30T10:46:23"/>
    <n v="6.6"/>
  </r>
  <r>
    <s v="BFR215"/>
    <x v="41"/>
    <x v="127"/>
    <x v="1"/>
    <x v="1"/>
    <s v="URBANO"/>
    <d v="2024-02-29T00:00:00"/>
    <d v="1899-12-30T17:15:27"/>
    <n v="6.6"/>
  </r>
  <r>
    <s v="BFR215"/>
    <x v="41"/>
    <x v="128"/>
    <x v="1"/>
    <x v="1"/>
    <s v="URBANO"/>
    <d v="2024-02-29T00:00:00"/>
    <d v="1899-12-30T20:00:34"/>
    <n v="6.6"/>
  </r>
  <r>
    <s v="ANY692"/>
    <x v="42"/>
    <x v="2"/>
    <x v="2"/>
    <x v="1"/>
    <s v="URBANO"/>
    <d v="2024-02-26T00:00:00"/>
    <d v="1899-12-30T15:27:55"/>
    <n v="6.6"/>
  </r>
  <r>
    <s v="ANY692"/>
    <x v="42"/>
    <x v="2"/>
    <x v="2"/>
    <x v="1"/>
    <s v="URBANO"/>
    <d v="2024-02-29T00:00:00"/>
    <d v="1899-12-30T07:06:21"/>
    <n v="6.6"/>
  </r>
  <r>
    <s v="ANY692"/>
    <x v="42"/>
    <x v="2"/>
    <x v="2"/>
    <x v="1"/>
    <s v="URBANO"/>
    <d v="2024-02-29T00:00:00"/>
    <d v="1899-12-30T08:15:21"/>
    <n v="6.6"/>
  </r>
  <r>
    <s v="ANY692"/>
    <x v="42"/>
    <x v="2"/>
    <x v="2"/>
    <x v="1"/>
    <s v="URBANO"/>
    <d v="2024-02-29T00:00:00"/>
    <d v="1899-12-30T08:35:40"/>
    <n v="6.6"/>
  </r>
  <r>
    <s v="BEN567"/>
    <x v="43"/>
    <x v="2"/>
    <x v="2"/>
    <x v="1"/>
    <s v="URBANO"/>
    <d v="2024-02-28T00:00:00"/>
    <d v="1899-12-30T21:51:28"/>
    <n v="6.6"/>
  </r>
  <r>
    <s v="BEN567"/>
    <x v="43"/>
    <x v="2"/>
    <x v="2"/>
    <x v="1"/>
    <s v="URBANO"/>
    <d v="2024-02-28T00:00:00"/>
    <d v="1899-12-30T21:59:16"/>
    <n v="6.6"/>
  </r>
  <r>
    <s v="BEN567"/>
    <x v="43"/>
    <x v="129"/>
    <x v="1"/>
    <x v="1"/>
    <s v="URBANO"/>
    <d v="2024-02-29T00:00:00"/>
    <d v="1899-12-30T07:47:42"/>
    <n v="6.6"/>
  </r>
  <r>
    <s v="BEN567"/>
    <x v="43"/>
    <x v="129"/>
    <x v="1"/>
    <x v="1"/>
    <s v="URBANO"/>
    <d v="2024-02-29T00:00:00"/>
    <d v="1899-12-30T07:56:55"/>
    <n v="6.6"/>
  </r>
  <r>
    <s v="BEN567"/>
    <x v="43"/>
    <x v="130"/>
    <x v="1"/>
    <x v="1"/>
    <s v="URBANO"/>
    <d v="2024-02-29T00:00:00"/>
    <d v="1899-12-30T09:13:11"/>
    <n v="6.6"/>
  </r>
  <r>
    <s v="BEN567"/>
    <x v="43"/>
    <x v="130"/>
    <x v="1"/>
    <x v="1"/>
    <s v="URBANO"/>
    <d v="2024-02-29T00:00:00"/>
    <d v="1899-12-30T09:22:01"/>
    <n v="6.6"/>
  </r>
  <r>
    <s v="BEN567"/>
    <x v="43"/>
    <x v="2"/>
    <x v="2"/>
    <x v="1"/>
    <s v="URBANO"/>
    <d v="2024-02-29T00:00:00"/>
    <d v="1899-12-30T10:00:35"/>
    <n v="6.6"/>
  </r>
  <r>
    <s v="BEN567"/>
    <x v="43"/>
    <x v="2"/>
    <x v="2"/>
    <x v="1"/>
    <s v="URBANO"/>
    <d v="2024-02-29T00:00:00"/>
    <d v="1899-12-30T10:05:18"/>
    <n v="6.6"/>
  </r>
  <r>
    <s v="AVQ091"/>
    <x v="44"/>
    <x v="131"/>
    <x v="1"/>
    <x v="1"/>
    <s v="URBANO"/>
    <d v="2024-02-26T00:00:00"/>
    <d v="1899-12-30T08:57:57"/>
    <n v="6.6"/>
  </r>
  <r>
    <s v="BJJ600"/>
    <x v="45"/>
    <x v="132"/>
    <x v="3"/>
    <x v="1"/>
    <s v="URBANO"/>
    <d v="2024-02-28T00:00:00"/>
    <d v="1899-12-30T01:11:21"/>
    <n v="6.6"/>
  </r>
  <r>
    <s v="BJJ600"/>
    <x v="45"/>
    <x v="133"/>
    <x v="3"/>
    <x v="1"/>
    <s v="URBANO"/>
    <d v="2024-02-29T00:00:00"/>
    <d v="1899-12-30T04:31:31"/>
    <n v="6.6"/>
  </r>
  <r>
    <s v="BJJ600"/>
    <x v="45"/>
    <x v="134"/>
    <x v="1"/>
    <x v="1"/>
    <s v="URBANO"/>
    <d v="2024-02-29T00:00:00"/>
    <d v="1899-12-30T20:23:21"/>
    <n v="6.6"/>
  </r>
  <r>
    <s v="BKE299"/>
    <x v="46"/>
    <x v="135"/>
    <x v="1"/>
    <x v="1"/>
    <s v="LATAM"/>
    <d v="2024-02-26T00:00:00"/>
    <d v="1899-12-30T04:57:52"/>
    <n v="6.6"/>
  </r>
  <r>
    <s v="BKE299"/>
    <x v="46"/>
    <x v="136"/>
    <x v="1"/>
    <x v="1"/>
    <s v="LATAM"/>
    <d v="2024-02-26T00:00:00"/>
    <d v="1899-12-30T11:50:20"/>
    <n v="6.6"/>
  </r>
  <r>
    <s v="BKE299"/>
    <x v="46"/>
    <x v="136"/>
    <x v="3"/>
    <x v="1"/>
    <s v="LATAM"/>
    <d v="2024-02-26T00:00:00"/>
    <d v="1899-12-30T12:00:54"/>
    <n v="6.6"/>
  </r>
  <r>
    <s v="BKE299"/>
    <x v="46"/>
    <x v="137"/>
    <x v="1"/>
    <x v="1"/>
    <s v="LATAM"/>
    <d v="2024-02-28T00:00:00"/>
    <d v="1899-12-30T05:32:06"/>
    <n v="6.6"/>
  </r>
  <r>
    <s v="BKE299"/>
    <x v="46"/>
    <x v="137"/>
    <x v="1"/>
    <x v="1"/>
    <s v="LATAM"/>
    <d v="2024-02-28T00:00:00"/>
    <d v="1899-12-30T05:41:33"/>
    <n v="6.6"/>
  </r>
  <r>
    <s v="BKE299"/>
    <x v="46"/>
    <x v="138"/>
    <x v="1"/>
    <x v="1"/>
    <s v="LATAM"/>
    <d v="2024-02-28T00:00:00"/>
    <d v="1899-12-30T06:43:38"/>
    <n v="6.6"/>
  </r>
  <r>
    <s v="BKE299"/>
    <x v="46"/>
    <x v="138"/>
    <x v="1"/>
    <x v="1"/>
    <s v="LATAM"/>
    <d v="2024-02-28T00:00:00"/>
    <d v="1899-12-30T06:51:55"/>
    <n v="6.6"/>
  </r>
  <r>
    <s v="BWS110"/>
    <x v="47"/>
    <x v="139"/>
    <x v="1"/>
    <x v="1"/>
    <s v="URBANO"/>
    <d v="2024-02-26T00:00:00"/>
    <d v="1899-12-30T06:33:11"/>
    <n v="6.6"/>
  </r>
  <r>
    <s v="BWS110"/>
    <x v="47"/>
    <x v="140"/>
    <x v="1"/>
    <x v="1"/>
    <s v="URBANO"/>
    <d v="2024-02-26T00:00:00"/>
    <d v="1899-12-30T14:19:06"/>
    <n v="6.6"/>
  </r>
  <r>
    <s v="BWS110"/>
    <x v="47"/>
    <x v="140"/>
    <x v="1"/>
    <x v="1"/>
    <s v="URBANO"/>
    <d v="2024-02-26T00:00:00"/>
    <d v="1899-12-30T14:28:09"/>
    <n v="6.6"/>
  </r>
  <r>
    <s v="BWS110"/>
    <x v="47"/>
    <x v="141"/>
    <x v="1"/>
    <x v="1"/>
    <s v="URBANO"/>
    <d v="2024-02-26T00:00:00"/>
    <d v="1899-12-30T19:21:52"/>
    <n v="6.6"/>
  </r>
  <r>
    <s v="BWS110"/>
    <x v="47"/>
    <x v="141"/>
    <x v="1"/>
    <x v="1"/>
    <s v="URBANO"/>
    <d v="2024-02-26T00:00:00"/>
    <d v="1899-12-30T19:46:24"/>
    <n v="6.6"/>
  </r>
  <r>
    <s v="BWS110"/>
    <x v="47"/>
    <x v="142"/>
    <x v="1"/>
    <x v="1"/>
    <s v="URBANO"/>
    <d v="2024-02-27T00:00:00"/>
    <d v="1899-12-30T10:16:33"/>
    <n v="6.6"/>
  </r>
  <r>
    <s v="BWS110"/>
    <x v="47"/>
    <x v="142"/>
    <x v="1"/>
    <x v="1"/>
    <s v="URBANO"/>
    <d v="2024-02-27T00:00:00"/>
    <d v="1899-12-30T10:31:52"/>
    <n v="6.6"/>
  </r>
  <r>
    <s v="BWS110"/>
    <x v="47"/>
    <x v="143"/>
    <x v="1"/>
    <x v="1"/>
    <s v="URBANO"/>
    <d v="2024-02-27T00:00:00"/>
    <d v="1899-12-30T18:29:01"/>
    <n v="6.6"/>
  </r>
  <r>
    <s v="BWS110"/>
    <x v="47"/>
    <x v="144"/>
    <x v="1"/>
    <x v="1"/>
    <s v="URBANO"/>
    <d v="2024-02-28T00:00:00"/>
    <d v="1899-12-30T14:42:38"/>
    <n v="6.6"/>
  </r>
  <r>
    <s v="BWS110"/>
    <x v="47"/>
    <x v="145"/>
    <x v="1"/>
    <x v="1"/>
    <s v="URBANO"/>
    <d v="2024-02-28T00:00:00"/>
    <d v="1899-12-30T16:50:30"/>
    <n v="6.6"/>
  </r>
  <r>
    <s v="BWS110"/>
    <x v="47"/>
    <x v="145"/>
    <x v="1"/>
    <x v="1"/>
    <s v="URBANO"/>
    <d v="2024-02-28T00:00:00"/>
    <d v="1899-12-30T16:59:49"/>
    <n v="6.6"/>
  </r>
  <r>
    <s v="BWS110"/>
    <x v="47"/>
    <x v="2"/>
    <x v="2"/>
    <x v="1"/>
    <s v="URBANO"/>
    <d v="2024-02-29T00:00:00"/>
    <d v="1899-12-30T10:33:51"/>
    <n v="6.6"/>
  </r>
  <r>
    <s v="BWS110"/>
    <x v="47"/>
    <x v="2"/>
    <x v="2"/>
    <x v="1"/>
    <s v="URBANO"/>
    <d v="2024-02-29T00:00:00"/>
    <d v="1899-12-30T12:00:51"/>
    <n v="6.6"/>
  </r>
  <r>
    <s v="AJW633"/>
    <x v="48"/>
    <x v="2"/>
    <x v="2"/>
    <x v="1"/>
    <s v="URBANO"/>
    <d v="2024-02-26T00:00:00"/>
    <d v="1899-12-30T11:31:40"/>
    <n v="6.6"/>
  </r>
  <r>
    <s v="AJW633"/>
    <x v="48"/>
    <x v="2"/>
    <x v="2"/>
    <x v="1"/>
    <s v="URBANO"/>
    <d v="2024-02-26T00:00:00"/>
    <d v="1899-12-30T11:43:09"/>
    <n v="6.6"/>
  </r>
  <r>
    <s v="AJW633"/>
    <x v="48"/>
    <x v="146"/>
    <x v="1"/>
    <x v="1"/>
    <s v="URBANO"/>
    <d v="2024-02-26T00:00:00"/>
    <d v="1899-12-30T16:18:55"/>
    <n v="6.6"/>
  </r>
  <r>
    <s v="AJW633"/>
    <x v="48"/>
    <x v="146"/>
    <x v="1"/>
    <x v="1"/>
    <s v="URBANO"/>
    <d v="2024-02-26T00:00:00"/>
    <d v="1899-12-30T16:30:02"/>
    <n v="6.6"/>
  </r>
  <r>
    <s v="BMX033"/>
    <x v="49"/>
    <x v="147"/>
    <x v="1"/>
    <x v="1"/>
    <s v="URBANO"/>
    <d v="2024-02-27T00:00:00"/>
    <d v="1899-12-30T08:09:55"/>
    <n v="6.6"/>
  </r>
  <r>
    <s v="BMX033"/>
    <x v="49"/>
    <x v="148"/>
    <x v="1"/>
    <x v="1"/>
    <s v="URBANO"/>
    <d v="2024-02-28T00:00:00"/>
    <d v="1899-12-30T10:47:51"/>
    <n v="6.6"/>
  </r>
  <r>
    <s v="BMX033"/>
    <x v="49"/>
    <x v="148"/>
    <x v="1"/>
    <x v="1"/>
    <s v="URBANO"/>
    <d v="2024-02-28T00:00:00"/>
    <d v="1899-12-30T10:57:53"/>
    <n v="6.6"/>
  </r>
  <r>
    <s v="BMX033"/>
    <x v="49"/>
    <x v="149"/>
    <x v="1"/>
    <x v="1"/>
    <s v="URBANO"/>
    <d v="2024-02-28T00:00:00"/>
    <d v="1899-12-30T12:32:17"/>
    <n v="6.6"/>
  </r>
  <r>
    <s v="BMX033"/>
    <x v="49"/>
    <x v="149"/>
    <x v="1"/>
    <x v="1"/>
    <s v="URBANO"/>
    <d v="2024-02-28T00:00:00"/>
    <d v="1899-12-30T12:43:24"/>
    <n v="6.6"/>
  </r>
  <r>
    <s v="BMX033"/>
    <x v="49"/>
    <x v="150"/>
    <x v="1"/>
    <x v="1"/>
    <s v="URBANO"/>
    <d v="2024-02-28T00:00:00"/>
    <d v="1899-12-30T14:31:53"/>
    <n v="6.6"/>
  </r>
  <r>
    <s v="BMX033"/>
    <x v="49"/>
    <x v="150"/>
    <x v="1"/>
    <x v="1"/>
    <s v="URBANO"/>
    <d v="2024-02-28T00:00:00"/>
    <d v="1899-12-30T14:39:56"/>
    <n v="6.6"/>
  </r>
  <r>
    <s v="BMX033"/>
    <x v="49"/>
    <x v="151"/>
    <x v="3"/>
    <x v="1"/>
    <s v="URBANO"/>
    <d v="2024-02-29T00:00:00"/>
    <d v="1899-12-30T10:52:42"/>
    <n v="6.6"/>
  </r>
  <r>
    <s v="BMX033"/>
    <x v="49"/>
    <x v="151"/>
    <x v="1"/>
    <x v="1"/>
    <s v="URBANO"/>
    <d v="2024-02-29T00:00:00"/>
    <d v="1899-12-30T11:39:57"/>
    <n v="6.6"/>
  </r>
  <r>
    <s v="BMX033"/>
    <x v="49"/>
    <x v="151"/>
    <x v="1"/>
    <x v="1"/>
    <s v="URBANO"/>
    <d v="2024-02-29T00:00:00"/>
    <d v="1899-12-30T11:44:42"/>
    <n v="6.6"/>
  </r>
  <r>
    <s v="BMX033"/>
    <x v="49"/>
    <x v="152"/>
    <x v="1"/>
    <x v="1"/>
    <s v="URBANO"/>
    <d v="2024-02-29T00:00:00"/>
    <d v="1899-12-30T13:00:11"/>
    <n v="6.6"/>
  </r>
  <r>
    <s v="BMX033"/>
    <x v="49"/>
    <x v="153"/>
    <x v="1"/>
    <x v="1"/>
    <s v="URBANO"/>
    <d v="2024-02-29T00:00:00"/>
    <d v="1899-12-30T15:42:31"/>
    <n v="6.6"/>
  </r>
  <r>
    <s v="BMX033"/>
    <x v="49"/>
    <x v="153"/>
    <x v="1"/>
    <x v="1"/>
    <s v="URBANO"/>
    <d v="2024-02-29T00:00:00"/>
    <d v="1899-12-30T15:47:03"/>
    <n v="6.6"/>
  </r>
  <r>
    <s v="CHN024"/>
    <x v="50"/>
    <x v="154"/>
    <x v="1"/>
    <x v="1"/>
    <s v="PLAZAS"/>
    <d v="2024-02-27T00:00:00"/>
    <d v="1899-12-30T07:28:05"/>
    <n v="6.6"/>
  </r>
  <r>
    <s v="CHN024"/>
    <x v="50"/>
    <x v="2"/>
    <x v="2"/>
    <x v="1"/>
    <s v="PLAZAS"/>
    <d v="2024-02-27T00:00:00"/>
    <d v="1899-12-30T09:28:21"/>
    <n v="6.6"/>
  </r>
  <r>
    <s v="CHN024"/>
    <x v="50"/>
    <x v="2"/>
    <x v="2"/>
    <x v="1"/>
    <s v="PLAZAS"/>
    <d v="2024-02-28T00:00:00"/>
    <d v="1899-12-30T14:01:58"/>
    <n v="6.6"/>
  </r>
  <r>
    <s v="CHN024"/>
    <x v="50"/>
    <x v="2"/>
    <x v="2"/>
    <x v="1"/>
    <s v="PLAZAS"/>
    <d v="2024-02-28T00:00:00"/>
    <d v="1899-12-30T14:14:59"/>
    <n v="6.6"/>
  </r>
  <r>
    <s v="CHN024"/>
    <x v="50"/>
    <x v="2"/>
    <x v="2"/>
    <x v="1"/>
    <s v="PLAZAS"/>
    <d v="2024-02-28T00:00:00"/>
    <d v="1899-12-30T15:03:53"/>
    <n v="6.6"/>
  </r>
  <r>
    <s v="CHN024"/>
    <x v="50"/>
    <x v="2"/>
    <x v="2"/>
    <x v="1"/>
    <s v="PLAZAS"/>
    <d v="2024-02-29T00:00:00"/>
    <d v="1899-12-30T08:06:26"/>
    <n v="6.6"/>
  </r>
  <r>
    <s v="CHN024"/>
    <x v="50"/>
    <x v="2"/>
    <x v="2"/>
    <x v="1"/>
    <s v="PLAZAS"/>
    <d v="2024-02-29T00:00:00"/>
    <d v="1899-12-30T09:20:46"/>
    <n v="6.6"/>
  </r>
  <r>
    <s v="BNY387"/>
    <x v="51"/>
    <x v="155"/>
    <x v="3"/>
    <x v="1"/>
    <s v="URBANO"/>
    <d v="2024-02-26T00:00:00"/>
    <d v="1899-12-30T13:41:57"/>
    <n v="6.6"/>
  </r>
  <r>
    <s v="BNY387"/>
    <x v="51"/>
    <x v="155"/>
    <x v="3"/>
    <x v="1"/>
    <s v="URBANO"/>
    <d v="2024-02-26T00:00:00"/>
    <d v="1899-12-30T13:50:15"/>
    <n v="6.6"/>
  </r>
  <r>
    <s v="BPS426"/>
    <x v="52"/>
    <x v="156"/>
    <x v="1"/>
    <x v="1"/>
    <s v="URBANO"/>
    <d v="2024-02-29T00:00:00"/>
    <d v="1899-12-30T11:27:34"/>
    <n v="6.6"/>
  </r>
  <r>
    <s v="BPS426"/>
    <x v="52"/>
    <x v="157"/>
    <x v="1"/>
    <x v="1"/>
    <s v="URBANO"/>
    <d v="2024-02-29T00:00:00"/>
    <d v="1899-12-30T20:52:58"/>
    <n v="6.6"/>
  </r>
  <r>
    <s v="BPS426"/>
    <x v="52"/>
    <x v="157"/>
    <x v="1"/>
    <x v="1"/>
    <s v="URBANO"/>
    <d v="2024-02-29T00:00:00"/>
    <d v="1899-12-30T21:09:53"/>
    <n v="6.6"/>
  </r>
  <r>
    <s v="BTE249"/>
    <x v="53"/>
    <x v="158"/>
    <x v="1"/>
    <x v="1"/>
    <s v="URBANO"/>
    <d v="2024-02-26T00:00:00"/>
    <d v="1899-12-30T07:25:21"/>
    <n v="6.6"/>
  </r>
  <r>
    <s v="BTE249"/>
    <x v="53"/>
    <x v="158"/>
    <x v="1"/>
    <x v="1"/>
    <s v="URBANO"/>
    <d v="2024-02-26T00:00:00"/>
    <d v="1899-12-30T07:50:49"/>
    <n v="6.6"/>
  </r>
  <r>
    <s v="BJG311"/>
    <x v="54"/>
    <x v="2"/>
    <x v="2"/>
    <x v="1"/>
    <s v="URBANO"/>
    <d v="2024-02-28T00:00:00"/>
    <d v="1899-12-30T16:50:31"/>
    <n v="6.6"/>
  </r>
  <r>
    <s v="CES183"/>
    <x v="55"/>
    <x v="159"/>
    <x v="1"/>
    <x v="1"/>
    <s v="URBANO"/>
    <d v="2024-02-26T00:00:00"/>
    <d v="1899-12-30T09:00:30"/>
    <n v="6.6"/>
  </r>
  <r>
    <s v="CES183"/>
    <x v="55"/>
    <x v="160"/>
    <x v="1"/>
    <x v="1"/>
    <s v="URBANO"/>
    <d v="2024-02-28T00:00:00"/>
    <d v="1899-12-30T14:18:05"/>
    <n v="6.6"/>
  </r>
  <r>
    <s v="CES183"/>
    <x v="55"/>
    <x v="160"/>
    <x v="1"/>
    <x v="1"/>
    <s v="URBANO"/>
    <d v="2024-02-28T00:00:00"/>
    <d v="1899-12-30T14:52:55"/>
    <n v="6.6"/>
  </r>
  <r>
    <s v="CES183"/>
    <x v="55"/>
    <x v="161"/>
    <x v="1"/>
    <x v="1"/>
    <s v="URBANO"/>
    <d v="2024-02-29T00:00:00"/>
    <d v="1899-12-30T13:17:06"/>
    <n v="6.6"/>
  </r>
  <r>
    <s v="CES183"/>
    <x v="55"/>
    <x v="162"/>
    <x v="1"/>
    <x v="1"/>
    <s v="URBANO"/>
    <d v="2024-02-29T00:00:00"/>
    <d v="1899-12-30T19:54:23"/>
    <n v="6.6"/>
  </r>
  <r>
    <s v="D5H661"/>
    <x v="56"/>
    <x v="163"/>
    <x v="1"/>
    <x v="1"/>
    <s v="URBANO"/>
    <d v="2024-02-26T00:00:00"/>
    <d v="1899-12-30T16:17:47"/>
    <n v="6.6"/>
  </r>
  <r>
    <s v="D5H661"/>
    <x v="56"/>
    <x v="163"/>
    <x v="1"/>
    <x v="1"/>
    <s v="URBANO"/>
    <d v="2024-02-26T00:00:00"/>
    <d v="1899-12-30T16:28:30"/>
    <n v="6.6"/>
  </r>
  <r>
    <s v="D5H661"/>
    <x v="56"/>
    <x v="164"/>
    <x v="1"/>
    <x v="1"/>
    <s v="URBANO"/>
    <d v="2024-02-28T00:00:00"/>
    <d v="1899-12-30T08:53:10"/>
    <n v="6.6"/>
  </r>
  <r>
    <s v="D5H661"/>
    <x v="56"/>
    <x v="164"/>
    <x v="1"/>
    <x v="1"/>
    <s v="URBANO"/>
    <d v="2024-02-28T00:00:00"/>
    <d v="1899-12-30T09:14:25"/>
    <n v="6.6"/>
  </r>
  <r>
    <s v="D5H661"/>
    <x v="56"/>
    <x v="165"/>
    <x v="1"/>
    <x v="1"/>
    <s v="URBANO"/>
    <d v="2024-02-28T00:00:00"/>
    <d v="1899-12-30T10:47:22"/>
    <n v="6.6"/>
  </r>
  <r>
    <s v="D5H661"/>
    <x v="56"/>
    <x v="165"/>
    <x v="1"/>
    <x v="1"/>
    <s v="URBANO"/>
    <d v="2024-02-28T00:00:00"/>
    <d v="1899-12-30T10:55:57"/>
    <n v="6.6"/>
  </r>
  <r>
    <s v="D5H661"/>
    <x v="56"/>
    <x v="166"/>
    <x v="1"/>
    <x v="1"/>
    <s v="URBANO"/>
    <d v="2024-02-28T00:00:00"/>
    <d v="1899-12-30T12:25:21"/>
    <n v="6.6"/>
  </r>
  <r>
    <s v="D5H661"/>
    <x v="56"/>
    <x v="166"/>
    <x v="1"/>
    <x v="1"/>
    <s v="URBANO"/>
    <d v="2024-02-28T00:00:00"/>
    <d v="1899-12-30T12:36:29"/>
    <n v="6.6"/>
  </r>
  <r>
    <s v="AUW007"/>
    <x v="57"/>
    <x v="167"/>
    <x v="1"/>
    <x v="1"/>
    <s v="URBANO"/>
    <d v="2024-02-26T00:00:00"/>
    <d v="1899-12-30T08:49:29"/>
    <n v="6.6"/>
  </r>
  <r>
    <s v="AUW007"/>
    <x v="57"/>
    <x v="167"/>
    <x v="1"/>
    <x v="1"/>
    <s v="URBANO"/>
    <d v="2024-02-26T00:00:00"/>
    <d v="1899-12-30T08:53:37"/>
    <n v="6.6"/>
  </r>
  <r>
    <s v="AUW007"/>
    <x v="57"/>
    <x v="2"/>
    <x v="2"/>
    <x v="1"/>
    <s v="URBANO"/>
    <d v="2024-02-27T00:00:00"/>
    <d v="1899-12-30T05:35:58"/>
    <n v="6.6"/>
  </r>
  <r>
    <s v="AUW007"/>
    <x v="57"/>
    <x v="2"/>
    <x v="2"/>
    <x v="1"/>
    <s v="URBANO"/>
    <d v="2024-02-27T00:00:00"/>
    <d v="1899-12-30T05:39:59"/>
    <n v="6.6"/>
  </r>
  <r>
    <s v="AUW007"/>
    <x v="57"/>
    <x v="2"/>
    <x v="2"/>
    <x v="1"/>
    <s v="URBANO"/>
    <d v="2024-02-27T00:00:00"/>
    <d v="1899-12-30T06:14:39"/>
    <n v="6.6"/>
  </r>
  <r>
    <s v="AUW007"/>
    <x v="57"/>
    <x v="2"/>
    <x v="2"/>
    <x v="1"/>
    <s v="URBANO"/>
    <d v="2024-02-27T00:00:00"/>
    <d v="1899-12-30T06:21:12"/>
    <n v="6.6"/>
  </r>
  <r>
    <s v="AUW007"/>
    <x v="57"/>
    <x v="168"/>
    <x v="1"/>
    <x v="1"/>
    <s v="URBANO"/>
    <d v="2024-02-29T00:00:00"/>
    <d v="1899-12-30T19:06:21"/>
    <n v="6.6"/>
  </r>
  <r>
    <s v="BXX289"/>
    <x v="58"/>
    <x v="169"/>
    <x v="1"/>
    <x v="1"/>
    <s v="URBANO"/>
    <d v="2024-02-26T00:00:00"/>
    <d v="1899-12-30T06:44:42"/>
    <n v="6.6"/>
  </r>
  <r>
    <s v="BXX289"/>
    <x v="58"/>
    <x v="170"/>
    <x v="1"/>
    <x v="1"/>
    <s v="URBANO"/>
    <d v="2024-02-27T00:00:00"/>
    <d v="1899-12-30T06:10:19"/>
    <n v="6.6"/>
  </r>
  <r>
    <s v="BXX289"/>
    <x v="58"/>
    <x v="171"/>
    <x v="1"/>
    <x v="1"/>
    <s v="URBANO"/>
    <d v="2024-02-27T00:00:00"/>
    <d v="1899-12-30T13:12:55"/>
    <n v="6.6"/>
  </r>
  <r>
    <s v="BXX289"/>
    <x v="58"/>
    <x v="171"/>
    <x v="1"/>
    <x v="1"/>
    <s v="URBANO"/>
    <d v="2024-02-27T00:00:00"/>
    <d v="1899-12-30T13:26:10"/>
    <n v="6.6"/>
  </r>
  <r>
    <s v="BXX289"/>
    <x v="58"/>
    <x v="172"/>
    <x v="1"/>
    <x v="1"/>
    <s v="URBANO"/>
    <d v="2024-02-29T00:00:00"/>
    <d v="1899-12-30T08:08:08"/>
    <n v="6.6"/>
  </r>
  <r>
    <s v="AZO111"/>
    <x v="59"/>
    <x v="173"/>
    <x v="1"/>
    <x v="1"/>
    <s v="URBANO"/>
    <d v="2024-02-27T00:00:00"/>
    <d v="1899-12-30T22:07:26"/>
    <n v="6.6"/>
  </r>
  <r>
    <s v="BVD639"/>
    <x v="60"/>
    <x v="174"/>
    <x v="1"/>
    <x v="1"/>
    <s v="URBANO"/>
    <d v="2024-02-27T00:00:00"/>
    <d v="1899-12-30T04:16:01"/>
    <n v="6.6"/>
  </r>
  <r>
    <s v="BVD639"/>
    <x v="60"/>
    <x v="175"/>
    <x v="1"/>
    <x v="1"/>
    <s v="URBANO"/>
    <d v="2024-02-27T00:00:00"/>
    <d v="1899-12-30T06:27:28"/>
    <n v="6.6"/>
  </r>
  <r>
    <s v="BTN137"/>
    <x v="61"/>
    <x v="176"/>
    <x v="1"/>
    <x v="1"/>
    <s v="URBANO"/>
    <d v="2024-02-26T00:00:00"/>
    <d v="1899-12-30T04:10:22"/>
    <n v="6.6"/>
  </r>
  <r>
    <s v="BTN137"/>
    <x v="61"/>
    <x v="176"/>
    <x v="1"/>
    <x v="1"/>
    <s v="URBANO"/>
    <d v="2024-02-26T00:00:00"/>
    <d v="1899-12-30T04:17:40"/>
    <n v="6.6"/>
  </r>
  <r>
    <s v="BTN137"/>
    <x v="61"/>
    <x v="177"/>
    <x v="1"/>
    <x v="1"/>
    <s v="URBANO"/>
    <d v="2024-02-27T00:00:00"/>
    <d v="1899-12-30T04:40:56"/>
    <n v="6.6"/>
  </r>
  <r>
    <s v="BTN137"/>
    <x v="61"/>
    <x v="2"/>
    <x v="2"/>
    <x v="1"/>
    <s v="URBANO"/>
    <d v="2024-02-27T00:00:00"/>
    <d v="1899-12-30T12:59:58"/>
    <n v="6.6"/>
  </r>
  <r>
    <s v="BWN519"/>
    <x v="62"/>
    <x v="2"/>
    <x v="2"/>
    <x v="1"/>
    <s v="LATAM"/>
    <d v="2024-02-26T00:00:00"/>
    <d v="1899-12-30T07:46:47"/>
    <n v="6.6"/>
  </r>
  <r>
    <s v="BWN519"/>
    <x v="62"/>
    <x v="2"/>
    <x v="2"/>
    <x v="1"/>
    <s v="LATAM"/>
    <d v="2024-02-26T00:00:00"/>
    <d v="1899-12-30T08:03:59"/>
    <n v="6.6"/>
  </r>
  <r>
    <s v="BWN519"/>
    <x v="62"/>
    <x v="2"/>
    <x v="2"/>
    <x v="1"/>
    <s v="LATAM"/>
    <d v="2024-02-26T00:00:00"/>
    <d v="1899-12-30T13:47:02"/>
    <n v="6.6"/>
  </r>
  <r>
    <s v="BWN519"/>
    <x v="62"/>
    <x v="2"/>
    <x v="2"/>
    <x v="1"/>
    <s v="LATAM"/>
    <d v="2024-02-28T00:00:00"/>
    <d v="1899-12-30T06:51:58"/>
    <n v="6.6"/>
  </r>
  <r>
    <s v="BWN519"/>
    <x v="62"/>
    <x v="2"/>
    <x v="2"/>
    <x v="1"/>
    <s v="LATAM"/>
    <d v="2024-02-29T00:00:00"/>
    <d v="1899-12-30T06:54:25"/>
    <n v="6.6"/>
  </r>
  <r>
    <s v="BWN519"/>
    <x v="62"/>
    <x v="2"/>
    <x v="2"/>
    <x v="1"/>
    <s v="LATAM"/>
    <d v="2024-02-29T00:00:00"/>
    <d v="1899-12-30T13:41:15"/>
    <n v="6.6"/>
  </r>
  <r>
    <s v="BTQ115"/>
    <x v="63"/>
    <x v="178"/>
    <x v="1"/>
    <x v="1"/>
    <s v="URBANO"/>
    <d v="2024-02-27T00:00:00"/>
    <d v="1899-12-30T03:51:17"/>
    <n v="6.6"/>
  </r>
  <r>
    <s v="BTQ115"/>
    <x v="63"/>
    <x v="179"/>
    <x v="1"/>
    <x v="1"/>
    <s v="URBANO"/>
    <d v="2024-02-27T00:00:00"/>
    <d v="1899-12-30T07:01:25"/>
    <n v="6.6"/>
  </r>
  <r>
    <s v="BTQ115"/>
    <x v="63"/>
    <x v="179"/>
    <x v="1"/>
    <x v="1"/>
    <s v="URBANO"/>
    <d v="2024-02-27T00:00:00"/>
    <d v="1899-12-30T07:08:44"/>
    <n v="6.6"/>
  </r>
  <r>
    <s v="AZC196"/>
    <x v="64"/>
    <x v="180"/>
    <x v="1"/>
    <x v="1"/>
    <s v="URBANO"/>
    <d v="2024-02-28T00:00:00"/>
    <d v="1899-12-30T00:18:10"/>
    <n v="6.6"/>
  </r>
  <r>
    <s v="AZC196"/>
    <x v="64"/>
    <x v="181"/>
    <x v="1"/>
    <x v="1"/>
    <s v="URBANO"/>
    <d v="2024-02-29T00:00:00"/>
    <d v="1899-12-30T17:27:56"/>
    <n v="6.6"/>
  </r>
  <r>
    <s v="BUR044"/>
    <x v="65"/>
    <x v="182"/>
    <x v="0"/>
    <x v="1"/>
    <s v="URBANO"/>
    <d v="2024-02-26T00:00:00"/>
    <d v="1899-12-30T19:08:59"/>
    <n v="6.6"/>
  </r>
  <r>
    <s v="BUR044"/>
    <x v="65"/>
    <x v="182"/>
    <x v="0"/>
    <x v="1"/>
    <s v="URBANO"/>
    <d v="2024-02-26T00:00:00"/>
    <d v="1899-12-30T19:19:17"/>
    <n v="6.6"/>
  </r>
  <r>
    <s v="BUR044"/>
    <x v="65"/>
    <x v="183"/>
    <x v="1"/>
    <x v="1"/>
    <s v="URBANO"/>
    <d v="2024-02-28T00:00:00"/>
    <d v="1899-12-30T05:19:28"/>
    <n v="6.6"/>
  </r>
  <r>
    <s v="BUR044"/>
    <x v="65"/>
    <x v="184"/>
    <x v="1"/>
    <x v="1"/>
    <s v="URBANO"/>
    <d v="2024-02-28T00:00:00"/>
    <d v="1899-12-30T20:03:56"/>
    <n v="6.6"/>
  </r>
  <r>
    <s v="AWL341"/>
    <x v="66"/>
    <x v="185"/>
    <x v="1"/>
    <x v="1"/>
    <s v="URBANO"/>
    <d v="2024-02-27T00:00:00"/>
    <d v="1899-12-30T13:55:23"/>
    <n v="6.6"/>
  </r>
  <r>
    <s v="AWL341"/>
    <x v="66"/>
    <x v="185"/>
    <x v="1"/>
    <x v="1"/>
    <s v="URBANO"/>
    <d v="2024-02-27T00:00:00"/>
    <d v="1899-12-30T14:03:43"/>
    <n v="6.6"/>
  </r>
  <r>
    <s v="AWL341"/>
    <x v="66"/>
    <x v="186"/>
    <x v="3"/>
    <x v="1"/>
    <s v="URBANO"/>
    <d v="2024-02-27T00:00:00"/>
    <d v="1899-12-30T19:27:01"/>
    <n v="6.6"/>
  </r>
  <r>
    <s v="AJN307"/>
    <x v="67"/>
    <x v="2"/>
    <x v="2"/>
    <x v="0"/>
    <s v="AEROPUERTO"/>
    <d v="2024-02-26T00:00:00"/>
    <d v="1899-12-30T07:12:56"/>
    <n v="6.6"/>
  </r>
  <r>
    <s v="AJN307"/>
    <x v="67"/>
    <x v="187"/>
    <x v="0"/>
    <x v="0"/>
    <s v="AEROPUERTO"/>
    <d v="2024-02-27T00:00:00"/>
    <d v="1899-12-30T15:38:46"/>
    <n v="6.6"/>
  </r>
  <r>
    <s v="AJN307"/>
    <x v="67"/>
    <x v="188"/>
    <x v="1"/>
    <x v="0"/>
    <s v="AEROPUERTO"/>
    <d v="2024-02-27T00:00:00"/>
    <d v="1899-12-30T21:10:07"/>
    <n v="6.6"/>
  </r>
  <r>
    <s v="AJN307"/>
    <x v="67"/>
    <x v="189"/>
    <x v="1"/>
    <x v="0"/>
    <s v="AEROPUERTO"/>
    <d v="2024-02-28T00:00:00"/>
    <d v="1899-12-30T08:14:59"/>
    <n v="6.6"/>
  </r>
  <r>
    <s v="AJN307"/>
    <x v="67"/>
    <x v="189"/>
    <x v="1"/>
    <x v="0"/>
    <s v="AEROPUERTO"/>
    <d v="2024-02-28T00:00:00"/>
    <d v="1899-12-30T08:30:31"/>
    <n v="6.6"/>
  </r>
  <r>
    <s v="AJN307"/>
    <x v="67"/>
    <x v="190"/>
    <x v="3"/>
    <x v="0"/>
    <s v="AEROPUERTO"/>
    <d v="2024-02-28T00:00:00"/>
    <d v="1899-12-30T15:12:42"/>
    <n v="6.6"/>
  </r>
  <r>
    <s v="AJN307"/>
    <x v="67"/>
    <x v="191"/>
    <x v="1"/>
    <x v="0"/>
    <s v="AEROPUERTO"/>
    <d v="2024-02-29T00:00:00"/>
    <d v="1899-12-30T09:08:22"/>
    <n v="6.6"/>
  </r>
  <r>
    <s v="CAT117"/>
    <x v="68"/>
    <x v="192"/>
    <x v="1"/>
    <x v="0"/>
    <s v="AEROPUERTO"/>
    <d v="2024-02-26T00:00:00"/>
    <d v="1899-12-30T05:34:15"/>
    <n v="6.6"/>
  </r>
  <r>
    <s v="CAT117"/>
    <x v="68"/>
    <x v="192"/>
    <x v="1"/>
    <x v="0"/>
    <s v="AEROPUERTO"/>
    <d v="2024-02-26T00:00:00"/>
    <d v="1899-12-30T05:42:57"/>
    <n v="6.6"/>
  </r>
  <r>
    <s v="CAT117"/>
    <x v="68"/>
    <x v="193"/>
    <x v="1"/>
    <x v="0"/>
    <s v="AEROPUERTO"/>
    <d v="2024-02-27T00:00:00"/>
    <d v="1899-12-30T00:09:03"/>
    <n v="6.6"/>
  </r>
  <r>
    <s v="CAT117"/>
    <x v="68"/>
    <x v="193"/>
    <x v="1"/>
    <x v="0"/>
    <s v="AEROPUERTO"/>
    <d v="2024-02-27T00:00:00"/>
    <d v="1899-12-30T00:19:21"/>
    <n v="6.6"/>
  </r>
  <r>
    <s v="CAT117"/>
    <x v="68"/>
    <x v="194"/>
    <x v="1"/>
    <x v="0"/>
    <s v="AEROPUERTO"/>
    <d v="2024-02-28T00:00:00"/>
    <d v="1899-12-30T00:19:23"/>
    <n v="6.6"/>
  </r>
  <r>
    <s v="CAT117"/>
    <x v="68"/>
    <x v="194"/>
    <x v="1"/>
    <x v="0"/>
    <s v="AEROPUERTO"/>
    <d v="2024-02-28T00:00:00"/>
    <d v="1899-12-30T00:28:16"/>
    <n v="6.6"/>
  </r>
  <r>
    <s v="ARO168"/>
    <x v="69"/>
    <x v="195"/>
    <x v="1"/>
    <x v="1"/>
    <s v="URBANO"/>
    <d v="2024-02-27T00:00:00"/>
    <d v="1899-12-30T04:48:28"/>
    <n v="6.6"/>
  </r>
  <r>
    <s v="ARO168"/>
    <x v="69"/>
    <x v="195"/>
    <x v="1"/>
    <x v="1"/>
    <s v="URBANO"/>
    <d v="2024-02-27T00:00:00"/>
    <d v="1899-12-30T04:55:50"/>
    <n v="6.6"/>
  </r>
  <r>
    <s v="ARO168"/>
    <x v="69"/>
    <x v="196"/>
    <x v="1"/>
    <x v="1"/>
    <s v="URBANO"/>
    <d v="2024-02-29T00:00:00"/>
    <d v="1899-12-30T08:43:45"/>
    <n v="6.6"/>
  </r>
  <r>
    <s v="BDD546"/>
    <x v="70"/>
    <x v="197"/>
    <x v="1"/>
    <x v="1"/>
    <s v="URBANO"/>
    <d v="2024-02-26T00:00:00"/>
    <d v="1899-12-30T19:26:29"/>
    <n v="6.6"/>
  </r>
  <r>
    <s v="BDD546"/>
    <x v="70"/>
    <x v="197"/>
    <x v="1"/>
    <x v="1"/>
    <s v="URBANO"/>
    <d v="2024-02-26T00:00:00"/>
    <d v="1899-12-30T19:39:53"/>
    <n v="6.6"/>
  </r>
  <r>
    <s v="BDD546"/>
    <x v="70"/>
    <x v="198"/>
    <x v="1"/>
    <x v="1"/>
    <s v="URBANO"/>
    <d v="2024-02-27T00:00:00"/>
    <d v="1899-12-30T21:25:48"/>
    <n v="6.6"/>
  </r>
  <r>
    <s v="BDD546"/>
    <x v="70"/>
    <x v="199"/>
    <x v="1"/>
    <x v="1"/>
    <s v="URBANO"/>
    <d v="2024-02-28T00:00:00"/>
    <d v="1899-12-30T13:45:12"/>
    <n v="6.6"/>
  </r>
  <r>
    <s v="BDD546"/>
    <x v="70"/>
    <x v="200"/>
    <x v="1"/>
    <x v="1"/>
    <s v="URBANO"/>
    <d v="2024-02-29T00:00:00"/>
    <d v="1899-12-30T17:02:12"/>
    <n v="6.6"/>
  </r>
  <r>
    <s v="BDD546"/>
    <x v="70"/>
    <x v="200"/>
    <x v="1"/>
    <x v="1"/>
    <s v="URBANO"/>
    <d v="2024-02-29T00:00:00"/>
    <d v="1899-12-30T17:15:01"/>
    <n v="6.6"/>
  </r>
  <r>
    <s v="BBV473"/>
    <x v="71"/>
    <x v="201"/>
    <x v="1"/>
    <x v="1"/>
    <s v="URBANO"/>
    <d v="2024-02-28T00:00:00"/>
    <d v="1899-12-30T08:04:17"/>
    <n v="6.6"/>
  </r>
  <r>
    <s v="BBV473"/>
    <x v="71"/>
    <x v="202"/>
    <x v="1"/>
    <x v="1"/>
    <s v="URBANO"/>
    <d v="2024-02-28T00:00:00"/>
    <d v="1899-12-30T13:36:38"/>
    <n v="6.6"/>
  </r>
  <r>
    <s v="BBV473"/>
    <x v="71"/>
    <x v="203"/>
    <x v="1"/>
    <x v="1"/>
    <s v="URBANO"/>
    <d v="2024-02-28T00:00:00"/>
    <d v="1899-12-30T19:06:30"/>
    <n v="6.6"/>
  </r>
  <r>
    <s v="BBV473"/>
    <x v="71"/>
    <x v="2"/>
    <x v="2"/>
    <x v="1"/>
    <s v="URBANO"/>
    <d v="2024-02-28T00:00:00"/>
    <d v="1899-12-30T20:46:36"/>
    <n v="6.6"/>
  </r>
  <r>
    <s v="BBV473"/>
    <x v="71"/>
    <x v="204"/>
    <x v="1"/>
    <x v="1"/>
    <s v="URBANO"/>
    <d v="2024-02-29T00:00:00"/>
    <d v="1899-12-30T08:04:46"/>
    <n v="6.6"/>
  </r>
  <r>
    <s v="BBV473"/>
    <x v="71"/>
    <x v="2"/>
    <x v="2"/>
    <x v="1"/>
    <s v="URBANO"/>
    <d v="2024-02-29T00:00:00"/>
    <d v="1899-12-30T10:53:35"/>
    <n v="6.6"/>
  </r>
  <r>
    <s v="BBV473"/>
    <x v="71"/>
    <x v="2"/>
    <x v="2"/>
    <x v="1"/>
    <s v="URBANO"/>
    <d v="2024-02-29T00:00:00"/>
    <d v="1899-12-30T12:03:39"/>
    <n v="6.6"/>
  </r>
  <r>
    <s v="BBV473"/>
    <x v="71"/>
    <x v="205"/>
    <x v="1"/>
    <x v="1"/>
    <s v="URBANO"/>
    <d v="2024-02-29T00:00:00"/>
    <d v="1899-12-30T13:14:48"/>
    <n v="6.6"/>
  </r>
  <r>
    <s v="BBV473"/>
    <x v="71"/>
    <x v="205"/>
    <x v="1"/>
    <x v="1"/>
    <s v="URBANO"/>
    <d v="2024-02-29T00:00:00"/>
    <d v="1899-12-30T13:22:44"/>
    <n v="6.6"/>
  </r>
  <r>
    <s v="CFQ082"/>
    <x v="72"/>
    <x v="206"/>
    <x v="1"/>
    <x v="0"/>
    <s v="AEROPUERTO"/>
    <d v="2024-02-26T00:00:00"/>
    <d v="1899-12-30T01:19:44"/>
    <n v="6.6"/>
  </r>
  <r>
    <s v="CFQ082"/>
    <x v="72"/>
    <x v="206"/>
    <x v="1"/>
    <x v="0"/>
    <s v="AEROPUERTO"/>
    <d v="2024-02-26T00:00:00"/>
    <d v="1899-12-30T01:29:31"/>
    <n v="6.6"/>
  </r>
  <r>
    <s v="CFQ082"/>
    <x v="72"/>
    <x v="207"/>
    <x v="0"/>
    <x v="0"/>
    <s v="AEROPUERTO"/>
    <d v="2024-02-26T00:00:00"/>
    <d v="1899-12-30T03:10:31"/>
    <n v="6.6"/>
  </r>
  <r>
    <s v="CFQ082"/>
    <x v="72"/>
    <x v="207"/>
    <x v="0"/>
    <x v="0"/>
    <s v="AEROPUERTO"/>
    <d v="2024-02-26T00:00:00"/>
    <d v="1899-12-30T03:18:34"/>
    <n v="6.6"/>
  </r>
  <r>
    <s v="CFQ082"/>
    <x v="72"/>
    <x v="208"/>
    <x v="1"/>
    <x v="0"/>
    <s v="AEROPUERTO"/>
    <d v="2024-02-26T00:00:00"/>
    <d v="1899-12-30T07:41:13"/>
    <n v="6.6"/>
  </r>
  <r>
    <s v="CFQ082"/>
    <x v="72"/>
    <x v="208"/>
    <x v="1"/>
    <x v="0"/>
    <s v="AEROPUERTO"/>
    <d v="2024-02-26T00:00:00"/>
    <d v="1899-12-30T07:56:25"/>
    <n v="6.6"/>
  </r>
  <r>
    <s v="CFQ082"/>
    <x v="72"/>
    <x v="209"/>
    <x v="1"/>
    <x v="0"/>
    <s v="AEROPUERTO"/>
    <d v="2024-02-26T00:00:00"/>
    <d v="1899-12-30T08:55:57"/>
    <n v="6.6"/>
  </r>
  <r>
    <s v="CFQ082"/>
    <x v="72"/>
    <x v="209"/>
    <x v="1"/>
    <x v="0"/>
    <s v="AEROPUERTO"/>
    <d v="2024-02-26T00:00:00"/>
    <d v="1899-12-30T09:09:28"/>
    <n v="6.6"/>
  </r>
  <r>
    <s v="CFQ082"/>
    <x v="72"/>
    <x v="2"/>
    <x v="2"/>
    <x v="0"/>
    <s v="AEROPUERTO"/>
    <d v="2024-02-26T00:00:00"/>
    <d v="1899-12-30T09:39:02"/>
    <n v="6.6"/>
  </r>
  <r>
    <s v="CFQ082"/>
    <x v="72"/>
    <x v="2"/>
    <x v="2"/>
    <x v="0"/>
    <s v="AEROPUERTO"/>
    <d v="2024-02-26T00:00:00"/>
    <d v="1899-12-30T09:48:04"/>
    <n v="6.6"/>
  </r>
  <r>
    <s v="CFQ082"/>
    <x v="72"/>
    <x v="210"/>
    <x v="1"/>
    <x v="0"/>
    <s v="AEROPUERTO"/>
    <d v="2024-02-26T00:00:00"/>
    <d v="1899-12-30T18:22:04"/>
    <n v="6.6"/>
  </r>
  <r>
    <s v="CFQ082"/>
    <x v="72"/>
    <x v="210"/>
    <x v="1"/>
    <x v="0"/>
    <s v="AEROPUERTO"/>
    <d v="2024-02-26T00:00:00"/>
    <d v="1899-12-30T18:33:18"/>
    <n v="6.6"/>
  </r>
  <r>
    <s v="CFQ082"/>
    <x v="72"/>
    <x v="2"/>
    <x v="2"/>
    <x v="0"/>
    <s v="AEROPUERTO"/>
    <d v="2024-02-26T00:00:00"/>
    <d v="1899-12-30T18:53:00"/>
    <n v="6.6"/>
  </r>
  <r>
    <s v="CFQ082"/>
    <x v="72"/>
    <x v="2"/>
    <x v="2"/>
    <x v="0"/>
    <s v="AEROPUERTO"/>
    <d v="2024-02-26T00:00:00"/>
    <d v="1899-12-30T19:14:31"/>
    <n v="6.6"/>
  </r>
  <r>
    <s v="CFQ082"/>
    <x v="72"/>
    <x v="211"/>
    <x v="1"/>
    <x v="0"/>
    <s v="AEROPUERTO"/>
    <d v="2024-02-27T00:00:00"/>
    <d v="1899-12-30T04:03:41"/>
    <n v="6.6"/>
  </r>
  <r>
    <s v="CFQ082"/>
    <x v="72"/>
    <x v="211"/>
    <x v="1"/>
    <x v="0"/>
    <s v="AEROPUERTO"/>
    <d v="2024-02-27T00:00:00"/>
    <d v="1899-12-30T04:12:46"/>
    <n v="6.6"/>
  </r>
  <r>
    <s v="CFQ082"/>
    <x v="72"/>
    <x v="212"/>
    <x v="3"/>
    <x v="0"/>
    <s v="AEROPUERTO"/>
    <d v="2024-02-27T00:00:00"/>
    <d v="1899-12-30T05:33:51"/>
    <n v="6.6"/>
  </r>
  <r>
    <s v="CFQ082"/>
    <x v="72"/>
    <x v="212"/>
    <x v="3"/>
    <x v="0"/>
    <s v="AEROPUERTO"/>
    <d v="2024-02-27T00:00:00"/>
    <d v="1899-12-30T05:43:05"/>
    <n v="6.6"/>
  </r>
  <r>
    <s v="CFQ082"/>
    <x v="72"/>
    <x v="212"/>
    <x v="1"/>
    <x v="0"/>
    <s v="AEROPUERTO"/>
    <d v="2024-02-27T00:00:00"/>
    <d v="1899-12-30T06:02:09"/>
    <n v="6.6"/>
  </r>
  <r>
    <s v="CFQ082"/>
    <x v="72"/>
    <x v="212"/>
    <x v="1"/>
    <x v="0"/>
    <s v="AEROPUERTO"/>
    <d v="2024-02-27T00:00:00"/>
    <d v="1899-12-30T06:10:55"/>
    <n v="6.6"/>
  </r>
  <r>
    <s v="CFQ082"/>
    <x v="72"/>
    <x v="213"/>
    <x v="1"/>
    <x v="0"/>
    <s v="AEROPUERTO"/>
    <d v="2024-02-27T00:00:00"/>
    <d v="1899-12-30T19:06:49"/>
    <n v="6.6"/>
  </r>
  <r>
    <s v="CFQ082"/>
    <x v="72"/>
    <x v="213"/>
    <x v="1"/>
    <x v="0"/>
    <s v="AEROPUERTO"/>
    <d v="2024-02-27T00:00:00"/>
    <d v="1899-12-30T19:18:10"/>
    <n v="6.6"/>
  </r>
  <r>
    <s v="CFQ082"/>
    <x v="72"/>
    <x v="2"/>
    <x v="2"/>
    <x v="0"/>
    <s v="AEROPUERTO"/>
    <d v="2024-02-27T00:00:00"/>
    <d v="1899-12-30T19:48:31"/>
    <n v="6.6"/>
  </r>
  <r>
    <s v="CFQ082"/>
    <x v="72"/>
    <x v="2"/>
    <x v="2"/>
    <x v="0"/>
    <s v="AEROPUERTO"/>
    <d v="2024-02-27T00:00:00"/>
    <d v="1899-12-30T20:15:58"/>
    <n v="6.6"/>
  </r>
  <r>
    <s v="CFQ082"/>
    <x v="72"/>
    <x v="214"/>
    <x v="1"/>
    <x v="0"/>
    <s v="AEROPUERTO"/>
    <d v="2024-02-27T00:00:00"/>
    <d v="1899-12-30T21:01:45"/>
    <n v="6.6"/>
  </r>
  <r>
    <s v="CFQ082"/>
    <x v="72"/>
    <x v="214"/>
    <x v="1"/>
    <x v="0"/>
    <s v="AEROPUERTO"/>
    <d v="2024-02-27T00:00:00"/>
    <d v="1899-12-30T21:11:23"/>
    <n v="6.6"/>
  </r>
  <r>
    <s v="CFQ082"/>
    <x v="72"/>
    <x v="2"/>
    <x v="2"/>
    <x v="0"/>
    <s v="AEROPUERTO"/>
    <d v="2024-02-27T00:00:00"/>
    <d v="1899-12-30T21:35:57"/>
    <n v="6.6"/>
  </r>
  <r>
    <s v="CFQ082"/>
    <x v="72"/>
    <x v="2"/>
    <x v="2"/>
    <x v="0"/>
    <s v="AEROPUERTO"/>
    <d v="2024-02-27T00:00:00"/>
    <d v="1899-12-30T21:42:56"/>
    <n v="6.6"/>
  </r>
  <r>
    <s v="CFQ082"/>
    <x v="72"/>
    <x v="215"/>
    <x v="1"/>
    <x v="0"/>
    <s v="AEROPUERTO"/>
    <d v="2024-02-27T00:00:00"/>
    <d v="1899-12-30T23:49:12"/>
    <n v="6.6"/>
  </r>
  <r>
    <s v="CFQ082"/>
    <x v="72"/>
    <x v="215"/>
    <x v="1"/>
    <x v="0"/>
    <s v="AEROPUERTO"/>
    <d v="2024-02-28T00:00:00"/>
    <d v="1899-12-30T00:00:17"/>
    <n v="6.6"/>
  </r>
  <r>
    <s v="CFQ082"/>
    <x v="72"/>
    <x v="2"/>
    <x v="2"/>
    <x v="0"/>
    <s v="AEROPUERTO"/>
    <d v="2024-02-28T00:00:00"/>
    <d v="1899-12-30T00:27:00"/>
    <n v="6.6"/>
  </r>
  <r>
    <s v="CFQ082"/>
    <x v="72"/>
    <x v="2"/>
    <x v="2"/>
    <x v="0"/>
    <s v="AEROPUERTO"/>
    <d v="2024-02-28T00:00:00"/>
    <d v="1899-12-30T00:34:06"/>
    <n v="6.6"/>
  </r>
  <r>
    <s v="CFQ082"/>
    <x v="72"/>
    <x v="216"/>
    <x v="1"/>
    <x v="0"/>
    <s v="AEROPUERTO"/>
    <d v="2024-02-28T00:00:00"/>
    <d v="1899-12-30T03:22:44"/>
    <n v="6.6"/>
  </r>
  <r>
    <s v="CFQ082"/>
    <x v="72"/>
    <x v="216"/>
    <x v="1"/>
    <x v="0"/>
    <s v="AEROPUERTO"/>
    <d v="2024-02-28T00:00:00"/>
    <d v="1899-12-30T03:30:21"/>
    <n v="6.6"/>
  </r>
  <r>
    <s v="CFQ082"/>
    <x v="72"/>
    <x v="217"/>
    <x v="1"/>
    <x v="0"/>
    <s v="AEROPUERTO"/>
    <d v="2024-02-29T00:00:00"/>
    <d v="1899-12-30T13:47:31"/>
    <n v="6.6"/>
  </r>
  <r>
    <s v="CFQ082"/>
    <x v="72"/>
    <x v="217"/>
    <x v="1"/>
    <x v="0"/>
    <s v="AEROPUERTO"/>
    <d v="2024-02-29T00:00:00"/>
    <d v="1899-12-30T13:57:53"/>
    <n v="6.6"/>
  </r>
  <r>
    <s v="CFD523"/>
    <x v="73"/>
    <x v="2"/>
    <x v="2"/>
    <x v="0"/>
    <s v="AEROPUERTO"/>
    <d v="2024-02-26T00:00:00"/>
    <d v="1899-12-30T11:33:24"/>
    <n v="6.6"/>
  </r>
  <r>
    <s v="CFD523"/>
    <x v="73"/>
    <x v="2"/>
    <x v="2"/>
    <x v="0"/>
    <s v="AEROPUERTO"/>
    <d v="2024-02-26T00:00:00"/>
    <d v="1899-12-30T11:40:23"/>
    <n v="6.6"/>
  </r>
  <r>
    <s v="CFD523"/>
    <x v="73"/>
    <x v="218"/>
    <x v="1"/>
    <x v="0"/>
    <s v="AEROPUERTO"/>
    <d v="2024-02-26T00:00:00"/>
    <d v="1899-12-30T13:35:46"/>
    <n v="6.6"/>
  </r>
  <r>
    <s v="CFD523"/>
    <x v="73"/>
    <x v="218"/>
    <x v="1"/>
    <x v="0"/>
    <s v="AEROPUERTO"/>
    <d v="2024-02-26T00:00:00"/>
    <d v="1899-12-30T13:43:39"/>
    <n v="6.6"/>
  </r>
  <r>
    <s v="CFD523"/>
    <x v="73"/>
    <x v="219"/>
    <x v="1"/>
    <x v="0"/>
    <s v="AEROPUERTO"/>
    <d v="2024-02-26T00:00:00"/>
    <d v="1899-12-30T18:47:13"/>
    <n v="6.6"/>
  </r>
  <r>
    <s v="CFD523"/>
    <x v="73"/>
    <x v="219"/>
    <x v="1"/>
    <x v="0"/>
    <s v="AEROPUERTO"/>
    <d v="2024-02-26T00:00:00"/>
    <d v="1899-12-30T18:57:47"/>
    <n v="6.6"/>
  </r>
  <r>
    <s v="CFD523"/>
    <x v="73"/>
    <x v="2"/>
    <x v="2"/>
    <x v="0"/>
    <s v="AEROPUERTO"/>
    <d v="2024-02-27T00:00:00"/>
    <d v="1899-12-30T22:40:02"/>
    <n v="6.6"/>
  </r>
  <r>
    <s v="CFD523"/>
    <x v="73"/>
    <x v="2"/>
    <x v="2"/>
    <x v="0"/>
    <s v="AEROPUERTO"/>
    <d v="2024-02-27T00:00:00"/>
    <d v="1899-12-30T22:46:29"/>
    <n v="6.6"/>
  </r>
  <r>
    <s v="CFD523"/>
    <x v="73"/>
    <x v="220"/>
    <x v="1"/>
    <x v="0"/>
    <s v="AEROPUERTO"/>
    <d v="2024-02-28T00:00:00"/>
    <d v="1899-12-30T12:29:10"/>
    <n v="6.6"/>
  </r>
  <r>
    <s v="CFD523"/>
    <x v="73"/>
    <x v="220"/>
    <x v="1"/>
    <x v="0"/>
    <s v="AEROPUERTO"/>
    <d v="2024-02-28T00:00:00"/>
    <d v="1899-12-30T12:38:49"/>
    <n v="6.6"/>
  </r>
  <r>
    <s v="CFD523"/>
    <x v="73"/>
    <x v="2"/>
    <x v="2"/>
    <x v="0"/>
    <s v="AEROPUERTO"/>
    <d v="2024-02-28T00:00:00"/>
    <d v="1899-12-30T17:43:17"/>
    <n v="6.6"/>
  </r>
  <r>
    <s v="CFD523"/>
    <x v="73"/>
    <x v="2"/>
    <x v="2"/>
    <x v="0"/>
    <s v="AEROPUERTO"/>
    <d v="2024-02-28T00:00:00"/>
    <d v="1899-12-30T19:17:29"/>
    <n v="6.6"/>
  </r>
  <r>
    <s v="CFD523"/>
    <x v="73"/>
    <x v="2"/>
    <x v="2"/>
    <x v="0"/>
    <s v="AEROPUERTO"/>
    <d v="2024-02-28T00:00:00"/>
    <d v="1899-12-30T19:42:18"/>
    <n v="6.6"/>
  </r>
  <r>
    <s v="CFD523"/>
    <x v="73"/>
    <x v="221"/>
    <x v="1"/>
    <x v="0"/>
    <s v="AEROPUERTO"/>
    <d v="2024-02-28T00:00:00"/>
    <d v="1899-12-30T23:03:04"/>
    <n v="6.6"/>
  </r>
  <r>
    <s v="CFD523"/>
    <x v="73"/>
    <x v="221"/>
    <x v="1"/>
    <x v="0"/>
    <s v="AEROPUERTO"/>
    <d v="2024-02-28T00:00:00"/>
    <d v="1899-12-30T23:18:50"/>
    <n v="6.6"/>
  </r>
  <r>
    <s v="Z7B046"/>
    <x v="74"/>
    <x v="222"/>
    <x v="1"/>
    <x v="1"/>
    <s v="URBANO"/>
    <d v="2024-02-26T00:00:00"/>
    <d v="1899-12-30T20:04:53"/>
    <n v="6.6"/>
  </r>
  <r>
    <s v="Z7B046"/>
    <x v="74"/>
    <x v="222"/>
    <x v="1"/>
    <x v="1"/>
    <s v="URBANO"/>
    <d v="2024-02-26T00:00:00"/>
    <d v="1899-12-30T20:14:45"/>
    <n v="6.6"/>
  </r>
  <r>
    <s v="Z7B046"/>
    <x v="74"/>
    <x v="2"/>
    <x v="2"/>
    <x v="1"/>
    <s v="URBANO"/>
    <d v="2024-02-26T00:00:00"/>
    <d v="1899-12-30T21:36:40"/>
    <n v="6.6"/>
  </r>
  <r>
    <s v="BSU312"/>
    <x v="75"/>
    <x v="223"/>
    <x v="3"/>
    <x v="0"/>
    <s v="AEROPUERTO"/>
    <d v="2024-02-28T00:00:00"/>
    <d v="1899-12-30T12:04:49"/>
    <n v="6.6"/>
  </r>
  <r>
    <s v="BSU312"/>
    <x v="75"/>
    <x v="223"/>
    <x v="3"/>
    <x v="0"/>
    <s v="AEROPUERTO"/>
    <d v="2024-02-28T00:00:00"/>
    <d v="1899-12-30T12:48:48"/>
    <n v="6.6"/>
  </r>
  <r>
    <s v="BSU312"/>
    <x v="75"/>
    <x v="2"/>
    <x v="2"/>
    <x v="0"/>
    <s v="AEROPUERTO"/>
    <d v="2024-02-28T00:00:00"/>
    <d v="1899-12-30T13:46:36"/>
    <n v="6.6"/>
  </r>
  <r>
    <s v="BSU312"/>
    <x v="75"/>
    <x v="224"/>
    <x v="1"/>
    <x v="0"/>
    <s v="AEROPUERTO"/>
    <d v="2024-02-29T00:00:00"/>
    <d v="1899-12-30T13:49:33"/>
    <n v="6.6"/>
  </r>
  <r>
    <s v="BSU312"/>
    <x v="75"/>
    <x v="224"/>
    <x v="1"/>
    <x v="0"/>
    <s v="AEROPUERTO"/>
    <d v="2024-02-29T00:00:00"/>
    <d v="1899-12-30T14:01:06"/>
    <n v="6.6"/>
  </r>
  <r>
    <s v="BNV261"/>
    <x v="76"/>
    <x v="225"/>
    <x v="1"/>
    <x v="0"/>
    <s v="AEROPUERTO"/>
    <d v="2024-02-27T00:00:00"/>
    <d v="1899-12-30T19:01:52"/>
    <n v="6.6"/>
  </r>
  <r>
    <s v="BNV261"/>
    <x v="76"/>
    <x v="225"/>
    <x v="1"/>
    <x v="0"/>
    <s v="AEROPUERTO"/>
    <d v="2024-02-27T00:00:00"/>
    <d v="1899-12-30T19:14:53"/>
    <n v="6.6"/>
  </r>
  <r>
    <s v="BNV261"/>
    <x v="76"/>
    <x v="2"/>
    <x v="2"/>
    <x v="0"/>
    <s v="AEROPUERTO"/>
    <d v="2024-02-27T00:00:00"/>
    <d v="1899-12-30T20:14:14"/>
    <n v="6.6"/>
  </r>
  <r>
    <s v="BNV261"/>
    <x v="76"/>
    <x v="2"/>
    <x v="2"/>
    <x v="0"/>
    <s v="AEROPUERTO"/>
    <d v="2024-02-27T00:00:00"/>
    <d v="1899-12-30T20:45:55"/>
    <n v="6.6"/>
  </r>
  <r>
    <s v="BNV261"/>
    <x v="76"/>
    <x v="226"/>
    <x v="1"/>
    <x v="0"/>
    <s v="AEROPUERTO"/>
    <d v="2024-02-28T00:00:00"/>
    <d v="1899-12-30T12:04:13"/>
    <n v="6.6"/>
  </r>
  <r>
    <s v="BNV261"/>
    <x v="76"/>
    <x v="226"/>
    <x v="1"/>
    <x v="0"/>
    <s v="AEROPUERTO"/>
    <d v="2024-02-28T00:00:00"/>
    <d v="1899-12-30T12:19:04"/>
    <n v="6.6"/>
  </r>
  <r>
    <s v="BNV261"/>
    <x v="76"/>
    <x v="227"/>
    <x v="1"/>
    <x v="0"/>
    <s v="AEROPUERTO"/>
    <d v="2024-02-28T00:00:00"/>
    <d v="1899-12-30T13:47:45"/>
    <n v="6.6"/>
  </r>
  <r>
    <s v="BNV261"/>
    <x v="76"/>
    <x v="227"/>
    <x v="1"/>
    <x v="0"/>
    <s v="AEROPUERTO"/>
    <d v="2024-02-28T00:00:00"/>
    <d v="1899-12-30T13:52:37"/>
    <n v="6.6"/>
  </r>
  <r>
    <s v="BNV261"/>
    <x v="76"/>
    <x v="228"/>
    <x v="1"/>
    <x v="0"/>
    <s v="AEROPUERTO"/>
    <d v="2024-02-29T00:00:00"/>
    <d v="1899-12-30T18:39:48"/>
    <n v="6.6"/>
  </r>
  <r>
    <s v="BNV261"/>
    <x v="76"/>
    <x v="228"/>
    <x v="1"/>
    <x v="0"/>
    <s v="AEROPUERTO"/>
    <d v="2024-02-29T00:00:00"/>
    <d v="1899-12-30T18:50:14"/>
    <n v="6.6"/>
  </r>
  <r>
    <s v="F9L349"/>
    <x v="77"/>
    <x v="229"/>
    <x v="1"/>
    <x v="0"/>
    <s v="AEROPUERTO"/>
    <d v="2024-02-26T00:00:00"/>
    <d v="1899-12-30T00:09:58"/>
    <n v="6.6"/>
  </r>
  <r>
    <s v="F9L349"/>
    <x v="77"/>
    <x v="229"/>
    <x v="1"/>
    <x v="0"/>
    <s v="AEROPUERTO"/>
    <d v="2024-02-26T00:00:00"/>
    <d v="1899-12-30T00:18:47"/>
    <n v="6.6"/>
  </r>
  <r>
    <s v="F9L349"/>
    <x v="77"/>
    <x v="230"/>
    <x v="1"/>
    <x v="0"/>
    <s v="AEROPUERTO"/>
    <d v="2024-02-26T00:00:00"/>
    <d v="1899-12-30T05:09:36"/>
    <n v="6.6"/>
  </r>
  <r>
    <s v="F9L349"/>
    <x v="77"/>
    <x v="230"/>
    <x v="1"/>
    <x v="0"/>
    <s v="AEROPUERTO"/>
    <d v="2024-02-26T00:00:00"/>
    <d v="1899-12-30T05:19:07"/>
    <n v="6.6"/>
  </r>
  <r>
    <s v="F9L349"/>
    <x v="77"/>
    <x v="231"/>
    <x v="1"/>
    <x v="0"/>
    <s v="AEROPUERTO"/>
    <d v="2024-02-26T00:00:00"/>
    <d v="1899-12-30T06:39:32"/>
    <n v="6.6"/>
  </r>
  <r>
    <s v="F9L349"/>
    <x v="77"/>
    <x v="231"/>
    <x v="1"/>
    <x v="0"/>
    <s v="AEROPUERTO"/>
    <d v="2024-02-26T00:00:00"/>
    <d v="1899-12-30T06:48:39"/>
    <n v="6.6"/>
  </r>
  <r>
    <s v="F9L349"/>
    <x v="77"/>
    <x v="232"/>
    <x v="1"/>
    <x v="0"/>
    <s v="AEROPUERTO"/>
    <d v="2024-02-27T00:00:00"/>
    <d v="1899-12-30T22:50:20"/>
    <n v="6.6"/>
  </r>
  <r>
    <s v="F9L349"/>
    <x v="77"/>
    <x v="2"/>
    <x v="2"/>
    <x v="0"/>
    <s v="AEROPUERTO"/>
    <d v="2024-02-27T00:00:00"/>
    <d v="1899-12-30T23:05:09"/>
    <n v="6.6"/>
  </r>
  <r>
    <s v="BSE184"/>
    <x v="78"/>
    <x v="233"/>
    <x v="1"/>
    <x v="0"/>
    <s v="AEROPUERTO"/>
    <d v="2024-02-27T00:00:00"/>
    <d v="1899-12-30T06:35:04"/>
    <n v="6.6"/>
  </r>
  <r>
    <s v="BSE184"/>
    <x v="78"/>
    <x v="233"/>
    <x v="1"/>
    <x v="0"/>
    <s v="AEROPUERTO"/>
    <d v="2024-02-27T00:00:00"/>
    <d v="1899-12-30T06:42:39"/>
    <n v="6.6"/>
  </r>
  <r>
    <s v="BSE184"/>
    <x v="78"/>
    <x v="234"/>
    <x v="1"/>
    <x v="0"/>
    <s v="AEROPUERTO"/>
    <d v="2024-02-27T00:00:00"/>
    <d v="1899-12-30T13:17:26"/>
    <n v="6.6"/>
  </r>
  <r>
    <s v="BSE184"/>
    <x v="78"/>
    <x v="234"/>
    <x v="1"/>
    <x v="0"/>
    <s v="AEROPUERTO"/>
    <d v="2024-02-27T00:00:00"/>
    <d v="1899-12-30T13:28:14"/>
    <n v="6.6"/>
  </r>
  <r>
    <s v="BSE184"/>
    <x v="78"/>
    <x v="235"/>
    <x v="1"/>
    <x v="0"/>
    <s v="AEROPUERTO"/>
    <d v="2024-02-27T00:00:00"/>
    <d v="1899-12-30T16:47:49"/>
    <n v="6.6"/>
  </r>
  <r>
    <s v="BSE184"/>
    <x v="78"/>
    <x v="236"/>
    <x v="1"/>
    <x v="0"/>
    <s v="AEROPUERTO"/>
    <d v="2024-02-27T00:00:00"/>
    <d v="1899-12-30T17:36:10"/>
    <n v="6.6"/>
  </r>
  <r>
    <s v="BSE184"/>
    <x v="78"/>
    <x v="236"/>
    <x v="1"/>
    <x v="0"/>
    <s v="AEROPUERTO"/>
    <d v="2024-02-27T00:00:00"/>
    <d v="1899-12-30T17:52:44"/>
    <n v="6.6"/>
  </r>
  <r>
    <s v="BSE184"/>
    <x v="78"/>
    <x v="237"/>
    <x v="1"/>
    <x v="0"/>
    <s v="AEROPUERTO"/>
    <d v="2024-02-29T00:00:00"/>
    <d v="1899-12-30T04:58:20"/>
    <n v="6.6"/>
  </r>
  <r>
    <s v="BSE184"/>
    <x v="78"/>
    <x v="237"/>
    <x v="1"/>
    <x v="0"/>
    <s v="AEROPUERTO"/>
    <d v="2024-02-29T00:00:00"/>
    <d v="1899-12-30T05:05:06"/>
    <n v="6.6"/>
  </r>
  <r>
    <s v="BSE184"/>
    <x v="78"/>
    <x v="238"/>
    <x v="1"/>
    <x v="0"/>
    <s v="AEROPUERTO"/>
    <d v="2024-02-29T00:00:00"/>
    <d v="1899-12-30T07:55:18"/>
    <n v="6.6"/>
  </r>
  <r>
    <s v="BSE184"/>
    <x v="78"/>
    <x v="238"/>
    <x v="1"/>
    <x v="0"/>
    <s v="AEROPUERTO"/>
    <d v="2024-02-29T00:00:00"/>
    <d v="1899-12-30T08:10:30"/>
    <n v="6.6"/>
  </r>
  <r>
    <s v="BSE184"/>
    <x v="78"/>
    <x v="239"/>
    <x v="1"/>
    <x v="0"/>
    <s v="AEROPUERTO"/>
    <d v="2024-02-29T00:00:00"/>
    <d v="1899-12-30T09:29:04"/>
    <n v="6.6"/>
  </r>
  <r>
    <s v="BSE184"/>
    <x v="78"/>
    <x v="239"/>
    <x v="1"/>
    <x v="0"/>
    <s v="AEROPUERTO"/>
    <d v="2024-02-29T00:00:00"/>
    <d v="1899-12-30T09:40:41"/>
    <n v="6.6"/>
  </r>
  <r>
    <s v="BSE184"/>
    <x v="78"/>
    <x v="240"/>
    <x v="1"/>
    <x v="0"/>
    <s v="AEROPUERTO"/>
    <d v="2024-02-29T00:00:00"/>
    <d v="1899-12-30T11:08:11"/>
    <n v="6.6"/>
  </r>
  <r>
    <s v="BSE184"/>
    <x v="78"/>
    <x v="240"/>
    <x v="1"/>
    <x v="0"/>
    <s v="AEROPUERTO"/>
    <d v="2024-02-29T00:00:00"/>
    <d v="1899-12-30T11:19:09"/>
    <n v="6.6"/>
  </r>
  <r>
    <s v="CCR668"/>
    <x v="79"/>
    <x v="241"/>
    <x v="1"/>
    <x v="0"/>
    <s v="AEROPUERTO"/>
    <d v="2024-02-26T00:00:00"/>
    <d v="1899-12-30T03:40:35"/>
    <n v="6.6"/>
  </r>
  <r>
    <s v="CCR668"/>
    <x v="79"/>
    <x v="241"/>
    <x v="1"/>
    <x v="0"/>
    <s v="AEROPUERTO"/>
    <d v="2024-02-26T00:00:00"/>
    <d v="1899-12-30T04:16:55"/>
    <n v="6.6"/>
  </r>
  <r>
    <s v="CCR668"/>
    <x v="79"/>
    <x v="241"/>
    <x v="1"/>
    <x v="0"/>
    <s v="AEROPUERTO"/>
    <d v="2024-02-26T00:00:00"/>
    <d v="1899-12-30T04:23:16"/>
    <n v="6.6"/>
  </r>
  <r>
    <s v="CCR668"/>
    <x v="79"/>
    <x v="242"/>
    <x v="3"/>
    <x v="0"/>
    <s v="AEROPUERTO"/>
    <d v="2024-02-26T00:00:00"/>
    <d v="1899-12-30T06:12:49"/>
    <n v="6.6"/>
  </r>
  <r>
    <s v="CCR668"/>
    <x v="79"/>
    <x v="243"/>
    <x v="1"/>
    <x v="0"/>
    <s v="AEROPUERTO"/>
    <d v="2024-02-28T00:00:00"/>
    <d v="1899-12-30T18:26:10"/>
    <n v="6.6"/>
  </r>
  <r>
    <s v="CCR668"/>
    <x v="79"/>
    <x v="2"/>
    <x v="2"/>
    <x v="0"/>
    <s v="AEROPUERTO"/>
    <d v="2024-02-28T00:00:00"/>
    <d v="1899-12-30T20:32:54"/>
    <n v="6.6"/>
  </r>
  <r>
    <s v="CCR668"/>
    <x v="79"/>
    <x v="2"/>
    <x v="2"/>
    <x v="0"/>
    <s v="AEROPUERTO"/>
    <d v="2024-02-28T00:00:00"/>
    <d v="1899-12-30T20:48:14"/>
    <n v="6.6"/>
  </r>
  <r>
    <s v="BRG075"/>
    <x v="80"/>
    <x v="244"/>
    <x v="1"/>
    <x v="0"/>
    <s v="AEROPUERTO"/>
    <d v="2024-02-26T00:00:00"/>
    <d v="1899-12-30T13:30:32"/>
    <n v="6.6"/>
  </r>
  <r>
    <s v="BRG075"/>
    <x v="80"/>
    <x v="244"/>
    <x v="1"/>
    <x v="0"/>
    <s v="AEROPUERTO"/>
    <d v="2024-02-26T00:00:00"/>
    <d v="1899-12-30T13:40:29"/>
    <n v="6.6"/>
  </r>
  <r>
    <s v="BRG075"/>
    <x v="80"/>
    <x v="245"/>
    <x v="1"/>
    <x v="0"/>
    <s v="AEROPUERTO"/>
    <d v="2024-02-26T00:00:00"/>
    <d v="1899-12-30T18:40:17"/>
    <n v="6.6"/>
  </r>
  <r>
    <s v="BRG075"/>
    <x v="80"/>
    <x v="245"/>
    <x v="1"/>
    <x v="0"/>
    <s v="AEROPUERTO"/>
    <d v="2024-02-26T00:00:00"/>
    <d v="1899-12-30T18:51:51"/>
    <n v="6.6"/>
  </r>
  <r>
    <s v="BRG075"/>
    <x v="80"/>
    <x v="246"/>
    <x v="1"/>
    <x v="0"/>
    <s v="AEROPUERTO"/>
    <d v="2024-02-27T00:00:00"/>
    <d v="1899-12-30T04:14:26"/>
    <n v="6.6"/>
  </r>
  <r>
    <s v="BRG075"/>
    <x v="80"/>
    <x v="246"/>
    <x v="1"/>
    <x v="0"/>
    <s v="AEROPUERTO"/>
    <d v="2024-02-27T00:00:00"/>
    <d v="1899-12-30T04:21:16"/>
    <n v="6.6"/>
  </r>
  <r>
    <s v="BRG075"/>
    <x v="80"/>
    <x v="247"/>
    <x v="1"/>
    <x v="0"/>
    <s v="AEROPUERTO"/>
    <d v="2024-02-27T00:00:00"/>
    <d v="1899-12-30T07:25:29"/>
    <n v="6.6"/>
  </r>
  <r>
    <s v="BRG075"/>
    <x v="80"/>
    <x v="247"/>
    <x v="1"/>
    <x v="0"/>
    <s v="AEROPUERTO"/>
    <d v="2024-02-27T00:00:00"/>
    <d v="1899-12-30T07:36:07"/>
    <n v="6.6"/>
  </r>
  <r>
    <s v="BRG075"/>
    <x v="80"/>
    <x v="247"/>
    <x v="1"/>
    <x v="0"/>
    <s v="AEROPUERTO"/>
    <d v="2024-02-27T00:00:00"/>
    <d v="1899-12-30T08:37:04"/>
    <n v="6.6"/>
  </r>
  <r>
    <s v="BRG075"/>
    <x v="80"/>
    <x v="247"/>
    <x v="1"/>
    <x v="0"/>
    <s v="AEROPUERTO"/>
    <d v="2024-02-27T00:00:00"/>
    <d v="1899-12-30T08:49:36"/>
    <n v="6.6"/>
  </r>
  <r>
    <s v="BRG075"/>
    <x v="80"/>
    <x v="248"/>
    <x v="1"/>
    <x v="0"/>
    <s v="AEROPUERTO"/>
    <d v="2024-02-27T00:00:00"/>
    <d v="1899-12-30T16:39:56"/>
    <n v="6.6"/>
  </r>
  <r>
    <s v="BRG075"/>
    <x v="80"/>
    <x v="248"/>
    <x v="1"/>
    <x v="0"/>
    <s v="AEROPUERTO"/>
    <d v="2024-02-27T00:00:00"/>
    <d v="1899-12-30T16:50:38"/>
    <n v="6.6"/>
  </r>
  <r>
    <s v="BRG075"/>
    <x v="80"/>
    <x v="248"/>
    <x v="1"/>
    <x v="0"/>
    <s v="AEROPUERTO"/>
    <d v="2024-02-27T00:00:00"/>
    <d v="1899-12-30T18:14:58"/>
    <n v="6.6"/>
  </r>
  <r>
    <s v="BRG075"/>
    <x v="80"/>
    <x v="249"/>
    <x v="1"/>
    <x v="0"/>
    <s v="AEROPUERTO"/>
    <d v="2024-02-27T00:00:00"/>
    <d v="1899-12-30T20:23:06"/>
    <n v="6.6"/>
  </r>
  <r>
    <s v="BRG075"/>
    <x v="80"/>
    <x v="249"/>
    <x v="1"/>
    <x v="0"/>
    <s v="AEROPUERTO"/>
    <d v="2024-02-27T00:00:00"/>
    <d v="1899-12-30T20:32:28"/>
    <n v="6.6"/>
  </r>
  <r>
    <s v="BRG075"/>
    <x v="80"/>
    <x v="2"/>
    <x v="2"/>
    <x v="0"/>
    <s v="AEROPUERTO"/>
    <d v="2024-02-28T00:00:00"/>
    <d v="1899-12-30T05:49:36"/>
    <n v="6.6"/>
  </r>
  <r>
    <s v="BRG075"/>
    <x v="80"/>
    <x v="2"/>
    <x v="2"/>
    <x v="0"/>
    <s v="AEROPUERTO"/>
    <d v="2024-02-28T00:00:00"/>
    <d v="1899-12-30T05:56:30"/>
    <n v="6.6"/>
  </r>
  <r>
    <s v="BRG075"/>
    <x v="80"/>
    <x v="250"/>
    <x v="1"/>
    <x v="0"/>
    <s v="AEROPUERTO"/>
    <d v="2024-02-29T00:00:00"/>
    <d v="1899-12-30T07:16:31"/>
    <n v="6.6"/>
  </r>
  <r>
    <s v="BRG075"/>
    <x v="80"/>
    <x v="250"/>
    <x v="1"/>
    <x v="0"/>
    <s v="AEROPUERTO"/>
    <d v="2024-02-29T00:00:00"/>
    <d v="1899-12-30T07:24:39"/>
    <n v="6.6"/>
  </r>
  <r>
    <s v="BRG075"/>
    <x v="80"/>
    <x v="251"/>
    <x v="1"/>
    <x v="0"/>
    <s v="AEROPUERTO"/>
    <d v="2024-02-29T00:00:00"/>
    <d v="1899-12-30T08:52:39"/>
    <n v="6.6"/>
  </r>
  <r>
    <s v="BRG075"/>
    <x v="80"/>
    <x v="251"/>
    <x v="1"/>
    <x v="0"/>
    <s v="AEROPUERTO"/>
    <d v="2024-02-29T00:00:00"/>
    <d v="1899-12-30T09:12:14"/>
    <n v="6.6"/>
  </r>
  <r>
    <s v="BRG075"/>
    <x v="80"/>
    <x v="2"/>
    <x v="2"/>
    <x v="0"/>
    <s v="AEROPUERTO"/>
    <d v="2024-02-29T00:00:00"/>
    <d v="1899-12-30T12:54:37"/>
    <n v="6.6"/>
  </r>
  <r>
    <s v="BRG075"/>
    <x v="80"/>
    <x v="252"/>
    <x v="0"/>
    <x v="0"/>
    <s v="AEROPUERTO"/>
    <d v="2024-02-29T00:00:00"/>
    <d v="1899-12-30T16:03:56"/>
    <n v="6.6"/>
  </r>
  <r>
    <s v="BRG075"/>
    <x v="80"/>
    <x v="253"/>
    <x v="1"/>
    <x v="0"/>
    <s v="AEROPUERTO"/>
    <d v="2024-02-29T00:00:00"/>
    <d v="1899-12-30T17:37:52"/>
    <n v="6.6"/>
  </r>
  <r>
    <s v="BRG075"/>
    <x v="80"/>
    <x v="253"/>
    <x v="1"/>
    <x v="0"/>
    <s v="AEROPUERTO"/>
    <d v="2024-02-29T00:00:00"/>
    <d v="1899-12-30T17:49:07"/>
    <n v="6.6"/>
  </r>
  <r>
    <s v="CCW017"/>
    <x v="81"/>
    <x v="254"/>
    <x v="1"/>
    <x v="1"/>
    <s v="URBANO"/>
    <d v="2024-02-26T00:00:00"/>
    <d v="1899-12-30T13:36:58"/>
    <n v="6.6"/>
  </r>
  <r>
    <s v="CCW017"/>
    <x v="81"/>
    <x v="255"/>
    <x v="1"/>
    <x v="1"/>
    <s v="URBANO"/>
    <d v="2024-02-26T00:00:00"/>
    <d v="1899-12-30T15:49:05"/>
    <n v="6.6"/>
  </r>
  <r>
    <s v="CCW017"/>
    <x v="81"/>
    <x v="255"/>
    <x v="1"/>
    <x v="1"/>
    <s v="URBANO"/>
    <d v="2024-02-26T00:00:00"/>
    <d v="1899-12-30T15:57:28"/>
    <n v="6.6"/>
  </r>
  <r>
    <s v="CCW017"/>
    <x v="81"/>
    <x v="256"/>
    <x v="1"/>
    <x v="1"/>
    <s v="URBANO"/>
    <d v="2024-02-27T00:00:00"/>
    <d v="1899-12-30T06:57:43"/>
    <n v="6.6"/>
  </r>
  <r>
    <s v="CCW017"/>
    <x v="81"/>
    <x v="2"/>
    <x v="2"/>
    <x v="1"/>
    <s v="URBANO"/>
    <d v="2024-02-27T00:00:00"/>
    <d v="1899-12-30T14:53:15"/>
    <n v="6.6"/>
  </r>
  <r>
    <s v="CCW017"/>
    <x v="81"/>
    <x v="2"/>
    <x v="2"/>
    <x v="1"/>
    <s v="URBANO"/>
    <d v="2024-02-27T00:00:00"/>
    <d v="1899-12-30T15:04:09"/>
    <n v="6.6"/>
  </r>
  <r>
    <s v="CCW017"/>
    <x v="81"/>
    <x v="257"/>
    <x v="1"/>
    <x v="1"/>
    <s v="URBANO"/>
    <d v="2024-02-28T00:00:00"/>
    <d v="1899-12-30T20:07:31"/>
    <n v="6.6"/>
  </r>
  <r>
    <s v="CCW017"/>
    <x v="81"/>
    <x v="2"/>
    <x v="2"/>
    <x v="1"/>
    <s v="URBANO"/>
    <d v="2024-02-28T00:00:00"/>
    <d v="1899-12-30T20:35:45"/>
    <n v="6.6"/>
  </r>
  <r>
    <s v="CCW017"/>
    <x v="81"/>
    <x v="258"/>
    <x v="1"/>
    <x v="1"/>
    <s v="URBANO"/>
    <d v="2024-02-29T00:00:00"/>
    <d v="1899-12-30T18:49:51"/>
    <n v="6.6"/>
  </r>
  <r>
    <s v="CCW017"/>
    <x v="81"/>
    <x v="258"/>
    <x v="1"/>
    <x v="1"/>
    <s v="URBANO"/>
    <d v="2024-02-29T00:00:00"/>
    <d v="1899-12-30T19:02:38"/>
    <n v="6.6"/>
  </r>
  <r>
    <s v="CDC461"/>
    <x v="82"/>
    <x v="259"/>
    <x v="1"/>
    <x v="0"/>
    <s v="AEROPUERTO"/>
    <d v="2024-02-28T00:00:00"/>
    <d v="1899-12-30T09:36:41"/>
    <n v="6.6"/>
  </r>
  <r>
    <s v="CDC461"/>
    <x v="82"/>
    <x v="259"/>
    <x v="1"/>
    <x v="0"/>
    <s v="AEROPUERTO"/>
    <d v="2024-02-28T00:00:00"/>
    <d v="1899-12-30T09:55:50"/>
    <n v="6.6"/>
  </r>
  <r>
    <s v="CDC461"/>
    <x v="82"/>
    <x v="260"/>
    <x v="1"/>
    <x v="0"/>
    <s v="AEROPUERTO"/>
    <d v="2024-02-28T00:00:00"/>
    <d v="1899-12-30T18:15:00"/>
    <n v="6.6"/>
  </r>
  <r>
    <s v="CDC461"/>
    <x v="82"/>
    <x v="260"/>
    <x v="1"/>
    <x v="0"/>
    <s v="AEROPUERTO"/>
    <d v="2024-02-28T00:00:00"/>
    <d v="1899-12-30T19:02:26"/>
    <n v="6.6"/>
  </r>
  <r>
    <s v="CDC461"/>
    <x v="82"/>
    <x v="2"/>
    <x v="2"/>
    <x v="0"/>
    <s v="AEROPUERTO"/>
    <d v="2024-02-28T00:00:00"/>
    <d v="1899-12-30T21:57:32"/>
    <n v="6.6"/>
  </r>
  <r>
    <s v="CDC461"/>
    <x v="82"/>
    <x v="261"/>
    <x v="3"/>
    <x v="0"/>
    <s v="AEROPUERTO"/>
    <d v="2024-02-29T00:00:00"/>
    <d v="1899-12-30T12:36:08"/>
    <n v="6.6"/>
  </r>
  <r>
    <s v="CDC461"/>
    <x v="82"/>
    <x v="261"/>
    <x v="3"/>
    <x v="0"/>
    <s v="AEROPUERTO"/>
    <d v="2024-02-29T00:00:00"/>
    <d v="1899-12-30T12:47:04"/>
    <n v="6.6"/>
  </r>
  <r>
    <s v="CDC461"/>
    <x v="82"/>
    <x v="262"/>
    <x v="1"/>
    <x v="0"/>
    <s v="AEROPUERTO"/>
    <d v="2024-02-29T00:00:00"/>
    <d v="1899-12-30T13:56:48"/>
    <n v="6.6"/>
  </r>
  <r>
    <s v="CDC461"/>
    <x v="82"/>
    <x v="263"/>
    <x v="1"/>
    <x v="0"/>
    <s v="AEROPUERTO"/>
    <d v="2024-02-29T00:00:00"/>
    <d v="1899-12-30T17:40:51"/>
    <n v="6.6"/>
  </r>
  <r>
    <s v="CDC461"/>
    <x v="82"/>
    <x v="263"/>
    <x v="1"/>
    <x v="0"/>
    <s v="AEROPUERTO"/>
    <d v="2024-02-29T00:00:00"/>
    <d v="1899-12-30T17:53:28"/>
    <n v="6.6"/>
  </r>
  <r>
    <s v="CDC461"/>
    <x v="82"/>
    <x v="2"/>
    <x v="2"/>
    <x v="0"/>
    <s v="AEROPUERTO"/>
    <d v="2024-02-29T00:00:00"/>
    <d v="1899-12-30T20:51:48"/>
    <n v="6.6"/>
  </r>
  <r>
    <s v="CDC461"/>
    <x v="82"/>
    <x v="2"/>
    <x v="2"/>
    <x v="0"/>
    <s v="AEROPUERTO"/>
    <d v="2024-02-29T00:00:00"/>
    <d v="1899-12-30T21:13:39"/>
    <n v="6.6"/>
  </r>
  <r>
    <s v="CDH117"/>
    <x v="83"/>
    <x v="264"/>
    <x v="1"/>
    <x v="0"/>
    <s v="AEROPUERTO"/>
    <d v="2024-02-26T00:00:00"/>
    <d v="1899-12-30T17:53:11"/>
    <n v="6.6"/>
  </r>
  <r>
    <s v="CDH117"/>
    <x v="83"/>
    <x v="264"/>
    <x v="1"/>
    <x v="0"/>
    <s v="AEROPUERTO"/>
    <d v="2024-02-26T00:00:00"/>
    <d v="1899-12-30T18:15:18"/>
    <n v="6.6"/>
  </r>
  <r>
    <s v="CDH117"/>
    <x v="83"/>
    <x v="2"/>
    <x v="2"/>
    <x v="0"/>
    <s v="AEROPUERTO"/>
    <d v="2024-02-26T00:00:00"/>
    <d v="1899-12-30T18:50:37"/>
    <n v="6.6"/>
  </r>
  <r>
    <s v="CDH117"/>
    <x v="83"/>
    <x v="2"/>
    <x v="2"/>
    <x v="0"/>
    <s v="AEROPUERTO"/>
    <d v="2024-02-26T00:00:00"/>
    <d v="1899-12-30T19:16:31"/>
    <n v="6.6"/>
  </r>
  <r>
    <s v="CDH117"/>
    <x v="83"/>
    <x v="265"/>
    <x v="1"/>
    <x v="0"/>
    <s v="AEROPUERTO"/>
    <d v="2024-02-28T00:00:00"/>
    <d v="1899-12-30T14:41:56"/>
    <n v="6.6"/>
  </r>
  <r>
    <s v="CDH117"/>
    <x v="83"/>
    <x v="266"/>
    <x v="1"/>
    <x v="0"/>
    <s v="AEROPUERTO"/>
    <d v="2024-02-28T00:00:00"/>
    <d v="1899-12-30T16:34:36"/>
    <n v="6.6"/>
  </r>
  <r>
    <s v="CDH117"/>
    <x v="83"/>
    <x v="266"/>
    <x v="1"/>
    <x v="0"/>
    <s v="AEROPUERTO"/>
    <d v="2024-02-28T00:00:00"/>
    <d v="1899-12-30T17:19:22"/>
    <n v="6.6"/>
  </r>
  <r>
    <s v="CDH117"/>
    <x v="83"/>
    <x v="267"/>
    <x v="1"/>
    <x v="0"/>
    <s v="AEROPUERTO"/>
    <d v="2024-02-29T00:00:00"/>
    <d v="1899-12-30T19:05:42"/>
    <n v="6.6"/>
  </r>
  <r>
    <s v="CDH117"/>
    <x v="83"/>
    <x v="267"/>
    <x v="1"/>
    <x v="0"/>
    <s v="AEROPUERTO"/>
    <d v="2024-02-29T00:00:00"/>
    <d v="1899-12-30T19:18:01"/>
    <n v="6.6"/>
  </r>
  <r>
    <s v="BZZ090"/>
    <x v="84"/>
    <x v="2"/>
    <x v="2"/>
    <x v="1"/>
    <s v="URBANO"/>
    <d v="2024-02-27T00:00:00"/>
    <d v="1899-12-30T11:44:33"/>
    <n v="6.6"/>
  </r>
  <r>
    <s v="BZZ090"/>
    <x v="84"/>
    <x v="2"/>
    <x v="2"/>
    <x v="1"/>
    <s v="URBANO"/>
    <d v="2024-02-27T00:00:00"/>
    <d v="1899-12-30T13:09:42"/>
    <n v="6.6"/>
  </r>
  <r>
    <s v="BZZ090"/>
    <x v="84"/>
    <x v="2"/>
    <x v="2"/>
    <x v="1"/>
    <s v="URBANO"/>
    <d v="2024-02-27T00:00:00"/>
    <d v="1899-12-30T13:24:35"/>
    <n v="6.6"/>
  </r>
  <r>
    <s v="AWS012"/>
    <x v="85"/>
    <x v="268"/>
    <x v="1"/>
    <x v="0"/>
    <s v="AEROPUERTO"/>
    <d v="2024-02-27T00:00:00"/>
    <d v="1899-12-30T22:30:29"/>
    <n v="6.6"/>
  </r>
  <r>
    <s v="AWS012"/>
    <x v="85"/>
    <x v="268"/>
    <x v="1"/>
    <x v="0"/>
    <s v="AEROPUERTO"/>
    <d v="2024-02-27T00:00:00"/>
    <d v="1899-12-30T22:40:09"/>
    <n v="6.6"/>
  </r>
  <r>
    <s v="AWS012"/>
    <x v="85"/>
    <x v="269"/>
    <x v="1"/>
    <x v="0"/>
    <s v="AEROPUERTO"/>
    <d v="2024-02-27T00:00:00"/>
    <d v="1899-12-30T23:58:47"/>
    <n v="6.6"/>
  </r>
  <r>
    <s v="AWS012"/>
    <x v="85"/>
    <x v="269"/>
    <x v="1"/>
    <x v="0"/>
    <s v="AEROPUERTO"/>
    <d v="2024-02-28T00:00:00"/>
    <d v="1899-12-30T00:06:52"/>
    <n v="6.6"/>
  </r>
  <r>
    <s v="AWS012"/>
    <x v="85"/>
    <x v="270"/>
    <x v="1"/>
    <x v="0"/>
    <s v="AEROPUERTO"/>
    <d v="2024-02-29T00:00:00"/>
    <d v="1899-12-30T20:52:41"/>
    <n v="6.6"/>
  </r>
  <r>
    <s v="AWS012"/>
    <x v="85"/>
    <x v="270"/>
    <x v="1"/>
    <x v="0"/>
    <s v="AEROPUERTO"/>
    <d v="2024-02-29T00:00:00"/>
    <d v="1899-12-30T21:03:33"/>
    <n v="6.6"/>
  </r>
  <r>
    <s v="AWS012"/>
    <x v="85"/>
    <x v="271"/>
    <x v="1"/>
    <x v="0"/>
    <s v="AEROPUERTO"/>
    <d v="2024-02-29T00:00:00"/>
    <d v="1899-12-30T23:20:31"/>
    <n v="6.6"/>
  </r>
  <r>
    <s v="BLY153"/>
    <x v="86"/>
    <x v="272"/>
    <x v="1"/>
    <x v="0"/>
    <s v="AEROPUERTO"/>
    <d v="2024-02-26T00:00:00"/>
    <d v="1899-12-30T09:09:38"/>
    <n v="6.6"/>
  </r>
  <r>
    <s v="BLY153"/>
    <x v="86"/>
    <x v="272"/>
    <x v="1"/>
    <x v="0"/>
    <s v="AEROPUERTO"/>
    <d v="2024-02-26T00:00:00"/>
    <d v="1899-12-30T09:22:00"/>
    <n v="6.6"/>
  </r>
  <r>
    <s v="BLY153"/>
    <x v="86"/>
    <x v="273"/>
    <x v="1"/>
    <x v="0"/>
    <s v="AEROPUERTO"/>
    <d v="2024-02-26T00:00:00"/>
    <d v="1899-12-30T19:57:07"/>
    <n v="6.6"/>
  </r>
  <r>
    <s v="BLY153"/>
    <x v="86"/>
    <x v="273"/>
    <x v="1"/>
    <x v="0"/>
    <s v="AEROPUERTO"/>
    <d v="2024-02-26T00:00:00"/>
    <d v="1899-12-30T20:07:03"/>
    <n v="6.6"/>
  </r>
  <r>
    <s v="BLY153"/>
    <x v="86"/>
    <x v="2"/>
    <x v="2"/>
    <x v="0"/>
    <s v="AEROPUERTO"/>
    <d v="2024-02-26T00:00:00"/>
    <d v="1899-12-30T20:33:28"/>
    <n v="6.6"/>
  </r>
  <r>
    <s v="BLY153"/>
    <x v="86"/>
    <x v="2"/>
    <x v="2"/>
    <x v="0"/>
    <s v="AEROPUERTO"/>
    <d v="2024-02-26T00:00:00"/>
    <d v="1899-12-30T20:42:50"/>
    <n v="6.6"/>
  </r>
  <r>
    <s v="CAZ238"/>
    <x v="87"/>
    <x v="274"/>
    <x v="1"/>
    <x v="0"/>
    <s v="AEROPUERTO"/>
    <d v="2024-02-26T00:00:00"/>
    <d v="1899-12-30T05:08:27"/>
    <n v="6.6"/>
  </r>
  <r>
    <s v="CAZ238"/>
    <x v="87"/>
    <x v="274"/>
    <x v="1"/>
    <x v="0"/>
    <s v="AEROPUERTO"/>
    <d v="2024-02-26T00:00:00"/>
    <d v="1899-12-30T05:15:20"/>
    <n v="6.6"/>
  </r>
  <r>
    <s v="CAZ238"/>
    <x v="87"/>
    <x v="275"/>
    <x v="1"/>
    <x v="0"/>
    <s v="AEROPUERTO"/>
    <d v="2024-02-27T00:00:00"/>
    <d v="1899-12-30T21:45:24"/>
    <n v="6.6"/>
  </r>
  <r>
    <s v="CAZ238"/>
    <x v="87"/>
    <x v="275"/>
    <x v="1"/>
    <x v="0"/>
    <s v="AEROPUERTO"/>
    <d v="2024-02-27T00:00:00"/>
    <d v="1899-12-30T21:54:08"/>
    <n v="6.6"/>
  </r>
  <r>
    <s v="CAZ238"/>
    <x v="87"/>
    <x v="276"/>
    <x v="1"/>
    <x v="0"/>
    <s v="AEROPUERTO"/>
    <d v="2024-02-29T00:00:00"/>
    <d v="1899-12-30T10:09:01"/>
    <n v="6.6"/>
  </r>
  <r>
    <s v="CAZ238"/>
    <x v="87"/>
    <x v="276"/>
    <x v="1"/>
    <x v="0"/>
    <s v="AEROPUERTO"/>
    <d v="2024-02-29T00:00:00"/>
    <d v="1899-12-30T10:21:45"/>
    <n v="6.6"/>
  </r>
  <r>
    <s v="CAZ238"/>
    <x v="87"/>
    <x v="277"/>
    <x v="1"/>
    <x v="0"/>
    <s v="AEROPUERTO"/>
    <d v="2024-02-29T00:00:00"/>
    <d v="1899-12-30T12:14:49"/>
    <n v="6.6"/>
  </r>
  <r>
    <s v="CAZ238"/>
    <x v="87"/>
    <x v="277"/>
    <x v="1"/>
    <x v="0"/>
    <s v="AEROPUERTO"/>
    <d v="2024-02-29T00:00:00"/>
    <d v="1899-12-30T12:24:05"/>
    <n v="6.6"/>
  </r>
  <r>
    <s v="CAZ238"/>
    <x v="87"/>
    <x v="278"/>
    <x v="1"/>
    <x v="0"/>
    <s v="AEROPUERTO"/>
    <d v="2024-02-29T00:00:00"/>
    <d v="1899-12-30T14:21:38"/>
    <n v="6.6"/>
  </r>
  <r>
    <s v="CAZ238"/>
    <x v="87"/>
    <x v="2"/>
    <x v="2"/>
    <x v="0"/>
    <s v="AEROPUERTO"/>
    <d v="2024-02-29T00:00:00"/>
    <d v="1899-12-30T15:16:22"/>
    <n v="6.6"/>
  </r>
  <r>
    <s v="CAZ238"/>
    <x v="87"/>
    <x v="2"/>
    <x v="2"/>
    <x v="0"/>
    <s v="AEROPUERTO"/>
    <d v="2024-02-29T00:00:00"/>
    <d v="1899-12-30T15:24:13"/>
    <n v="6.6"/>
  </r>
  <r>
    <s v="CAZ238"/>
    <x v="87"/>
    <x v="279"/>
    <x v="1"/>
    <x v="0"/>
    <s v="AEROPUERTO"/>
    <d v="2024-02-29T00:00:00"/>
    <d v="1899-12-30T22:12:43"/>
    <n v="6.6"/>
  </r>
  <r>
    <s v="AHW374"/>
    <x v="88"/>
    <x v="280"/>
    <x v="1"/>
    <x v="0"/>
    <s v="AEROPUERTO"/>
    <d v="2024-02-26T00:00:00"/>
    <d v="1899-12-30T03:45:06"/>
    <n v="6.6"/>
  </r>
  <r>
    <s v="AHW374"/>
    <x v="88"/>
    <x v="281"/>
    <x v="1"/>
    <x v="0"/>
    <s v="AEROPUERTO"/>
    <d v="2024-02-26T00:00:00"/>
    <d v="1899-12-30T05:46:53"/>
    <n v="6.6"/>
  </r>
  <r>
    <s v="AHW374"/>
    <x v="88"/>
    <x v="281"/>
    <x v="1"/>
    <x v="0"/>
    <s v="AEROPUERTO"/>
    <d v="2024-02-26T00:00:00"/>
    <d v="1899-12-30T05:53:47"/>
    <n v="6.6"/>
  </r>
  <r>
    <s v="AHW374"/>
    <x v="88"/>
    <x v="282"/>
    <x v="1"/>
    <x v="0"/>
    <s v="AEROPUERTO"/>
    <d v="2024-02-26T00:00:00"/>
    <d v="1899-12-30T08:50:28"/>
    <n v="6.6"/>
  </r>
  <r>
    <s v="AHW374"/>
    <x v="88"/>
    <x v="282"/>
    <x v="1"/>
    <x v="0"/>
    <s v="AEROPUERTO"/>
    <d v="2024-02-26T00:00:00"/>
    <d v="1899-12-30T09:02:00"/>
    <n v="6.6"/>
  </r>
  <r>
    <s v="AHW374"/>
    <x v="88"/>
    <x v="283"/>
    <x v="1"/>
    <x v="0"/>
    <s v="AEROPUERTO"/>
    <d v="2024-02-26T00:00:00"/>
    <d v="1899-12-30T10:13:28"/>
    <n v="6.6"/>
  </r>
  <r>
    <s v="AHW374"/>
    <x v="88"/>
    <x v="283"/>
    <x v="1"/>
    <x v="0"/>
    <s v="AEROPUERTO"/>
    <d v="2024-02-26T00:00:00"/>
    <d v="1899-12-30T10:21:16"/>
    <n v="6.6"/>
  </r>
  <r>
    <s v="AHW374"/>
    <x v="88"/>
    <x v="284"/>
    <x v="1"/>
    <x v="0"/>
    <s v="AEROPUERTO"/>
    <d v="2024-02-26T00:00:00"/>
    <d v="1899-12-30T17:14:13"/>
    <n v="6.6"/>
  </r>
  <r>
    <s v="AHW374"/>
    <x v="88"/>
    <x v="284"/>
    <x v="1"/>
    <x v="0"/>
    <s v="AEROPUERTO"/>
    <d v="2024-02-26T00:00:00"/>
    <d v="1899-12-30T17:26:20"/>
    <n v="6.6"/>
  </r>
  <r>
    <s v="AHW374"/>
    <x v="88"/>
    <x v="285"/>
    <x v="1"/>
    <x v="0"/>
    <s v="AEROPUERTO"/>
    <d v="2024-02-26T00:00:00"/>
    <d v="1899-12-30T18:24:59"/>
    <n v="6.6"/>
  </r>
  <r>
    <s v="AHW374"/>
    <x v="88"/>
    <x v="285"/>
    <x v="1"/>
    <x v="0"/>
    <s v="AEROPUERTO"/>
    <d v="2024-02-26T00:00:00"/>
    <d v="1899-12-30T18:34:23"/>
    <n v="6.6"/>
  </r>
  <r>
    <s v="AHW374"/>
    <x v="88"/>
    <x v="2"/>
    <x v="2"/>
    <x v="0"/>
    <s v="AEROPUERTO"/>
    <d v="2024-02-26T00:00:00"/>
    <d v="1899-12-30T18:53:40"/>
    <n v="6.6"/>
  </r>
  <r>
    <s v="AHW374"/>
    <x v="88"/>
    <x v="286"/>
    <x v="1"/>
    <x v="0"/>
    <s v="AEROPUERTO"/>
    <d v="2024-02-27T00:00:00"/>
    <d v="1899-12-30T04:59:28"/>
    <n v="6.6"/>
  </r>
  <r>
    <s v="AHW374"/>
    <x v="88"/>
    <x v="286"/>
    <x v="1"/>
    <x v="0"/>
    <s v="AEROPUERTO"/>
    <d v="2024-02-27T00:00:00"/>
    <d v="1899-12-30T05:05:25"/>
    <n v="6.6"/>
  </r>
  <r>
    <s v="AHW374"/>
    <x v="88"/>
    <x v="2"/>
    <x v="2"/>
    <x v="0"/>
    <s v="AEROPUERTO"/>
    <d v="2024-02-27T00:00:00"/>
    <d v="1899-12-30T15:18:01"/>
    <n v="6.6"/>
  </r>
  <r>
    <s v="AHW374"/>
    <x v="88"/>
    <x v="2"/>
    <x v="2"/>
    <x v="0"/>
    <s v="AEROPUERTO"/>
    <d v="2024-02-28T00:00:00"/>
    <d v="1899-12-30T06:43:28"/>
    <n v="6.6"/>
  </r>
  <r>
    <s v="AHW374"/>
    <x v="88"/>
    <x v="2"/>
    <x v="2"/>
    <x v="0"/>
    <s v="AEROPUERTO"/>
    <d v="2024-02-28T00:00:00"/>
    <d v="1899-12-30T12:04:58"/>
    <n v="6.6"/>
  </r>
  <r>
    <s v="AHW374"/>
    <x v="88"/>
    <x v="2"/>
    <x v="2"/>
    <x v="0"/>
    <s v="AEROPUERTO"/>
    <d v="2024-02-28T00:00:00"/>
    <d v="1899-12-30T12:14:44"/>
    <n v="6.6"/>
  </r>
  <r>
    <s v="AHW374"/>
    <x v="88"/>
    <x v="2"/>
    <x v="2"/>
    <x v="0"/>
    <s v="AEROPUERTO"/>
    <d v="2024-02-28T00:00:00"/>
    <d v="1899-12-30T12:57:31"/>
    <n v="6.6"/>
  </r>
  <r>
    <s v="AHW374"/>
    <x v="88"/>
    <x v="287"/>
    <x v="3"/>
    <x v="0"/>
    <s v="AEROPUERTO"/>
    <d v="2024-02-29T00:00:00"/>
    <d v="1899-12-30T06:51:49"/>
    <n v="6.6"/>
  </r>
  <r>
    <s v="AHW374"/>
    <x v="88"/>
    <x v="288"/>
    <x v="1"/>
    <x v="0"/>
    <s v="AEROPUERTO"/>
    <d v="2024-02-29T00:00:00"/>
    <d v="1899-12-30T08:35:02"/>
    <n v="6.6"/>
  </r>
  <r>
    <s v="AHW374"/>
    <x v="88"/>
    <x v="288"/>
    <x v="1"/>
    <x v="0"/>
    <s v="AEROPUERTO"/>
    <d v="2024-02-29T00:00:00"/>
    <d v="1899-12-30T08:57:44"/>
    <n v="6.6"/>
  </r>
  <r>
    <s v="CCV697"/>
    <x v="89"/>
    <x v="289"/>
    <x v="1"/>
    <x v="0"/>
    <s v="AEROPUERTO"/>
    <d v="2024-02-28T00:00:00"/>
    <d v="1899-12-30T20:30:49"/>
    <n v="6.6"/>
  </r>
  <r>
    <s v="CCV697"/>
    <x v="89"/>
    <x v="289"/>
    <x v="1"/>
    <x v="0"/>
    <s v="AEROPUERTO"/>
    <d v="2024-02-28T00:00:00"/>
    <d v="1899-12-30T20:41:07"/>
    <n v="6.6"/>
  </r>
  <r>
    <s v="CCV697"/>
    <x v="89"/>
    <x v="2"/>
    <x v="2"/>
    <x v="0"/>
    <s v="AEROPUERTO"/>
    <d v="2024-02-28T00:00:00"/>
    <d v="1899-12-30T21:01:40"/>
    <n v="6.6"/>
  </r>
  <r>
    <s v="CCV697"/>
    <x v="89"/>
    <x v="290"/>
    <x v="1"/>
    <x v="0"/>
    <s v="AEROPUERTO"/>
    <d v="2024-02-28T00:00:00"/>
    <d v="1899-12-30T22:21:39"/>
    <n v="6.6"/>
  </r>
  <r>
    <s v="CCV697"/>
    <x v="89"/>
    <x v="290"/>
    <x v="1"/>
    <x v="0"/>
    <s v="AEROPUERTO"/>
    <d v="2024-02-28T00:00:00"/>
    <d v="1899-12-30T22:30:59"/>
    <n v="6.6"/>
  </r>
  <r>
    <s v="CCV697"/>
    <x v="89"/>
    <x v="2"/>
    <x v="2"/>
    <x v="0"/>
    <s v="AEROPUERTO"/>
    <d v="2024-02-28T00:00:00"/>
    <d v="1899-12-30T22:56:00"/>
    <n v="6.6"/>
  </r>
  <r>
    <s v="CCV697"/>
    <x v="89"/>
    <x v="291"/>
    <x v="1"/>
    <x v="0"/>
    <s v="AEROPUERTO"/>
    <d v="2024-02-29T00:00:00"/>
    <d v="1899-12-30T00:14:05"/>
    <n v="6.6"/>
  </r>
  <r>
    <s v="CCV697"/>
    <x v="89"/>
    <x v="291"/>
    <x v="1"/>
    <x v="0"/>
    <s v="AEROPUERTO"/>
    <d v="2024-02-29T00:00:00"/>
    <d v="1899-12-30T00:27:06"/>
    <n v="6.6"/>
  </r>
  <r>
    <s v="CCV697"/>
    <x v="89"/>
    <x v="2"/>
    <x v="2"/>
    <x v="0"/>
    <s v="AEROPUERTO"/>
    <d v="2024-02-29T00:00:00"/>
    <d v="1899-12-30T04:14:05"/>
    <n v="6.6"/>
  </r>
  <r>
    <s v="CCV697"/>
    <x v="89"/>
    <x v="292"/>
    <x v="1"/>
    <x v="0"/>
    <s v="AEROPUERTO"/>
    <d v="2024-02-29T00:00:00"/>
    <d v="1899-12-30T23:38:39"/>
    <n v="6.6"/>
  </r>
  <r>
    <s v="CCV697"/>
    <x v="89"/>
    <x v="292"/>
    <x v="1"/>
    <x v="0"/>
    <s v="AEROPUERTO"/>
    <d v="2024-02-29T00:00:00"/>
    <d v="1899-12-30T23:47:58"/>
    <n v="6.6"/>
  </r>
  <r>
    <s v="AMZ092"/>
    <x v="90"/>
    <x v="293"/>
    <x v="1"/>
    <x v="0"/>
    <s v="AEROPUERTO"/>
    <d v="2024-02-26T00:00:00"/>
    <d v="1899-12-30T09:00:56"/>
    <n v="6.6"/>
  </r>
  <r>
    <s v="AMZ092"/>
    <x v="90"/>
    <x v="293"/>
    <x v="1"/>
    <x v="0"/>
    <s v="AEROPUERTO"/>
    <d v="2024-02-26T00:00:00"/>
    <d v="1899-12-30T09:18:12"/>
    <n v="6.6"/>
  </r>
  <r>
    <s v="AMZ092"/>
    <x v="90"/>
    <x v="294"/>
    <x v="1"/>
    <x v="0"/>
    <s v="AEROPUERTO"/>
    <d v="2024-02-26T00:00:00"/>
    <d v="1899-12-30T17:24:43"/>
    <n v="6.6"/>
  </r>
  <r>
    <s v="AMZ092"/>
    <x v="90"/>
    <x v="294"/>
    <x v="1"/>
    <x v="0"/>
    <s v="AEROPUERTO"/>
    <d v="2024-02-26T00:00:00"/>
    <d v="1899-12-30T17:36:35"/>
    <n v="6.6"/>
  </r>
  <r>
    <s v="AMZ092"/>
    <x v="90"/>
    <x v="295"/>
    <x v="1"/>
    <x v="0"/>
    <s v="AEROPUERTO"/>
    <d v="2024-02-26T00:00:00"/>
    <d v="1899-12-30T22:30:07"/>
    <n v="6.6"/>
  </r>
  <r>
    <s v="AMZ092"/>
    <x v="90"/>
    <x v="296"/>
    <x v="1"/>
    <x v="0"/>
    <s v="AEROPUERTO"/>
    <d v="2024-02-27T00:00:00"/>
    <d v="1899-12-30T14:03:57"/>
    <n v="6.6"/>
  </r>
  <r>
    <s v="AMZ092"/>
    <x v="90"/>
    <x v="296"/>
    <x v="1"/>
    <x v="0"/>
    <s v="AEROPUERTO"/>
    <d v="2024-02-27T00:00:00"/>
    <d v="1899-12-30T14:16:52"/>
    <n v="6.6"/>
  </r>
  <r>
    <s v="AMZ092"/>
    <x v="90"/>
    <x v="297"/>
    <x v="1"/>
    <x v="0"/>
    <s v="AEROPUERTO"/>
    <d v="2024-02-28T00:00:00"/>
    <d v="1899-12-30T20:30:57"/>
    <n v="6.6"/>
  </r>
  <r>
    <s v="AMZ092"/>
    <x v="90"/>
    <x v="297"/>
    <x v="1"/>
    <x v="0"/>
    <s v="AEROPUERTO"/>
    <d v="2024-02-28T00:00:00"/>
    <d v="1899-12-30T20:42:21"/>
    <n v="6.6"/>
  </r>
  <r>
    <s v="AMZ092"/>
    <x v="90"/>
    <x v="298"/>
    <x v="1"/>
    <x v="0"/>
    <s v="AEROPUERTO"/>
    <d v="2024-02-29T00:00:00"/>
    <d v="1899-12-30T20:54:38"/>
    <n v="6.6"/>
  </r>
  <r>
    <s v="AMZ092"/>
    <x v="90"/>
    <x v="299"/>
    <x v="1"/>
    <x v="0"/>
    <s v="AEROPUERTO"/>
    <d v="2024-02-29T00:00:00"/>
    <d v="1899-12-30T22:58:58"/>
    <n v="6.6"/>
  </r>
  <r>
    <s v="AMZ092"/>
    <x v="90"/>
    <x v="299"/>
    <x v="1"/>
    <x v="0"/>
    <s v="AEROPUERTO"/>
    <d v="2024-02-29T00:00:00"/>
    <d v="1899-12-30T23:09:55"/>
    <n v="6.6"/>
  </r>
  <r>
    <s v="AVF094"/>
    <x v="91"/>
    <x v="300"/>
    <x v="1"/>
    <x v="0"/>
    <s v="AEROPUERTO"/>
    <d v="2024-02-26T00:00:00"/>
    <d v="1899-12-30T19:14:29"/>
    <n v="6.6"/>
  </r>
  <r>
    <s v="AVF094"/>
    <x v="91"/>
    <x v="300"/>
    <x v="1"/>
    <x v="0"/>
    <s v="AEROPUERTO"/>
    <d v="2024-02-26T00:00:00"/>
    <d v="1899-12-30T19:26:34"/>
    <n v="6.6"/>
  </r>
  <r>
    <s v="AVF094"/>
    <x v="91"/>
    <x v="301"/>
    <x v="1"/>
    <x v="0"/>
    <s v="AEROPUERTO"/>
    <d v="2024-02-28T00:00:00"/>
    <d v="1899-12-30T21:50:20"/>
    <n v="6.6"/>
  </r>
  <r>
    <s v="AVF094"/>
    <x v="91"/>
    <x v="302"/>
    <x v="1"/>
    <x v="0"/>
    <s v="AEROPUERTO"/>
    <d v="2024-02-29T00:00:00"/>
    <d v="1899-12-30T23:30:56"/>
    <n v="6.6"/>
  </r>
  <r>
    <s v="AVF094"/>
    <x v="91"/>
    <x v="2"/>
    <x v="2"/>
    <x v="0"/>
    <s v="AEROPUERTO"/>
    <d v="2024-02-29T00:00:00"/>
    <d v="1899-12-30T23:46:17"/>
    <n v="6.6"/>
  </r>
  <r>
    <s v="AYA152"/>
    <x v="92"/>
    <x v="2"/>
    <x v="2"/>
    <x v="0"/>
    <s v="AEROPUERTO"/>
    <d v="2024-02-29T00:00:00"/>
    <d v="1899-12-30T13:38:39"/>
    <n v="6.6"/>
  </r>
  <r>
    <s v="ADZ371"/>
    <x v="93"/>
    <x v="303"/>
    <x v="1"/>
    <x v="0"/>
    <s v="AEROPUERTO"/>
    <d v="2024-02-26T00:00:00"/>
    <d v="1899-12-30T11:22:22"/>
    <n v="6.6"/>
  </r>
  <r>
    <s v="ADZ371"/>
    <x v="93"/>
    <x v="303"/>
    <x v="1"/>
    <x v="0"/>
    <s v="AEROPUERTO"/>
    <d v="2024-02-26T00:00:00"/>
    <d v="1899-12-30T11:29:58"/>
    <n v="6.6"/>
  </r>
  <r>
    <s v="ADZ371"/>
    <x v="93"/>
    <x v="304"/>
    <x v="1"/>
    <x v="0"/>
    <s v="AEROPUERTO"/>
    <d v="2024-02-27T00:00:00"/>
    <d v="1899-12-30T12:23:49"/>
    <n v="6.6"/>
  </r>
  <r>
    <s v="ADZ371"/>
    <x v="93"/>
    <x v="304"/>
    <x v="1"/>
    <x v="0"/>
    <s v="AEROPUERTO"/>
    <d v="2024-02-27T00:00:00"/>
    <d v="1899-12-30T12:36:09"/>
    <n v="6.6"/>
  </r>
  <r>
    <s v="ADZ371"/>
    <x v="93"/>
    <x v="305"/>
    <x v="1"/>
    <x v="0"/>
    <s v="AEROPUERTO"/>
    <d v="2024-02-28T00:00:00"/>
    <d v="1899-12-30T09:14:08"/>
    <n v="6.6"/>
  </r>
  <r>
    <s v="ADZ371"/>
    <x v="93"/>
    <x v="305"/>
    <x v="1"/>
    <x v="0"/>
    <s v="AEROPUERTO"/>
    <d v="2024-02-28T00:00:00"/>
    <d v="1899-12-30T09:32:44"/>
    <n v="6.6"/>
  </r>
  <r>
    <s v="BEC569"/>
    <x v="94"/>
    <x v="306"/>
    <x v="1"/>
    <x v="0"/>
    <s v="AEROPUERTO"/>
    <d v="2024-02-26T00:00:00"/>
    <d v="1899-12-30T20:45:20"/>
    <n v="6.6"/>
  </r>
  <r>
    <s v="BEC569"/>
    <x v="94"/>
    <x v="306"/>
    <x v="1"/>
    <x v="0"/>
    <s v="AEROPUERTO"/>
    <d v="2024-02-26T00:00:00"/>
    <d v="1899-12-30T20:54:52"/>
    <n v="6.6"/>
  </r>
  <r>
    <s v="BEC569"/>
    <x v="94"/>
    <x v="307"/>
    <x v="1"/>
    <x v="0"/>
    <s v="AEROPUERTO"/>
    <d v="2024-02-27T00:00:00"/>
    <d v="1899-12-30T20:43:02"/>
    <n v="6.6"/>
  </r>
  <r>
    <s v="BEC569"/>
    <x v="94"/>
    <x v="2"/>
    <x v="2"/>
    <x v="0"/>
    <s v="AEROPUERTO"/>
    <d v="2024-02-27T00:00:00"/>
    <d v="1899-12-30T21:50:03"/>
    <n v="6.6"/>
  </r>
  <r>
    <s v="BEC569"/>
    <x v="94"/>
    <x v="308"/>
    <x v="1"/>
    <x v="0"/>
    <s v="AEROPUERTO"/>
    <d v="2024-02-28T00:00:00"/>
    <d v="1899-12-30T04:08:47"/>
    <n v="6.6"/>
  </r>
  <r>
    <s v="BEC569"/>
    <x v="94"/>
    <x v="308"/>
    <x v="1"/>
    <x v="0"/>
    <s v="AEROPUERTO"/>
    <d v="2024-02-28T00:00:00"/>
    <d v="1899-12-30T04:15:14"/>
    <n v="6.6"/>
  </r>
  <r>
    <s v="ALZ323"/>
    <x v="95"/>
    <x v="309"/>
    <x v="1"/>
    <x v="0"/>
    <s v="AEROPUERTO"/>
    <d v="2024-02-26T00:00:00"/>
    <d v="1899-12-30T14:59:30"/>
    <n v="6.6"/>
  </r>
  <r>
    <s v="ALZ323"/>
    <x v="95"/>
    <x v="309"/>
    <x v="1"/>
    <x v="0"/>
    <s v="AEROPUERTO"/>
    <d v="2024-02-26T00:00:00"/>
    <d v="1899-12-30T15:10:19"/>
    <n v="6.6"/>
  </r>
  <r>
    <s v="ALZ323"/>
    <x v="95"/>
    <x v="310"/>
    <x v="1"/>
    <x v="0"/>
    <s v="AEROPUERTO"/>
    <d v="2024-02-26T00:00:00"/>
    <d v="1899-12-30T20:16:32"/>
    <n v="6.6"/>
  </r>
  <r>
    <s v="ALZ323"/>
    <x v="95"/>
    <x v="310"/>
    <x v="1"/>
    <x v="0"/>
    <s v="AEROPUERTO"/>
    <d v="2024-02-26T00:00:00"/>
    <d v="1899-12-30T20:27:03"/>
    <n v="6.6"/>
  </r>
  <r>
    <s v="ALZ323"/>
    <x v="95"/>
    <x v="2"/>
    <x v="2"/>
    <x v="0"/>
    <s v="AEROPUERTO"/>
    <d v="2024-02-26T00:00:00"/>
    <d v="1899-12-30T20:52:25"/>
    <n v="6.6"/>
  </r>
  <r>
    <s v="ALZ323"/>
    <x v="95"/>
    <x v="2"/>
    <x v="2"/>
    <x v="0"/>
    <s v="AEROPUERTO"/>
    <d v="2024-02-26T00:00:00"/>
    <d v="1899-12-30T21:00:50"/>
    <n v="6.6"/>
  </r>
  <r>
    <s v="ALZ323"/>
    <x v="95"/>
    <x v="311"/>
    <x v="1"/>
    <x v="0"/>
    <s v="AEROPUERTO"/>
    <d v="2024-02-29T00:00:00"/>
    <d v="1899-12-30T21:09:43"/>
    <n v="6.6"/>
  </r>
  <r>
    <s v="ALZ323"/>
    <x v="95"/>
    <x v="311"/>
    <x v="1"/>
    <x v="0"/>
    <s v="AEROPUERTO"/>
    <d v="2024-02-29T00:00:00"/>
    <d v="1899-12-30T21:20:17"/>
    <n v="6.6"/>
  </r>
  <r>
    <s v="ALZ323"/>
    <x v="95"/>
    <x v="2"/>
    <x v="2"/>
    <x v="0"/>
    <s v="AEROPUERTO"/>
    <d v="2024-02-29T00:00:00"/>
    <d v="1899-12-30T21:43:17"/>
    <n v="6.6"/>
  </r>
  <r>
    <s v="ALZ323"/>
    <x v="95"/>
    <x v="2"/>
    <x v="2"/>
    <x v="0"/>
    <s v="AEROPUERTO"/>
    <d v="2024-02-29T00:00:00"/>
    <d v="1899-12-30T21:51:24"/>
    <n v="6.6"/>
  </r>
  <r>
    <s v="AUO087"/>
    <x v="96"/>
    <x v="312"/>
    <x v="1"/>
    <x v="0"/>
    <s v="AEROPUERTO"/>
    <d v="2024-02-26T00:00:00"/>
    <d v="1899-12-30T07:23:35"/>
    <n v="6.6"/>
  </r>
  <r>
    <s v="AUO087"/>
    <x v="96"/>
    <x v="312"/>
    <x v="1"/>
    <x v="0"/>
    <s v="AEROPUERTO"/>
    <d v="2024-02-26T00:00:00"/>
    <d v="1899-12-30T07:48:58"/>
    <n v="6.6"/>
  </r>
  <r>
    <s v="AUO087"/>
    <x v="96"/>
    <x v="2"/>
    <x v="2"/>
    <x v="0"/>
    <s v="AEROPUERTO"/>
    <d v="2024-02-26T00:00:00"/>
    <d v="1899-12-30T08:32:21"/>
    <n v="6.6"/>
  </r>
  <r>
    <s v="AUO087"/>
    <x v="96"/>
    <x v="2"/>
    <x v="2"/>
    <x v="0"/>
    <s v="AEROPUERTO"/>
    <d v="2024-02-26T00:00:00"/>
    <d v="1899-12-30T21:20:44"/>
    <n v="6.6"/>
  </r>
  <r>
    <s v="AUO087"/>
    <x v="96"/>
    <x v="313"/>
    <x v="0"/>
    <x v="0"/>
    <s v="AEROPUERTO"/>
    <d v="2024-02-27T00:00:00"/>
    <d v="1899-12-30T08:54:32"/>
    <n v="6.6"/>
  </r>
  <r>
    <s v="AUO087"/>
    <x v="96"/>
    <x v="313"/>
    <x v="0"/>
    <x v="0"/>
    <s v="AEROPUERTO"/>
    <d v="2024-02-27T00:00:00"/>
    <d v="1899-12-30T09:08:19"/>
    <n v="6.6"/>
  </r>
  <r>
    <s v="AUO087"/>
    <x v="96"/>
    <x v="314"/>
    <x v="1"/>
    <x v="0"/>
    <s v="AEROPUERTO"/>
    <d v="2024-02-29T00:00:00"/>
    <d v="1899-12-30T05:13:36"/>
    <n v="6.6"/>
  </r>
  <r>
    <s v="AUO087"/>
    <x v="96"/>
    <x v="314"/>
    <x v="1"/>
    <x v="0"/>
    <s v="AEROPUERTO"/>
    <d v="2024-02-29T00:00:00"/>
    <d v="1899-12-30T05:20:47"/>
    <n v="6.6"/>
  </r>
  <r>
    <s v="AUO087"/>
    <x v="96"/>
    <x v="315"/>
    <x v="1"/>
    <x v="0"/>
    <s v="AEROPUERTO"/>
    <d v="2024-02-29T00:00:00"/>
    <d v="1899-12-30T07:00:12"/>
    <n v="6.6"/>
  </r>
  <r>
    <s v="BBH234"/>
    <x v="97"/>
    <x v="2"/>
    <x v="2"/>
    <x v="0"/>
    <s v="AEROPUERTO"/>
    <d v="2024-02-28T00:00:00"/>
    <d v="1899-12-30T19:42:53"/>
    <n v="6.6"/>
  </r>
  <r>
    <s v="BBH234"/>
    <x v="97"/>
    <x v="2"/>
    <x v="2"/>
    <x v="0"/>
    <s v="AEROPUERTO"/>
    <d v="2024-02-29T00:00:00"/>
    <d v="1899-12-30T08:55:22"/>
    <n v="6.6"/>
  </r>
  <r>
    <s v="BBH234"/>
    <x v="97"/>
    <x v="2"/>
    <x v="2"/>
    <x v="0"/>
    <s v="AEROPUERTO"/>
    <d v="2024-02-29T00:00:00"/>
    <d v="1899-12-30T09:09:01"/>
    <n v="6.6"/>
  </r>
  <r>
    <s v="BKS036"/>
    <x v="98"/>
    <x v="316"/>
    <x v="1"/>
    <x v="0"/>
    <s v="AEROPUERTO"/>
    <d v="2024-02-26T00:00:00"/>
    <d v="1899-12-30T15:20:04"/>
    <n v="6.6"/>
  </r>
  <r>
    <s v="BKS036"/>
    <x v="98"/>
    <x v="316"/>
    <x v="1"/>
    <x v="0"/>
    <s v="AEROPUERTO"/>
    <d v="2024-02-26T00:00:00"/>
    <d v="1899-12-30T15:30:16"/>
    <n v="6.6"/>
  </r>
  <r>
    <s v="BKS036"/>
    <x v="98"/>
    <x v="317"/>
    <x v="1"/>
    <x v="0"/>
    <s v="AEROPUERTO"/>
    <d v="2024-02-26T00:00:00"/>
    <d v="1899-12-30T20:44:26"/>
    <n v="6.6"/>
  </r>
  <r>
    <s v="BKS036"/>
    <x v="98"/>
    <x v="317"/>
    <x v="1"/>
    <x v="0"/>
    <s v="AEROPUERTO"/>
    <d v="2024-02-26T00:00:00"/>
    <d v="1899-12-30T20:53:55"/>
    <n v="6.6"/>
  </r>
  <r>
    <s v="BKS036"/>
    <x v="98"/>
    <x v="2"/>
    <x v="2"/>
    <x v="0"/>
    <s v="AEROPUERTO"/>
    <d v="2024-02-26T00:00:00"/>
    <d v="1899-12-30T21:59:58"/>
    <n v="6.6"/>
  </r>
  <r>
    <s v="BKS036"/>
    <x v="98"/>
    <x v="2"/>
    <x v="2"/>
    <x v="0"/>
    <s v="AEROPUERTO"/>
    <d v="2024-02-26T00:00:00"/>
    <d v="1899-12-30T22:06:48"/>
    <n v="6.6"/>
  </r>
  <r>
    <s v="BKS036"/>
    <x v="98"/>
    <x v="318"/>
    <x v="1"/>
    <x v="0"/>
    <s v="AEROPUERTO"/>
    <d v="2024-02-26T00:00:00"/>
    <d v="1899-12-30T23:37:27"/>
    <n v="6.6"/>
  </r>
  <r>
    <s v="BKS036"/>
    <x v="98"/>
    <x v="318"/>
    <x v="1"/>
    <x v="0"/>
    <s v="AEROPUERTO"/>
    <d v="2024-02-26T00:00:00"/>
    <d v="1899-12-30T23:46:22"/>
    <n v="6.6"/>
  </r>
  <r>
    <s v="BKS036"/>
    <x v="98"/>
    <x v="319"/>
    <x v="1"/>
    <x v="0"/>
    <s v="AEROPUERTO"/>
    <d v="2024-02-28T00:00:00"/>
    <d v="1899-12-30T18:07:57"/>
    <n v="6.6"/>
  </r>
  <r>
    <s v="BKS036"/>
    <x v="98"/>
    <x v="319"/>
    <x v="1"/>
    <x v="0"/>
    <s v="AEROPUERTO"/>
    <d v="2024-02-28T00:00:00"/>
    <d v="1899-12-30T18:47:18"/>
    <n v="6.6"/>
  </r>
  <r>
    <s v="BKS036"/>
    <x v="98"/>
    <x v="320"/>
    <x v="1"/>
    <x v="0"/>
    <s v="AEROPUERTO"/>
    <d v="2024-02-28T00:00:00"/>
    <d v="1899-12-30T21:31:05"/>
    <n v="6.6"/>
  </r>
  <r>
    <s v="BKS036"/>
    <x v="98"/>
    <x v="320"/>
    <x v="1"/>
    <x v="0"/>
    <s v="AEROPUERTO"/>
    <d v="2024-02-28T00:00:00"/>
    <d v="1899-12-30T21:40:03"/>
    <n v="6.6"/>
  </r>
  <r>
    <s v="BKS036"/>
    <x v="98"/>
    <x v="321"/>
    <x v="1"/>
    <x v="0"/>
    <s v="AEROPUERTO"/>
    <d v="2024-02-29T00:00:00"/>
    <d v="1899-12-30T20:30:42"/>
    <n v="6.6"/>
  </r>
  <r>
    <s v="BKS036"/>
    <x v="98"/>
    <x v="321"/>
    <x v="1"/>
    <x v="0"/>
    <s v="AEROPUERTO"/>
    <d v="2024-02-29T00:00:00"/>
    <d v="1899-12-30T20:40:35"/>
    <n v="6.6"/>
  </r>
  <r>
    <s v="BNF123"/>
    <x v="99"/>
    <x v="2"/>
    <x v="2"/>
    <x v="0"/>
    <s v="AEROPUERTO"/>
    <d v="2024-02-27T00:00:00"/>
    <d v="1899-12-30T17:56:35"/>
    <n v="6.6"/>
  </r>
  <r>
    <s v="BNF123"/>
    <x v="99"/>
    <x v="2"/>
    <x v="2"/>
    <x v="0"/>
    <s v="AEROPUERTO"/>
    <d v="2024-02-28T00:00:00"/>
    <d v="1899-12-30T10:36:56"/>
    <n v="6.6"/>
  </r>
  <r>
    <s v="BNF123"/>
    <x v="99"/>
    <x v="2"/>
    <x v="2"/>
    <x v="0"/>
    <s v="AEROPUERTO"/>
    <d v="2024-02-29T00:00:00"/>
    <d v="1899-12-30T19:49:48"/>
    <n v="6.6"/>
  </r>
  <r>
    <s v="BKK178"/>
    <x v="100"/>
    <x v="322"/>
    <x v="3"/>
    <x v="0"/>
    <s v="AEROPUERTO"/>
    <d v="2024-02-27T00:00:00"/>
    <d v="1899-12-30T09:03:08"/>
    <n v="6.6"/>
  </r>
  <r>
    <s v="BKK178"/>
    <x v="100"/>
    <x v="322"/>
    <x v="3"/>
    <x v="0"/>
    <s v="AEROPUERTO"/>
    <d v="2024-02-27T00:00:00"/>
    <d v="1899-12-30T09:14:45"/>
    <n v="6.6"/>
  </r>
  <r>
    <s v="BKK178"/>
    <x v="100"/>
    <x v="323"/>
    <x v="1"/>
    <x v="0"/>
    <s v="AEROPUERTO"/>
    <d v="2024-02-27T00:00:00"/>
    <d v="1899-12-30T10:41:01"/>
    <n v="6.6"/>
  </r>
  <r>
    <s v="BKK178"/>
    <x v="100"/>
    <x v="323"/>
    <x v="1"/>
    <x v="0"/>
    <s v="AEROPUERTO"/>
    <d v="2024-02-27T00:00:00"/>
    <d v="1899-12-30T10:50:11"/>
    <n v="6.6"/>
  </r>
  <r>
    <s v="BKK178"/>
    <x v="100"/>
    <x v="324"/>
    <x v="1"/>
    <x v="0"/>
    <s v="AEROPUERTO"/>
    <d v="2024-02-27T00:00:00"/>
    <d v="1899-12-30T22:25:47"/>
    <n v="6.6"/>
  </r>
  <r>
    <s v="BKK178"/>
    <x v="100"/>
    <x v="324"/>
    <x v="1"/>
    <x v="0"/>
    <s v="AEROPUERTO"/>
    <d v="2024-02-27T00:00:00"/>
    <d v="1899-12-30T22:33:14"/>
    <n v="6.6"/>
  </r>
  <r>
    <s v="BKK178"/>
    <x v="100"/>
    <x v="325"/>
    <x v="1"/>
    <x v="0"/>
    <s v="AEROPUERTO"/>
    <d v="2024-02-29T00:00:00"/>
    <d v="1899-12-30T19:04:41"/>
    <n v="6.6"/>
  </r>
  <r>
    <s v="BKK178"/>
    <x v="100"/>
    <x v="325"/>
    <x v="1"/>
    <x v="0"/>
    <s v="AEROPUERTO"/>
    <d v="2024-02-29T00:00:00"/>
    <d v="1899-12-30T19:16:03"/>
    <n v="6.6"/>
  </r>
  <r>
    <s v="BKK178"/>
    <x v="100"/>
    <x v="326"/>
    <x v="3"/>
    <x v="0"/>
    <s v="AEROPUERTO"/>
    <d v="2024-02-29T00:00:00"/>
    <d v="1899-12-30T20:45:59"/>
    <n v="6.6"/>
  </r>
  <r>
    <s v="BKK178"/>
    <x v="100"/>
    <x v="326"/>
    <x v="3"/>
    <x v="0"/>
    <s v="AEROPUERTO"/>
    <d v="2024-02-29T00:00:00"/>
    <d v="1899-12-30T21:05:34"/>
    <n v="6.6"/>
  </r>
  <r>
    <s v="BAL462"/>
    <x v="101"/>
    <x v="2"/>
    <x v="2"/>
    <x v="0"/>
    <s v="AEROPUERTO"/>
    <d v="2024-02-29T00:00:00"/>
    <d v="1899-12-30T21:11:40"/>
    <n v="6.6"/>
  </r>
  <r>
    <s v="CJN081"/>
    <x v="102"/>
    <x v="2"/>
    <x v="2"/>
    <x v="0"/>
    <s v="AEROPUERTO"/>
    <d v="2024-02-27T00:00:00"/>
    <d v="1899-12-30T21:27:00"/>
    <n v="6.6"/>
  </r>
  <r>
    <s v="CJN081"/>
    <x v="102"/>
    <x v="2"/>
    <x v="2"/>
    <x v="0"/>
    <s v="AEROPUERTO"/>
    <d v="2024-02-27T00:00:00"/>
    <d v="1899-12-30T21:32:50"/>
    <n v="6.6"/>
  </r>
  <r>
    <s v="CJN081"/>
    <x v="102"/>
    <x v="327"/>
    <x v="1"/>
    <x v="0"/>
    <s v="AEROPUERTO"/>
    <d v="2024-02-28T00:00:00"/>
    <d v="1899-12-30T01:17:03"/>
    <n v="6.6"/>
  </r>
  <r>
    <s v="CJN081"/>
    <x v="102"/>
    <x v="327"/>
    <x v="1"/>
    <x v="0"/>
    <s v="AEROPUERTO"/>
    <d v="2024-02-28T00:00:00"/>
    <d v="1899-12-30T01:26:13"/>
    <n v="6.6"/>
  </r>
  <r>
    <s v="CJN081"/>
    <x v="102"/>
    <x v="2"/>
    <x v="2"/>
    <x v="0"/>
    <s v="AEROPUERTO"/>
    <d v="2024-02-28T00:00:00"/>
    <d v="1899-12-30T21:07:52"/>
    <n v="6.6"/>
  </r>
  <r>
    <s v="CJN081"/>
    <x v="102"/>
    <x v="328"/>
    <x v="3"/>
    <x v="0"/>
    <s v="AEROPUERTO"/>
    <d v="2024-02-28T00:00:00"/>
    <d v="1899-12-30T22:50:34"/>
    <n v="6.6"/>
  </r>
  <r>
    <s v="CJN081"/>
    <x v="102"/>
    <x v="2"/>
    <x v="2"/>
    <x v="0"/>
    <s v="AEROPUERTO"/>
    <d v="2024-02-28T00:00:00"/>
    <d v="1899-12-30T23:23:19"/>
    <n v="6.6"/>
  </r>
  <r>
    <s v="CJN081"/>
    <x v="102"/>
    <x v="2"/>
    <x v="2"/>
    <x v="0"/>
    <s v="AEROPUERTO"/>
    <d v="2024-02-29T00:00:00"/>
    <d v="1899-12-30T21:13:43"/>
    <n v="6.6"/>
  </r>
  <r>
    <s v="ARU072"/>
    <x v="103"/>
    <x v="329"/>
    <x v="1"/>
    <x v="0"/>
    <s v="AEROPUERTO"/>
    <d v="2024-02-26T00:00:00"/>
    <d v="1899-12-30T10:39:40"/>
    <n v="6.6"/>
  </r>
  <r>
    <s v="ARU072"/>
    <x v="103"/>
    <x v="330"/>
    <x v="1"/>
    <x v="0"/>
    <s v="AEROPUERTO"/>
    <d v="2024-02-27T00:00:00"/>
    <d v="1899-12-30T13:25:11"/>
    <n v="6.6"/>
  </r>
  <r>
    <s v="ARU072"/>
    <x v="103"/>
    <x v="330"/>
    <x v="1"/>
    <x v="0"/>
    <s v="AEROPUERTO"/>
    <d v="2024-02-27T00:00:00"/>
    <d v="1899-12-30T13:36:38"/>
    <n v="6.6"/>
  </r>
  <r>
    <s v="ARU072"/>
    <x v="103"/>
    <x v="331"/>
    <x v="1"/>
    <x v="0"/>
    <s v="AEROPUERTO"/>
    <d v="2024-02-27T00:00:00"/>
    <d v="1899-12-30T15:58:49"/>
    <n v="6.6"/>
  </r>
  <r>
    <s v="ARU072"/>
    <x v="103"/>
    <x v="2"/>
    <x v="2"/>
    <x v="0"/>
    <s v="AEROPUERTO"/>
    <d v="2024-02-28T00:00:00"/>
    <d v="1899-12-30T06:57:46"/>
    <n v="6.6"/>
  </r>
  <r>
    <s v="ARU072"/>
    <x v="103"/>
    <x v="2"/>
    <x v="2"/>
    <x v="0"/>
    <s v="AEROPUERTO"/>
    <d v="2024-02-28T00:00:00"/>
    <d v="1899-12-30T07:25:41"/>
    <n v="6.6"/>
  </r>
  <r>
    <s v="ARU072"/>
    <x v="103"/>
    <x v="332"/>
    <x v="1"/>
    <x v="0"/>
    <s v="AEROPUERTO"/>
    <d v="2024-02-28T00:00:00"/>
    <d v="1899-12-30T09:27:23"/>
    <n v="6.6"/>
  </r>
  <r>
    <s v="ARU072"/>
    <x v="103"/>
    <x v="333"/>
    <x v="0"/>
    <x v="0"/>
    <s v="AEROPUERTO"/>
    <d v="2024-02-28T00:00:00"/>
    <d v="1899-12-30T10:48:07"/>
    <n v="6.6"/>
  </r>
  <r>
    <s v="ARU072"/>
    <x v="103"/>
    <x v="333"/>
    <x v="0"/>
    <x v="0"/>
    <s v="AEROPUERTO"/>
    <d v="2024-02-28T00:00:00"/>
    <d v="1899-12-30T10:56:44"/>
    <n v="6.6"/>
  </r>
  <r>
    <s v="ARU072"/>
    <x v="103"/>
    <x v="334"/>
    <x v="1"/>
    <x v="0"/>
    <s v="AEROPUERTO"/>
    <d v="2024-02-28T00:00:00"/>
    <d v="1899-12-30T12:54:56"/>
    <n v="6.6"/>
  </r>
  <r>
    <s v="ARU072"/>
    <x v="103"/>
    <x v="334"/>
    <x v="1"/>
    <x v="0"/>
    <s v="AEROPUERTO"/>
    <d v="2024-02-28T00:00:00"/>
    <d v="1899-12-30T13:05:46"/>
    <n v="6.6"/>
  </r>
  <r>
    <s v="ARU072"/>
    <x v="103"/>
    <x v="2"/>
    <x v="2"/>
    <x v="0"/>
    <s v="AEROPUERTO"/>
    <d v="2024-02-28T00:00:00"/>
    <d v="1899-12-30T13:35:57"/>
    <n v="6.6"/>
  </r>
  <r>
    <s v="ARU072"/>
    <x v="103"/>
    <x v="335"/>
    <x v="1"/>
    <x v="0"/>
    <s v="AEROPUERTO"/>
    <d v="2024-02-28T00:00:00"/>
    <d v="1899-12-30T15:50:34"/>
    <n v="6.6"/>
  </r>
  <r>
    <s v="ARU072"/>
    <x v="103"/>
    <x v="335"/>
    <x v="1"/>
    <x v="0"/>
    <s v="AEROPUERTO"/>
    <d v="2024-02-28T00:00:00"/>
    <d v="1899-12-30T16:33:04"/>
    <n v="6.6"/>
  </r>
  <r>
    <s v="ARU072"/>
    <x v="103"/>
    <x v="2"/>
    <x v="2"/>
    <x v="0"/>
    <s v="AEROPUERTO"/>
    <d v="2024-02-28T00:00:00"/>
    <d v="1899-12-30T18:23:26"/>
    <n v="6.6"/>
  </r>
  <r>
    <s v="ARU072"/>
    <x v="103"/>
    <x v="2"/>
    <x v="2"/>
    <x v="0"/>
    <s v="AEROPUERTO"/>
    <d v="2024-02-28T00:00:00"/>
    <d v="1899-12-30T18:52:44"/>
    <n v="6.6"/>
  </r>
  <r>
    <s v="ALR291"/>
    <x v="104"/>
    <x v="336"/>
    <x v="3"/>
    <x v="0"/>
    <s v="AEROPUERTO"/>
    <d v="2024-02-26T00:00:00"/>
    <d v="1899-12-30T18:58:51"/>
    <n v="6.6"/>
  </r>
  <r>
    <s v="ALR291"/>
    <x v="104"/>
    <x v="337"/>
    <x v="1"/>
    <x v="0"/>
    <s v="AEROPUERTO"/>
    <d v="2024-02-27T00:00:00"/>
    <d v="1899-12-30T05:16:16"/>
    <n v="6.6"/>
  </r>
  <r>
    <s v="ALR291"/>
    <x v="104"/>
    <x v="337"/>
    <x v="1"/>
    <x v="0"/>
    <s v="AEROPUERTO"/>
    <d v="2024-02-27T00:00:00"/>
    <d v="1899-12-30T05:24:24"/>
    <n v="6.6"/>
  </r>
  <r>
    <s v="ALR291"/>
    <x v="104"/>
    <x v="338"/>
    <x v="1"/>
    <x v="0"/>
    <s v="AEROPUERTO"/>
    <d v="2024-02-28T00:00:00"/>
    <d v="1899-12-30T11:52:18"/>
    <n v="6.6"/>
  </r>
  <r>
    <s v="ALR291"/>
    <x v="104"/>
    <x v="338"/>
    <x v="1"/>
    <x v="0"/>
    <s v="AEROPUERTO"/>
    <d v="2024-02-28T00:00:00"/>
    <d v="1899-12-30T12:03:59"/>
    <n v="6.6"/>
  </r>
  <r>
    <s v="ALR291"/>
    <x v="104"/>
    <x v="339"/>
    <x v="1"/>
    <x v="0"/>
    <s v="AEROPUERTO"/>
    <d v="2024-02-29T00:00:00"/>
    <d v="1899-12-30T06:57:34"/>
    <n v="6.6"/>
  </r>
  <r>
    <s v="ALR291"/>
    <x v="104"/>
    <x v="340"/>
    <x v="1"/>
    <x v="0"/>
    <s v="AEROPUERTO"/>
    <d v="2024-02-29T00:00:00"/>
    <d v="1899-12-30T11:00:43"/>
    <n v="6.6"/>
  </r>
  <r>
    <s v="ALR291"/>
    <x v="104"/>
    <x v="340"/>
    <x v="1"/>
    <x v="0"/>
    <s v="AEROPUERTO"/>
    <d v="2024-02-29T00:00:00"/>
    <d v="1899-12-30T11:14:44"/>
    <n v="6.6"/>
  </r>
  <r>
    <s v="ALR291"/>
    <x v="104"/>
    <x v="2"/>
    <x v="2"/>
    <x v="0"/>
    <s v="AEROPUERTO"/>
    <d v="2024-02-29T00:00:00"/>
    <d v="1899-12-30T11:41:33"/>
    <n v="6.6"/>
  </r>
  <r>
    <s v="ALR291"/>
    <x v="104"/>
    <x v="2"/>
    <x v="2"/>
    <x v="0"/>
    <s v="AEROPUERTO"/>
    <d v="2024-02-29T00:00:00"/>
    <d v="1899-12-30T11:50:32"/>
    <n v="6.6"/>
  </r>
  <r>
    <s v="ALR291"/>
    <x v="104"/>
    <x v="341"/>
    <x v="1"/>
    <x v="0"/>
    <s v="AEROPUERTO"/>
    <d v="2024-02-29T00:00:00"/>
    <d v="1899-12-30T16:36:07"/>
    <n v="6.6"/>
  </r>
  <r>
    <s v="ALR291"/>
    <x v="104"/>
    <x v="341"/>
    <x v="1"/>
    <x v="0"/>
    <s v="AEROPUERTO"/>
    <d v="2024-02-29T00:00:00"/>
    <d v="1899-12-30T16:48:04"/>
    <n v="6.6"/>
  </r>
  <r>
    <s v="APT266"/>
    <x v="105"/>
    <x v="342"/>
    <x v="3"/>
    <x v="0"/>
    <s v="AEROPUERTO"/>
    <d v="2024-02-26T00:00:00"/>
    <d v="1899-12-30T07:18:17"/>
    <n v="6.6"/>
  </r>
  <r>
    <s v="APT266"/>
    <x v="105"/>
    <x v="342"/>
    <x v="3"/>
    <x v="0"/>
    <s v="AEROPUERTO"/>
    <d v="2024-02-26T00:00:00"/>
    <d v="1899-12-30T07:29:00"/>
    <n v="6.6"/>
  </r>
  <r>
    <s v="APT266"/>
    <x v="105"/>
    <x v="343"/>
    <x v="1"/>
    <x v="0"/>
    <s v="AEROPUERTO"/>
    <d v="2024-02-29T00:00:00"/>
    <d v="1899-12-30T22:22:17"/>
    <n v="6.6"/>
  </r>
  <r>
    <s v="APT266"/>
    <x v="105"/>
    <x v="343"/>
    <x v="1"/>
    <x v="0"/>
    <s v="AEROPUERTO"/>
    <d v="2024-02-29T00:00:00"/>
    <d v="1899-12-30T22:29:50"/>
    <n v="6.6"/>
  </r>
  <r>
    <s v="CDA102"/>
    <x v="106"/>
    <x v="344"/>
    <x v="1"/>
    <x v="0"/>
    <s v="AEROPUERTO"/>
    <d v="2024-02-26T00:00:00"/>
    <d v="1899-12-30T10:33:28"/>
    <n v="6.6"/>
  </r>
  <r>
    <s v="CDA102"/>
    <x v="106"/>
    <x v="344"/>
    <x v="1"/>
    <x v="0"/>
    <s v="AEROPUERTO"/>
    <d v="2024-02-26T00:00:00"/>
    <d v="1899-12-30T10:44:37"/>
    <n v="6.6"/>
  </r>
  <r>
    <s v="CDA102"/>
    <x v="106"/>
    <x v="345"/>
    <x v="0"/>
    <x v="0"/>
    <s v="AEROPUERTO"/>
    <d v="2024-02-26T00:00:00"/>
    <d v="1899-12-30T12:29:27"/>
    <n v="6.6"/>
  </r>
  <r>
    <s v="CDA102"/>
    <x v="106"/>
    <x v="345"/>
    <x v="0"/>
    <x v="0"/>
    <s v="AEROPUERTO"/>
    <d v="2024-02-26T00:00:00"/>
    <d v="1899-12-30T12:37:10"/>
    <n v="6.6"/>
  </r>
  <r>
    <s v="CDA102"/>
    <x v="106"/>
    <x v="346"/>
    <x v="1"/>
    <x v="0"/>
    <s v="AEROPUERTO"/>
    <d v="2024-02-26T00:00:00"/>
    <d v="1899-12-30T13:46:40"/>
    <n v="6.6"/>
  </r>
  <r>
    <s v="CDA102"/>
    <x v="106"/>
    <x v="347"/>
    <x v="1"/>
    <x v="0"/>
    <s v="AEROPUERTO"/>
    <d v="2024-02-26T00:00:00"/>
    <d v="1899-12-30T15:11:50"/>
    <n v="6.6"/>
  </r>
  <r>
    <s v="CDA102"/>
    <x v="106"/>
    <x v="347"/>
    <x v="1"/>
    <x v="0"/>
    <s v="AEROPUERTO"/>
    <d v="2024-02-26T00:00:00"/>
    <d v="1899-12-30T15:20:15"/>
    <n v="6.6"/>
  </r>
  <r>
    <s v="CDA102"/>
    <x v="106"/>
    <x v="348"/>
    <x v="1"/>
    <x v="0"/>
    <s v="AEROPUERTO"/>
    <d v="2024-02-26T00:00:00"/>
    <d v="1899-12-30T21:34:59"/>
    <n v="6.6"/>
  </r>
  <r>
    <s v="CDA102"/>
    <x v="106"/>
    <x v="348"/>
    <x v="1"/>
    <x v="0"/>
    <s v="AEROPUERTO"/>
    <d v="2024-02-26T00:00:00"/>
    <d v="1899-12-30T21:45:50"/>
    <n v="6.6"/>
  </r>
  <r>
    <s v="CDA102"/>
    <x v="106"/>
    <x v="349"/>
    <x v="1"/>
    <x v="0"/>
    <s v="AEROPUERTO"/>
    <d v="2024-02-27T00:00:00"/>
    <d v="1899-12-30T18:34:33"/>
    <n v="6.6"/>
  </r>
  <r>
    <s v="CDA102"/>
    <x v="106"/>
    <x v="349"/>
    <x v="1"/>
    <x v="0"/>
    <s v="AEROPUERTO"/>
    <d v="2024-02-27T00:00:00"/>
    <d v="1899-12-30T18:46:56"/>
    <n v="6.6"/>
  </r>
  <r>
    <s v="CBC085"/>
    <x v="107"/>
    <x v="350"/>
    <x v="1"/>
    <x v="0"/>
    <s v="AEROPUERTO"/>
    <d v="2024-02-26T00:00:00"/>
    <d v="1899-12-30T10:31:02"/>
    <n v="6.6"/>
  </r>
  <r>
    <s v="CBC085"/>
    <x v="107"/>
    <x v="350"/>
    <x v="1"/>
    <x v="0"/>
    <s v="AEROPUERTO"/>
    <d v="2024-02-26T00:00:00"/>
    <d v="1899-12-30T10:41:56"/>
    <n v="6.6"/>
  </r>
  <r>
    <s v="CBC085"/>
    <x v="107"/>
    <x v="351"/>
    <x v="1"/>
    <x v="0"/>
    <s v="AEROPUERTO"/>
    <d v="2024-02-26T00:00:00"/>
    <d v="1899-12-30T11:14:32"/>
    <n v="6.6"/>
  </r>
  <r>
    <s v="CBC085"/>
    <x v="107"/>
    <x v="352"/>
    <x v="1"/>
    <x v="0"/>
    <s v="AEROPUERTO"/>
    <d v="2024-02-28T00:00:00"/>
    <d v="1899-12-30T13:35:50"/>
    <n v="6.6"/>
  </r>
  <r>
    <s v="CBC085"/>
    <x v="107"/>
    <x v="352"/>
    <x v="1"/>
    <x v="0"/>
    <s v="AEROPUERTO"/>
    <d v="2024-02-28T00:00:00"/>
    <d v="1899-12-30T13:46:17"/>
    <n v="6.6"/>
  </r>
  <r>
    <s v="CBC085"/>
    <x v="107"/>
    <x v="353"/>
    <x v="1"/>
    <x v="0"/>
    <s v="AEROPUERTO"/>
    <d v="2024-02-28T00:00:00"/>
    <d v="1899-12-30T15:36:32"/>
    <n v="6.6"/>
  </r>
  <r>
    <s v="CBC085"/>
    <x v="107"/>
    <x v="353"/>
    <x v="1"/>
    <x v="0"/>
    <s v="AEROPUERTO"/>
    <d v="2024-02-28T00:00:00"/>
    <d v="1899-12-30T15:45:55"/>
    <n v="6.6"/>
  </r>
  <r>
    <s v="CBC085"/>
    <x v="107"/>
    <x v="354"/>
    <x v="1"/>
    <x v="0"/>
    <s v="AEROPUERTO"/>
    <d v="2024-02-29T00:00:00"/>
    <d v="1899-12-30T08:30:09"/>
    <n v="6.6"/>
  </r>
  <r>
    <s v="CBC085"/>
    <x v="107"/>
    <x v="2"/>
    <x v="2"/>
    <x v="0"/>
    <s v="AEROPUERTO"/>
    <d v="2024-02-29T00:00:00"/>
    <d v="1899-12-30T08:50:33"/>
    <n v="6.6"/>
  </r>
  <r>
    <s v="CBC085"/>
    <x v="107"/>
    <x v="2"/>
    <x v="2"/>
    <x v="0"/>
    <s v="AEROPUERTO"/>
    <d v="2024-02-29T00:00:00"/>
    <d v="1899-12-30T18:53:28"/>
    <n v="6.6"/>
  </r>
  <r>
    <s v="CBC085"/>
    <x v="107"/>
    <x v="2"/>
    <x v="2"/>
    <x v="0"/>
    <s v="AEROPUERTO"/>
    <d v="2024-02-29T00:00:00"/>
    <d v="1899-12-30T19:03:50"/>
    <n v="6.6"/>
  </r>
  <r>
    <s v="BDI691"/>
    <x v="108"/>
    <x v="355"/>
    <x v="1"/>
    <x v="0"/>
    <s v="AEROPUERTO"/>
    <d v="2024-02-27T00:00:00"/>
    <d v="1899-12-30T22:02:27"/>
    <n v="6.6"/>
  </r>
  <r>
    <s v="BDI691"/>
    <x v="108"/>
    <x v="355"/>
    <x v="1"/>
    <x v="0"/>
    <s v="AEROPUERTO"/>
    <d v="2024-02-27T00:00:00"/>
    <d v="1899-12-30T22:12:52"/>
    <n v="6.6"/>
  </r>
  <r>
    <s v="BDI691"/>
    <x v="108"/>
    <x v="356"/>
    <x v="1"/>
    <x v="0"/>
    <s v="AEROPUERTO"/>
    <d v="2024-02-29T00:00:00"/>
    <d v="1899-12-30T20:51:54"/>
    <n v="6.6"/>
  </r>
  <r>
    <s v="BVB574"/>
    <x v="109"/>
    <x v="2"/>
    <x v="2"/>
    <x v="0"/>
    <s v="AEROPUERTO"/>
    <d v="2024-02-27T00:00:00"/>
    <d v="1899-12-30T13:25:42"/>
    <n v="6.6"/>
  </r>
  <r>
    <s v="BVB574"/>
    <x v="109"/>
    <x v="357"/>
    <x v="1"/>
    <x v="0"/>
    <s v="AEROPUERTO"/>
    <d v="2024-02-28T00:00:00"/>
    <d v="1899-12-30T08:10:33"/>
    <n v="6.6"/>
  </r>
  <r>
    <s v="BVB574"/>
    <x v="109"/>
    <x v="357"/>
    <x v="1"/>
    <x v="0"/>
    <s v="AEROPUERTO"/>
    <d v="2024-02-28T00:00:00"/>
    <d v="1899-12-30T08:25:25"/>
    <n v="6.6"/>
  </r>
  <r>
    <s v="CCC080"/>
    <x v="110"/>
    <x v="2"/>
    <x v="2"/>
    <x v="0"/>
    <s v="AEROPUERTO"/>
    <d v="2024-02-28T00:00:00"/>
    <d v="1899-12-30T10:52:32"/>
    <n v="6.6"/>
  </r>
  <r>
    <s v="CCC080"/>
    <x v="110"/>
    <x v="2"/>
    <x v="2"/>
    <x v="0"/>
    <s v="AEROPUERTO"/>
    <d v="2024-02-28T00:00:00"/>
    <d v="1899-12-30T11:01:29"/>
    <n v="6.6"/>
  </r>
  <r>
    <s v="CCC080"/>
    <x v="110"/>
    <x v="358"/>
    <x v="1"/>
    <x v="0"/>
    <s v="AEROPUERTO"/>
    <d v="2024-02-28T00:00:00"/>
    <d v="1899-12-30T12:36:46"/>
    <n v="6.6"/>
  </r>
  <r>
    <s v="CCC080"/>
    <x v="110"/>
    <x v="358"/>
    <x v="1"/>
    <x v="0"/>
    <s v="AEROPUERTO"/>
    <d v="2024-02-28T00:00:00"/>
    <d v="1899-12-30T12:47:21"/>
    <n v="6.6"/>
  </r>
  <r>
    <s v="CCC080"/>
    <x v="110"/>
    <x v="2"/>
    <x v="2"/>
    <x v="0"/>
    <s v="AEROPUERTO"/>
    <d v="2024-02-28T00:00:00"/>
    <d v="1899-12-30T13:33:40"/>
    <n v="6.6"/>
  </r>
  <r>
    <s v="CCC080"/>
    <x v="110"/>
    <x v="2"/>
    <x v="2"/>
    <x v="0"/>
    <s v="AEROPUERTO"/>
    <d v="2024-02-29T00:00:00"/>
    <d v="1899-12-30T09:58:59"/>
    <n v="6.6"/>
  </r>
  <r>
    <s v="CCC080"/>
    <x v="110"/>
    <x v="2"/>
    <x v="2"/>
    <x v="0"/>
    <s v="AEROPUERTO"/>
    <d v="2024-02-29T00:00:00"/>
    <d v="1899-12-30T10:07:25"/>
    <n v="6.6"/>
  </r>
  <r>
    <s v="CCC080"/>
    <x v="110"/>
    <x v="359"/>
    <x v="1"/>
    <x v="0"/>
    <s v="AEROPUERTO"/>
    <d v="2024-02-29T00:00:00"/>
    <d v="1899-12-30T11:12:30"/>
    <n v="6.6"/>
  </r>
  <r>
    <s v="CCC080"/>
    <x v="110"/>
    <x v="359"/>
    <x v="1"/>
    <x v="0"/>
    <s v="AEROPUERTO"/>
    <d v="2024-02-29T00:00:00"/>
    <d v="1899-12-30T11:23:57"/>
    <n v="6.6"/>
  </r>
  <r>
    <s v="CCC080"/>
    <x v="110"/>
    <x v="2"/>
    <x v="2"/>
    <x v="0"/>
    <s v="AEROPUERTO"/>
    <d v="2024-02-29T00:00:00"/>
    <d v="1899-12-30T11:44:00"/>
    <n v="6.6"/>
  </r>
  <r>
    <s v="CCC080"/>
    <x v="110"/>
    <x v="360"/>
    <x v="1"/>
    <x v="0"/>
    <s v="AEROPUERTO"/>
    <d v="2024-02-29T00:00:00"/>
    <d v="1899-12-30T15:42:08"/>
    <n v="6.6"/>
  </r>
  <r>
    <s v="CCC080"/>
    <x v="110"/>
    <x v="360"/>
    <x v="1"/>
    <x v="0"/>
    <s v="AEROPUERTO"/>
    <d v="2024-02-29T00:00:00"/>
    <d v="1899-12-30T15:52:35"/>
    <n v="6.6"/>
  </r>
  <r>
    <s v="CCC080"/>
    <x v="110"/>
    <x v="361"/>
    <x v="1"/>
    <x v="0"/>
    <s v="AEROPUERTO"/>
    <d v="2024-02-29T00:00:00"/>
    <d v="1899-12-30T16:53:16"/>
    <n v="6.6"/>
  </r>
  <r>
    <s v="CCC080"/>
    <x v="110"/>
    <x v="361"/>
    <x v="1"/>
    <x v="0"/>
    <s v="AEROPUERTO"/>
    <d v="2024-02-29T00:00:00"/>
    <d v="1899-12-30T17:07:17"/>
    <n v="6.6"/>
  </r>
  <r>
    <s v="CCC080"/>
    <x v="110"/>
    <x v="2"/>
    <x v="2"/>
    <x v="0"/>
    <s v="AEROPUERTO"/>
    <d v="2024-02-29T00:00:00"/>
    <d v="1899-12-30T19:36:33"/>
    <n v="6.6"/>
  </r>
  <r>
    <s v="CCC080"/>
    <x v="110"/>
    <x v="2"/>
    <x v="2"/>
    <x v="0"/>
    <s v="AEROPUERTO"/>
    <d v="2024-02-29T00:00:00"/>
    <d v="1899-12-30T20:03:52"/>
    <n v="6.6"/>
  </r>
  <r>
    <s v="CCC080"/>
    <x v="110"/>
    <x v="2"/>
    <x v="2"/>
    <x v="0"/>
    <s v="AEROPUERTO"/>
    <d v="2024-02-29T00:00:00"/>
    <d v="1899-12-30T23:22:37"/>
    <n v="6.6"/>
  </r>
  <r>
    <s v="AUT148"/>
    <x v="111"/>
    <x v="2"/>
    <x v="2"/>
    <x v="0"/>
    <s v="AEROPUERTO"/>
    <d v="2024-02-26T00:00:00"/>
    <d v="1899-12-30T10:27:37"/>
    <n v="6.6"/>
  </r>
  <r>
    <s v="AUT148"/>
    <x v="111"/>
    <x v="2"/>
    <x v="2"/>
    <x v="0"/>
    <s v="AEROPUERTO"/>
    <d v="2024-02-26T00:00:00"/>
    <d v="1899-12-30T21:51:54"/>
    <n v="6.6"/>
  </r>
  <r>
    <s v="BLW366"/>
    <x v="112"/>
    <x v="2"/>
    <x v="2"/>
    <x v="0"/>
    <s v="AEROPUERTO"/>
    <d v="2024-02-26T00:00:00"/>
    <d v="1899-12-30T21:24:39"/>
    <n v="6.6"/>
  </r>
  <r>
    <s v="BLW366"/>
    <x v="112"/>
    <x v="362"/>
    <x v="1"/>
    <x v="0"/>
    <s v="AEROPUERTO"/>
    <d v="2024-02-27T00:00:00"/>
    <d v="1899-12-30T08:07:09"/>
    <n v="6.6"/>
  </r>
  <r>
    <s v="BLW366"/>
    <x v="112"/>
    <x v="362"/>
    <x v="1"/>
    <x v="0"/>
    <s v="AEROPUERTO"/>
    <d v="2024-02-27T00:00:00"/>
    <d v="1899-12-30T08:20:37"/>
    <n v="6.6"/>
  </r>
  <r>
    <s v="BNX279"/>
    <x v="113"/>
    <x v="2"/>
    <x v="2"/>
    <x v="0"/>
    <s v="AEROPUERTO"/>
    <d v="2024-02-26T00:00:00"/>
    <d v="1899-12-30T04:34:48"/>
    <n v="6.6"/>
  </r>
  <r>
    <s v="BNX279"/>
    <x v="113"/>
    <x v="363"/>
    <x v="1"/>
    <x v="0"/>
    <s v="AEROPUERTO"/>
    <d v="2024-02-26T00:00:00"/>
    <d v="1899-12-30T05:17:29"/>
    <n v="6.6"/>
  </r>
  <r>
    <s v="BNX279"/>
    <x v="113"/>
    <x v="363"/>
    <x v="1"/>
    <x v="0"/>
    <s v="AEROPUERTO"/>
    <d v="2024-02-26T00:00:00"/>
    <d v="1899-12-30T05:24:18"/>
    <n v="6.6"/>
  </r>
  <r>
    <s v="BNX279"/>
    <x v="113"/>
    <x v="364"/>
    <x v="1"/>
    <x v="0"/>
    <s v="AEROPUERTO"/>
    <d v="2024-02-28T00:00:00"/>
    <d v="1899-12-30T15:59:18"/>
    <n v="6.6"/>
  </r>
  <r>
    <s v="BNX279"/>
    <x v="113"/>
    <x v="364"/>
    <x v="1"/>
    <x v="0"/>
    <s v="AEROPUERTO"/>
    <d v="2024-02-28T00:00:00"/>
    <d v="1899-12-30T16:46:11"/>
    <n v="6.6"/>
  </r>
  <r>
    <s v="AMQ421"/>
    <x v="114"/>
    <x v="365"/>
    <x v="3"/>
    <x v="0"/>
    <s v="AEROPUERTO"/>
    <d v="2024-02-26T00:00:00"/>
    <d v="1899-12-30T11:43:15"/>
    <n v="6.6"/>
  </r>
  <r>
    <s v="AMQ421"/>
    <x v="114"/>
    <x v="365"/>
    <x v="3"/>
    <x v="0"/>
    <s v="AEROPUERTO"/>
    <d v="2024-02-26T00:00:00"/>
    <d v="1899-12-30T11:54:18"/>
    <n v="6.6"/>
  </r>
  <r>
    <s v="AMQ421"/>
    <x v="114"/>
    <x v="366"/>
    <x v="1"/>
    <x v="0"/>
    <s v="AEROPUERTO"/>
    <d v="2024-02-26T00:00:00"/>
    <d v="1899-12-30T13:04:08"/>
    <n v="6.6"/>
  </r>
  <r>
    <s v="AMQ421"/>
    <x v="114"/>
    <x v="366"/>
    <x v="1"/>
    <x v="0"/>
    <s v="AEROPUERTO"/>
    <d v="2024-02-26T00:00:00"/>
    <d v="1899-12-30T13:10:59"/>
    <n v="6.6"/>
  </r>
  <r>
    <s v="AKO112"/>
    <x v="115"/>
    <x v="367"/>
    <x v="1"/>
    <x v="0"/>
    <s v="AEROPUERTO"/>
    <d v="2024-02-26T00:00:00"/>
    <d v="1899-12-30T19:18:38"/>
    <n v="6.6"/>
  </r>
  <r>
    <s v="AKO112"/>
    <x v="115"/>
    <x v="2"/>
    <x v="2"/>
    <x v="0"/>
    <s v="AEROPUERTO"/>
    <d v="2024-02-26T00:00:00"/>
    <d v="1899-12-30T20:12:37"/>
    <n v="6.6"/>
  </r>
  <r>
    <s v="AKO112"/>
    <x v="115"/>
    <x v="2"/>
    <x v="2"/>
    <x v="0"/>
    <s v="AEROPUERTO"/>
    <d v="2024-02-26T00:00:00"/>
    <d v="1899-12-30T20:25:27"/>
    <n v="6.6"/>
  </r>
  <r>
    <s v="AKO112"/>
    <x v="115"/>
    <x v="368"/>
    <x v="1"/>
    <x v="0"/>
    <s v="AEROPUERTO"/>
    <d v="2024-02-28T00:00:00"/>
    <d v="1899-12-30T05:51:05"/>
    <n v="6.6"/>
  </r>
  <r>
    <s v="AKO112"/>
    <x v="115"/>
    <x v="368"/>
    <x v="1"/>
    <x v="0"/>
    <s v="AEROPUERTO"/>
    <d v="2024-02-28T00:00:00"/>
    <d v="1899-12-30T06:03:54"/>
    <n v="6.6"/>
  </r>
  <r>
    <s v="AKO112"/>
    <x v="115"/>
    <x v="369"/>
    <x v="1"/>
    <x v="0"/>
    <s v="AEROPUERTO"/>
    <d v="2024-02-28T00:00:00"/>
    <d v="1899-12-30T21:17:18"/>
    <n v="6.6"/>
  </r>
  <r>
    <s v="AKO112"/>
    <x v="115"/>
    <x v="2"/>
    <x v="2"/>
    <x v="0"/>
    <s v="AEROPUERTO"/>
    <d v="2024-02-28T00:00:00"/>
    <d v="1899-12-30T21:31:13"/>
    <n v="6.6"/>
  </r>
  <r>
    <s v="AKO112"/>
    <x v="115"/>
    <x v="2"/>
    <x v="2"/>
    <x v="0"/>
    <s v="AEROPUERTO"/>
    <d v="2024-02-28T00:00:00"/>
    <d v="1899-12-30T21:41:02"/>
    <n v="6.6"/>
  </r>
  <r>
    <s v="AKO112"/>
    <x v="115"/>
    <x v="2"/>
    <x v="2"/>
    <x v="0"/>
    <s v="AEROPUERTO"/>
    <d v="2024-02-29T00:00:00"/>
    <d v="1899-12-30T00:08:22"/>
    <n v="6.6"/>
  </r>
  <r>
    <s v="AKO112"/>
    <x v="115"/>
    <x v="2"/>
    <x v="2"/>
    <x v="0"/>
    <s v="AEROPUERTO"/>
    <d v="2024-02-29T00:00:00"/>
    <d v="1899-12-30T00:16:00"/>
    <n v="6.6"/>
  </r>
  <r>
    <s v="AKO112"/>
    <x v="115"/>
    <x v="370"/>
    <x v="1"/>
    <x v="0"/>
    <s v="AEROPUERTO"/>
    <d v="2024-02-29T00:00:00"/>
    <d v="1899-12-30T07:21:52"/>
    <n v="6.6"/>
  </r>
  <r>
    <s v="AKO112"/>
    <x v="115"/>
    <x v="2"/>
    <x v="2"/>
    <x v="0"/>
    <s v="AEROPUERTO"/>
    <d v="2024-02-29T00:00:00"/>
    <d v="1899-12-30T22:47:22"/>
    <n v="6.6"/>
  </r>
  <r>
    <s v="AKO112"/>
    <x v="115"/>
    <x v="2"/>
    <x v="2"/>
    <x v="0"/>
    <s v="AEROPUERTO"/>
    <d v="2024-02-29T00:00:00"/>
    <d v="1899-12-30T22:54:10"/>
    <n v="6.6"/>
  </r>
  <r>
    <s v="CBB598"/>
    <x v="116"/>
    <x v="371"/>
    <x v="1"/>
    <x v="0"/>
    <s v="AEROPUERTO"/>
    <d v="2024-02-27T00:00:00"/>
    <d v="1899-12-30T10:20:54"/>
    <n v="6.6"/>
  </r>
  <r>
    <s v="CBB598"/>
    <x v="116"/>
    <x v="371"/>
    <x v="1"/>
    <x v="0"/>
    <s v="AEROPUERTO"/>
    <d v="2024-02-27T00:00:00"/>
    <d v="1899-12-30T10:30:04"/>
    <n v="6.6"/>
  </r>
  <r>
    <s v="CBB598"/>
    <x v="116"/>
    <x v="2"/>
    <x v="2"/>
    <x v="0"/>
    <s v="AEROPUERTO"/>
    <d v="2024-02-27T00:00:00"/>
    <d v="1899-12-30T11:38:56"/>
    <n v="6.6"/>
  </r>
  <r>
    <s v="CBB598"/>
    <x v="116"/>
    <x v="2"/>
    <x v="2"/>
    <x v="0"/>
    <s v="AEROPUERTO"/>
    <d v="2024-02-27T00:00:00"/>
    <d v="1899-12-30T11:48:48"/>
    <n v="6.6"/>
  </r>
  <r>
    <s v="CBB598"/>
    <x v="116"/>
    <x v="372"/>
    <x v="3"/>
    <x v="0"/>
    <s v="AEROPUERTO"/>
    <d v="2024-02-28T00:00:00"/>
    <d v="1899-12-30T09:09:16"/>
    <n v="6.6"/>
  </r>
  <r>
    <s v="CBB598"/>
    <x v="116"/>
    <x v="373"/>
    <x v="1"/>
    <x v="0"/>
    <s v="AEROPUERTO"/>
    <d v="2024-02-28T00:00:00"/>
    <d v="1899-12-30T15:04:24"/>
    <n v="6.6"/>
  </r>
  <r>
    <s v="CBB598"/>
    <x v="116"/>
    <x v="373"/>
    <x v="1"/>
    <x v="0"/>
    <s v="AEROPUERTO"/>
    <d v="2024-02-28T00:00:00"/>
    <d v="1899-12-30T15:29:54"/>
    <n v="6.6"/>
  </r>
  <r>
    <s v="CBB598"/>
    <x v="116"/>
    <x v="374"/>
    <x v="1"/>
    <x v="0"/>
    <s v="AEROPUERTO"/>
    <d v="2024-02-29T00:00:00"/>
    <d v="1899-12-30T06:35:17"/>
    <n v="6.6"/>
  </r>
  <r>
    <s v="CBB598"/>
    <x v="116"/>
    <x v="374"/>
    <x v="1"/>
    <x v="0"/>
    <s v="AEROPUERTO"/>
    <d v="2024-02-29T00:00:00"/>
    <d v="1899-12-30T06:43:45"/>
    <n v="6.6"/>
  </r>
  <r>
    <s v="CBB598"/>
    <x v="116"/>
    <x v="375"/>
    <x v="1"/>
    <x v="0"/>
    <s v="AEROPUERTO"/>
    <d v="2024-02-29T00:00:00"/>
    <d v="1899-12-30T08:57:38"/>
    <n v="6.6"/>
  </r>
  <r>
    <s v="CBB598"/>
    <x v="116"/>
    <x v="375"/>
    <x v="1"/>
    <x v="0"/>
    <s v="AEROPUERTO"/>
    <d v="2024-02-29T00:00:00"/>
    <d v="1899-12-30T09:16:38"/>
    <n v="6.6"/>
  </r>
  <r>
    <s v="AZZ123"/>
    <x v="117"/>
    <x v="376"/>
    <x v="1"/>
    <x v="0"/>
    <s v="AEROPUERTO"/>
    <d v="2024-02-26T00:00:00"/>
    <d v="1899-12-30T12:34:55"/>
    <n v="6.6"/>
  </r>
  <r>
    <s v="AZZ123"/>
    <x v="117"/>
    <x v="376"/>
    <x v="1"/>
    <x v="0"/>
    <s v="AEROPUERTO"/>
    <d v="2024-02-26T00:00:00"/>
    <d v="1899-12-30T12:43:37"/>
    <n v="6.6"/>
  </r>
  <r>
    <s v="AZZ123"/>
    <x v="117"/>
    <x v="2"/>
    <x v="2"/>
    <x v="0"/>
    <s v="AEROPUERTO"/>
    <d v="2024-02-26T00:00:00"/>
    <d v="1899-12-30T14:03:55"/>
    <n v="6.6"/>
  </r>
  <r>
    <s v="AZZ123"/>
    <x v="117"/>
    <x v="2"/>
    <x v="2"/>
    <x v="0"/>
    <s v="AEROPUERTO"/>
    <d v="2024-02-26T00:00:00"/>
    <d v="1899-12-30T14:10:52"/>
    <n v="6.6"/>
  </r>
  <r>
    <s v="AZZ123"/>
    <x v="117"/>
    <x v="377"/>
    <x v="1"/>
    <x v="0"/>
    <s v="AEROPUERTO"/>
    <d v="2024-02-26T00:00:00"/>
    <d v="1899-12-30T22:54:00"/>
    <n v="6.6"/>
  </r>
  <r>
    <s v="AZZ123"/>
    <x v="117"/>
    <x v="377"/>
    <x v="1"/>
    <x v="0"/>
    <s v="AEROPUERTO"/>
    <d v="2024-02-26T00:00:00"/>
    <d v="1899-12-30T23:01:47"/>
    <n v="6.6"/>
  </r>
  <r>
    <s v="AZZ123"/>
    <x v="117"/>
    <x v="378"/>
    <x v="3"/>
    <x v="0"/>
    <s v="AEROPUERTO"/>
    <d v="2024-02-27T00:00:00"/>
    <d v="1899-12-30T11:00:15"/>
    <n v="6.6"/>
  </r>
  <r>
    <s v="AZZ123"/>
    <x v="117"/>
    <x v="379"/>
    <x v="1"/>
    <x v="0"/>
    <s v="AEROPUERTO"/>
    <d v="2024-02-28T00:00:00"/>
    <d v="1899-12-30T10:37:15"/>
    <n v="6.6"/>
  </r>
  <r>
    <s v="AZZ123"/>
    <x v="117"/>
    <x v="379"/>
    <x v="1"/>
    <x v="0"/>
    <s v="AEROPUERTO"/>
    <d v="2024-02-28T00:00:00"/>
    <d v="1899-12-30T10:48:20"/>
    <n v="6.6"/>
  </r>
  <r>
    <s v="AZZ123"/>
    <x v="117"/>
    <x v="380"/>
    <x v="1"/>
    <x v="0"/>
    <s v="AEROPUERTO"/>
    <d v="2024-02-29T00:00:00"/>
    <d v="1899-12-30T18:35:02"/>
    <n v="6.6"/>
  </r>
  <r>
    <s v="AZZ123"/>
    <x v="117"/>
    <x v="380"/>
    <x v="1"/>
    <x v="0"/>
    <s v="AEROPUERTO"/>
    <d v="2024-02-29T00:00:00"/>
    <d v="1899-12-30T18:47:12"/>
    <n v="6.6"/>
  </r>
  <r>
    <s v="AZZ123"/>
    <x v="117"/>
    <x v="2"/>
    <x v="2"/>
    <x v="0"/>
    <s v="AEROPUERTO"/>
    <d v="2024-02-29T00:00:00"/>
    <d v="1899-12-30T20:16:32"/>
    <n v="6.6"/>
  </r>
  <r>
    <s v="T5V653"/>
    <x v="118"/>
    <x v="2"/>
    <x v="2"/>
    <x v="0"/>
    <s v="AEROPUERTO"/>
    <d v="2024-02-27T00:00:00"/>
    <d v="1899-12-30T08:11:02"/>
    <n v="6.6"/>
  </r>
  <r>
    <s v="T5V653"/>
    <x v="118"/>
    <x v="381"/>
    <x v="1"/>
    <x v="0"/>
    <s v="AEROPUERTO"/>
    <d v="2024-02-27T00:00:00"/>
    <d v="1899-12-30T09:55:53"/>
    <n v="6.6"/>
  </r>
  <r>
    <s v="T5V653"/>
    <x v="118"/>
    <x v="381"/>
    <x v="1"/>
    <x v="0"/>
    <s v="AEROPUERTO"/>
    <d v="2024-02-27T00:00:00"/>
    <d v="1899-12-30T10:09:33"/>
    <n v="6.6"/>
  </r>
  <r>
    <s v="T5V653"/>
    <x v="118"/>
    <x v="2"/>
    <x v="2"/>
    <x v="0"/>
    <s v="AEROPUERTO"/>
    <d v="2024-02-27T00:00:00"/>
    <d v="1899-12-30T10:36:06"/>
    <n v="6.6"/>
  </r>
  <r>
    <s v="T5V653"/>
    <x v="118"/>
    <x v="2"/>
    <x v="2"/>
    <x v="0"/>
    <s v="AEROPUERTO"/>
    <d v="2024-02-27T00:00:00"/>
    <d v="1899-12-30T10:44:30"/>
    <n v="6.6"/>
  </r>
  <r>
    <s v="T5V653"/>
    <x v="118"/>
    <x v="382"/>
    <x v="1"/>
    <x v="0"/>
    <s v="AEROPUERTO"/>
    <d v="2024-02-27T00:00:00"/>
    <d v="1899-12-30T19:01:01"/>
    <n v="6.6"/>
  </r>
  <r>
    <s v="T5V653"/>
    <x v="118"/>
    <x v="382"/>
    <x v="1"/>
    <x v="0"/>
    <s v="AEROPUERTO"/>
    <d v="2024-02-27T00:00:00"/>
    <d v="1899-12-30T19:13:41"/>
    <n v="6.6"/>
  </r>
  <r>
    <s v="T5V653"/>
    <x v="118"/>
    <x v="2"/>
    <x v="2"/>
    <x v="0"/>
    <s v="AEROPUERTO"/>
    <d v="2024-02-27T00:00:00"/>
    <d v="1899-12-30T19:30:51"/>
    <n v="6.6"/>
  </r>
  <r>
    <s v="T5V653"/>
    <x v="118"/>
    <x v="2"/>
    <x v="2"/>
    <x v="0"/>
    <s v="AEROPUERTO"/>
    <d v="2024-02-29T00:00:00"/>
    <d v="1899-12-30T07:57:36"/>
    <n v="6.6"/>
  </r>
  <r>
    <s v="AZR233"/>
    <x v="119"/>
    <x v="383"/>
    <x v="1"/>
    <x v="0"/>
    <s v="AEROPUERTO"/>
    <d v="2024-02-28T00:00:00"/>
    <d v="1899-12-30T11:40:13"/>
    <n v="6.6"/>
  </r>
  <r>
    <s v="AZR233"/>
    <x v="119"/>
    <x v="383"/>
    <x v="1"/>
    <x v="0"/>
    <s v="AEROPUERTO"/>
    <d v="2024-02-28T00:00:00"/>
    <d v="1899-12-30T11:51:08"/>
    <n v="6.6"/>
  </r>
  <r>
    <s v="AZR233"/>
    <x v="119"/>
    <x v="384"/>
    <x v="1"/>
    <x v="0"/>
    <s v="AEROPUERTO"/>
    <d v="2024-02-28T00:00:00"/>
    <d v="1899-12-30T19:07:38"/>
    <n v="6.6"/>
  </r>
  <r>
    <s v="AZR233"/>
    <x v="119"/>
    <x v="384"/>
    <x v="1"/>
    <x v="0"/>
    <s v="AEROPUERTO"/>
    <d v="2024-02-28T00:00:00"/>
    <d v="1899-12-30T19:31:51"/>
    <n v="6.6"/>
  </r>
  <r>
    <s v="AZJ540"/>
    <x v="120"/>
    <x v="385"/>
    <x v="1"/>
    <x v="0"/>
    <s v="AEROPUERTO"/>
    <d v="2024-02-26T00:00:00"/>
    <d v="1899-12-30T05:10:07"/>
    <n v="6.6"/>
  </r>
  <r>
    <s v="AZJ540"/>
    <x v="120"/>
    <x v="385"/>
    <x v="1"/>
    <x v="0"/>
    <s v="AEROPUERTO"/>
    <d v="2024-02-26T00:00:00"/>
    <d v="1899-12-30T05:17:04"/>
    <n v="6.6"/>
  </r>
  <r>
    <s v="AZJ540"/>
    <x v="120"/>
    <x v="2"/>
    <x v="2"/>
    <x v="0"/>
    <s v="AEROPUERTO"/>
    <d v="2024-02-26T00:00:00"/>
    <d v="1899-12-30T17:23:57"/>
    <n v="6.6"/>
  </r>
  <r>
    <s v="AZJ540"/>
    <x v="120"/>
    <x v="386"/>
    <x v="1"/>
    <x v="0"/>
    <s v="AEROPUERTO"/>
    <d v="2024-02-26T00:00:00"/>
    <d v="1899-12-30T20:30:25"/>
    <n v="6.6"/>
  </r>
  <r>
    <s v="AZJ540"/>
    <x v="120"/>
    <x v="386"/>
    <x v="1"/>
    <x v="0"/>
    <s v="AEROPUERTO"/>
    <d v="2024-02-26T00:00:00"/>
    <d v="1899-12-30T20:39:22"/>
    <n v="6.6"/>
  </r>
  <r>
    <s v="AZJ540"/>
    <x v="120"/>
    <x v="387"/>
    <x v="1"/>
    <x v="0"/>
    <s v="AEROPUERTO"/>
    <d v="2024-02-27T00:00:00"/>
    <d v="1899-12-30T04:59:08"/>
    <n v="6.6"/>
  </r>
  <r>
    <s v="AZJ540"/>
    <x v="120"/>
    <x v="387"/>
    <x v="1"/>
    <x v="0"/>
    <s v="AEROPUERTO"/>
    <d v="2024-02-27T00:00:00"/>
    <d v="1899-12-30T05:06:00"/>
    <n v="6.6"/>
  </r>
  <r>
    <s v="AZJ540"/>
    <x v="120"/>
    <x v="2"/>
    <x v="2"/>
    <x v="0"/>
    <s v="AEROPUERTO"/>
    <d v="2024-02-29T00:00:00"/>
    <d v="1899-12-30T16:44:59"/>
    <n v="6.6"/>
  </r>
  <r>
    <s v="AZJ540"/>
    <x v="120"/>
    <x v="388"/>
    <x v="1"/>
    <x v="0"/>
    <s v="AEROPUERTO"/>
    <d v="2024-02-29T00:00:00"/>
    <d v="1899-12-30T18:47:34"/>
    <n v="6.6"/>
  </r>
  <r>
    <s v="BAA612"/>
    <x v="121"/>
    <x v="389"/>
    <x v="1"/>
    <x v="0"/>
    <s v="AEROPUERTO"/>
    <d v="2024-02-26T00:00:00"/>
    <d v="1899-12-30T00:13:50"/>
    <n v="6.6"/>
  </r>
  <r>
    <s v="BAA612"/>
    <x v="121"/>
    <x v="389"/>
    <x v="1"/>
    <x v="0"/>
    <s v="AEROPUERTO"/>
    <d v="2024-02-26T00:00:00"/>
    <d v="1899-12-30T00:23:49"/>
    <n v="6.6"/>
  </r>
  <r>
    <s v="BAA612"/>
    <x v="121"/>
    <x v="390"/>
    <x v="1"/>
    <x v="0"/>
    <s v="AEROPUERTO"/>
    <d v="2024-02-26T00:00:00"/>
    <d v="1899-12-30T06:29:21"/>
    <n v="6.6"/>
  </r>
  <r>
    <s v="BAA612"/>
    <x v="121"/>
    <x v="390"/>
    <x v="1"/>
    <x v="0"/>
    <s v="AEROPUERTO"/>
    <d v="2024-02-26T00:00:00"/>
    <d v="1899-12-30T06:39:05"/>
    <n v="6.6"/>
  </r>
  <r>
    <s v="BAA612"/>
    <x v="121"/>
    <x v="2"/>
    <x v="2"/>
    <x v="0"/>
    <s v="AEROPUERTO"/>
    <d v="2024-02-26T00:00:00"/>
    <d v="1899-12-30T20:10:28"/>
    <n v="6.6"/>
  </r>
  <r>
    <s v="BAA612"/>
    <x v="121"/>
    <x v="2"/>
    <x v="2"/>
    <x v="0"/>
    <s v="AEROPUERTO"/>
    <d v="2024-02-26T00:00:00"/>
    <d v="1899-12-30T22:48:14"/>
    <n v="6.6"/>
  </r>
  <r>
    <s v="BAA612"/>
    <x v="121"/>
    <x v="391"/>
    <x v="1"/>
    <x v="0"/>
    <s v="AEROPUERTO"/>
    <d v="2024-02-27T00:00:00"/>
    <d v="1899-12-30T08:54:19"/>
    <n v="6.6"/>
  </r>
  <r>
    <s v="BAA612"/>
    <x v="121"/>
    <x v="391"/>
    <x v="1"/>
    <x v="0"/>
    <s v="AEROPUERTO"/>
    <d v="2024-02-27T00:00:00"/>
    <d v="1899-12-30T09:06:59"/>
    <n v="6.6"/>
  </r>
  <r>
    <s v="BAA612"/>
    <x v="121"/>
    <x v="2"/>
    <x v="2"/>
    <x v="0"/>
    <s v="AEROPUERTO"/>
    <d v="2024-02-28T00:00:00"/>
    <d v="1899-12-30T07:50:01"/>
    <n v="6.6"/>
  </r>
  <r>
    <s v="BAA612"/>
    <x v="121"/>
    <x v="2"/>
    <x v="2"/>
    <x v="0"/>
    <s v="AEROPUERTO"/>
    <d v="2024-02-28T00:00:00"/>
    <d v="1899-12-30T12:54:59"/>
    <n v="6.6"/>
  </r>
  <r>
    <s v="BAA612"/>
    <x v="121"/>
    <x v="2"/>
    <x v="2"/>
    <x v="0"/>
    <s v="AEROPUERTO"/>
    <d v="2024-02-29T00:00:00"/>
    <d v="1899-12-30T13:48:35"/>
    <n v="6.6"/>
  </r>
  <r>
    <s v="CHU461"/>
    <x v="122"/>
    <x v="392"/>
    <x v="1"/>
    <x v="0"/>
    <s v="AEROPUERTO"/>
    <d v="2024-02-26T00:00:00"/>
    <d v="1899-12-30T02:41:08"/>
    <n v="6.6"/>
  </r>
  <r>
    <s v="CHU461"/>
    <x v="122"/>
    <x v="392"/>
    <x v="1"/>
    <x v="0"/>
    <s v="AEROPUERTO"/>
    <d v="2024-02-26T00:00:00"/>
    <d v="1899-12-30T02:50:44"/>
    <n v="6.6"/>
  </r>
  <r>
    <s v="CHU461"/>
    <x v="122"/>
    <x v="393"/>
    <x v="3"/>
    <x v="0"/>
    <s v="AEROPUERTO"/>
    <d v="2024-02-26T00:00:00"/>
    <d v="1899-12-30T04:09:19"/>
    <n v="6.6"/>
  </r>
  <r>
    <s v="CHU461"/>
    <x v="122"/>
    <x v="393"/>
    <x v="3"/>
    <x v="0"/>
    <s v="AEROPUERTO"/>
    <d v="2024-02-26T00:00:00"/>
    <d v="1899-12-30T04:17:43"/>
    <n v="6.6"/>
  </r>
  <r>
    <s v="CHU461"/>
    <x v="122"/>
    <x v="394"/>
    <x v="1"/>
    <x v="0"/>
    <s v="AEROPUERTO"/>
    <d v="2024-02-26T00:00:00"/>
    <d v="1899-12-30T20:51:58"/>
    <n v="6.6"/>
  </r>
  <r>
    <s v="CHU461"/>
    <x v="122"/>
    <x v="395"/>
    <x v="1"/>
    <x v="0"/>
    <s v="AEROPUERTO"/>
    <d v="2024-02-27T00:00:00"/>
    <d v="1899-12-30T18:55:34"/>
    <n v="6.6"/>
  </r>
  <r>
    <s v="CHU461"/>
    <x v="122"/>
    <x v="395"/>
    <x v="1"/>
    <x v="0"/>
    <s v="AEROPUERTO"/>
    <d v="2024-02-27T00:00:00"/>
    <d v="1899-12-30T19:08:55"/>
    <n v="6.6"/>
  </r>
  <r>
    <s v="CHU461"/>
    <x v="122"/>
    <x v="396"/>
    <x v="1"/>
    <x v="0"/>
    <s v="AEROPUERTO"/>
    <d v="2024-02-27T00:00:00"/>
    <d v="1899-12-30T20:17:23"/>
    <n v="6.6"/>
  </r>
  <r>
    <s v="CHU461"/>
    <x v="122"/>
    <x v="396"/>
    <x v="1"/>
    <x v="0"/>
    <s v="AEROPUERTO"/>
    <d v="2024-02-27T00:00:00"/>
    <d v="1899-12-30T20:45:50"/>
    <n v="6.6"/>
  </r>
  <r>
    <s v="CHU461"/>
    <x v="122"/>
    <x v="397"/>
    <x v="1"/>
    <x v="0"/>
    <s v="AEROPUERTO"/>
    <d v="2024-02-28T00:00:00"/>
    <d v="1899-12-30T02:28:50"/>
    <n v="6.6"/>
  </r>
  <r>
    <s v="CHU461"/>
    <x v="122"/>
    <x v="2"/>
    <x v="2"/>
    <x v="0"/>
    <s v="AEROPUERTO"/>
    <d v="2024-02-28T00:00:00"/>
    <d v="1899-12-30T03:39:00"/>
    <n v="6.6"/>
  </r>
  <r>
    <s v="CHU461"/>
    <x v="122"/>
    <x v="398"/>
    <x v="1"/>
    <x v="0"/>
    <s v="AEROPUERTO"/>
    <d v="2024-02-28T00:00:00"/>
    <d v="1899-12-30T07:35:09"/>
    <n v="6.6"/>
  </r>
  <r>
    <s v="CHU461"/>
    <x v="122"/>
    <x v="2"/>
    <x v="2"/>
    <x v="0"/>
    <s v="AEROPUERTO"/>
    <d v="2024-02-28T00:00:00"/>
    <d v="1899-12-30T09:00:06"/>
    <n v="6.6"/>
  </r>
  <r>
    <s v="CHU461"/>
    <x v="122"/>
    <x v="399"/>
    <x v="1"/>
    <x v="0"/>
    <s v="AEROPUERTO"/>
    <d v="2024-02-28T00:00:00"/>
    <d v="1899-12-30T21:49:28"/>
    <n v="6.6"/>
  </r>
  <r>
    <s v="CET304"/>
    <x v="123"/>
    <x v="400"/>
    <x v="1"/>
    <x v="0"/>
    <s v="AEROPUERTO"/>
    <d v="2024-02-26T00:00:00"/>
    <d v="1899-12-30T22:38:02"/>
    <n v="6.6"/>
  </r>
  <r>
    <s v="CET304"/>
    <x v="123"/>
    <x v="400"/>
    <x v="1"/>
    <x v="0"/>
    <s v="AEROPUERTO"/>
    <d v="2024-02-26T00:00:00"/>
    <d v="1899-12-30T22:47:42"/>
    <n v="6.6"/>
  </r>
  <r>
    <s v="CET304"/>
    <x v="123"/>
    <x v="2"/>
    <x v="2"/>
    <x v="0"/>
    <s v="AEROPUERTO"/>
    <d v="2024-02-27T00:00:00"/>
    <d v="1899-12-30T00:00:34"/>
    <n v="6.6"/>
  </r>
  <r>
    <s v="CET304"/>
    <x v="123"/>
    <x v="401"/>
    <x v="0"/>
    <x v="0"/>
    <s v="AEROPUERTO"/>
    <d v="2024-02-27T00:00:00"/>
    <d v="1899-12-30T05:51:41"/>
    <n v="6.6"/>
  </r>
  <r>
    <s v="CET304"/>
    <x v="123"/>
    <x v="401"/>
    <x v="0"/>
    <x v="0"/>
    <s v="AEROPUERTO"/>
    <d v="2024-02-27T00:00:00"/>
    <d v="1899-12-30T06:01:00"/>
    <n v="6.6"/>
  </r>
  <r>
    <s v="CET304"/>
    <x v="123"/>
    <x v="402"/>
    <x v="1"/>
    <x v="0"/>
    <s v="AEROPUERTO"/>
    <d v="2024-02-27T00:00:00"/>
    <d v="1899-12-30T22:42:50"/>
    <n v="6.6"/>
  </r>
  <r>
    <s v="CET304"/>
    <x v="123"/>
    <x v="402"/>
    <x v="1"/>
    <x v="0"/>
    <s v="AEROPUERTO"/>
    <d v="2024-02-27T00:00:00"/>
    <d v="1899-12-30T22:54:08"/>
    <n v="6.6"/>
  </r>
  <r>
    <s v="CET304"/>
    <x v="123"/>
    <x v="403"/>
    <x v="1"/>
    <x v="0"/>
    <s v="AEROPUERTO"/>
    <d v="2024-02-28T00:00:00"/>
    <d v="1899-12-30T05:04:01"/>
    <n v="6.6"/>
  </r>
  <r>
    <s v="CET304"/>
    <x v="123"/>
    <x v="403"/>
    <x v="1"/>
    <x v="0"/>
    <s v="AEROPUERTO"/>
    <d v="2024-02-28T00:00:00"/>
    <d v="1899-12-30T05:12:36"/>
    <n v="6.6"/>
  </r>
  <r>
    <s v="CET304"/>
    <x v="123"/>
    <x v="404"/>
    <x v="1"/>
    <x v="0"/>
    <s v="AEROPUERTO"/>
    <d v="2024-02-28T00:00:00"/>
    <d v="1899-12-30T06:49:39"/>
    <n v="6.6"/>
  </r>
  <r>
    <s v="CET304"/>
    <x v="123"/>
    <x v="2"/>
    <x v="2"/>
    <x v="0"/>
    <s v="AEROPUERTO"/>
    <d v="2024-02-29T00:00:00"/>
    <d v="1899-12-30T23:10:10"/>
    <n v="6.6"/>
  </r>
  <r>
    <s v="CEC017"/>
    <x v="124"/>
    <x v="405"/>
    <x v="1"/>
    <x v="0"/>
    <s v="AEROPUERTO"/>
    <d v="2024-02-26T00:00:00"/>
    <d v="1899-12-30T03:57:29"/>
    <n v="6.6"/>
  </r>
  <r>
    <s v="CEC017"/>
    <x v="124"/>
    <x v="405"/>
    <x v="1"/>
    <x v="0"/>
    <s v="AEROPUERTO"/>
    <d v="2024-02-26T00:00:00"/>
    <d v="1899-12-30T04:03:55"/>
    <n v="6.6"/>
  </r>
  <r>
    <s v="CEC017"/>
    <x v="124"/>
    <x v="406"/>
    <x v="1"/>
    <x v="0"/>
    <s v="AEROPUERTO"/>
    <d v="2024-02-26T00:00:00"/>
    <d v="1899-12-30T06:25:05"/>
    <n v="6.6"/>
  </r>
  <r>
    <s v="CEC017"/>
    <x v="124"/>
    <x v="406"/>
    <x v="1"/>
    <x v="0"/>
    <s v="AEROPUERTO"/>
    <d v="2024-02-26T00:00:00"/>
    <d v="1899-12-30T06:34:47"/>
    <n v="6.6"/>
  </r>
  <r>
    <s v="CEC017"/>
    <x v="124"/>
    <x v="407"/>
    <x v="1"/>
    <x v="0"/>
    <s v="AEROPUERTO"/>
    <d v="2024-02-26T00:00:00"/>
    <d v="1899-12-30T07:56:48"/>
    <n v="6.6"/>
  </r>
  <r>
    <s v="CEC017"/>
    <x v="124"/>
    <x v="407"/>
    <x v="1"/>
    <x v="0"/>
    <s v="AEROPUERTO"/>
    <d v="2024-02-26T00:00:00"/>
    <d v="1899-12-30T08:17:36"/>
    <n v="6.6"/>
  </r>
  <r>
    <s v="CEC017"/>
    <x v="124"/>
    <x v="408"/>
    <x v="1"/>
    <x v="0"/>
    <s v="AEROPUERTO"/>
    <d v="2024-02-26T00:00:00"/>
    <d v="1899-12-30T15:51:49"/>
    <n v="6.6"/>
  </r>
  <r>
    <s v="CEC017"/>
    <x v="124"/>
    <x v="408"/>
    <x v="1"/>
    <x v="0"/>
    <s v="AEROPUERTO"/>
    <d v="2024-02-26T00:00:00"/>
    <d v="1899-12-30T15:59:57"/>
    <n v="6.6"/>
  </r>
  <r>
    <s v="CEC017"/>
    <x v="124"/>
    <x v="409"/>
    <x v="1"/>
    <x v="0"/>
    <s v="AEROPUERTO"/>
    <d v="2024-02-27T00:00:00"/>
    <d v="1899-12-30T05:02:53"/>
    <n v="6.6"/>
  </r>
  <r>
    <s v="CEC017"/>
    <x v="124"/>
    <x v="409"/>
    <x v="1"/>
    <x v="0"/>
    <s v="AEROPUERTO"/>
    <d v="2024-02-27T00:00:00"/>
    <d v="1899-12-30T05:10:15"/>
    <n v="6.6"/>
  </r>
  <r>
    <s v="CEC017"/>
    <x v="124"/>
    <x v="410"/>
    <x v="0"/>
    <x v="0"/>
    <s v="AEROPUERTO"/>
    <d v="2024-02-28T00:00:00"/>
    <d v="1899-12-30T07:03:44"/>
    <n v="6.6"/>
  </r>
  <r>
    <s v="CEC017"/>
    <x v="124"/>
    <x v="410"/>
    <x v="0"/>
    <x v="0"/>
    <s v="AEROPUERTO"/>
    <d v="2024-02-28T00:00:00"/>
    <d v="1899-12-30T07:11:49"/>
    <n v="6.6"/>
  </r>
  <r>
    <s v="CEC017"/>
    <x v="124"/>
    <x v="2"/>
    <x v="2"/>
    <x v="0"/>
    <s v="AEROPUERTO"/>
    <d v="2024-02-28T00:00:00"/>
    <d v="1899-12-30T23:12:12"/>
    <n v="6.6"/>
  </r>
  <r>
    <s v="BLH007"/>
    <x v="125"/>
    <x v="411"/>
    <x v="1"/>
    <x v="0"/>
    <s v="AEROPUERTO"/>
    <d v="2024-02-26T00:00:00"/>
    <d v="1899-12-30T08:57:21"/>
    <n v="6.6"/>
  </r>
  <r>
    <s v="BLH007"/>
    <x v="125"/>
    <x v="411"/>
    <x v="1"/>
    <x v="0"/>
    <s v="AEROPUERTO"/>
    <d v="2024-02-26T00:00:00"/>
    <d v="1899-12-30T09:09:25"/>
    <n v="6.6"/>
  </r>
  <r>
    <s v="BLH007"/>
    <x v="125"/>
    <x v="412"/>
    <x v="0"/>
    <x v="0"/>
    <s v="AEROPUERTO"/>
    <d v="2024-02-26T00:00:00"/>
    <d v="1899-12-30T10:52:08"/>
    <n v="6.6"/>
  </r>
  <r>
    <s v="BLH007"/>
    <x v="125"/>
    <x v="412"/>
    <x v="0"/>
    <x v="0"/>
    <s v="AEROPUERTO"/>
    <d v="2024-02-26T00:00:00"/>
    <d v="1899-12-30T11:00:46"/>
    <n v="6.6"/>
  </r>
  <r>
    <s v="BLH007"/>
    <x v="125"/>
    <x v="413"/>
    <x v="1"/>
    <x v="0"/>
    <s v="AEROPUERTO"/>
    <d v="2024-02-27T00:00:00"/>
    <d v="1899-12-30T08:46:47"/>
    <n v="6.6"/>
  </r>
  <r>
    <s v="BLH007"/>
    <x v="125"/>
    <x v="2"/>
    <x v="2"/>
    <x v="0"/>
    <s v="AEROPUERTO"/>
    <d v="2024-02-27T00:00:00"/>
    <d v="1899-12-30T20:39:50"/>
    <n v="6.6"/>
  </r>
  <r>
    <s v="BLH007"/>
    <x v="125"/>
    <x v="2"/>
    <x v="2"/>
    <x v="0"/>
    <s v="AEROPUERTO"/>
    <d v="2024-02-27T00:00:00"/>
    <d v="1899-12-30T21:07:34"/>
    <n v="6.6"/>
  </r>
  <r>
    <s v="BLH007"/>
    <x v="125"/>
    <x v="2"/>
    <x v="2"/>
    <x v="0"/>
    <s v="AEROPUERTO"/>
    <d v="2024-02-27T00:00:00"/>
    <d v="1899-12-30T23:16:03"/>
    <n v="6.6"/>
  </r>
  <r>
    <s v="BLH007"/>
    <x v="125"/>
    <x v="414"/>
    <x v="1"/>
    <x v="0"/>
    <s v="AEROPUERTO"/>
    <d v="2024-02-28T00:00:00"/>
    <d v="1899-12-30T21:13:58"/>
    <n v="6.6"/>
  </r>
  <r>
    <s v="BLH007"/>
    <x v="125"/>
    <x v="414"/>
    <x v="1"/>
    <x v="0"/>
    <s v="AEROPUERTO"/>
    <d v="2024-02-28T00:00:00"/>
    <d v="1899-12-30T21:23:28"/>
    <n v="6.6"/>
  </r>
  <r>
    <s v="BLH007"/>
    <x v="125"/>
    <x v="415"/>
    <x v="1"/>
    <x v="0"/>
    <s v="AEROPUERTO"/>
    <d v="2024-02-28T00:00:00"/>
    <d v="1899-12-30T23:12:12"/>
    <n v="6.6"/>
  </r>
  <r>
    <s v="BLH007"/>
    <x v="125"/>
    <x v="415"/>
    <x v="1"/>
    <x v="0"/>
    <s v="AEROPUERTO"/>
    <d v="2024-02-28T00:00:00"/>
    <d v="1899-12-30T23:26:04"/>
    <n v="6.6"/>
  </r>
  <r>
    <s v="BLH007"/>
    <x v="125"/>
    <x v="2"/>
    <x v="2"/>
    <x v="0"/>
    <s v="AEROPUERTO"/>
    <d v="2024-02-28T00:00:00"/>
    <d v="1899-12-30T23:44:19"/>
    <n v="6.6"/>
  </r>
  <r>
    <s v="BDG386"/>
    <x v="126"/>
    <x v="416"/>
    <x v="1"/>
    <x v="0"/>
    <s v="AEROPUERTO"/>
    <d v="2024-02-26T00:00:00"/>
    <d v="1899-12-30T16:56:15"/>
    <n v="6.6"/>
  </r>
  <r>
    <s v="BDG386"/>
    <x v="126"/>
    <x v="417"/>
    <x v="1"/>
    <x v="0"/>
    <s v="AEROPUERTO"/>
    <d v="2024-02-27T00:00:00"/>
    <d v="1899-12-30T09:09:45"/>
    <n v="6.6"/>
  </r>
  <r>
    <s v="BDG386"/>
    <x v="126"/>
    <x v="417"/>
    <x v="1"/>
    <x v="0"/>
    <s v="AEROPUERTO"/>
    <d v="2024-02-27T00:00:00"/>
    <d v="1899-12-30T09:21:17"/>
    <n v="6.6"/>
  </r>
  <r>
    <s v="BDG386"/>
    <x v="126"/>
    <x v="2"/>
    <x v="2"/>
    <x v="0"/>
    <s v="AEROPUERTO"/>
    <d v="2024-02-27T00:00:00"/>
    <d v="1899-12-30T10:00:50"/>
    <n v="6.6"/>
  </r>
  <r>
    <s v="BDG386"/>
    <x v="126"/>
    <x v="2"/>
    <x v="2"/>
    <x v="0"/>
    <s v="AEROPUERTO"/>
    <d v="2024-02-28T00:00:00"/>
    <d v="1899-12-30T16:34:11"/>
    <n v="6.6"/>
  </r>
  <r>
    <s v="BDG386"/>
    <x v="126"/>
    <x v="2"/>
    <x v="2"/>
    <x v="0"/>
    <s v="AEROPUERTO"/>
    <d v="2024-02-29T00:00:00"/>
    <d v="1899-12-30T00:02:10"/>
    <n v="6.6"/>
  </r>
  <r>
    <s v="BDG386"/>
    <x v="126"/>
    <x v="2"/>
    <x v="2"/>
    <x v="0"/>
    <s v="AEROPUERTO"/>
    <d v="2024-02-29T00:00:00"/>
    <d v="1899-12-30T18:47:42"/>
    <n v="6.6"/>
  </r>
  <r>
    <s v="BPZ654"/>
    <x v="127"/>
    <x v="418"/>
    <x v="1"/>
    <x v="0"/>
    <s v="AEROPUERTO"/>
    <d v="2024-02-26T00:00:00"/>
    <d v="1899-12-30T04:17:05"/>
    <n v="6.6"/>
  </r>
  <r>
    <s v="BPZ654"/>
    <x v="127"/>
    <x v="418"/>
    <x v="1"/>
    <x v="0"/>
    <s v="AEROPUERTO"/>
    <d v="2024-02-26T00:00:00"/>
    <d v="1899-12-30T04:23:24"/>
    <n v="6.6"/>
  </r>
  <r>
    <s v="BPZ654"/>
    <x v="127"/>
    <x v="419"/>
    <x v="1"/>
    <x v="0"/>
    <s v="AEROPUERTO"/>
    <d v="2024-02-27T00:00:00"/>
    <d v="1899-12-30T19:24:38"/>
    <n v="6.6"/>
  </r>
  <r>
    <s v="BPZ654"/>
    <x v="127"/>
    <x v="419"/>
    <x v="1"/>
    <x v="0"/>
    <s v="AEROPUERTO"/>
    <d v="2024-02-27T00:00:00"/>
    <d v="1899-12-30T19:34:50"/>
    <n v="6.6"/>
  </r>
  <r>
    <s v="BPZ654"/>
    <x v="127"/>
    <x v="420"/>
    <x v="1"/>
    <x v="0"/>
    <s v="AEROPUERTO"/>
    <d v="2024-02-28T00:00:00"/>
    <d v="1899-12-30T08:43:50"/>
    <n v="6.6"/>
  </r>
  <r>
    <s v="BPZ654"/>
    <x v="127"/>
    <x v="420"/>
    <x v="1"/>
    <x v="0"/>
    <s v="AEROPUERTO"/>
    <d v="2024-02-28T00:00:00"/>
    <d v="1899-12-30T08:59:56"/>
    <n v="6.6"/>
  </r>
  <r>
    <s v="BPZ654"/>
    <x v="127"/>
    <x v="421"/>
    <x v="1"/>
    <x v="0"/>
    <s v="AEROPUERTO"/>
    <d v="2024-02-29T00:00:00"/>
    <d v="1899-12-30T10:41:56"/>
    <n v="6.6"/>
  </r>
  <r>
    <s v="BPZ654"/>
    <x v="127"/>
    <x v="421"/>
    <x v="1"/>
    <x v="0"/>
    <s v="AEROPUERTO"/>
    <d v="2024-02-29T00:00:00"/>
    <d v="1899-12-30T10:55:44"/>
    <n v="6.6"/>
  </r>
  <r>
    <s v="CEF583"/>
    <x v="128"/>
    <x v="422"/>
    <x v="1"/>
    <x v="0"/>
    <s v="AEROPUERTO"/>
    <d v="2024-02-27T00:00:00"/>
    <d v="1899-12-30T18:54:18"/>
    <n v="6.6"/>
  </r>
  <r>
    <s v="CEF583"/>
    <x v="128"/>
    <x v="422"/>
    <x v="1"/>
    <x v="0"/>
    <s v="AEROPUERTO"/>
    <d v="2024-02-27T00:00:00"/>
    <d v="1899-12-30T19:08:29"/>
    <n v="6.6"/>
  </r>
  <r>
    <s v="CEF583"/>
    <x v="128"/>
    <x v="2"/>
    <x v="2"/>
    <x v="0"/>
    <s v="AEROPUERTO"/>
    <d v="2024-02-27T00:00:00"/>
    <d v="1899-12-30T19:59:11"/>
    <n v="6.6"/>
  </r>
  <r>
    <s v="CEF583"/>
    <x v="128"/>
    <x v="2"/>
    <x v="2"/>
    <x v="0"/>
    <s v="AEROPUERTO"/>
    <d v="2024-02-27T00:00:00"/>
    <d v="1899-12-30T20:25:45"/>
    <n v="6.6"/>
  </r>
  <r>
    <s v="CEF583"/>
    <x v="128"/>
    <x v="423"/>
    <x v="1"/>
    <x v="0"/>
    <s v="AEROPUERTO"/>
    <d v="2024-02-28T00:00:00"/>
    <d v="1899-12-30T17:57:47"/>
    <n v="6.6"/>
  </r>
  <r>
    <s v="CJL095"/>
    <x v="129"/>
    <x v="424"/>
    <x v="1"/>
    <x v="0"/>
    <s v="AEROPUERTO"/>
    <d v="2024-02-26T00:00:00"/>
    <d v="1899-12-30T08:22:01"/>
    <n v="6.6"/>
  </r>
  <r>
    <s v="CJL095"/>
    <x v="129"/>
    <x v="424"/>
    <x v="1"/>
    <x v="0"/>
    <s v="AEROPUERTO"/>
    <d v="2024-02-26T00:00:00"/>
    <d v="1899-12-30T08:36:52"/>
    <n v="6.6"/>
  </r>
  <r>
    <s v="CJL095"/>
    <x v="129"/>
    <x v="425"/>
    <x v="1"/>
    <x v="0"/>
    <s v="AEROPUERTO"/>
    <d v="2024-02-26T00:00:00"/>
    <d v="1899-12-30T12:50:37"/>
    <n v="6.6"/>
  </r>
  <r>
    <s v="CJL095"/>
    <x v="129"/>
    <x v="426"/>
    <x v="1"/>
    <x v="0"/>
    <s v="AEROPUERTO"/>
    <d v="2024-02-28T00:00:00"/>
    <d v="1899-12-30T11:38:36"/>
    <n v="6.6"/>
  </r>
  <r>
    <s v="CJL095"/>
    <x v="129"/>
    <x v="426"/>
    <x v="1"/>
    <x v="0"/>
    <s v="AEROPUERTO"/>
    <d v="2024-02-28T00:00:00"/>
    <d v="1899-12-30T11:48:18"/>
    <n v="6.6"/>
  </r>
  <r>
    <s v="BSO570"/>
    <x v="130"/>
    <x v="427"/>
    <x v="1"/>
    <x v="0"/>
    <s v="AEROPUERTO"/>
    <d v="2024-02-28T00:00:00"/>
    <d v="1899-12-30T08:08:06"/>
    <n v="6.6"/>
  </r>
  <r>
    <s v="BSO570"/>
    <x v="130"/>
    <x v="427"/>
    <x v="1"/>
    <x v="0"/>
    <s v="AEROPUERTO"/>
    <d v="2024-02-28T00:00:00"/>
    <d v="1899-12-30T08:21:36"/>
    <n v="6.6"/>
  </r>
  <r>
    <s v="BPD535"/>
    <x v="131"/>
    <x v="428"/>
    <x v="1"/>
    <x v="0"/>
    <s v="AEROPUERTO"/>
    <d v="2024-02-26T00:00:00"/>
    <d v="1899-12-30T06:43:58"/>
    <n v="6.6"/>
  </r>
  <r>
    <s v="BPD535"/>
    <x v="131"/>
    <x v="428"/>
    <x v="1"/>
    <x v="0"/>
    <s v="AEROPUERTO"/>
    <d v="2024-02-26T00:00:00"/>
    <d v="1899-12-30T06:54:31"/>
    <n v="6.6"/>
  </r>
  <r>
    <s v="BPD535"/>
    <x v="131"/>
    <x v="429"/>
    <x v="1"/>
    <x v="0"/>
    <s v="AEROPUERTO"/>
    <d v="2024-02-26T00:00:00"/>
    <d v="1899-12-30T08:36:54"/>
    <n v="6.6"/>
  </r>
  <r>
    <s v="BPD535"/>
    <x v="131"/>
    <x v="429"/>
    <x v="1"/>
    <x v="0"/>
    <s v="AEROPUERTO"/>
    <d v="2024-02-26T00:00:00"/>
    <d v="1899-12-30T08:44:58"/>
    <n v="6.6"/>
  </r>
  <r>
    <s v="BPD535"/>
    <x v="131"/>
    <x v="430"/>
    <x v="1"/>
    <x v="0"/>
    <s v="AEROPUERTO"/>
    <d v="2024-02-26T00:00:00"/>
    <d v="1899-12-30T21:03:41"/>
    <n v="6.6"/>
  </r>
  <r>
    <s v="BPD535"/>
    <x v="131"/>
    <x v="430"/>
    <x v="1"/>
    <x v="0"/>
    <s v="AEROPUERTO"/>
    <d v="2024-02-26T00:00:00"/>
    <d v="1899-12-30T21:14:40"/>
    <n v="6.6"/>
  </r>
  <r>
    <s v="BPD535"/>
    <x v="131"/>
    <x v="2"/>
    <x v="2"/>
    <x v="0"/>
    <s v="AEROPUERTO"/>
    <d v="2024-02-26T00:00:00"/>
    <d v="1899-12-30T21:32:57"/>
    <n v="6.6"/>
  </r>
  <r>
    <s v="BPD535"/>
    <x v="131"/>
    <x v="2"/>
    <x v="2"/>
    <x v="0"/>
    <s v="AEROPUERTO"/>
    <d v="2024-02-26T00:00:00"/>
    <d v="1899-12-30T21:40:58"/>
    <n v="6.6"/>
  </r>
  <r>
    <s v="BPD535"/>
    <x v="131"/>
    <x v="431"/>
    <x v="1"/>
    <x v="0"/>
    <s v="AEROPUERTO"/>
    <d v="2024-02-27T00:00:00"/>
    <d v="1899-12-30T20:56:15"/>
    <n v="6.6"/>
  </r>
  <r>
    <s v="BPD535"/>
    <x v="131"/>
    <x v="431"/>
    <x v="1"/>
    <x v="0"/>
    <s v="AEROPUERTO"/>
    <d v="2024-02-27T00:00:00"/>
    <d v="1899-12-30T21:06:57"/>
    <n v="6.6"/>
  </r>
  <r>
    <s v="Z6Z468"/>
    <x v="132"/>
    <x v="2"/>
    <x v="2"/>
    <x v="0"/>
    <s v="AEROPUERTO"/>
    <d v="2024-02-27T00:00:00"/>
    <d v="1899-12-30T15:35:51"/>
    <n v="6.6"/>
  </r>
  <r>
    <s v="Z6Z468"/>
    <x v="132"/>
    <x v="2"/>
    <x v="2"/>
    <x v="0"/>
    <s v="AEROPUERTO"/>
    <d v="2024-02-27T00:00:00"/>
    <d v="1899-12-30T17:20:33"/>
    <n v="6.6"/>
  </r>
  <r>
    <s v="CJV682"/>
    <x v="133"/>
    <x v="432"/>
    <x v="1"/>
    <x v="0"/>
    <s v="AEROPUERTO"/>
    <d v="2024-02-26T00:00:00"/>
    <d v="1899-12-30T21:04:57"/>
    <n v="6.6"/>
  </r>
  <r>
    <s v="CJV682"/>
    <x v="133"/>
    <x v="432"/>
    <x v="1"/>
    <x v="0"/>
    <s v="AEROPUERTO"/>
    <d v="2024-02-26T00:00:00"/>
    <d v="1899-12-30T21:15:09"/>
    <n v="6.6"/>
  </r>
  <r>
    <s v="CJV682"/>
    <x v="133"/>
    <x v="2"/>
    <x v="2"/>
    <x v="0"/>
    <s v="AEROPUERTO"/>
    <d v="2024-02-28T00:00:00"/>
    <d v="1899-12-30T16:22:50"/>
    <n v="6.6"/>
  </r>
  <r>
    <s v="CJV682"/>
    <x v="133"/>
    <x v="2"/>
    <x v="2"/>
    <x v="0"/>
    <s v="AEROPUERTO"/>
    <d v="2024-02-28T00:00:00"/>
    <d v="1899-12-30T16:29:59"/>
    <n v="6.6"/>
  </r>
  <r>
    <s v="CJV682"/>
    <x v="133"/>
    <x v="433"/>
    <x v="1"/>
    <x v="0"/>
    <s v="AEROPUERTO"/>
    <d v="2024-02-29T00:00:00"/>
    <d v="1899-12-30T12:14:47"/>
    <n v="6.6"/>
  </r>
  <r>
    <s v="CJV682"/>
    <x v="133"/>
    <x v="433"/>
    <x v="1"/>
    <x v="0"/>
    <s v="AEROPUERTO"/>
    <d v="2024-02-29T00:00:00"/>
    <d v="1899-12-30T12:24:33"/>
    <n v="6.6"/>
  </r>
  <r>
    <s v="CFB224"/>
    <x v="134"/>
    <x v="434"/>
    <x v="1"/>
    <x v="0"/>
    <s v="AEROPUERTO"/>
    <d v="2024-02-26T00:00:00"/>
    <d v="1899-12-30T22:12:12"/>
    <n v="6.6"/>
  </r>
  <r>
    <s v="CFB224"/>
    <x v="134"/>
    <x v="434"/>
    <x v="1"/>
    <x v="0"/>
    <s v="AEROPUERTO"/>
    <d v="2024-02-26T00:00:00"/>
    <d v="1899-12-30T22:22:03"/>
    <n v="6.6"/>
  </r>
  <r>
    <s v="CFB224"/>
    <x v="134"/>
    <x v="435"/>
    <x v="3"/>
    <x v="0"/>
    <s v="AEROPUERTO"/>
    <d v="2024-02-27T00:00:00"/>
    <d v="1899-12-30T08:34:40"/>
    <n v="6.6"/>
  </r>
  <r>
    <s v="CFB224"/>
    <x v="134"/>
    <x v="435"/>
    <x v="3"/>
    <x v="0"/>
    <s v="AEROPUERTO"/>
    <d v="2024-02-27T00:00:00"/>
    <d v="1899-12-30T08:50:32"/>
    <n v="6.6"/>
  </r>
  <r>
    <s v="CFB224"/>
    <x v="134"/>
    <x v="436"/>
    <x v="1"/>
    <x v="0"/>
    <s v="AEROPUERTO"/>
    <d v="2024-02-28T00:00:00"/>
    <d v="1899-12-30T22:00:29"/>
    <n v="6.6"/>
  </r>
  <r>
    <s v="CFB224"/>
    <x v="134"/>
    <x v="436"/>
    <x v="1"/>
    <x v="0"/>
    <s v="AEROPUERTO"/>
    <d v="2024-02-28T00:00:00"/>
    <d v="1899-12-30T22:12:48"/>
    <n v="6.6"/>
  </r>
  <r>
    <s v="CFB224"/>
    <x v="134"/>
    <x v="2"/>
    <x v="2"/>
    <x v="0"/>
    <s v="AEROPUERTO"/>
    <d v="2024-02-29T00:00:00"/>
    <d v="1899-12-30T19:55:55"/>
    <n v="6.6"/>
  </r>
  <r>
    <s v="AZF025"/>
    <x v="135"/>
    <x v="437"/>
    <x v="0"/>
    <x v="0"/>
    <s v="AEROPUERTO"/>
    <d v="2024-02-29T00:00:00"/>
    <d v="1899-12-30T16:39:56"/>
    <n v="6.6"/>
  </r>
  <r>
    <s v="AZN469"/>
    <x v="136"/>
    <x v="438"/>
    <x v="1"/>
    <x v="0"/>
    <s v="AEROPUERTO"/>
    <d v="2024-02-26T00:00:00"/>
    <d v="1899-12-30T22:17:39"/>
    <n v="6.6"/>
  </r>
  <r>
    <s v="AZN469"/>
    <x v="136"/>
    <x v="438"/>
    <x v="1"/>
    <x v="0"/>
    <s v="AEROPUERTO"/>
    <d v="2024-02-26T00:00:00"/>
    <d v="1899-12-30T22:27:13"/>
    <n v="6.6"/>
  </r>
  <r>
    <s v="AZN469"/>
    <x v="136"/>
    <x v="2"/>
    <x v="2"/>
    <x v="0"/>
    <s v="AEROPUERTO"/>
    <d v="2024-02-26T00:00:00"/>
    <d v="1899-12-30T22:49:16"/>
    <n v="6.6"/>
  </r>
  <r>
    <s v="AZN469"/>
    <x v="136"/>
    <x v="2"/>
    <x v="2"/>
    <x v="0"/>
    <s v="AEROPUERTO"/>
    <d v="2024-02-27T00:00:00"/>
    <d v="1899-12-30T23:41:00"/>
    <n v="6.6"/>
  </r>
  <r>
    <s v="BAB391"/>
    <x v="137"/>
    <x v="439"/>
    <x v="1"/>
    <x v="0"/>
    <s v="AEROPUERTO"/>
    <d v="2024-02-26T00:00:00"/>
    <d v="1899-12-30T05:48:40"/>
    <n v="6.6"/>
  </r>
  <r>
    <s v="BAB391"/>
    <x v="137"/>
    <x v="439"/>
    <x v="1"/>
    <x v="0"/>
    <s v="AEROPUERTO"/>
    <d v="2024-02-26T00:00:00"/>
    <d v="1899-12-30T05:56:55"/>
    <n v="6.6"/>
  </r>
  <r>
    <s v="BAB391"/>
    <x v="137"/>
    <x v="440"/>
    <x v="1"/>
    <x v="0"/>
    <s v="AEROPUERTO"/>
    <d v="2024-02-27T00:00:00"/>
    <d v="1899-12-30T00:47:28"/>
    <n v="6.6"/>
  </r>
  <r>
    <s v="BAB391"/>
    <x v="137"/>
    <x v="440"/>
    <x v="1"/>
    <x v="0"/>
    <s v="AEROPUERTO"/>
    <d v="2024-02-27T00:00:00"/>
    <d v="1899-12-30T00:57:08"/>
    <n v="6.6"/>
  </r>
  <r>
    <s v="BAB391"/>
    <x v="137"/>
    <x v="441"/>
    <x v="0"/>
    <x v="0"/>
    <s v="AEROPUERTO"/>
    <d v="2024-02-27T00:00:00"/>
    <d v="1899-12-30T04:08:58"/>
    <n v="6.6"/>
  </r>
  <r>
    <s v="BAB391"/>
    <x v="137"/>
    <x v="441"/>
    <x v="0"/>
    <x v="0"/>
    <s v="AEROPUERTO"/>
    <d v="2024-02-27T00:00:00"/>
    <d v="1899-12-30T04:15:43"/>
    <n v="6.6"/>
  </r>
  <r>
    <s v="BAB391"/>
    <x v="137"/>
    <x v="442"/>
    <x v="1"/>
    <x v="0"/>
    <s v="AEROPUERTO"/>
    <d v="2024-02-28T00:00:00"/>
    <d v="1899-12-30T00:07:14"/>
    <n v="6.6"/>
  </r>
  <r>
    <s v="BAB391"/>
    <x v="137"/>
    <x v="442"/>
    <x v="1"/>
    <x v="0"/>
    <s v="AEROPUERTO"/>
    <d v="2024-02-28T00:00:00"/>
    <d v="1899-12-30T00:16:06"/>
    <n v="6.6"/>
  </r>
  <r>
    <s v="BAB391"/>
    <x v="137"/>
    <x v="443"/>
    <x v="1"/>
    <x v="0"/>
    <s v="AEROPUERTO"/>
    <d v="2024-02-28T00:00:00"/>
    <d v="1899-12-30T23:53:59"/>
    <n v="6.6"/>
  </r>
  <r>
    <s v="BAB391"/>
    <x v="137"/>
    <x v="443"/>
    <x v="1"/>
    <x v="0"/>
    <s v="AEROPUERTO"/>
    <d v="2024-02-29T00:00:00"/>
    <d v="1899-12-30T00:00:44"/>
    <n v="6.6"/>
  </r>
  <r>
    <s v="BAB391"/>
    <x v="137"/>
    <x v="444"/>
    <x v="1"/>
    <x v="0"/>
    <s v="AEROPUERTO"/>
    <d v="2024-02-29T00:00:00"/>
    <d v="1899-12-30T20:22:40"/>
    <n v="6.6"/>
  </r>
  <r>
    <s v="BAB391"/>
    <x v="137"/>
    <x v="444"/>
    <x v="1"/>
    <x v="0"/>
    <s v="AEROPUERTO"/>
    <d v="2024-02-29T00:00:00"/>
    <d v="1899-12-30T20:32:39"/>
    <n v="6.6"/>
  </r>
  <r>
    <s v="CEA455"/>
    <x v="138"/>
    <x v="445"/>
    <x v="1"/>
    <x v="1"/>
    <s v="URBANO"/>
    <d v="2024-02-27T00:00:00"/>
    <d v="1899-12-30T18:49:51"/>
    <n v="6.6"/>
  </r>
  <r>
    <s v="CEA455"/>
    <x v="138"/>
    <x v="2"/>
    <x v="2"/>
    <x v="1"/>
    <s v="URBANO"/>
    <d v="2024-02-27T00:00:00"/>
    <d v="1899-12-30T21:26:48"/>
    <n v="6.6"/>
  </r>
  <r>
    <s v="CEA455"/>
    <x v="138"/>
    <x v="446"/>
    <x v="1"/>
    <x v="1"/>
    <s v="URBANO"/>
    <d v="2024-02-29T00:00:00"/>
    <d v="1899-12-30T06:51:31"/>
    <n v="6.6"/>
  </r>
  <r>
    <s v="CEA455"/>
    <x v="138"/>
    <x v="447"/>
    <x v="1"/>
    <x v="1"/>
    <s v="URBANO"/>
    <d v="2024-02-29T00:00:00"/>
    <d v="1899-12-30T23:24:53"/>
    <n v="6.6"/>
  </r>
  <r>
    <s v="BWU283"/>
    <x v="139"/>
    <x v="448"/>
    <x v="1"/>
    <x v="0"/>
    <s v="AEROPUERTO"/>
    <d v="2024-02-27T00:00:00"/>
    <d v="1899-12-30T18:41:15"/>
    <n v="6.6"/>
  </r>
  <r>
    <s v="BWU283"/>
    <x v="139"/>
    <x v="2"/>
    <x v="2"/>
    <x v="0"/>
    <s v="AEROPUERTO"/>
    <d v="2024-02-27T00:00:00"/>
    <d v="1899-12-30T19:26:02"/>
    <n v="6.6"/>
  </r>
  <r>
    <s v="BWU283"/>
    <x v="139"/>
    <x v="2"/>
    <x v="2"/>
    <x v="0"/>
    <s v="AEROPUERTO"/>
    <d v="2024-02-27T00:00:00"/>
    <d v="1899-12-30T19:51:42"/>
    <n v="6.6"/>
  </r>
  <r>
    <s v="BWU283"/>
    <x v="139"/>
    <x v="449"/>
    <x v="1"/>
    <x v="0"/>
    <s v="AEROPUERTO"/>
    <d v="2024-02-27T00:00:00"/>
    <d v="1899-12-30T20:15:27"/>
    <n v="6.6"/>
  </r>
  <r>
    <s v="BWU283"/>
    <x v="139"/>
    <x v="449"/>
    <x v="1"/>
    <x v="0"/>
    <s v="AEROPUERTO"/>
    <d v="2024-02-27T00:00:00"/>
    <d v="1899-12-30T20:25:16"/>
    <n v="6.6"/>
  </r>
  <r>
    <s v="BWU283"/>
    <x v="139"/>
    <x v="2"/>
    <x v="2"/>
    <x v="0"/>
    <s v="AEROPUERTO"/>
    <d v="2024-02-27T00:00:00"/>
    <d v="1899-12-30T20:56:45"/>
    <n v="6.6"/>
  </r>
  <r>
    <s v="BWU283"/>
    <x v="139"/>
    <x v="2"/>
    <x v="2"/>
    <x v="0"/>
    <s v="AEROPUERTO"/>
    <d v="2024-02-27T00:00:00"/>
    <d v="1899-12-30T21:15:14"/>
    <n v="6.6"/>
  </r>
  <r>
    <s v="BWU283"/>
    <x v="139"/>
    <x v="450"/>
    <x v="1"/>
    <x v="0"/>
    <s v="AEROPUERTO"/>
    <d v="2024-02-27T00:00:00"/>
    <d v="1899-12-30T21:53:55"/>
    <n v="6.6"/>
  </r>
  <r>
    <s v="BWU283"/>
    <x v="139"/>
    <x v="450"/>
    <x v="1"/>
    <x v="0"/>
    <s v="AEROPUERTO"/>
    <d v="2024-02-27T00:00:00"/>
    <d v="1899-12-30T22:02:48"/>
    <n v="6.6"/>
  </r>
  <r>
    <s v="BWU283"/>
    <x v="139"/>
    <x v="2"/>
    <x v="2"/>
    <x v="0"/>
    <s v="AEROPUERTO"/>
    <d v="2024-02-27T00:00:00"/>
    <d v="1899-12-30T22:32:02"/>
    <n v="6.6"/>
  </r>
  <r>
    <s v="BWU283"/>
    <x v="139"/>
    <x v="2"/>
    <x v="2"/>
    <x v="0"/>
    <s v="AEROPUERTO"/>
    <d v="2024-02-28T00:00:00"/>
    <d v="1899-12-30T00:08:44"/>
    <n v="6.6"/>
  </r>
  <r>
    <s v="ASU634"/>
    <x v="140"/>
    <x v="451"/>
    <x v="1"/>
    <x v="0"/>
    <s v="AEROPUERTO"/>
    <d v="2024-02-26T00:00:00"/>
    <d v="1899-12-30T10:46:47"/>
    <n v="6.6"/>
  </r>
  <r>
    <s v="ASU634"/>
    <x v="140"/>
    <x v="451"/>
    <x v="1"/>
    <x v="0"/>
    <s v="AEROPUERTO"/>
    <d v="2024-02-26T00:00:00"/>
    <d v="1899-12-30T10:53:55"/>
    <n v="6.6"/>
  </r>
  <r>
    <s v="ASU634"/>
    <x v="140"/>
    <x v="2"/>
    <x v="2"/>
    <x v="0"/>
    <s v="AEROPUERTO"/>
    <d v="2024-02-26T00:00:00"/>
    <d v="1899-12-30T11:56:23"/>
    <n v="6.6"/>
  </r>
  <r>
    <s v="ASU634"/>
    <x v="140"/>
    <x v="452"/>
    <x v="1"/>
    <x v="0"/>
    <s v="AEROPUERTO"/>
    <d v="2024-02-27T00:00:00"/>
    <d v="1899-12-30T18:23:38"/>
    <n v="6.6"/>
  </r>
  <r>
    <s v="ASU634"/>
    <x v="140"/>
    <x v="452"/>
    <x v="1"/>
    <x v="0"/>
    <s v="AEROPUERTO"/>
    <d v="2024-02-27T00:00:00"/>
    <d v="1899-12-30T18:34:12"/>
    <n v="6.6"/>
  </r>
  <r>
    <s v="ASU634"/>
    <x v="140"/>
    <x v="453"/>
    <x v="1"/>
    <x v="0"/>
    <s v="AEROPUERTO"/>
    <d v="2024-02-28T00:00:00"/>
    <d v="1899-12-30T11:35:12"/>
    <n v="6.6"/>
  </r>
  <r>
    <s v="ASU634"/>
    <x v="140"/>
    <x v="453"/>
    <x v="1"/>
    <x v="0"/>
    <s v="AEROPUERTO"/>
    <d v="2024-02-28T00:00:00"/>
    <d v="1899-12-30T11:43:38"/>
    <n v="6.6"/>
  </r>
  <r>
    <s v="ASU634"/>
    <x v="140"/>
    <x v="2"/>
    <x v="2"/>
    <x v="0"/>
    <s v="AEROPUERTO"/>
    <d v="2024-02-28T00:00:00"/>
    <d v="1899-12-30T12:03:24"/>
    <n v="6.6"/>
  </r>
  <r>
    <s v="ASU634"/>
    <x v="140"/>
    <x v="2"/>
    <x v="2"/>
    <x v="0"/>
    <s v="AEROPUERTO"/>
    <d v="2024-02-28T00:00:00"/>
    <d v="1899-12-30T12:10:13"/>
    <n v="6.6"/>
  </r>
  <r>
    <s v="ASU634"/>
    <x v="140"/>
    <x v="454"/>
    <x v="1"/>
    <x v="0"/>
    <s v="AEROPUERTO"/>
    <d v="2024-02-28T00:00:00"/>
    <d v="1899-12-30T14:09:13"/>
    <n v="6.6"/>
  </r>
  <r>
    <s v="ASU634"/>
    <x v="140"/>
    <x v="455"/>
    <x v="1"/>
    <x v="0"/>
    <s v="AEROPUERTO"/>
    <d v="2024-02-29T00:00:00"/>
    <d v="1899-12-30T18:48:31"/>
    <n v="6.6"/>
  </r>
  <r>
    <s v="ASU634"/>
    <x v="140"/>
    <x v="455"/>
    <x v="1"/>
    <x v="0"/>
    <s v="AEROPUERTO"/>
    <d v="2024-02-29T00:00:00"/>
    <d v="1899-12-30T19:00:00"/>
    <n v="6.6"/>
  </r>
  <r>
    <s v="BRN409"/>
    <x v="141"/>
    <x v="456"/>
    <x v="1"/>
    <x v="1"/>
    <s v="URBANO"/>
    <d v="2024-02-26T00:00:00"/>
    <d v="1899-12-30T07:18:58"/>
    <n v="6.6"/>
  </r>
  <r>
    <s v="BRN409"/>
    <x v="141"/>
    <x v="457"/>
    <x v="1"/>
    <x v="1"/>
    <s v="URBANO"/>
    <d v="2024-02-27T00:00:00"/>
    <d v="1899-12-30T04:53:08"/>
    <n v="6.6"/>
  </r>
  <r>
    <s v="BRN409"/>
    <x v="141"/>
    <x v="457"/>
    <x v="1"/>
    <x v="1"/>
    <s v="URBANO"/>
    <d v="2024-02-27T00:00:00"/>
    <d v="1899-12-30T04:58:20"/>
    <n v="6.6"/>
  </r>
  <r>
    <s v="BRN409"/>
    <x v="141"/>
    <x v="458"/>
    <x v="1"/>
    <x v="1"/>
    <s v="URBANO"/>
    <d v="2024-02-27T00:00:00"/>
    <d v="1899-12-30T08:14:03"/>
    <n v="6.6"/>
  </r>
  <r>
    <s v="BRN409"/>
    <x v="141"/>
    <x v="458"/>
    <x v="1"/>
    <x v="1"/>
    <s v="URBANO"/>
    <d v="2024-02-27T00:00:00"/>
    <d v="1899-12-30T08:28:03"/>
    <n v="6.6"/>
  </r>
  <r>
    <s v="BRN409"/>
    <x v="141"/>
    <x v="2"/>
    <x v="2"/>
    <x v="1"/>
    <s v="URBANO"/>
    <d v="2024-02-27T00:00:00"/>
    <d v="1899-12-30T11:30:42"/>
    <n v="6.6"/>
  </r>
  <r>
    <s v="BRN409"/>
    <x v="141"/>
    <x v="459"/>
    <x v="1"/>
    <x v="1"/>
    <s v="URBANO"/>
    <d v="2024-02-27T00:00:00"/>
    <d v="1899-12-30T19:40:03"/>
    <n v="6.6"/>
  </r>
  <r>
    <s v="BRN409"/>
    <x v="141"/>
    <x v="460"/>
    <x v="1"/>
    <x v="1"/>
    <s v="URBANO"/>
    <d v="2024-02-28T00:00:00"/>
    <d v="1899-12-30T11:32:28"/>
    <n v="6.6"/>
  </r>
  <r>
    <s v="BRN409"/>
    <x v="141"/>
    <x v="460"/>
    <x v="1"/>
    <x v="1"/>
    <s v="URBANO"/>
    <d v="2024-02-28T00:00:00"/>
    <d v="1899-12-30T11:42:47"/>
    <n v="6.6"/>
  </r>
  <r>
    <s v="BRN409"/>
    <x v="141"/>
    <x v="461"/>
    <x v="1"/>
    <x v="1"/>
    <s v="URBANO"/>
    <d v="2024-02-29T00:00:00"/>
    <d v="1899-12-30T08:02:39"/>
    <n v="6.6"/>
  </r>
  <r>
    <s v="BRN409"/>
    <x v="141"/>
    <x v="461"/>
    <x v="1"/>
    <x v="1"/>
    <s v="URBANO"/>
    <d v="2024-02-29T00:00:00"/>
    <d v="1899-12-30T08:12:10"/>
    <n v="6.6"/>
  </r>
  <r>
    <s v="BRN409"/>
    <x v="141"/>
    <x v="462"/>
    <x v="1"/>
    <x v="1"/>
    <s v="URBANO"/>
    <d v="2024-02-29T00:00:00"/>
    <d v="1899-12-30T09:23:22"/>
    <n v="6.6"/>
  </r>
  <r>
    <s v="BRN409"/>
    <x v="141"/>
    <x v="462"/>
    <x v="1"/>
    <x v="1"/>
    <s v="URBANO"/>
    <d v="2024-02-29T00:00:00"/>
    <d v="1899-12-30T09:35:06"/>
    <n v="6.6"/>
  </r>
  <r>
    <s v="BRN409"/>
    <x v="141"/>
    <x v="463"/>
    <x v="0"/>
    <x v="1"/>
    <s v="URBANO"/>
    <d v="2024-02-29T00:00:00"/>
    <d v="1899-12-30T12:51:12"/>
    <n v="6.6"/>
  </r>
  <r>
    <s v="BRN409"/>
    <x v="141"/>
    <x v="463"/>
    <x v="0"/>
    <x v="1"/>
    <s v="URBANO"/>
    <d v="2024-02-29T00:00:00"/>
    <d v="1899-12-30T12:58:59"/>
    <n v="6.6"/>
  </r>
  <r>
    <s v="BWH315"/>
    <x v="142"/>
    <x v="464"/>
    <x v="1"/>
    <x v="0"/>
    <s v="AEROPUERTO"/>
    <d v="2024-02-26T00:00:00"/>
    <d v="1899-12-30T07:54:03"/>
    <n v="6.6"/>
  </r>
  <r>
    <s v="BWH315"/>
    <x v="142"/>
    <x v="464"/>
    <x v="1"/>
    <x v="0"/>
    <s v="AEROPUERTO"/>
    <d v="2024-02-26T00:00:00"/>
    <d v="1899-12-30T08:13:05"/>
    <n v="6.6"/>
  </r>
  <r>
    <s v="BWH315"/>
    <x v="142"/>
    <x v="2"/>
    <x v="2"/>
    <x v="0"/>
    <s v="AEROPUERTO"/>
    <d v="2024-02-26T00:00:00"/>
    <d v="1899-12-30T08:45:22"/>
    <n v="6.6"/>
  </r>
  <r>
    <s v="BWH315"/>
    <x v="142"/>
    <x v="2"/>
    <x v="2"/>
    <x v="0"/>
    <s v="AEROPUERTO"/>
    <d v="2024-02-26T00:00:00"/>
    <d v="1899-12-30T08:55:26"/>
    <n v="6.6"/>
  </r>
  <r>
    <s v="BWH315"/>
    <x v="142"/>
    <x v="465"/>
    <x v="1"/>
    <x v="0"/>
    <s v="AEROPUERTO"/>
    <d v="2024-02-26T00:00:00"/>
    <d v="1899-12-30T15:20:37"/>
    <n v="6.6"/>
  </r>
  <r>
    <s v="BWH315"/>
    <x v="142"/>
    <x v="466"/>
    <x v="1"/>
    <x v="0"/>
    <s v="AEROPUERTO"/>
    <d v="2024-02-27T00:00:00"/>
    <d v="1899-12-30T20:07:11"/>
    <n v="6.6"/>
  </r>
  <r>
    <s v="BWH315"/>
    <x v="142"/>
    <x v="466"/>
    <x v="1"/>
    <x v="0"/>
    <s v="AEROPUERTO"/>
    <d v="2024-02-27T00:00:00"/>
    <d v="1899-12-30T20:18:18"/>
    <n v="6.6"/>
  </r>
  <r>
    <s v="BWH315"/>
    <x v="142"/>
    <x v="467"/>
    <x v="1"/>
    <x v="0"/>
    <s v="AEROPUERTO"/>
    <d v="2024-02-29T00:00:00"/>
    <d v="1899-12-30T19:50:02"/>
    <n v="6.6"/>
  </r>
  <r>
    <s v="BWH315"/>
    <x v="142"/>
    <x v="467"/>
    <x v="1"/>
    <x v="0"/>
    <s v="AEROPUERTO"/>
    <d v="2024-02-29T00:00:00"/>
    <d v="1899-12-30T20:01:33"/>
    <n v="6.6"/>
  </r>
  <r>
    <s v="BWH315"/>
    <x v="142"/>
    <x v="2"/>
    <x v="2"/>
    <x v="0"/>
    <s v="AEROPUERTO"/>
    <d v="2024-02-29T00:00:00"/>
    <d v="1899-12-30T20:38:44"/>
    <n v="6.6"/>
  </r>
  <r>
    <s v="BWH315"/>
    <x v="142"/>
    <x v="2"/>
    <x v="2"/>
    <x v="0"/>
    <s v="AEROPUERTO"/>
    <d v="2024-02-29T00:00:00"/>
    <d v="1899-12-30T21:00:19"/>
    <n v="6.6"/>
  </r>
  <r>
    <s v="BTI683"/>
    <x v="143"/>
    <x v="468"/>
    <x v="1"/>
    <x v="0"/>
    <s v="AEROPUERTO"/>
    <d v="2024-02-26T00:00:00"/>
    <d v="1899-12-30T17:07:07"/>
    <n v="6.6"/>
  </r>
  <r>
    <s v="BTI683"/>
    <x v="143"/>
    <x v="468"/>
    <x v="1"/>
    <x v="0"/>
    <s v="AEROPUERTO"/>
    <d v="2024-02-26T00:00:00"/>
    <d v="1899-12-30T17:19:28"/>
    <n v="6.6"/>
  </r>
  <r>
    <s v="BTI683"/>
    <x v="143"/>
    <x v="2"/>
    <x v="2"/>
    <x v="0"/>
    <s v="AEROPUERTO"/>
    <d v="2024-02-26T00:00:00"/>
    <d v="1899-12-30T18:03:01"/>
    <n v="6.6"/>
  </r>
  <r>
    <s v="BTI683"/>
    <x v="143"/>
    <x v="2"/>
    <x v="2"/>
    <x v="0"/>
    <s v="AEROPUERTO"/>
    <d v="2024-02-26T00:00:00"/>
    <d v="1899-12-30T18:25:43"/>
    <n v="6.6"/>
  </r>
  <r>
    <s v="BTI683"/>
    <x v="143"/>
    <x v="469"/>
    <x v="1"/>
    <x v="0"/>
    <s v="AEROPUERTO"/>
    <d v="2024-02-29T00:00:00"/>
    <d v="1899-12-30T02:46:21"/>
    <n v="6.6"/>
  </r>
  <r>
    <s v="BTI683"/>
    <x v="143"/>
    <x v="469"/>
    <x v="1"/>
    <x v="0"/>
    <s v="AEROPUERTO"/>
    <d v="2024-02-29T00:00:00"/>
    <d v="1899-12-30T02:54:57"/>
    <n v="6.6"/>
  </r>
  <r>
    <s v="BTI683"/>
    <x v="143"/>
    <x v="470"/>
    <x v="3"/>
    <x v="0"/>
    <s v="AEROPUERTO"/>
    <d v="2024-02-29T00:00:00"/>
    <d v="1899-12-30T17:37:41"/>
    <n v="6.6"/>
  </r>
  <r>
    <s v="BTI683"/>
    <x v="143"/>
    <x v="470"/>
    <x v="3"/>
    <x v="0"/>
    <s v="AEROPUERTO"/>
    <d v="2024-02-29T00:00:00"/>
    <d v="1899-12-30T17:49:16"/>
    <n v="6.6"/>
  </r>
  <r>
    <s v="BTI683"/>
    <x v="143"/>
    <x v="2"/>
    <x v="2"/>
    <x v="0"/>
    <s v="AEROPUERTO"/>
    <d v="2024-02-29T00:00:00"/>
    <d v="1899-12-30T18:17:45"/>
    <n v="6.6"/>
  </r>
  <r>
    <s v="BTI683"/>
    <x v="143"/>
    <x v="2"/>
    <x v="2"/>
    <x v="0"/>
    <s v="AEROPUERTO"/>
    <d v="2024-02-29T00:00:00"/>
    <d v="1899-12-30T18:47:15"/>
    <n v="6.6"/>
  </r>
  <r>
    <s v="BBE631"/>
    <x v="144"/>
    <x v="2"/>
    <x v="2"/>
    <x v="0"/>
    <s v="AEROPUERTO"/>
    <d v="2024-02-26T00:00:00"/>
    <d v="1899-12-30T03:44:36"/>
    <n v="6.6"/>
  </r>
  <r>
    <s v="BBE631"/>
    <x v="144"/>
    <x v="2"/>
    <x v="2"/>
    <x v="0"/>
    <s v="AEROPUERTO"/>
    <d v="2024-02-26T00:00:00"/>
    <d v="1899-12-30T03:51:17"/>
    <n v="6.6"/>
  </r>
  <r>
    <s v="BBE631"/>
    <x v="144"/>
    <x v="2"/>
    <x v="2"/>
    <x v="0"/>
    <s v="AEROPUERTO"/>
    <d v="2024-02-26T00:00:00"/>
    <d v="1899-12-30T05:16:19"/>
    <n v="6.6"/>
  </r>
  <r>
    <s v="BBE631"/>
    <x v="144"/>
    <x v="2"/>
    <x v="2"/>
    <x v="0"/>
    <s v="AEROPUERTO"/>
    <d v="2024-02-26T00:00:00"/>
    <d v="1899-12-30T05:27:39"/>
    <n v="6.6"/>
  </r>
  <r>
    <s v="BBE631"/>
    <x v="144"/>
    <x v="2"/>
    <x v="2"/>
    <x v="0"/>
    <s v="AEROPUERTO"/>
    <d v="2024-02-26T00:00:00"/>
    <d v="1899-12-30T15:01:50"/>
    <n v="6.6"/>
  </r>
  <r>
    <s v="BBE631"/>
    <x v="144"/>
    <x v="471"/>
    <x v="1"/>
    <x v="0"/>
    <s v="AEROPUERTO"/>
    <d v="2024-02-26T00:00:00"/>
    <d v="1899-12-30T20:11:05"/>
    <n v="6.6"/>
  </r>
  <r>
    <s v="BBE631"/>
    <x v="144"/>
    <x v="471"/>
    <x v="1"/>
    <x v="0"/>
    <s v="AEROPUERTO"/>
    <d v="2024-02-26T00:00:00"/>
    <d v="1899-12-30T20:21:59"/>
    <n v="6.6"/>
  </r>
  <r>
    <s v="BBE631"/>
    <x v="144"/>
    <x v="2"/>
    <x v="2"/>
    <x v="0"/>
    <s v="AEROPUERTO"/>
    <d v="2024-02-26T00:00:00"/>
    <d v="1899-12-30T22:00:22"/>
    <n v="6.6"/>
  </r>
  <r>
    <s v="BBE631"/>
    <x v="144"/>
    <x v="472"/>
    <x v="3"/>
    <x v="0"/>
    <s v="AEROPUERTO"/>
    <d v="2024-02-27T00:00:00"/>
    <d v="1899-12-30T03:10:33"/>
    <n v="6.6"/>
  </r>
  <r>
    <s v="BBE631"/>
    <x v="144"/>
    <x v="472"/>
    <x v="3"/>
    <x v="0"/>
    <s v="AEROPUERTO"/>
    <d v="2024-02-27T00:00:00"/>
    <d v="1899-12-30T03:59:30"/>
    <n v="6.6"/>
  </r>
  <r>
    <s v="BBE631"/>
    <x v="144"/>
    <x v="472"/>
    <x v="1"/>
    <x v="0"/>
    <s v="AEROPUERTO"/>
    <d v="2024-02-27T00:00:00"/>
    <d v="1899-12-30T04:51:43"/>
    <n v="6.6"/>
  </r>
  <r>
    <s v="BBE631"/>
    <x v="144"/>
    <x v="472"/>
    <x v="1"/>
    <x v="0"/>
    <s v="AEROPUERTO"/>
    <d v="2024-02-27T00:00:00"/>
    <d v="1899-12-30T04:55:31"/>
    <n v="6.6"/>
  </r>
  <r>
    <s v="BBE631"/>
    <x v="144"/>
    <x v="2"/>
    <x v="2"/>
    <x v="0"/>
    <s v="AEROPUERTO"/>
    <d v="2024-02-27T00:00:00"/>
    <d v="1899-12-30T08:24:07"/>
    <n v="6.6"/>
  </r>
  <r>
    <s v="BBE631"/>
    <x v="144"/>
    <x v="2"/>
    <x v="2"/>
    <x v="0"/>
    <s v="AEROPUERTO"/>
    <d v="2024-02-27T00:00:00"/>
    <d v="1899-12-30T08:39:39"/>
    <n v="6.6"/>
  </r>
  <r>
    <s v="BBE631"/>
    <x v="144"/>
    <x v="2"/>
    <x v="2"/>
    <x v="0"/>
    <s v="AEROPUERTO"/>
    <d v="2024-02-27T00:00:00"/>
    <d v="1899-12-30T11:36:33"/>
    <n v="6.6"/>
  </r>
  <r>
    <s v="BBE631"/>
    <x v="144"/>
    <x v="2"/>
    <x v="2"/>
    <x v="0"/>
    <s v="AEROPUERTO"/>
    <d v="2024-02-27T00:00:00"/>
    <d v="1899-12-30T11:47:24"/>
    <n v="6.6"/>
  </r>
  <r>
    <s v="BBE631"/>
    <x v="144"/>
    <x v="2"/>
    <x v="2"/>
    <x v="0"/>
    <s v="AEROPUERTO"/>
    <d v="2024-02-27T00:00:00"/>
    <d v="1899-12-30T15:18:19"/>
    <n v="6.6"/>
  </r>
  <r>
    <s v="BBE631"/>
    <x v="144"/>
    <x v="473"/>
    <x v="1"/>
    <x v="0"/>
    <s v="AEROPUERTO"/>
    <d v="2024-02-28T00:00:00"/>
    <d v="1899-12-30T06:42:13"/>
    <n v="6.6"/>
  </r>
  <r>
    <s v="BBE631"/>
    <x v="144"/>
    <x v="474"/>
    <x v="1"/>
    <x v="0"/>
    <s v="AEROPUERTO"/>
    <d v="2024-02-28T00:00:00"/>
    <d v="1899-12-30T15:51:57"/>
    <n v="6.6"/>
  </r>
  <r>
    <s v="BBE631"/>
    <x v="144"/>
    <x v="474"/>
    <x v="1"/>
    <x v="0"/>
    <s v="AEROPUERTO"/>
    <d v="2024-02-28T00:00:00"/>
    <d v="1899-12-30T16:00:37"/>
    <n v="6.6"/>
  </r>
  <r>
    <s v="BBE631"/>
    <x v="144"/>
    <x v="2"/>
    <x v="2"/>
    <x v="0"/>
    <s v="AEROPUERTO"/>
    <d v="2024-02-28T00:00:00"/>
    <d v="1899-12-30T19:52:21"/>
    <n v="6.6"/>
  </r>
  <r>
    <s v="BBE631"/>
    <x v="144"/>
    <x v="2"/>
    <x v="2"/>
    <x v="0"/>
    <s v="AEROPUERTO"/>
    <d v="2024-02-28T00:00:00"/>
    <d v="1899-12-30T20:11:53"/>
    <n v="6.6"/>
  </r>
  <r>
    <s v="BBE631"/>
    <x v="144"/>
    <x v="2"/>
    <x v="2"/>
    <x v="0"/>
    <s v="AEROPUERTO"/>
    <d v="2024-02-29T00:00:00"/>
    <d v="1899-12-30T16:17:48"/>
    <n v="6.6"/>
  </r>
  <r>
    <s v="BBE631"/>
    <x v="144"/>
    <x v="2"/>
    <x v="2"/>
    <x v="0"/>
    <s v="AEROPUERTO"/>
    <d v="2024-02-29T00:00:00"/>
    <d v="1899-12-30T16:29:58"/>
    <n v="6.6"/>
  </r>
  <r>
    <s v="BBE631"/>
    <x v="144"/>
    <x v="475"/>
    <x v="1"/>
    <x v="0"/>
    <s v="AEROPUERTO"/>
    <d v="2024-02-29T00:00:00"/>
    <d v="1899-12-30T19:52:01"/>
    <n v="6.6"/>
  </r>
  <r>
    <s v="BBE631"/>
    <x v="144"/>
    <x v="475"/>
    <x v="1"/>
    <x v="0"/>
    <s v="AEROPUERTO"/>
    <d v="2024-02-29T00:00:00"/>
    <d v="1899-12-30T20:17:34"/>
    <n v="6.6"/>
  </r>
  <r>
    <s v="BBE631"/>
    <x v="144"/>
    <x v="476"/>
    <x v="1"/>
    <x v="0"/>
    <s v="AEROPUERTO"/>
    <d v="2024-02-29T00:00:00"/>
    <d v="1899-12-30T21:16:16"/>
    <n v="6.6"/>
  </r>
  <r>
    <s v="BBE631"/>
    <x v="144"/>
    <x v="476"/>
    <x v="1"/>
    <x v="0"/>
    <s v="AEROPUERTO"/>
    <d v="2024-02-29T00:00:00"/>
    <d v="1899-12-30T21:26:34"/>
    <n v="6.6"/>
  </r>
  <r>
    <s v="BNE400"/>
    <x v="145"/>
    <x v="2"/>
    <x v="2"/>
    <x v="0"/>
    <s v="AEROPUERTO"/>
    <d v="2024-02-26T00:00:00"/>
    <d v="1899-12-30T15:55:54"/>
    <n v="6.6"/>
  </r>
  <r>
    <s v="BNE400"/>
    <x v="145"/>
    <x v="2"/>
    <x v="2"/>
    <x v="0"/>
    <s v="AEROPUERTO"/>
    <d v="2024-02-26T00:00:00"/>
    <d v="1899-12-30T16:03:59"/>
    <n v="6.6"/>
  </r>
  <r>
    <s v="BNE400"/>
    <x v="145"/>
    <x v="477"/>
    <x v="1"/>
    <x v="0"/>
    <s v="AEROPUERTO"/>
    <d v="2024-02-26T00:00:00"/>
    <d v="1899-12-30T21:40:44"/>
    <n v="6.6"/>
  </r>
  <r>
    <s v="BNE400"/>
    <x v="145"/>
    <x v="2"/>
    <x v="2"/>
    <x v="0"/>
    <s v="AEROPUERTO"/>
    <d v="2024-02-26T00:00:00"/>
    <d v="1899-12-30T22:24:08"/>
    <n v="6.6"/>
  </r>
  <r>
    <s v="BNE400"/>
    <x v="145"/>
    <x v="478"/>
    <x v="1"/>
    <x v="0"/>
    <s v="AEROPUERTO"/>
    <d v="2024-02-27T00:00:00"/>
    <d v="1899-12-30T15:55:51"/>
    <n v="6.6"/>
  </r>
  <r>
    <s v="BNE400"/>
    <x v="145"/>
    <x v="2"/>
    <x v="2"/>
    <x v="0"/>
    <s v="AEROPUERTO"/>
    <d v="2024-02-27T00:00:00"/>
    <d v="1899-12-30T16:27:56"/>
    <n v="6.6"/>
  </r>
  <r>
    <s v="BNE400"/>
    <x v="145"/>
    <x v="2"/>
    <x v="2"/>
    <x v="0"/>
    <s v="AEROPUERTO"/>
    <d v="2024-02-27T00:00:00"/>
    <d v="1899-12-30T16:37:29"/>
    <n v="6.6"/>
  </r>
  <r>
    <s v="BNE400"/>
    <x v="145"/>
    <x v="479"/>
    <x v="1"/>
    <x v="0"/>
    <s v="AEROPUERTO"/>
    <d v="2024-02-27T00:00:00"/>
    <d v="1899-12-30T20:16:51"/>
    <n v="6.6"/>
  </r>
  <r>
    <s v="BNE400"/>
    <x v="145"/>
    <x v="479"/>
    <x v="1"/>
    <x v="0"/>
    <s v="AEROPUERTO"/>
    <d v="2024-02-27T00:00:00"/>
    <d v="1899-12-30T20:27:15"/>
    <n v="6.6"/>
  </r>
  <r>
    <s v="BNE400"/>
    <x v="145"/>
    <x v="480"/>
    <x v="1"/>
    <x v="0"/>
    <s v="AEROPUERTO"/>
    <d v="2024-02-27T00:00:00"/>
    <d v="1899-12-30T22:17:00"/>
    <n v="6.6"/>
  </r>
  <r>
    <s v="BNE400"/>
    <x v="145"/>
    <x v="480"/>
    <x v="1"/>
    <x v="0"/>
    <s v="AEROPUERTO"/>
    <d v="2024-02-27T00:00:00"/>
    <d v="1899-12-30T22:27:46"/>
    <n v="6.6"/>
  </r>
  <r>
    <s v="BNE400"/>
    <x v="145"/>
    <x v="2"/>
    <x v="2"/>
    <x v="0"/>
    <s v="AEROPUERTO"/>
    <d v="2024-02-27T00:00:00"/>
    <d v="1899-12-30T22:56:44"/>
    <n v="6.6"/>
  </r>
  <r>
    <s v="BNE400"/>
    <x v="145"/>
    <x v="2"/>
    <x v="2"/>
    <x v="0"/>
    <s v="AEROPUERTO"/>
    <d v="2024-02-27T00:00:00"/>
    <d v="1899-12-30T23:05:13"/>
    <n v="6.6"/>
  </r>
  <r>
    <s v="BNE400"/>
    <x v="145"/>
    <x v="2"/>
    <x v="2"/>
    <x v="0"/>
    <s v="AEROPUERTO"/>
    <d v="2024-02-28T00:00:00"/>
    <d v="1899-12-30T13:02:12"/>
    <n v="6.6"/>
  </r>
  <r>
    <s v="BNE400"/>
    <x v="145"/>
    <x v="2"/>
    <x v="2"/>
    <x v="0"/>
    <s v="AEROPUERTO"/>
    <d v="2024-02-28T00:00:00"/>
    <d v="1899-12-30T13:13:39"/>
    <n v="6.6"/>
  </r>
  <r>
    <s v="BNE400"/>
    <x v="145"/>
    <x v="2"/>
    <x v="2"/>
    <x v="0"/>
    <s v="AEROPUERTO"/>
    <d v="2024-02-29T00:00:00"/>
    <d v="1899-12-30T17:25:15"/>
    <n v="6.6"/>
  </r>
  <r>
    <s v="BNE400"/>
    <x v="145"/>
    <x v="2"/>
    <x v="2"/>
    <x v="0"/>
    <s v="AEROPUERTO"/>
    <d v="2024-02-29T00:00:00"/>
    <d v="1899-12-30T17:46:05"/>
    <n v="6.6"/>
  </r>
  <r>
    <s v="BNE400"/>
    <x v="145"/>
    <x v="481"/>
    <x v="1"/>
    <x v="0"/>
    <s v="AEROPUERTO"/>
    <d v="2024-02-29T00:00:00"/>
    <d v="1899-12-30T18:49:26"/>
    <n v="6.6"/>
  </r>
  <r>
    <s v="BNE400"/>
    <x v="145"/>
    <x v="481"/>
    <x v="1"/>
    <x v="0"/>
    <s v="AEROPUERTO"/>
    <d v="2024-02-29T00:00:00"/>
    <d v="1899-12-30T19:02:06"/>
    <n v="6.6"/>
  </r>
  <r>
    <s v="BLO648"/>
    <x v="146"/>
    <x v="482"/>
    <x v="1"/>
    <x v="0"/>
    <s v="AEROPUERTO"/>
    <d v="2024-02-26T00:00:00"/>
    <d v="1899-12-30T06:16:04"/>
    <n v="6.6"/>
  </r>
  <r>
    <s v="BLO648"/>
    <x v="146"/>
    <x v="482"/>
    <x v="1"/>
    <x v="0"/>
    <s v="AEROPUERTO"/>
    <d v="2024-02-26T00:00:00"/>
    <d v="1899-12-30T06:25:15"/>
    <n v="6.6"/>
  </r>
  <r>
    <s v="BLO648"/>
    <x v="146"/>
    <x v="483"/>
    <x v="1"/>
    <x v="0"/>
    <s v="AEROPUERTO"/>
    <d v="2024-02-29T00:00:00"/>
    <d v="1899-12-30T22:31:39"/>
    <n v="6.6"/>
  </r>
  <r>
    <s v="BLO648"/>
    <x v="146"/>
    <x v="483"/>
    <x v="1"/>
    <x v="0"/>
    <s v="AEROPUERTO"/>
    <d v="2024-02-29T00:00:00"/>
    <d v="1899-12-30T22:40:45"/>
    <n v="6.6"/>
  </r>
  <r>
    <s v="BLO648"/>
    <x v="146"/>
    <x v="2"/>
    <x v="2"/>
    <x v="0"/>
    <s v="AEROPUERTO"/>
    <d v="2024-02-29T00:00:00"/>
    <d v="1899-12-30T23:01:44"/>
    <n v="6.6"/>
  </r>
  <r>
    <s v="BLO648"/>
    <x v="146"/>
    <x v="2"/>
    <x v="2"/>
    <x v="0"/>
    <s v="AEROPUERTO"/>
    <d v="2024-02-29T00:00:00"/>
    <d v="1899-12-30T23:08:51"/>
    <n v="6.6"/>
  </r>
  <r>
    <s v="BVN021"/>
    <x v="147"/>
    <x v="2"/>
    <x v="2"/>
    <x v="0"/>
    <s v="AEROPUERTO"/>
    <d v="2024-02-27T00:00:00"/>
    <d v="1899-12-30T11:15:41"/>
    <n v="6.6"/>
  </r>
  <r>
    <s v="BVN021"/>
    <x v="147"/>
    <x v="2"/>
    <x v="2"/>
    <x v="0"/>
    <s v="AEROPUERTO"/>
    <d v="2024-02-27T00:00:00"/>
    <d v="1899-12-30T12:35:10"/>
    <n v="6.6"/>
  </r>
  <r>
    <s v="BVN021"/>
    <x v="147"/>
    <x v="484"/>
    <x v="1"/>
    <x v="0"/>
    <s v="AEROPUERTO"/>
    <d v="2024-02-27T00:00:00"/>
    <d v="1899-12-30T17:56:13"/>
    <n v="6.6"/>
  </r>
  <r>
    <s v="BVN021"/>
    <x v="147"/>
    <x v="484"/>
    <x v="1"/>
    <x v="0"/>
    <s v="AEROPUERTO"/>
    <d v="2024-02-27T00:00:00"/>
    <d v="1899-12-30T18:09:44"/>
    <n v="6.6"/>
  </r>
  <r>
    <s v="BVN021"/>
    <x v="147"/>
    <x v="485"/>
    <x v="1"/>
    <x v="0"/>
    <s v="AEROPUERTO"/>
    <d v="2024-02-27T00:00:00"/>
    <d v="1899-12-30T19:17:34"/>
    <n v="6.6"/>
  </r>
  <r>
    <s v="BVN021"/>
    <x v="147"/>
    <x v="2"/>
    <x v="2"/>
    <x v="0"/>
    <s v="AEROPUERTO"/>
    <d v="2024-02-28T00:00:00"/>
    <d v="1899-12-30T14:07:38"/>
    <n v="6.6"/>
  </r>
  <r>
    <s v="BVN021"/>
    <x v="147"/>
    <x v="486"/>
    <x v="3"/>
    <x v="0"/>
    <s v="AEROPUERTO"/>
    <d v="2024-02-28T00:00:00"/>
    <d v="1899-12-30T23:39:15"/>
    <n v="6.6"/>
  </r>
  <r>
    <s v="BVN021"/>
    <x v="147"/>
    <x v="487"/>
    <x v="1"/>
    <x v="0"/>
    <s v="AEROPUERTO"/>
    <d v="2024-02-29T00:00:00"/>
    <d v="1899-12-30T19:17:05"/>
    <n v="6.6"/>
  </r>
  <r>
    <s v="BVN021"/>
    <x v="147"/>
    <x v="487"/>
    <x v="1"/>
    <x v="0"/>
    <s v="AEROPUERTO"/>
    <d v="2024-02-29T00:00:00"/>
    <d v="1899-12-30T19:28:33"/>
    <n v="6.6"/>
  </r>
  <r>
    <s v="A7R568"/>
    <x v="148"/>
    <x v="488"/>
    <x v="3"/>
    <x v="0"/>
    <s v="AEROPUERTO"/>
    <d v="2024-02-26T00:00:00"/>
    <d v="1899-12-30T02:17:05"/>
    <n v="6.6"/>
  </r>
  <r>
    <s v="A7R568"/>
    <x v="148"/>
    <x v="488"/>
    <x v="1"/>
    <x v="0"/>
    <s v="AEROPUERTO"/>
    <d v="2024-02-26T00:00:00"/>
    <d v="1899-12-30T02:58:21"/>
    <n v="6.6"/>
  </r>
  <r>
    <s v="A7R568"/>
    <x v="148"/>
    <x v="488"/>
    <x v="1"/>
    <x v="0"/>
    <s v="AEROPUERTO"/>
    <d v="2024-02-26T00:00:00"/>
    <d v="1899-12-30T03:01:41"/>
    <n v="6.6"/>
  </r>
  <r>
    <s v="A7R568"/>
    <x v="148"/>
    <x v="2"/>
    <x v="2"/>
    <x v="0"/>
    <s v="AEROPUERTO"/>
    <d v="2024-02-27T00:00:00"/>
    <d v="1899-12-30T07:40:10"/>
    <n v="6.6"/>
  </r>
  <r>
    <s v="A7R568"/>
    <x v="148"/>
    <x v="489"/>
    <x v="1"/>
    <x v="0"/>
    <s v="AEROPUERTO"/>
    <d v="2024-02-27T00:00:00"/>
    <d v="1899-12-30T14:21:00"/>
    <n v="6.6"/>
  </r>
  <r>
    <s v="A7R568"/>
    <x v="148"/>
    <x v="490"/>
    <x v="1"/>
    <x v="0"/>
    <s v="AEROPUERTO"/>
    <d v="2024-02-27T00:00:00"/>
    <d v="1899-12-30T15:11:37"/>
    <n v="6.6"/>
  </r>
  <r>
    <s v="A7R568"/>
    <x v="148"/>
    <x v="490"/>
    <x v="1"/>
    <x v="0"/>
    <s v="AEROPUERTO"/>
    <d v="2024-02-27T00:00:00"/>
    <d v="1899-12-30T15:19:24"/>
    <n v="6.6"/>
  </r>
  <r>
    <s v="A7R568"/>
    <x v="148"/>
    <x v="2"/>
    <x v="2"/>
    <x v="0"/>
    <s v="AEROPUERTO"/>
    <d v="2024-02-28T00:00:00"/>
    <d v="1899-12-30T10:18:29"/>
    <n v="6.6"/>
  </r>
  <r>
    <s v="A7R568"/>
    <x v="148"/>
    <x v="2"/>
    <x v="2"/>
    <x v="0"/>
    <s v="AEROPUERTO"/>
    <d v="2024-02-29T00:00:00"/>
    <d v="1899-12-30T10:00:32"/>
    <n v="6.6"/>
  </r>
  <r>
    <s v="BPK461"/>
    <x v="149"/>
    <x v="2"/>
    <x v="2"/>
    <x v="1"/>
    <s v="URBANO"/>
    <d v="2024-02-27T00:00:00"/>
    <d v="1899-12-30T05:19:43"/>
    <n v="6.6"/>
  </r>
  <r>
    <s v="BPK461"/>
    <x v="149"/>
    <x v="2"/>
    <x v="2"/>
    <x v="1"/>
    <s v="URBANO"/>
    <d v="2024-02-27T00:00:00"/>
    <d v="1899-12-30T05:27:13"/>
    <n v="6.6"/>
  </r>
  <r>
    <s v="BPK461"/>
    <x v="149"/>
    <x v="2"/>
    <x v="2"/>
    <x v="1"/>
    <s v="URBANO"/>
    <d v="2024-02-28T00:00:00"/>
    <d v="1899-12-30T02:08:35"/>
    <n v="6.6"/>
  </r>
  <r>
    <s v="BPK461"/>
    <x v="149"/>
    <x v="2"/>
    <x v="2"/>
    <x v="1"/>
    <s v="URBANO"/>
    <d v="2024-02-28T00:00:00"/>
    <d v="1899-12-30T02:14:59"/>
    <n v="6.6"/>
  </r>
  <r>
    <s v="BAC609"/>
    <x v="150"/>
    <x v="491"/>
    <x v="1"/>
    <x v="0"/>
    <s v="AEROPUERTO"/>
    <d v="2024-02-27T00:00:00"/>
    <d v="1899-12-30T23:55:06"/>
    <n v="6.6"/>
  </r>
  <r>
    <s v="BAC609"/>
    <x v="150"/>
    <x v="491"/>
    <x v="1"/>
    <x v="0"/>
    <s v="AEROPUERTO"/>
    <d v="2024-02-28T00:00:00"/>
    <d v="1899-12-30T00:06:14"/>
    <n v="6.6"/>
  </r>
  <r>
    <s v="BAC609"/>
    <x v="150"/>
    <x v="492"/>
    <x v="1"/>
    <x v="0"/>
    <s v="AEROPUERTO"/>
    <d v="2024-02-28T00:00:00"/>
    <d v="1899-12-30T05:16:58"/>
    <n v="6.6"/>
  </r>
  <r>
    <s v="BAC609"/>
    <x v="150"/>
    <x v="492"/>
    <x v="1"/>
    <x v="0"/>
    <s v="AEROPUERTO"/>
    <d v="2024-02-28T00:00:00"/>
    <d v="1899-12-30T05:24:04"/>
    <n v="6.6"/>
  </r>
  <r>
    <s v="BAC609"/>
    <x v="150"/>
    <x v="2"/>
    <x v="2"/>
    <x v="0"/>
    <s v="AEROPUERTO"/>
    <d v="2024-02-28T00:00:00"/>
    <d v="1899-12-30T06:45:48"/>
    <n v="6.6"/>
  </r>
  <r>
    <s v="BAC609"/>
    <x v="150"/>
    <x v="493"/>
    <x v="1"/>
    <x v="0"/>
    <s v="AEROPUERTO"/>
    <d v="2024-02-29T00:00:00"/>
    <d v="1899-12-30T01:37:50"/>
    <n v="6.6"/>
  </r>
  <r>
    <s v="BAC609"/>
    <x v="150"/>
    <x v="494"/>
    <x v="1"/>
    <x v="0"/>
    <s v="AEROPUERTO"/>
    <d v="2024-02-29T00:00:00"/>
    <d v="1899-12-30T06:34:19"/>
    <n v="6.6"/>
  </r>
  <r>
    <s v="BAC609"/>
    <x v="150"/>
    <x v="494"/>
    <x v="1"/>
    <x v="0"/>
    <s v="AEROPUERTO"/>
    <d v="2024-02-29T00:00:00"/>
    <d v="1899-12-30T06:42:54"/>
    <n v="6.6"/>
  </r>
  <r>
    <s v="CHT200"/>
    <x v="151"/>
    <x v="495"/>
    <x v="1"/>
    <x v="0"/>
    <s v="AEROPUERTO"/>
    <d v="2024-02-26T00:00:00"/>
    <d v="1899-12-30T06:07:13"/>
    <n v="6.6"/>
  </r>
  <r>
    <s v="CHT200"/>
    <x v="151"/>
    <x v="495"/>
    <x v="1"/>
    <x v="0"/>
    <s v="AEROPUERTO"/>
    <d v="2024-02-26T00:00:00"/>
    <d v="1899-12-30T06:14:02"/>
    <n v="6.6"/>
  </r>
  <r>
    <s v="BZB095"/>
    <x v="152"/>
    <x v="496"/>
    <x v="1"/>
    <x v="0"/>
    <s v="AEROPUERTO"/>
    <d v="2024-02-29T00:00:00"/>
    <d v="1899-12-30T02:02:20"/>
    <n v="6.6"/>
  </r>
  <r>
    <s v="BZB095"/>
    <x v="152"/>
    <x v="496"/>
    <x v="1"/>
    <x v="0"/>
    <s v="AEROPUERTO"/>
    <d v="2024-02-29T00:00:00"/>
    <d v="1899-12-30T02:15:18"/>
    <n v="6.6"/>
  </r>
  <r>
    <s v="BZB095"/>
    <x v="152"/>
    <x v="2"/>
    <x v="2"/>
    <x v="0"/>
    <s v="AEROPUERTO"/>
    <d v="2024-02-29T00:00:00"/>
    <d v="1899-12-30T03:40:41"/>
    <n v="6.6"/>
  </r>
  <r>
    <s v="BZB095"/>
    <x v="152"/>
    <x v="2"/>
    <x v="2"/>
    <x v="0"/>
    <s v="AEROPUERTO"/>
    <d v="2024-02-29T00:00:00"/>
    <d v="1899-12-30T03:53:11"/>
    <n v="6.6"/>
  </r>
  <r>
    <s v="BZB095"/>
    <x v="152"/>
    <x v="2"/>
    <x v="2"/>
    <x v="0"/>
    <s v="AEROPUERTO"/>
    <d v="2024-02-29T00:00:00"/>
    <d v="1899-12-30T21:36:09"/>
    <n v="6.6"/>
  </r>
  <r>
    <s v="BWJ350"/>
    <x v="153"/>
    <x v="497"/>
    <x v="1"/>
    <x v="0"/>
    <s v="AEROPUERTO"/>
    <d v="2024-02-29T00:00:00"/>
    <d v="1899-12-30T16:17:33"/>
    <n v="6.6"/>
  </r>
  <r>
    <s v="BWJ350"/>
    <x v="153"/>
    <x v="497"/>
    <x v="1"/>
    <x v="0"/>
    <s v="AEROPUERTO"/>
    <d v="2024-02-29T00:00:00"/>
    <d v="1899-12-30T16:28:10"/>
    <n v="6.6"/>
  </r>
  <r>
    <s v="BWJ350"/>
    <x v="153"/>
    <x v="2"/>
    <x v="2"/>
    <x v="0"/>
    <s v="AEROPUERTO"/>
    <d v="2024-02-29T00:00:00"/>
    <d v="1899-12-30T17:20:27"/>
    <n v="6.6"/>
  </r>
  <r>
    <s v="BEF620"/>
    <x v="154"/>
    <x v="498"/>
    <x v="1"/>
    <x v="0"/>
    <s v="AEROPUERTO"/>
    <d v="2024-02-26T00:00:00"/>
    <d v="1899-12-30T07:37:19"/>
    <n v="6.6"/>
  </r>
  <r>
    <s v="BEF620"/>
    <x v="154"/>
    <x v="498"/>
    <x v="1"/>
    <x v="0"/>
    <s v="AEROPUERTO"/>
    <d v="2024-02-26T00:00:00"/>
    <d v="1899-12-30T07:53:14"/>
    <n v="6.6"/>
  </r>
  <r>
    <s v="BEF620"/>
    <x v="154"/>
    <x v="499"/>
    <x v="1"/>
    <x v="0"/>
    <s v="AEROPUERTO"/>
    <d v="2024-02-29T00:00:00"/>
    <d v="1899-12-30T04:04:48"/>
    <n v="6.6"/>
  </r>
  <r>
    <s v="BEF620"/>
    <x v="154"/>
    <x v="499"/>
    <x v="1"/>
    <x v="0"/>
    <s v="AEROPUERTO"/>
    <d v="2024-02-29T00:00:00"/>
    <d v="1899-12-30T04:12:17"/>
    <n v="6.6"/>
  </r>
  <r>
    <s v="BJF390"/>
    <x v="155"/>
    <x v="2"/>
    <x v="2"/>
    <x v="0"/>
    <s v="AEROPUERTO"/>
    <d v="2024-02-29T00:00:00"/>
    <d v="1899-12-30T14:57:57"/>
    <n v="6.6"/>
  </r>
  <r>
    <s v="CAE456"/>
    <x v="156"/>
    <x v="500"/>
    <x v="1"/>
    <x v="0"/>
    <s v="AEROPUERTO"/>
    <d v="2024-02-26T00:00:00"/>
    <d v="1899-12-30T20:38:31"/>
    <n v="6.6"/>
  </r>
  <r>
    <s v="CAE456"/>
    <x v="156"/>
    <x v="2"/>
    <x v="2"/>
    <x v="0"/>
    <s v="AEROPUERTO"/>
    <d v="2024-02-26T00:00:00"/>
    <d v="1899-12-30T21:20:48"/>
    <n v="6.6"/>
  </r>
  <r>
    <s v="CAE456"/>
    <x v="156"/>
    <x v="2"/>
    <x v="2"/>
    <x v="0"/>
    <s v="AEROPUERTO"/>
    <d v="2024-02-26T00:00:00"/>
    <d v="1899-12-30T21:30:18"/>
    <n v="6.6"/>
  </r>
  <r>
    <s v="CAE456"/>
    <x v="156"/>
    <x v="501"/>
    <x v="1"/>
    <x v="0"/>
    <s v="AEROPUERTO"/>
    <d v="2024-02-27T00:00:00"/>
    <d v="1899-12-30T08:08:43"/>
    <n v="6.6"/>
  </r>
  <r>
    <s v="CAE456"/>
    <x v="156"/>
    <x v="501"/>
    <x v="1"/>
    <x v="0"/>
    <s v="AEROPUERTO"/>
    <d v="2024-02-27T00:00:00"/>
    <d v="1899-12-30T08:21:18"/>
    <n v="6.6"/>
  </r>
  <r>
    <s v="CAE456"/>
    <x v="156"/>
    <x v="502"/>
    <x v="1"/>
    <x v="0"/>
    <s v="AEROPUERTO"/>
    <d v="2024-02-27T00:00:00"/>
    <d v="1899-12-30T22:04:38"/>
    <n v="6.6"/>
  </r>
  <r>
    <s v="CAE456"/>
    <x v="156"/>
    <x v="502"/>
    <x v="3"/>
    <x v="0"/>
    <s v="AEROPUERTO"/>
    <d v="2024-02-27T00:00:00"/>
    <d v="1899-12-30T22:14:10"/>
    <n v="6.6"/>
  </r>
  <r>
    <s v="CEP209"/>
    <x v="157"/>
    <x v="503"/>
    <x v="1"/>
    <x v="0"/>
    <s v="AEROPUERTO"/>
    <d v="2024-02-26T00:00:00"/>
    <d v="1899-12-30T20:13:14"/>
    <n v="6.6"/>
  </r>
  <r>
    <s v="CEP209"/>
    <x v="157"/>
    <x v="504"/>
    <x v="1"/>
    <x v="0"/>
    <s v="AEROPUERTO"/>
    <d v="2024-02-27T00:00:00"/>
    <d v="1899-12-30T22:56:55"/>
    <n v="6.6"/>
  </r>
  <r>
    <s v="CEP209"/>
    <x v="157"/>
    <x v="504"/>
    <x v="1"/>
    <x v="0"/>
    <s v="AEROPUERTO"/>
    <d v="2024-02-27T00:00:00"/>
    <d v="1899-12-30T23:06:44"/>
    <n v="6.6"/>
  </r>
  <r>
    <s v="CEP209"/>
    <x v="157"/>
    <x v="2"/>
    <x v="2"/>
    <x v="0"/>
    <s v="AEROPUERTO"/>
    <d v="2024-02-27T00:00:00"/>
    <d v="1899-12-30T23:49:32"/>
    <n v="6.6"/>
  </r>
  <r>
    <s v="CEP209"/>
    <x v="157"/>
    <x v="2"/>
    <x v="2"/>
    <x v="0"/>
    <s v="AEROPUERTO"/>
    <d v="2024-02-27T00:00:00"/>
    <d v="1899-12-30T23:57:01"/>
    <n v="6.6"/>
  </r>
  <r>
    <s v="CEP209"/>
    <x v="157"/>
    <x v="505"/>
    <x v="1"/>
    <x v="0"/>
    <s v="AEROPUERTO"/>
    <d v="2024-02-29T00:00:00"/>
    <d v="1899-12-30T12:05:03"/>
    <n v="6.6"/>
  </r>
  <r>
    <s v="CEP209"/>
    <x v="157"/>
    <x v="505"/>
    <x v="1"/>
    <x v="0"/>
    <s v="AEROPUERTO"/>
    <d v="2024-02-29T00:00:00"/>
    <d v="1899-12-30T12:16:54"/>
    <n v="6.6"/>
  </r>
  <r>
    <s v="CEP209"/>
    <x v="157"/>
    <x v="2"/>
    <x v="2"/>
    <x v="0"/>
    <s v="AEROPUERTO"/>
    <d v="2024-02-29T00:00:00"/>
    <d v="1899-12-30T17:48:27"/>
    <n v="6.6"/>
  </r>
  <r>
    <s v="CEP209"/>
    <x v="157"/>
    <x v="506"/>
    <x v="1"/>
    <x v="0"/>
    <s v="AEROPUERTO"/>
    <d v="2024-02-29T00:00:00"/>
    <d v="1899-12-30T22:29:43"/>
    <n v="6.6"/>
  </r>
  <r>
    <s v="CEP209"/>
    <x v="157"/>
    <x v="506"/>
    <x v="1"/>
    <x v="0"/>
    <s v="AEROPUERTO"/>
    <d v="2024-02-29T00:00:00"/>
    <d v="1899-12-30T22:39:38"/>
    <n v="6.6"/>
  </r>
  <r>
    <s v="CEP209"/>
    <x v="157"/>
    <x v="2"/>
    <x v="2"/>
    <x v="0"/>
    <s v="AEROPUERTO"/>
    <d v="2024-02-29T00:00:00"/>
    <d v="1899-12-30T22:57:02"/>
    <n v="6.6"/>
  </r>
  <r>
    <s v="CEP209"/>
    <x v="157"/>
    <x v="2"/>
    <x v="2"/>
    <x v="0"/>
    <s v="AEROPUERTO"/>
    <d v="2024-02-29T00:00:00"/>
    <d v="1899-12-30T23:05:17"/>
    <n v="6.6"/>
  </r>
  <r>
    <s v="BLF075"/>
    <x v="158"/>
    <x v="2"/>
    <x v="2"/>
    <x v="0"/>
    <s v="AEROPUERTO"/>
    <d v="2024-02-27T00:00:00"/>
    <d v="1899-12-30T13:36:23"/>
    <n v="6.6"/>
  </r>
  <r>
    <s v="BLF075"/>
    <x v="158"/>
    <x v="2"/>
    <x v="2"/>
    <x v="0"/>
    <s v="AEROPUERTO"/>
    <d v="2024-02-27T00:00:00"/>
    <d v="1899-12-30T13:47:21"/>
    <n v="6.6"/>
  </r>
  <r>
    <s v="BLF075"/>
    <x v="158"/>
    <x v="507"/>
    <x v="1"/>
    <x v="0"/>
    <s v="AEROPUERTO"/>
    <d v="2024-02-28T00:00:00"/>
    <d v="1899-12-30T14:14:48"/>
    <n v="6.6"/>
  </r>
  <r>
    <s v="BLF075"/>
    <x v="158"/>
    <x v="2"/>
    <x v="2"/>
    <x v="0"/>
    <s v="AEROPUERTO"/>
    <d v="2024-02-28T00:00:00"/>
    <d v="1899-12-30T15:08:27"/>
    <n v="6.6"/>
  </r>
  <r>
    <s v="BLF075"/>
    <x v="158"/>
    <x v="508"/>
    <x v="1"/>
    <x v="0"/>
    <s v="AEROPUERTO"/>
    <d v="2024-02-28T00:00:00"/>
    <d v="1899-12-30T19:40:54"/>
    <n v="6.6"/>
  </r>
  <r>
    <s v="BLF075"/>
    <x v="158"/>
    <x v="2"/>
    <x v="2"/>
    <x v="0"/>
    <s v="AEROPUERTO"/>
    <d v="2024-02-28T00:00:00"/>
    <d v="1899-12-30T20:09:51"/>
    <n v="6.6"/>
  </r>
  <r>
    <s v="BLF075"/>
    <x v="158"/>
    <x v="509"/>
    <x v="1"/>
    <x v="0"/>
    <s v="AEROPUERTO"/>
    <d v="2024-02-29T00:00:00"/>
    <d v="1899-12-30T19:06:47"/>
    <n v="6.6"/>
  </r>
  <r>
    <s v="BLF075"/>
    <x v="158"/>
    <x v="509"/>
    <x v="1"/>
    <x v="0"/>
    <s v="AEROPUERTO"/>
    <d v="2024-02-29T00:00:00"/>
    <d v="1899-12-30T19:18:49"/>
    <n v="6.6"/>
  </r>
  <r>
    <s v="BMD307"/>
    <x v="159"/>
    <x v="2"/>
    <x v="2"/>
    <x v="0"/>
    <s v="AEROPUERTO"/>
    <d v="2024-02-26T00:00:00"/>
    <d v="1899-12-30T09:00:10"/>
    <n v="6.6"/>
  </r>
  <r>
    <s v="BMD307"/>
    <x v="159"/>
    <x v="2"/>
    <x v="2"/>
    <x v="0"/>
    <s v="AEROPUERTO"/>
    <d v="2024-02-26T00:00:00"/>
    <d v="1899-12-30T09:18:27"/>
    <n v="6.6"/>
  </r>
  <r>
    <s v="BMD307"/>
    <x v="159"/>
    <x v="2"/>
    <x v="2"/>
    <x v="0"/>
    <s v="AEROPUERTO"/>
    <d v="2024-02-26T00:00:00"/>
    <d v="1899-12-30T09:27:17"/>
    <n v="6.6"/>
  </r>
  <r>
    <s v="BMD307"/>
    <x v="159"/>
    <x v="510"/>
    <x v="1"/>
    <x v="0"/>
    <s v="AEROPUERTO"/>
    <d v="2024-02-26T00:00:00"/>
    <d v="1899-12-30T11:18:30"/>
    <n v="6.6"/>
  </r>
  <r>
    <s v="BMD307"/>
    <x v="159"/>
    <x v="510"/>
    <x v="1"/>
    <x v="0"/>
    <s v="AEROPUERTO"/>
    <d v="2024-02-26T00:00:00"/>
    <d v="1899-12-30T11:30:16"/>
    <n v="6.6"/>
  </r>
  <r>
    <s v="BMD307"/>
    <x v="159"/>
    <x v="2"/>
    <x v="2"/>
    <x v="0"/>
    <s v="AEROPUERTO"/>
    <d v="2024-02-26T00:00:00"/>
    <d v="1899-12-30T13:11:38"/>
    <n v="6.6"/>
  </r>
  <r>
    <s v="BMD307"/>
    <x v="159"/>
    <x v="2"/>
    <x v="2"/>
    <x v="0"/>
    <s v="AEROPUERTO"/>
    <d v="2024-02-26T00:00:00"/>
    <d v="1899-12-30T22:13:57"/>
    <n v="6.6"/>
  </r>
  <r>
    <s v="BMD307"/>
    <x v="159"/>
    <x v="2"/>
    <x v="2"/>
    <x v="0"/>
    <s v="AEROPUERTO"/>
    <d v="2024-02-26T00:00:00"/>
    <d v="1899-12-30T22:21:21"/>
    <n v="6.6"/>
  </r>
  <r>
    <s v="BMD307"/>
    <x v="159"/>
    <x v="511"/>
    <x v="1"/>
    <x v="0"/>
    <s v="AEROPUERTO"/>
    <d v="2024-02-27T00:00:00"/>
    <d v="1899-12-30T12:20:11"/>
    <n v="6.6"/>
  </r>
  <r>
    <s v="BMD307"/>
    <x v="159"/>
    <x v="511"/>
    <x v="1"/>
    <x v="0"/>
    <s v="AEROPUERTO"/>
    <d v="2024-02-27T00:00:00"/>
    <d v="1899-12-30T12:30:47"/>
    <n v="6.6"/>
  </r>
  <r>
    <s v="BMD307"/>
    <x v="159"/>
    <x v="2"/>
    <x v="2"/>
    <x v="0"/>
    <s v="AEROPUERTO"/>
    <d v="2024-02-27T00:00:00"/>
    <d v="1899-12-30T12:44:56"/>
    <n v="6.6"/>
  </r>
  <r>
    <s v="BMD307"/>
    <x v="159"/>
    <x v="2"/>
    <x v="2"/>
    <x v="0"/>
    <s v="AEROPUERTO"/>
    <d v="2024-02-27T00:00:00"/>
    <d v="1899-12-30T13:08:19"/>
    <n v="6.6"/>
  </r>
  <r>
    <s v="BMD307"/>
    <x v="159"/>
    <x v="2"/>
    <x v="2"/>
    <x v="0"/>
    <s v="AEROPUERTO"/>
    <d v="2024-02-27T00:00:00"/>
    <d v="1899-12-30T22:41:07"/>
    <n v="6.6"/>
  </r>
  <r>
    <s v="BMD307"/>
    <x v="159"/>
    <x v="512"/>
    <x v="1"/>
    <x v="0"/>
    <s v="AEROPUERTO"/>
    <d v="2024-02-28T00:00:00"/>
    <d v="1899-12-30T19:14:36"/>
    <n v="6.6"/>
  </r>
  <r>
    <s v="BMD307"/>
    <x v="159"/>
    <x v="512"/>
    <x v="1"/>
    <x v="0"/>
    <s v="AEROPUERTO"/>
    <d v="2024-02-28T00:00:00"/>
    <d v="1899-12-30T19:36:23"/>
    <n v="6.6"/>
  </r>
  <r>
    <s v="BMD307"/>
    <x v="159"/>
    <x v="2"/>
    <x v="2"/>
    <x v="0"/>
    <s v="AEROPUERTO"/>
    <d v="2024-02-28T00:00:00"/>
    <d v="1899-12-30T20:27:49"/>
    <n v="6.6"/>
  </r>
  <r>
    <s v="BFY368"/>
    <x v="160"/>
    <x v="513"/>
    <x v="3"/>
    <x v="0"/>
    <s v="AEROPUERTO"/>
    <d v="2024-02-29T00:00:00"/>
    <d v="1899-12-30T18:33:54"/>
    <n v="6.6"/>
  </r>
  <r>
    <s v="BFY368"/>
    <x v="160"/>
    <x v="513"/>
    <x v="1"/>
    <x v="0"/>
    <s v="AEROPUERTO"/>
    <d v="2024-02-29T00:00:00"/>
    <d v="1899-12-30T19:09:12"/>
    <n v="6.6"/>
  </r>
  <r>
    <s v="CJJ327"/>
    <x v="161"/>
    <x v="514"/>
    <x v="1"/>
    <x v="0"/>
    <s v="AEROPUERTO"/>
    <d v="2024-02-26T00:00:00"/>
    <d v="1899-12-30T11:28:38"/>
    <n v="6.6"/>
  </r>
  <r>
    <s v="CJJ327"/>
    <x v="161"/>
    <x v="514"/>
    <x v="1"/>
    <x v="0"/>
    <s v="AEROPUERTO"/>
    <d v="2024-02-26T00:00:00"/>
    <d v="1899-12-30T11:40:48"/>
    <n v="6.6"/>
  </r>
  <r>
    <s v="CJJ327"/>
    <x v="161"/>
    <x v="515"/>
    <x v="1"/>
    <x v="0"/>
    <s v="AEROPUERTO"/>
    <d v="2024-02-26T00:00:00"/>
    <d v="1899-12-30T13:46:08"/>
    <n v="6.6"/>
  </r>
  <r>
    <s v="CJJ327"/>
    <x v="161"/>
    <x v="515"/>
    <x v="1"/>
    <x v="0"/>
    <s v="AEROPUERTO"/>
    <d v="2024-02-26T00:00:00"/>
    <d v="1899-12-30T13:54:31"/>
    <n v="6.6"/>
  </r>
  <r>
    <s v="CJJ327"/>
    <x v="161"/>
    <x v="516"/>
    <x v="1"/>
    <x v="0"/>
    <s v="AEROPUERTO"/>
    <d v="2024-02-27T00:00:00"/>
    <d v="1899-12-30T19:04:39"/>
    <n v="6.6"/>
  </r>
  <r>
    <s v="CJJ327"/>
    <x v="161"/>
    <x v="516"/>
    <x v="1"/>
    <x v="0"/>
    <s v="AEROPUERTO"/>
    <d v="2024-02-27T00:00:00"/>
    <d v="1899-12-30T19:17:37"/>
    <n v="6.6"/>
  </r>
  <r>
    <s v="CJJ327"/>
    <x v="161"/>
    <x v="517"/>
    <x v="1"/>
    <x v="0"/>
    <s v="AEROPUERTO"/>
    <d v="2024-02-27T00:00:00"/>
    <d v="1899-12-30T21:43:20"/>
    <n v="6.6"/>
  </r>
  <r>
    <s v="CJJ327"/>
    <x v="161"/>
    <x v="517"/>
    <x v="1"/>
    <x v="0"/>
    <s v="AEROPUERTO"/>
    <d v="2024-02-27T00:00:00"/>
    <d v="1899-12-30T21:51:51"/>
    <n v="6.6"/>
  </r>
  <r>
    <s v="BLI137"/>
    <x v="162"/>
    <x v="518"/>
    <x v="1"/>
    <x v="0"/>
    <s v="AEROPUERTO"/>
    <d v="2024-02-26T00:00:00"/>
    <d v="1899-12-30T09:29:47"/>
    <n v="6.6"/>
  </r>
  <r>
    <s v="BLI137"/>
    <x v="162"/>
    <x v="518"/>
    <x v="1"/>
    <x v="0"/>
    <s v="AEROPUERTO"/>
    <d v="2024-02-26T00:00:00"/>
    <d v="1899-12-30T09:42:11"/>
    <n v="6.6"/>
  </r>
  <r>
    <s v="BLI137"/>
    <x v="162"/>
    <x v="519"/>
    <x v="1"/>
    <x v="0"/>
    <s v="AEROPUERTO"/>
    <d v="2024-02-26T00:00:00"/>
    <d v="1899-12-30T11:35:31"/>
    <n v="6.6"/>
  </r>
  <r>
    <s v="BLI137"/>
    <x v="162"/>
    <x v="2"/>
    <x v="2"/>
    <x v="0"/>
    <s v="AEROPUERTO"/>
    <d v="2024-02-26T00:00:00"/>
    <d v="1899-12-30T12:59:04"/>
    <n v="6.6"/>
  </r>
  <r>
    <s v="BUI018"/>
    <x v="163"/>
    <x v="2"/>
    <x v="2"/>
    <x v="0"/>
    <s v="AEROPUERTO"/>
    <d v="2024-02-29T00:00:00"/>
    <d v="1899-12-30T16:17:21"/>
    <n v="13.2"/>
  </r>
  <r>
    <s v="BUI018"/>
    <x v="163"/>
    <x v="520"/>
    <x v="1"/>
    <x v="0"/>
    <s v="AEROPUERTO"/>
    <d v="2024-02-29T00:00:00"/>
    <d v="1899-12-30T21:39:49"/>
    <n v="6.6"/>
  </r>
  <r>
    <s v="BUI018"/>
    <x v="163"/>
    <x v="520"/>
    <x v="1"/>
    <x v="0"/>
    <s v="AEROPUERTO"/>
    <d v="2024-02-29T00:00:00"/>
    <d v="1899-12-30T21:50:47"/>
    <n v="6.6"/>
  </r>
  <r>
    <s v="BUQ691"/>
    <x v="164"/>
    <x v="521"/>
    <x v="3"/>
    <x v="0"/>
    <s v="AEROPUERTO"/>
    <d v="2024-02-26T00:00:00"/>
    <d v="1899-12-30T03:37:55"/>
    <n v="6.6"/>
  </r>
  <r>
    <s v="BUQ691"/>
    <x v="164"/>
    <x v="521"/>
    <x v="3"/>
    <x v="0"/>
    <s v="AEROPUERTO"/>
    <d v="2024-02-26T00:00:00"/>
    <d v="1899-12-30T03:45:12"/>
    <n v="6.6"/>
  </r>
  <r>
    <s v="BUQ691"/>
    <x v="164"/>
    <x v="522"/>
    <x v="1"/>
    <x v="0"/>
    <s v="AEROPUERTO"/>
    <d v="2024-02-26T00:00:00"/>
    <d v="1899-12-30T20:20:43"/>
    <n v="6.6"/>
  </r>
  <r>
    <s v="BUQ691"/>
    <x v="164"/>
    <x v="523"/>
    <x v="3"/>
    <x v="0"/>
    <s v="AEROPUERTO"/>
    <d v="2024-02-26T00:00:00"/>
    <d v="1899-12-30T21:53:04"/>
    <n v="6.6"/>
  </r>
  <r>
    <s v="BUQ691"/>
    <x v="164"/>
    <x v="523"/>
    <x v="3"/>
    <x v="0"/>
    <s v="AEROPUERTO"/>
    <d v="2024-02-26T00:00:00"/>
    <d v="1899-12-30T22:00:18"/>
    <n v="6.6"/>
  </r>
  <r>
    <s v="BUQ691"/>
    <x v="164"/>
    <x v="524"/>
    <x v="1"/>
    <x v="0"/>
    <s v="AEROPUERTO"/>
    <d v="2024-02-29T00:00:00"/>
    <d v="1899-12-30T19:59:16"/>
    <n v="6.6"/>
  </r>
  <r>
    <s v="BUQ691"/>
    <x v="164"/>
    <x v="524"/>
    <x v="1"/>
    <x v="0"/>
    <s v="AEROPUERTO"/>
    <d v="2024-02-29T00:00:00"/>
    <d v="1899-12-30T20:10:36"/>
    <n v="6.6"/>
  </r>
  <r>
    <s v="BUY299"/>
    <x v="165"/>
    <x v="525"/>
    <x v="1"/>
    <x v="0"/>
    <s v="AEROPUERTO"/>
    <d v="2024-02-27T00:00:00"/>
    <d v="1899-12-30T16:30:25"/>
    <n v="6.6"/>
  </r>
  <r>
    <s v="BUY299"/>
    <x v="165"/>
    <x v="525"/>
    <x v="1"/>
    <x v="0"/>
    <s v="AEROPUERTO"/>
    <d v="2024-02-27T00:00:00"/>
    <d v="1899-12-30T16:40:52"/>
    <n v="6.6"/>
  </r>
  <r>
    <s v="BUY299"/>
    <x v="165"/>
    <x v="526"/>
    <x v="1"/>
    <x v="0"/>
    <s v="AEROPUERTO"/>
    <d v="2024-02-28T00:00:00"/>
    <d v="1899-12-30T23:30:17"/>
    <n v="6.6"/>
  </r>
  <r>
    <s v="BUY299"/>
    <x v="165"/>
    <x v="526"/>
    <x v="1"/>
    <x v="0"/>
    <s v="AEROPUERTO"/>
    <d v="2024-02-28T00:00:00"/>
    <d v="1899-12-30T23:48:01"/>
    <n v="6.6"/>
  </r>
  <r>
    <s v="BUY299"/>
    <x v="165"/>
    <x v="527"/>
    <x v="1"/>
    <x v="0"/>
    <s v="AEROPUERTO"/>
    <d v="2024-02-29T00:00:00"/>
    <d v="1899-12-30T23:52:13"/>
    <n v="6.6"/>
  </r>
  <r>
    <s v="BXF319"/>
    <x v="166"/>
    <x v="528"/>
    <x v="1"/>
    <x v="0"/>
    <s v="AEROPUERTO"/>
    <d v="2024-02-27T00:00:00"/>
    <d v="1899-12-30T04:19:40"/>
    <n v="6.6"/>
  </r>
  <r>
    <s v="BXF319"/>
    <x v="166"/>
    <x v="528"/>
    <x v="1"/>
    <x v="0"/>
    <s v="AEROPUERTO"/>
    <d v="2024-02-27T00:00:00"/>
    <d v="1899-12-30T04:30:24"/>
    <n v="6.6"/>
  </r>
  <r>
    <s v="BXF319"/>
    <x v="166"/>
    <x v="529"/>
    <x v="1"/>
    <x v="0"/>
    <s v="AEROPUERTO"/>
    <d v="2024-02-27T00:00:00"/>
    <d v="1899-12-30T05:36:20"/>
    <n v="6.6"/>
  </r>
  <r>
    <s v="BXF319"/>
    <x v="166"/>
    <x v="529"/>
    <x v="1"/>
    <x v="0"/>
    <s v="AEROPUERTO"/>
    <d v="2024-02-27T00:00:00"/>
    <d v="1899-12-30T05:45:34"/>
    <n v="6.6"/>
  </r>
  <r>
    <s v="BXF319"/>
    <x v="166"/>
    <x v="530"/>
    <x v="1"/>
    <x v="0"/>
    <s v="AEROPUERTO"/>
    <d v="2024-02-28T00:00:00"/>
    <d v="1899-12-30T11:23:44"/>
    <n v="6.6"/>
  </r>
  <r>
    <s v="BXF319"/>
    <x v="166"/>
    <x v="530"/>
    <x v="1"/>
    <x v="0"/>
    <s v="AEROPUERTO"/>
    <d v="2024-02-28T00:00:00"/>
    <d v="1899-12-30T11:37:03"/>
    <n v="6.6"/>
  </r>
  <r>
    <s v="BXF319"/>
    <x v="166"/>
    <x v="531"/>
    <x v="1"/>
    <x v="0"/>
    <s v="AEROPUERTO"/>
    <d v="2024-02-28T00:00:00"/>
    <d v="1899-12-30T14:47:03"/>
    <n v="6.6"/>
  </r>
  <r>
    <s v="BXF319"/>
    <x v="166"/>
    <x v="531"/>
    <x v="1"/>
    <x v="0"/>
    <s v="AEROPUERTO"/>
    <d v="2024-02-28T00:00:00"/>
    <d v="1899-12-30T15:24:00"/>
    <n v="6.6"/>
  </r>
  <r>
    <s v="BXF319"/>
    <x v="166"/>
    <x v="532"/>
    <x v="3"/>
    <x v="0"/>
    <s v="AEROPUERTO"/>
    <d v="2024-02-28T00:00:00"/>
    <d v="1899-12-30T17:09:28"/>
    <n v="6.6"/>
  </r>
  <r>
    <s v="BXF319"/>
    <x v="166"/>
    <x v="532"/>
    <x v="3"/>
    <x v="0"/>
    <s v="AEROPUERTO"/>
    <d v="2024-02-28T00:00:00"/>
    <d v="1899-12-30T17:20:26"/>
    <n v="6.6"/>
  </r>
  <r>
    <s v="BXF319"/>
    <x v="166"/>
    <x v="533"/>
    <x v="1"/>
    <x v="0"/>
    <s v="AEROPUERTO"/>
    <d v="2024-02-29T00:00:00"/>
    <d v="1899-12-30T16:08:03"/>
    <n v="6.6"/>
  </r>
  <r>
    <s v="BXF319"/>
    <x v="166"/>
    <x v="533"/>
    <x v="1"/>
    <x v="0"/>
    <s v="AEROPUERTO"/>
    <d v="2024-02-29T00:00:00"/>
    <d v="1899-12-30T16:21:10"/>
    <n v="6.6"/>
  </r>
  <r>
    <s v="CFS655"/>
    <x v="167"/>
    <x v="534"/>
    <x v="1"/>
    <x v="0"/>
    <s v="AEROPUERTO"/>
    <d v="2024-02-26T00:00:00"/>
    <d v="1899-12-30T00:28:13"/>
    <n v="6.6"/>
  </r>
  <r>
    <s v="CFS655"/>
    <x v="167"/>
    <x v="534"/>
    <x v="1"/>
    <x v="0"/>
    <s v="AEROPUERTO"/>
    <d v="2024-02-26T00:00:00"/>
    <d v="1899-12-30T00:44:37"/>
    <n v="6.6"/>
  </r>
  <r>
    <s v="CFS655"/>
    <x v="167"/>
    <x v="2"/>
    <x v="2"/>
    <x v="0"/>
    <s v="AEROPUERTO"/>
    <d v="2024-02-26T00:00:00"/>
    <d v="1899-12-30T01:02:24"/>
    <n v="6.6"/>
  </r>
  <r>
    <s v="CFS655"/>
    <x v="167"/>
    <x v="535"/>
    <x v="1"/>
    <x v="0"/>
    <s v="AEROPUERTO"/>
    <d v="2024-02-26T00:00:00"/>
    <d v="1899-12-30T20:16:25"/>
    <n v="6.6"/>
  </r>
  <r>
    <s v="CFS655"/>
    <x v="167"/>
    <x v="2"/>
    <x v="2"/>
    <x v="0"/>
    <s v="AEROPUERTO"/>
    <d v="2024-02-26T00:00:00"/>
    <d v="1899-12-30T20:52:11"/>
    <n v="6.6"/>
  </r>
  <r>
    <s v="CFS655"/>
    <x v="167"/>
    <x v="536"/>
    <x v="1"/>
    <x v="0"/>
    <s v="AEROPUERTO"/>
    <d v="2024-02-26T00:00:00"/>
    <d v="1899-12-30T23:58:29"/>
    <n v="6.6"/>
  </r>
  <r>
    <s v="CFS655"/>
    <x v="167"/>
    <x v="536"/>
    <x v="1"/>
    <x v="0"/>
    <s v="AEROPUERTO"/>
    <d v="2024-02-27T00:00:00"/>
    <d v="1899-12-30T00:08:51"/>
    <n v="6.6"/>
  </r>
  <r>
    <s v="CFS655"/>
    <x v="167"/>
    <x v="537"/>
    <x v="1"/>
    <x v="0"/>
    <s v="AEROPUERTO"/>
    <d v="2024-02-27T00:00:00"/>
    <d v="1899-12-30T05:14:16"/>
    <n v="6.6"/>
  </r>
  <r>
    <s v="CFS655"/>
    <x v="167"/>
    <x v="537"/>
    <x v="1"/>
    <x v="0"/>
    <s v="AEROPUERTO"/>
    <d v="2024-02-27T00:00:00"/>
    <d v="1899-12-30T05:21:58"/>
    <n v="6.6"/>
  </r>
  <r>
    <s v="CFS655"/>
    <x v="167"/>
    <x v="538"/>
    <x v="3"/>
    <x v="0"/>
    <s v="AEROPUERTO"/>
    <d v="2024-02-28T00:00:00"/>
    <d v="1899-12-30T23:14:16"/>
    <n v="6.6"/>
  </r>
  <r>
    <s v="CFS655"/>
    <x v="167"/>
    <x v="2"/>
    <x v="2"/>
    <x v="0"/>
    <s v="AEROPUERTO"/>
    <d v="2024-02-29T00:00:00"/>
    <d v="1899-12-30T00:26:21"/>
    <n v="6.6"/>
  </r>
  <r>
    <s v="CFS655"/>
    <x v="167"/>
    <x v="539"/>
    <x v="1"/>
    <x v="0"/>
    <s v="AEROPUERTO"/>
    <d v="2024-02-29T00:00:00"/>
    <d v="1899-12-30T05:27:32"/>
    <n v="6.6"/>
  </r>
  <r>
    <s v="CFS655"/>
    <x v="167"/>
    <x v="539"/>
    <x v="1"/>
    <x v="0"/>
    <s v="AEROPUERTO"/>
    <d v="2024-02-29T00:00:00"/>
    <d v="1899-12-30T05:35:59"/>
    <n v="6.6"/>
  </r>
  <r>
    <s v="BFD655"/>
    <x v="168"/>
    <x v="540"/>
    <x v="1"/>
    <x v="0"/>
    <s v="AEROPUERTO"/>
    <d v="2024-02-26T00:00:00"/>
    <d v="1899-12-30T22:58:03"/>
    <n v="6.6"/>
  </r>
  <r>
    <s v="BFD655"/>
    <x v="168"/>
    <x v="540"/>
    <x v="1"/>
    <x v="0"/>
    <s v="AEROPUERTO"/>
    <d v="2024-02-26T00:00:00"/>
    <d v="1899-12-30T23:06:53"/>
    <n v="6.6"/>
  </r>
  <r>
    <s v="BFD655"/>
    <x v="168"/>
    <x v="2"/>
    <x v="2"/>
    <x v="0"/>
    <s v="AEROPUERTO"/>
    <d v="2024-02-26T00:00:00"/>
    <d v="1899-12-30T23:18:07"/>
    <n v="6.6"/>
  </r>
  <r>
    <s v="BFD655"/>
    <x v="168"/>
    <x v="541"/>
    <x v="1"/>
    <x v="0"/>
    <s v="AEROPUERTO"/>
    <d v="2024-02-27T00:00:00"/>
    <d v="1899-12-30T06:48:59"/>
    <n v="6.6"/>
  </r>
  <r>
    <s v="BFD655"/>
    <x v="168"/>
    <x v="541"/>
    <x v="1"/>
    <x v="0"/>
    <s v="AEROPUERTO"/>
    <d v="2024-02-27T00:00:00"/>
    <d v="1899-12-30T06:59:34"/>
    <n v="6.6"/>
  </r>
  <r>
    <s v="BFD655"/>
    <x v="168"/>
    <x v="542"/>
    <x v="1"/>
    <x v="0"/>
    <s v="AEROPUERTO"/>
    <d v="2024-02-27T00:00:00"/>
    <d v="1899-12-30T21:18:39"/>
    <n v="6.6"/>
  </r>
  <r>
    <s v="BFD655"/>
    <x v="168"/>
    <x v="542"/>
    <x v="1"/>
    <x v="0"/>
    <s v="AEROPUERTO"/>
    <d v="2024-02-27T00:00:00"/>
    <d v="1899-12-30T21:28:22"/>
    <n v="6.6"/>
  </r>
  <r>
    <s v="BFD655"/>
    <x v="168"/>
    <x v="2"/>
    <x v="2"/>
    <x v="0"/>
    <s v="AEROPUERTO"/>
    <d v="2024-02-27T00:00:00"/>
    <d v="1899-12-30T22:03:07"/>
    <n v="6.6"/>
  </r>
  <r>
    <s v="BFD655"/>
    <x v="168"/>
    <x v="543"/>
    <x v="1"/>
    <x v="0"/>
    <s v="AEROPUERTO"/>
    <d v="2024-02-28T00:00:00"/>
    <d v="1899-12-30T22:35:21"/>
    <n v="6.6"/>
  </r>
  <r>
    <s v="BFD655"/>
    <x v="168"/>
    <x v="544"/>
    <x v="1"/>
    <x v="0"/>
    <s v="AEROPUERTO"/>
    <d v="2024-02-29T00:00:00"/>
    <d v="1899-12-30T20:03:51"/>
    <n v="6.6"/>
  </r>
  <r>
    <s v="BFD655"/>
    <x v="168"/>
    <x v="544"/>
    <x v="1"/>
    <x v="0"/>
    <s v="AEROPUERTO"/>
    <d v="2024-02-29T00:00:00"/>
    <d v="1899-12-30T20:13:21"/>
    <n v="6.6"/>
  </r>
  <r>
    <s v="CFZ215"/>
    <x v="169"/>
    <x v="545"/>
    <x v="1"/>
    <x v="0"/>
    <s v="AEROPUERTO"/>
    <d v="2024-02-26T00:00:00"/>
    <d v="1899-12-30T18:13:20"/>
    <n v="6.6"/>
  </r>
  <r>
    <s v="CFZ215"/>
    <x v="169"/>
    <x v="545"/>
    <x v="1"/>
    <x v="0"/>
    <s v="AEROPUERTO"/>
    <d v="2024-02-26T00:00:00"/>
    <d v="1899-12-30T18:27:13"/>
    <n v="6.6"/>
  </r>
  <r>
    <s v="CFZ215"/>
    <x v="169"/>
    <x v="546"/>
    <x v="1"/>
    <x v="0"/>
    <s v="AEROPUERTO"/>
    <d v="2024-02-27T00:00:00"/>
    <d v="1899-12-30T18:35:23"/>
    <n v="6.6"/>
  </r>
  <r>
    <s v="CFZ215"/>
    <x v="169"/>
    <x v="546"/>
    <x v="1"/>
    <x v="0"/>
    <s v="AEROPUERTO"/>
    <d v="2024-02-27T00:00:00"/>
    <d v="1899-12-30T18:45:55"/>
    <n v="6.6"/>
  </r>
  <r>
    <s v="CFZ215"/>
    <x v="169"/>
    <x v="547"/>
    <x v="3"/>
    <x v="0"/>
    <s v="AEROPUERTO"/>
    <d v="2024-02-29T00:00:00"/>
    <d v="1899-12-30T03:24:49"/>
    <n v="6.6"/>
  </r>
  <r>
    <s v="CFZ215"/>
    <x v="169"/>
    <x v="547"/>
    <x v="3"/>
    <x v="0"/>
    <s v="AEROPUERTO"/>
    <d v="2024-02-29T00:00:00"/>
    <d v="1899-12-30T03:35:07"/>
    <n v="6.6"/>
  </r>
  <r>
    <s v="CFZ215"/>
    <x v="169"/>
    <x v="548"/>
    <x v="1"/>
    <x v="0"/>
    <s v="AEROPUERTO"/>
    <d v="2024-02-29T00:00:00"/>
    <d v="1899-12-30T18:46:08"/>
    <n v="6.6"/>
  </r>
  <r>
    <s v="CFZ215"/>
    <x v="169"/>
    <x v="548"/>
    <x v="1"/>
    <x v="0"/>
    <s v="AEROPUERTO"/>
    <d v="2024-02-29T00:00:00"/>
    <d v="1899-12-30T18:55:43"/>
    <n v="6.6"/>
  </r>
  <r>
    <s v="BSZ102"/>
    <x v="170"/>
    <x v="549"/>
    <x v="1"/>
    <x v="0"/>
    <s v="AEROPUERTO"/>
    <d v="2024-02-26T00:00:00"/>
    <d v="1899-12-30T05:21:28"/>
    <n v="6.6"/>
  </r>
  <r>
    <s v="BSZ102"/>
    <x v="170"/>
    <x v="549"/>
    <x v="1"/>
    <x v="0"/>
    <s v="AEROPUERTO"/>
    <d v="2024-02-26T00:00:00"/>
    <d v="1899-12-30T05:28:22"/>
    <n v="6.6"/>
  </r>
  <r>
    <s v="BYK432"/>
    <x v="171"/>
    <x v="550"/>
    <x v="1"/>
    <x v="0"/>
    <s v="AEROPUERTO"/>
    <d v="2024-02-26T00:00:00"/>
    <d v="1899-12-30T06:50:59"/>
    <n v="6.6"/>
  </r>
  <r>
    <s v="BYK432"/>
    <x v="171"/>
    <x v="550"/>
    <x v="1"/>
    <x v="0"/>
    <s v="AEROPUERTO"/>
    <d v="2024-02-26T00:00:00"/>
    <d v="1899-12-30T07:02:09"/>
    <n v="6.6"/>
  </r>
  <r>
    <s v="BYK432"/>
    <x v="171"/>
    <x v="551"/>
    <x v="3"/>
    <x v="0"/>
    <s v="AEROPUERTO"/>
    <d v="2024-02-26T00:00:00"/>
    <d v="1899-12-30T08:04:03"/>
    <n v="6.6"/>
  </r>
  <r>
    <s v="BYK432"/>
    <x v="171"/>
    <x v="551"/>
    <x v="3"/>
    <x v="0"/>
    <s v="AEROPUERTO"/>
    <d v="2024-02-26T00:00:00"/>
    <d v="1899-12-30T08:20:25"/>
    <n v="6.6"/>
  </r>
  <r>
    <s v="BYK432"/>
    <x v="171"/>
    <x v="552"/>
    <x v="1"/>
    <x v="0"/>
    <s v="AEROPUERTO"/>
    <d v="2024-02-26T00:00:00"/>
    <d v="1899-12-30T23:43:51"/>
    <n v="6.6"/>
  </r>
  <r>
    <s v="BYK432"/>
    <x v="171"/>
    <x v="552"/>
    <x v="1"/>
    <x v="0"/>
    <s v="AEROPUERTO"/>
    <d v="2024-02-26T00:00:00"/>
    <d v="1899-12-30T23:53:43"/>
    <n v="6.6"/>
  </r>
  <r>
    <s v="BYK432"/>
    <x v="171"/>
    <x v="2"/>
    <x v="2"/>
    <x v="0"/>
    <s v="AEROPUERTO"/>
    <d v="2024-02-27T00:00:00"/>
    <d v="1899-12-30T00:15:28"/>
    <n v="6.6"/>
  </r>
  <r>
    <s v="BYK432"/>
    <x v="171"/>
    <x v="2"/>
    <x v="2"/>
    <x v="0"/>
    <s v="AEROPUERTO"/>
    <d v="2024-02-27T00:00:00"/>
    <d v="1899-12-30T00:23:05"/>
    <n v="6.6"/>
  </r>
  <r>
    <s v="BYK432"/>
    <x v="171"/>
    <x v="553"/>
    <x v="1"/>
    <x v="0"/>
    <s v="AEROPUERTO"/>
    <d v="2024-02-27T00:00:00"/>
    <d v="1899-12-30T17:56:58"/>
    <n v="6.6"/>
  </r>
  <r>
    <s v="BYK432"/>
    <x v="171"/>
    <x v="553"/>
    <x v="1"/>
    <x v="0"/>
    <s v="AEROPUERTO"/>
    <d v="2024-02-27T00:00:00"/>
    <d v="1899-12-30T18:10:54"/>
    <n v="6.6"/>
  </r>
  <r>
    <s v="BYK432"/>
    <x v="171"/>
    <x v="2"/>
    <x v="2"/>
    <x v="0"/>
    <s v="AEROPUERTO"/>
    <d v="2024-02-27T00:00:00"/>
    <d v="1899-12-30T19:58:53"/>
    <n v="6.6"/>
  </r>
  <r>
    <s v="BYK432"/>
    <x v="171"/>
    <x v="2"/>
    <x v="2"/>
    <x v="0"/>
    <s v="AEROPUERTO"/>
    <d v="2024-02-27T00:00:00"/>
    <d v="1899-12-30T20:25:55"/>
    <n v="6.6"/>
  </r>
  <r>
    <s v="BYK432"/>
    <x v="171"/>
    <x v="554"/>
    <x v="1"/>
    <x v="0"/>
    <s v="AEROPUERTO"/>
    <d v="2024-02-29T00:00:00"/>
    <d v="1899-12-30T19:29:10"/>
    <n v="6.6"/>
  </r>
  <r>
    <s v="BYK432"/>
    <x v="171"/>
    <x v="554"/>
    <x v="1"/>
    <x v="0"/>
    <s v="AEROPUERTO"/>
    <d v="2024-02-29T00:00:00"/>
    <d v="1899-12-30T19:40:23"/>
    <n v="6.6"/>
  </r>
  <r>
    <s v="BYK432"/>
    <x v="171"/>
    <x v="2"/>
    <x v="2"/>
    <x v="0"/>
    <s v="AEROPUERTO"/>
    <d v="2024-02-29T00:00:00"/>
    <d v="1899-12-30T20:45:40"/>
    <n v="6.6"/>
  </r>
  <r>
    <s v="ALQ578"/>
    <x v="172"/>
    <x v="555"/>
    <x v="1"/>
    <x v="0"/>
    <s v="AEROPUERTO"/>
    <d v="2024-02-26T00:00:00"/>
    <d v="1899-12-30T21:27:43"/>
    <n v="6.6"/>
  </r>
  <r>
    <s v="ALQ578"/>
    <x v="172"/>
    <x v="555"/>
    <x v="1"/>
    <x v="0"/>
    <s v="AEROPUERTO"/>
    <d v="2024-02-26T00:00:00"/>
    <d v="1899-12-30T21:36:03"/>
    <n v="6.6"/>
  </r>
  <r>
    <s v="ALQ578"/>
    <x v="172"/>
    <x v="556"/>
    <x v="3"/>
    <x v="0"/>
    <s v="AEROPUERTO"/>
    <d v="2024-02-27T00:00:00"/>
    <d v="1899-12-30T11:43:56"/>
    <n v="6.6"/>
  </r>
  <r>
    <s v="ALQ578"/>
    <x v="172"/>
    <x v="556"/>
    <x v="3"/>
    <x v="0"/>
    <s v="AEROPUERTO"/>
    <d v="2024-02-27T00:00:00"/>
    <d v="1899-12-30T11:58:07"/>
    <n v="6.6"/>
  </r>
  <r>
    <s v="ALQ578"/>
    <x v="172"/>
    <x v="557"/>
    <x v="1"/>
    <x v="0"/>
    <s v="AEROPUERTO"/>
    <d v="2024-02-27T00:00:00"/>
    <d v="1899-12-30T20:14:40"/>
    <n v="6.6"/>
  </r>
  <r>
    <s v="ALQ578"/>
    <x v="172"/>
    <x v="557"/>
    <x v="1"/>
    <x v="0"/>
    <s v="AEROPUERTO"/>
    <d v="2024-02-27T00:00:00"/>
    <d v="1899-12-30T20:41:27"/>
    <n v="6.6"/>
  </r>
  <r>
    <s v="ALQ578"/>
    <x v="172"/>
    <x v="558"/>
    <x v="3"/>
    <x v="0"/>
    <s v="AEROPUERTO"/>
    <d v="2024-02-27T00:00:00"/>
    <d v="1899-12-30T23:48:17"/>
    <n v="6.6"/>
  </r>
  <r>
    <s v="ALQ578"/>
    <x v="172"/>
    <x v="558"/>
    <x v="3"/>
    <x v="0"/>
    <s v="AEROPUERTO"/>
    <d v="2024-02-27T00:00:00"/>
    <d v="1899-12-30T23:58:54"/>
    <n v="6.6"/>
  </r>
  <r>
    <s v="ALQ578"/>
    <x v="172"/>
    <x v="559"/>
    <x v="3"/>
    <x v="0"/>
    <s v="AEROPUERTO"/>
    <d v="2024-02-28T00:00:00"/>
    <d v="1899-12-30T09:40:59"/>
    <n v="6.6"/>
  </r>
  <r>
    <s v="ALQ578"/>
    <x v="172"/>
    <x v="559"/>
    <x v="3"/>
    <x v="0"/>
    <s v="AEROPUERTO"/>
    <d v="2024-02-28T00:00:00"/>
    <d v="1899-12-30T09:56:35"/>
    <n v="6.6"/>
  </r>
  <r>
    <s v="ALQ578"/>
    <x v="172"/>
    <x v="560"/>
    <x v="3"/>
    <x v="0"/>
    <s v="AEROPUERTO"/>
    <d v="2024-02-28T00:00:00"/>
    <d v="1899-12-30T14:52:00"/>
    <n v="6.6"/>
  </r>
  <r>
    <s v="ALQ578"/>
    <x v="172"/>
    <x v="560"/>
    <x v="3"/>
    <x v="0"/>
    <s v="AEROPUERTO"/>
    <d v="2024-02-28T00:00:00"/>
    <d v="1899-12-30T15:10:44"/>
    <n v="6.6"/>
  </r>
  <r>
    <s v="ALQ578"/>
    <x v="172"/>
    <x v="560"/>
    <x v="1"/>
    <x v="0"/>
    <s v="AEROPUERTO"/>
    <d v="2024-02-28T00:00:00"/>
    <d v="1899-12-30T16:10:41"/>
    <n v="6.6"/>
  </r>
  <r>
    <s v="ALQ578"/>
    <x v="172"/>
    <x v="560"/>
    <x v="1"/>
    <x v="0"/>
    <s v="AEROPUERTO"/>
    <d v="2024-02-28T00:00:00"/>
    <d v="1899-12-30T16:19:03"/>
    <n v="6.6"/>
  </r>
  <r>
    <s v="ALQ578"/>
    <x v="172"/>
    <x v="561"/>
    <x v="1"/>
    <x v="0"/>
    <s v="AEROPUERTO"/>
    <d v="2024-02-28T00:00:00"/>
    <d v="1899-12-30T20:17:54"/>
    <n v="6.6"/>
  </r>
  <r>
    <s v="ALQ578"/>
    <x v="172"/>
    <x v="561"/>
    <x v="1"/>
    <x v="0"/>
    <s v="AEROPUERTO"/>
    <d v="2024-02-28T00:00:00"/>
    <d v="1899-12-30T20:28:28"/>
    <n v="6.6"/>
  </r>
  <r>
    <s v="ALQ578"/>
    <x v="172"/>
    <x v="562"/>
    <x v="1"/>
    <x v="0"/>
    <s v="AEROPUERTO"/>
    <d v="2024-02-29T00:00:00"/>
    <d v="1899-12-30T18:10:52"/>
    <n v="6.6"/>
  </r>
  <r>
    <s v="ALQ578"/>
    <x v="172"/>
    <x v="562"/>
    <x v="1"/>
    <x v="0"/>
    <s v="AEROPUERTO"/>
    <d v="2024-02-29T00:00:00"/>
    <d v="1899-12-30T18:37:16"/>
    <n v="6.6"/>
  </r>
  <r>
    <s v="BDJ451"/>
    <x v="173"/>
    <x v="563"/>
    <x v="3"/>
    <x v="1"/>
    <s v="LATAM"/>
    <d v="2024-02-27T00:00:00"/>
    <d v="1899-12-30T06:58:38"/>
    <n v="6.6"/>
  </r>
  <r>
    <s v="BDJ451"/>
    <x v="173"/>
    <x v="563"/>
    <x v="3"/>
    <x v="1"/>
    <s v="LATAM"/>
    <d v="2024-02-27T00:00:00"/>
    <d v="1899-12-30T07:15:01"/>
    <n v="6.6"/>
  </r>
  <r>
    <s v="BDJ451"/>
    <x v="173"/>
    <x v="564"/>
    <x v="1"/>
    <x v="1"/>
    <s v="LATAM"/>
    <d v="2024-02-28T00:00:00"/>
    <d v="1899-12-30T22:04:21"/>
    <n v="6.6"/>
  </r>
  <r>
    <s v="BDJ451"/>
    <x v="173"/>
    <x v="564"/>
    <x v="1"/>
    <x v="1"/>
    <s v="LATAM"/>
    <d v="2024-02-28T00:00:00"/>
    <d v="1899-12-30T22:12:03"/>
    <n v="6.6"/>
  </r>
  <r>
    <s v="CCY354"/>
    <x v="174"/>
    <x v="565"/>
    <x v="1"/>
    <x v="0"/>
    <s v="AEROPUERTO"/>
    <d v="2024-02-27T00:00:00"/>
    <d v="1899-12-30T05:25:35"/>
    <n v="6.6"/>
  </r>
  <r>
    <s v="CCY354"/>
    <x v="174"/>
    <x v="565"/>
    <x v="1"/>
    <x v="0"/>
    <s v="AEROPUERTO"/>
    <d v="2024-02-27T00:00:00"/>
    <d v="1899-12-30T05:36:07"/>
    <n v="6.6"/>
  </r>
  <r>
    <s v="CCY354"/>
    <x v="174"/>
    <x v="566"/>
    <x v="1"/>
    <x v="0"/>
    <s v="AEROPUERTO"/>
    <d v="2024-02-28T00:00:00"/>
    <d v="1899-12-30T08:22:12"/>
    <n v="6.6"/>
  </r>
  <r>
    <s v="CCY354"/>
    <x v="174"/>
    <x v="566"/>
    <x v="1"/>
    <x v="0"/>
    <s v="AEROPUERTO"/>
    <d v="2024-02-28T00:00:00"/>
    <d v="1899-12-30T08:32:28"/>
    <n v="6.6"/>
  </r>
  <r>
    <s v="BFB072"/>
    <x v="175"/>
    <x v="567"/>
    <x v="1"/>
    <x v="1"/>
    <s v="LATAM"/>
    <d v="2024-02-26T00:00:00"/>
    <d v="1899-12-30T22:19:52"/>
    <n v="6.6"/>
  </r>
  <r>
    <s v="BFB072"/>
    <x v="175"/>
    <x v="568"/>
    <x v="1"/>
    <x v="1"/>
    <s v="LATAM"/>
    <d v="2024-02-27T00:00:00"/>
    <d v="1899-12-30T19:59:40"/>
    <n v="6.6"/>
  </r>
  <r>
    <s v="BFB072"/>
    <x v="175"/>
    <x v="568"/>
    <x v="1"/>
    <x v="1"/>
    <s v="LATAM"/>
    <d v="2024-02-27T00:00:00"/>
    <d v="1899-12-30T20:10:39"/>
    <n v="6.6"/>
  </r>
  <r>
    <s v="BJT655"/>
    <x v="176"/>
    <x v="569"/>
    <x v="1"/>
    <x v="1"/>
    <s v="LATAM"/>
    <d v="2024-02-26T00:00:00"/>
    <d v="1899-12-30T14:19:42"/>
    <n v="6.6"/>
  </r>
  <r>
    <s v="BJT655"/>
    <x v="176"/>
    <x v="2"/>
    <x v="2"/>
    <x v="1"/>
    <s v="LATAM"/>
    <d v="2024-02-27T00:00:00"/>
    <d v="1899-12-30T19:15:26"/>
    <n v="6.6"/>
  </r>
  <r>
    <s v="BJT655"/>
    <x v="176"/>
    <x v="2"/>
    <x v="2"/>
    <x v="1"/>
    <s v="LATAM"/>
    <d v="2024-02-27T00:00:00"/>
    <d v="1899-12-30T19:45:59"/>
    <n v="6.6"/>
  </r>
  <r>
    <s v="BPD558"/>
    <x v="177"/>
    <x v="570"/>
    <x v="1"/>
    <x v="1"/>
    <s v="LATAM"/>
    <d v="2024-02-27T00:00:00"/>
    <d v="1899-12-30T02:18:36"/>
    <n v="6.6"/>
  </r>
  <r>
    <s v="BPD558"/>
    <x v="177"/>
    <x v="570"/>
    <x v="1"/>
    <x v="1"/>
    <s v="LATAM"/>
    <d v="2024-02-27T00:00:00"/>
    <d v="1899-12-30T02:25:39"/>
    <n v="6.6"/>
  </r>
  <r>
    <s v="BPD558"/>
    <x v="177"/>
    <x v="571"/>
    <x v="1"/>
    <x v="1"/>
    <s v="LATAM"/>
    <d v="2024-02-27T00:00:00"/>
    <d v="1899-12-30T06:36:33"/>
    <n v="6.6"/>
  </r>
  <r>
    <s v="BPD558"/>
    <x v="177"/>
    <x v="572"/>
    <x v="1"/>
    <x v="1"/>
    <s v="LATAM"/>
    <d v="2024-02-28T00:00:00"/>
    <d v="1899-12-30T08:24:04"/>
    <n v="6.6"/>
  </r>
  <r>
    <s v="BPD558"/>
    <x v="177"/>
    <x v="572"/>
    <x v="1"/>
    <x v="1"/>
    <s v="LATAM"/>
    <d v="2024-02-28T00:00:00"/>
    <d v="1899-12-30T08:35:09"/>
    <n v="6.6"/>
  </r>
  <r>
    <s v="BPD558"/>
    <x v="177"/>
    <x v="573"/>
    <x v="1"/>
    <x v="1"/>
    <s v="LATAM"/>
    <d v="2024-02-29T00:00:00"/>
    <d v="1899-12-30T09:34:10"/>
    <n v="6.6"/>
  </r>
  <r>
    <s v="BPD558"/>
    <x v="177"/>
    <x v="573"/>
    <x v="1"/>
    <x v="1"/>
    <s v="LATAM"/>
    <d v="2024-02-29T00:00:00"/>
    <d v="1899-12-30T09:45:50"/>
    <n v="6.6"/>
  </r>
  <r>
    <s v="BJO497"/>
    <x v="178"/>
    <x v="2"/>
    <x v="2"/>
    <x v="0"/>
    <s v="AEROPUERTO"/>
    <d v="2024-02-26T00:00:00"/>
    <d v="1899-12-30T21:46:03"/>
    <n v="6.6"/>
  </r>
  <r>
    <s v="BJO497"/>
    <x v="178"/>
    <x v="2"/>
    <x v="2"/>
    <x v="0"/>
    <s v="AEROPUERTO"/>
    <d v="2024-02-26T00:00:00"/>
    <d v="1899-12-30T22:17:30"/>
    <n v="6.6"/>
  </r>
  <r>
    <s v="BJO497"/>
    <x v="178"/>
    <x v="2"/>
    <x v="2"/>
    <x v="0"/>
    <s v="AEROPUERTO"/>
    <d v="2024-02-26T00:00:00"/>
    <d v="1899-12-30T22:25:26"/>
    <n v="6.6"/>
  </r>
  <r>
    <s v="BJO497"/>
    <x v="178"/>
    <x v="574"/>
    <x v="1"/>
    <x v="0"/>
    <s v="AEROPUERTO"/>
    <d v="2024-02-26T00:00:00"/>
    <d v="1899-12-30T23:06:25"/>
    <n v="6.6"/>
  </r>
  <r>
    <s v="BJO497"/>
    <x v="178"/>
    <x v="574"/>
    <x v="1"/>
    <x v="0"/>
    <s v="AEROPUERTO"/>
    <d v="2024-02-26T00:00:00"/>
    <d v="1899-12-30T23:16:44"/>
    <n v="6.6"/>
  </r>
  <r>
    <s v="BJO497"/>
    <x v="178"/>
    <x v="2"/>
    <x v="2"/>
    <x v="0"/>
    <s v="AEROPUERTO"/>
    <d v="2024-02-27T00:00:00"/>
    <d v="1899-12-30T00:32:33"/>
    <n v="6.6"/>
  </r>
  <r>
    <s v="BJO497"/>
    <x v="178"/>
    <x v="2"/>
    <x v="2"/>
    <x v="0"/>
    <s v="AEROPUERTO"/>
    <d v="2024-02-27T00:00:00"/>
    <d v="1899-12-30T00:40:07"/>
    <n v="6.6"/>
  </r>
  <r>
    <s v="BJO497"/>
    <x v="178"/>
    <x v="575"/>
    <x v="3"/>
    <x v="0"/>
    <s v="AEROPUERTO"/>
    <d v="2024-02-28T00:00:00"/>
    <d v="1899-12-30T03:19:52"/>
    <n v="6.6"/>
  </r>
  <r>
    <s v="CED571"/>
    <x v="179"/>
    <x v="576"/>
    <x v="1"/>
    <x v="0"/>
    <s v="AEROPUERTO"/>
    <d v="2024-02-26T00:00:00"/>
    <d v="1899-12-30T08:10:01"/>
    <n v="6.6"/>
  </r>
  <r>
    <s v="CED571"/>
    <x v="179"/>
    <x v="577"/>
    <x v="3"/>
    <x v="0"/>
    <s v="AEROPUERTO"/>
    <d v="2024-02-27T00:00:00"/>
    <d v="1899-12-30T10:36:37"/>
    <n v="6.6"/>
  </r>
  <r>
    <s v="CED571"/>
    <x v="179"/>
    <x v="577"/>
    <x v="3"/>
    <x v="0"/>
    <s v="AEROPUERTO"/>
    <d v="2024-02-27T00:00:00"/>
    <d v="1899-12-30T10:44:42"/>
    <n v="6.6"/>
  </r>
  <r>
    <s v="CED571"/>
    <x v="179"/>
    <x v="2"/>
    <x v="2"/>
    <x v="0"/>
    <s v="AEROPUERTO"/>
    <d v="2024-02-29T00:00:00"/>
    <d v="1899-12-30T16:53:48"/>
    <n v="6.6"/>
  </r>
  <r>
    <s v="AUX161"/>
    <x v="180"/>
    <x v="578"/>
    <x v="1"/>
    <x v="0"/>
    <s v="AEROPUERTO"/>
    <d v="2024-02-29T00:00:00"/>
    <d v="1899-12-30T06:46:33"/>
    <n v="6.6"/>
  </r>
  <r>
    <s v="ASU156"/>
    <x v="181"/>
    <x v="579"/>
    <x v="3"/>
    <x v="0"/>
    <s v="AEROPUERTO"/>
    <d v="2024-02-26T00:00:00"/>
    <d v="1899-12-30T21:52:06"/>
    <n v="6.6"/>
  </r>
  <r>
    <s v="ASU156"/>
    <x v="181"/>
    <x v="579"/>
    <x v="3"/>
    <x v="0"/>
    <s v="AEROPUERTO"/>
    <d v="2024-02-26T00:00:00"/>
    <d v="1899-12-30T22:01:13"/>
    <n v="6.6"/>
  </r>
  <r>
    <s v="ASU156"/>
    <x v="181"/>
    <x v="580"/>
    <x v="1"/>
    <x v="0"/>
    <s v="AEROPUERTO"/>
    <d v="2024-02-27T00:00:00"/>
    <d v="1899-12-30T05:32:53"/>
    <n v="6.6"/>
  </r>
  <r>
    <s v="ASU156"/>
    <x v="181"/>
    <x v="580"/>
    <x v="1"/>
    <x v="0"/>
    <s v="AEROPUERTO"/>
    <d v="2024-02-27T00:00:00"/>
    <d v="1899-12-30T05:43:46"/>
    <n v="6.6"/>
  </r>
  <r>
    <s v="ASU156"/>
    <x v="181"/>
    <x v="581"/>
    <x v="1"/>
    <x v="0"/>
    <s v="AEROPUERTO"/>
    <d v="2024-02-27T00:00:00"/>
    <d v="1899-12-30T06:28:30"/>
    <n v="6.6"/>
  </r>
  <r>
    <s v="ASU156"/>
    <x v="181"/>
    <x v="581"/>
    <x v="1"/>
    <x v="0"/>
    <s v="AEROPUERTO"/>
    <d v="2024-02-27T00:00:00"/>
    <d v="1899-12-30T06:36:21"/>
    <n v="6.6"/>
  </r>
  <r>
    <s v="BZI231"/>
    <x v="182"/>
    <x v="582"/>
    <x v="3"/>
    <x v="0"/>
    <s v="AEROPUERTO"/>
    <d v="2024-02-26T00:00:00"/>
    <d v="1899-12-30T00:03:06"/>
    <n v="6.6"/>
  </r>
  <r>
    <s v="BZI231"/>
    <x v="182"/>
    <x v="582"/>
    <x v="3"/>
    <x v="0"/>
    <s v="AEROPUERTO"/>
    <d v="2024-02-26T00:00:00"/>
    <d v="1899-12-30T00:12:29"/>
    <n v="6.6"/>
  </r>
  <r>
    <s v="BZI231"/>
    <x v="182"/>
    <x v="583"/>
    <x v="1"/>
    <x v="0"/>
    <s v="AEROPUERTO"/>
    <d v="2024-02-27T00:00:00"/>
    <d v="1899-12-30T00:35:13"/>
    <n v="6.6"/>
  </r>
  <r>
    <s v="BZI231"/>
    <x v="182"/>
    <x v="583"/>
    <x v="1"/>
    <x v="0"/>
    <s v="AEROPUERTO"/>
    <d v="2024-02-27T00:00:00"/>
    <d v="1899-12-30T00:49:03"/>
    <n v="6.6"/>
  </r>
  <r>
    <s v="AKD676"/>
    <x v="183"/>
    <x v="584"/>
    <x v="1"/>
    <x v="0"/>
    <s v="AEROPUERTO"/>
    <d v="2024-02-26T00:00:00"/>
    <d v="1899-12-30T23:34:48"/>
    <n v="6.6"/>
  </r>
  <r>
    <s v="AKD676"/>
    <x v="183"/>
    <x v="584"/>
    <x v="1"/>
    <x v="0"/>
    <s v="AEROPUERTO"/>
    <d v="2024-02-26T00:00:00"/>
    <d v="1899-12-30T23:43:58"/>
    <n v="6.6"/>
  </r>
  <r>
    <s v="AKD676"/>
    <x v="183"/>
    <x v="2"/>
    <x v="2"/>
    <x v="0"/>
    <s v="AEROPUERTO"/>
    <d v="2024-02-27T00:00:00"/>
    <d v="1899-12-30T00:29:16"/>
    <n v="6.6"/>
  </r>
  <r>
    <s v="AKD676"/>
    <x v="183"/>
    <x v="2"/>
    <x v="2"/>
    <x v="0"/>
    <s v="AEROPUERTO"/>
    <d v="2024-02-27T00:00:00"/>
    <d v="1899-12-30T00:35:45"/>
    <n v="6.6"/>
  </r>
  <r>
    <s v="AKD676"/>
    <x v="183"/>
    <x v="585"/>
    <x v="1"/>
    <x v="0"/>
    <s v="AEROPUERTO"/>
    <d v="2024-02-27T00:00:00"/>
    <d v="1899-12-30T07:27:47"/>
    <n v="6.6"/>
  </r>
  <r>
    <s v="AKD676"/>
    <x v="183"/>
    <x v="586"/>
    <x v="1"/>
    <x v="0"/>
    <s v="AEROPUERTO"/>
    <d v="2024-02-27T00:00:00"/>
    <d v="1899-12-30T18:00:53"/>
    <n v="6.6"/>
  </r>
  <r>
    <s v="AKD676"/>
    <x v="183"/>
    <x v="586"/>
    <x v="1"/>
    <x v="0"/>
    <s v="AEROPUERTO"/>
    <d v="2024-02-27T00:00:00"/>
    <d v="1899-12-30T18:15:28"/>
    <n v="6.6"/>
  </r>
  <r>
    <s v="AKD676"/>
    <x v="183"/>
    <x v="587"/>
    <x v="3"/>
    <x v="0"/>
    <s v="AEROPUERTO"/>
    <d v="2024-02-27T00:00:00"/>
    <d v="1899-12-30T19:44:01"/>
    <n v="6.6"/>
  </r>
  <r>
    <s v="AKD676"/>
    <x v="183"/>
    <x v="587"/>
    <x v="3"/>
    <x v="0"/>
    <s v="AEROPUERTO"/>
    <d v="2024-02-27T00:00:00"/>
    <d v="1899-12-30T20:13:05"/>
    <n v="6.6"/>
  </r>
  <r>
    <s v="AKD676"/>
    <x v="183"/>
    <x v="588"/>
    <x v="1"/>
    <x v="0"/>
    <s v="AEROPUERTO"/>
    <d v="2024-02-28T00:00:00"/>
    <d v="1899-12-30T04:50:25"/>
    <n v="6.6"/>
  </r>
  <r>
    <s v="AKD676"/>
    <x v="183"/>
    <x v="588"/>
    <x v="1"/>
    <x v="0"/>
    <s v="AEROPUERTO"/>
    <d v="2024-02-28T00:00:00"/>
    <d v="1899-12-30T05:00:01"/>
    <n v="6.6"/>
  </r>
  <r>
    <s v="BBB758"/>
    <x v="184"/>
    <x v="589"/>
    <x v="1"/>
    <x v="0"/>
    <s v="AEROPUERTO"/>
    <d v="2024-02-27T00:00:00"/>
    <d v="1899-12-30T08:20:41"/>
    <n v="6.6"/>
  </r>
  <r>
    <s v="BBB758"/>
    <x v="184"/>
    <x v="589"/>
    <x v="1"/>
    <x v="0"/>
    <s v="AEROPUERTO"/>
    <d v="2024-02-27T00:00:00"/>
    <d v="1899-12-30T08:32:28"/>
    <n v="6.6"/>
  </r>
  <r>
    <s v="CDB022"/>
    <x v="185"/>
    <x v="590"/>
    <x v="1"/>
    <x v="0"/>
    <s v="AEROPUERTO"/>
    <d v="2024-02-26T00:00:00"/>
    <d v="1899-12-30T03:40:29"/>
    <n v="6.6"/>
  </r>
  <r>
    <s v="CDB022"/>
    <x v="185"/>
    <x v="590"/>
    <x v="1"/>
    <x v="0"/>
    <s v="AEROPUERTO"/>
    <d v="2024-02-26T00:00:00"/>
    <d v="1899-12-30T03:48:50"/>
    <n v="6.6"/>
  </r>
  <r>
    <s v="CDB022"/>
    <x v="185"/>
    <x v="591"/>
    <x v="1"/>
    <x v="0"/>
    <s v="AEROPUERTO"/>
    <d v="2024-02-26T00:00:00"/>
    <d v="1899-12-30T05:33:07"/>
    <n v="6.6"/>
  </r>
  <r>
    <s v="CDB022"/>
    <x v="185"/>
    <x v="591"/>
    <x v="1"/>
    <x v="0"/>
    <s v="AEROPUERTO"/>
    <d v="2024-02-26T00:00:00"/>
    <d v="1899-12-30T05:40:22"/>
    <n v="6.6"/>
  </r>
  <r>
    <s v="CDB022"/>
    <x v="185"/>
    <x v="592"/>
    <x v="1"/>
    <x v="0"/>
    <s v="AEROPUERTO"/>
    <d v="2024-02-26T00:00:00"/>
    <d v="1899-12-30T09:05:16"/>
    <n v="6.6"/>
  </r>
  <r>
    <s v="CDB022"/>
    <x v="185"/>
    <x v="592"/>
    <x v="1"/>
    <x v="0"/>
    <s v="AEROPUERTO"/>
    <d v="2024-02-26T00:00:00"/>
    <d v="1899-12-30T09:13:06"/>
    <n v="6.6"/>
  </r>
  <r>
    <s v="CDB022"/>
    <x v="185"/>
    <x v="2"/>
    <x v="2"/>
    <x v="0"/>
    <s v="AEROPUERTO"/>
    <d v="2024-02-26T00:00:00"/>
    <d v="1899-12-30T15:44:33"/>
    <n v="6.6"/>
  </r>
  <r>
    <s v="CDB022"/>
    <x v="185"/>
    <x v="2"/>
    <x v="2"/>
    <x v="0"/>
    <s v="AEROPUERTO"/>
    <d v="2024-02-26T00:00:00"/>
    <d v="1899-12-30T16:08:02"/>
    <n v="6.6"/>
  </r>
  <r>
    <s v="CDB022"/>
    <x v="185"/>
    <x v="593"/>
    <x v="1"/>
    <x v="0"/>
    <s v="AEROPUERTO"/>
    <d v="2024-02-26T00:00:00"/>
    <d v="1899-12-30T20:30:41"/>
    <n v="6.6"/>
  </r>
  <r>
    <s v="CDB022"/>
    <x v="185"/>
    <x v="593"/>
    <x v="1"/>
    <x v="0"/>
    <s v="AEROPUERTO"/>
    <d v="2024-02-26T00:00:00"/>
    <d v="1899-12-30T20:41:46"/>
    <n v="6.6"/>
  </r>
  <r>
    <s v="CDB022"/>
    <x v="185"/>
    <x v="594"/>
    <x v="1"/>
    <x v="0"/>
    <s v="AEROPUERTO"/>
    <d v="2024-02-27T00:00:00"/>
    <d v="1899-12-30T03:33:36"/>
    <n v="6.6"/>
  </r>
  <r>
    <s v="CDB022"/>
    <x v="185"/>
    <x v="594"/>
    <x v="1"/>
    <x v="0"/>
    <s v="AEROPUERTO"/>
    <d v="2024-02-27T00:00:00"/>
    <d v="1899-12-30T03:41:11"/>
    <n v="6.6"/>
  </r>
  <r>
    <s v="CDB022"/>
    <x v="185"/>
    <x v="595"/>
    <x v="0"/>
    <x v="0"/>
    <s v="AEROPUERTO"/>
    <d v="2024-02-27T00:00:00"/>
    <d v="1899-12-30T05:56:02"/>
    <n v="6.6"/>
  </r>
  <r>
    <s v="CDB022"/>
    <x v="185"/>
    <x v="595"/>
    <x v="0"/>
    <x v="0"/>
    <s v="AEROPUERTO"/>
    <d v="2024-02-27T00:00:00"/>
    <d v="1899-12-30T06:10:01"/>
    <n v="6.6"/>
  </r>
  <r>
    <s v="CDB022"/>
    <x v="185"/>
    <x v="596"/>
    <x v="1"/>
    <x v="0"/>
    <s v="AEROPUERTO"/>
    <d v="2024-02-27T00:00:00"/>
    <d v="1899-12-30T12:09:31"/>
    <n v="6.6"/>
  </r>
  <r>
    <s v="CDB022"/>
    <x v="185"/>
    <x v="596"/>
    <x v="1"/>
    <x v="0"/>
    <s v="AEROPUERTO"/>
    <d v="2024-02-27T00:00:00"/>
    <d v="1899-12-30T12:26:09"/>
    <n v="6.6"/>
  </r>
  <r>
    <s v="CDB022"/>
    <x v="185"/>
    <x v="597"/>
    <x v="1"/>
    <x v="0"/>
    <s v="AEROPUERTO"/>
    <d v="2024-02-28T00:00:00"/>
    <d v="1899-12-30T15:48:09"/>
    <n v="6.6"/>
  </r>
  <r>
    <s v="CDB022"/>
    <x v="185"/>
    <x v="597"/>
    <x v="1"/>
    <x v="0"/>
    <s v="AEROPUERTO"/>
    <d v="2024-02-28T00:00:00"/>
    <d v="1899-12-30T16:39:48"/>
    <n v="6.6"/>
  </r>
  <r>
    <s v="CDB022"/>
    <x v="185"/>
    <x v="2"/>
    <x v="2"/>
    <x v="0"/>
    <s v="AEROPUERTO"/>
    <d v="2024-02-29T00:00:00"/>
    <d v="1899-12-30T15:04:13"/>
    <n v="6.6"/>
  </r>
  <r>
    <s v="CDB022"/>
    <x v="185"/>
    <x v="2"/>
    <x v="2"/>
    <x v="0"/>
    <s v="AEROPUERTO"/>
    <d v="2024-02-29T00:00:00"/>
    <d v="1899-12-30T15:12:33"/>
    <n v="6.6"/>
  </r>
  <r>
    <s v="F5Q958"/>
    <x v="186"/>
    <x v="598"/>
    <x v="1"/>
    <x v="0"/>
    <s v="AEROPUERTO"/>
    <d v="2024-02-27T00:00:00"/>
    <d v="1899-12-30T03:37:00"/>
    <n v="6.6"/>
  </r>
  <r>
    <s v="F5Q958"/>
    <x v="186"/>
    <x v="598"/>
    <x v="1"/>
    <x v="0"/>
    <s v="AEROPUERTO"/>
    <d v="2024-02-27T00:00:00"/>
    <d v="1899-12-30T03:44:38"/>
    <n v="6.6"/>
  </r>
  <r>
    <s v="F5Q958"/>
    <x v="186"/>
    <x v="599"/>
    <x v="1"/>
    <x v="0"/>
    <s v="AEROPUERTO"/>
    <d v="2024-02-27T00:00:00"/>
    <d v="1899-12-30T05:44:12"/>
    <n v="6.6"/>
  </r>
  <r>
    <s v="F5Q958"/>
    <x v="186"/>
    <x v="599"/>
    <x v="1"/>
    <x v="0"/>
    <s v="AEROPUERTO"/>
    <d v="2024-02-27T00:00:00"/>
    <d v="1899-12-30T05:53:11"/>
    <n v="6.6"/>
  </r>
  <r>
    <s v="F5Q958"/>
    <x v="186"/>
    <x v="2"/>
    <x v="2"/>
    <x v="0"/>
    <s v="AEROPUERTO"/>
    <d v="2024-02-27T00:00:00"/>
    <d v="1899-12-30T08:25:09"/>
    <n v="6.6"/>
  </r>
  <r>
    <s v="F5Q958"/>
    <x v="186"/>
    <x v="2"/>
    <x v="2"/>
    <x v="0"/>
    <s v="AEROPUERTO"/>
    <d v="2024-02-27T00:00:00"/>
    <d v="1899-12-30T08:37:49"/>
    <n v="6.6"/>
  </r>
  <r>
    <s v="F5Q958"/>
    <x v="186"/>
    <x v="2"/>
    <x v="2"/>
    <x v="0"/>
    <s v="AEROPUERTO"/>
    <d v="2024-02-27T00:00:00"/>
    <d v="1899-12-30T09:46:25"/>
    <n v="6.6"/>
  </r>
  <r>
    <s v="F5Q958"/>
    <x v="186"/>
    <x v="2"/>
    <x v="2"/>
    <x v="0"/>
    <s v="AEROPUERTO"/>
    <d v="2024-02-27T00:00:00"/>
    <d v="1899-12-30T09:58:07"/>
    <n v="6.6"/>
  </r>
  <r>
    <s v="F5Q958"/>
    <x v="186"/>
    <x v="2"/>
    <x v="2"/>
    <x v="0"/>
    <s v="AEROPUERTO"/>
    <d v="2024-02-27T00:00:00"/>
    <d v="1899-12-30T15:50:36"/>
    <n v="6.6"/>
  </r>
  <r>
    <s v="F5Q958"/>
    <x v="186"/>
    <x v="2"/>
    <x v="2"/>
    <x v="0"/>
    <s v="AEROPUERTO"/>
    <d v="2024-02-27T00:00:00"/>
    <d v="1899-12-30T16:02:44"/>
    <n v="6.6"/>
  </r>
  <r>
    <s v="F5Q958"/>
    <x v="186"/>
    <x v="600"/>
    <x v="1"/>
    <x v="0"/>
    <s v="AEROPUERTO"/>
    <d v="2024-02-27T00:00:00"/>
    <d v="1899-12-30T22:35:15"/>
    <n v="6.6"/>
  </r>
  <r>
    <s v="F5Q958"/>
    <x v="186"/>
    <x v="600"/>
    <x v="1"/>
    <x v="0"/>
    <s v="AEROPUERTO"/>
    <d v="2024-02-27T00:00:00"/>
    <d v="1899-12-30T22:45:13"/>
    <n v="6.6"/>
  </r>
  <r>
    <s v="F5Q958"/>
    <x v="186"/>
    <x v="2"/>
    <x v="2"/>
    <x v="0"/>
    <s v="AEROPUERTO"/>
    <d v="2024-02-27T00:00:00"/>
    <d v="1899-12-30T22:56:17"/>
    <n v="6.6"/>
  </r>
  <r>
    <s v="F5Q958"/>
    <x v="186"/>
    <x v="2"/>
    <x v="2"/>
    <x v="0"/>
    <s v="AEROPUERTO"/>
    <d v="2024-02-27T00:00:00"/>
    <d v="1899-12-30T23:02:56"/>
    <n v="6.6"/>
  </r>
  <r>
    <s v="F5Q958"/>
    <x v="186"/>
    <x v="601"/>
    <x v="1"/>
    <x v="0"/>
    <s v="AEROPUERTO"/>
    <d v="2024-02-28T00:00:00"/>
    <d v="1899-12-30T02:08:29"/>
    <n v="6.6"/>
  </r>
  <r>
    <s v="F5Q958"/>
    <x v="186"/>
    <x v="601"/>
    <x v="1"/>
    <x v="0"/>
    <s v="AEROPUERTO"/>
    <d v="2024-02-28T00:00:00"/>
    <d v="1899-12-30T02:15:22"/>
    <n v="6.6"/>
  </r>
  <r>
    <s v="F5Q958"/>
    <x v="186"/>
    <x v="2"/>
    <x v="2"/>
    <x v="0"/>
    <s v="AEROPUERTO"/>
    <d v="2024-02-28T00:00:00"/>
    <d v="1899-12-30T13:43:46"/>
    <n v="6.6"/>
  </r>
  <r>
    <s v="F5Q958"/>
    <x v="186"/>
    <x v="2"/>
    <x v="2"/>
    <x v="0"/>
    <s v="AEROPUERTO"/>
    <d v="2024-02-28T00:00:00"/>
    <d v="1899-12-30T13:52:04"/>
    <n v="6.6"/>
  </r>
  <r>
    <s v="F5Q958"/>
    <x v="186"/>
    <x v="602"/>
    <x v="1"/>
    <x v="0"/>
    <s v="AEROPUERTO"/>
    <d v="2024-02-29T00:00:00"/>
    <d v="1899-12-30T04:33:00"/>
    <n v="6.6"/>
  </r>
  <r>
    <s v="F5Q958"/>
    <x v="186"/>
    <x v="602"/>
    <x v="1"/>
    <x v="0"/>
    <s v="AEROPUERTO"/>
    <d v="2024-02-29T00:00:00"/>
    <d v="1899-12-30T04:39:52"/>
    <n v="6.6"/>
  </r>
  <r>
    <s v="F5Q958"/>
    <x v="186"/>
    <x v="2"/>
    <x v="2"/>
    <x v="0"/>
    <s v="AEROPUERTO"/>
    <d v="2024-02-29T00:00:00"/>
    <d v="1899-12-30T07:20:17"/>
    <n v="6.6"/>
  </r>
  <r>
    <s v="F5Q958"/>
    <x v="186"/>
    <x v="2"/>
    <x v="2"/>
    <x v="0"/>
    <s v="AEROPUERTO"/>
    <d v="2024-02-29T00:00:00"/>
    <d v="1899-12-30T07:38:58"/>
    <n v="6.6"/>
  </r>
  <r>
    <s v="F5Q958"/>
    <x v="186"/>
    <x v="2"/>
    <x v="2"/>
    <x v="0"/>
    <s v="AEROPUERTO"/>
    <d v="2024-02-29T00:00:00"/>
    <d v="1899-12-30T08:15:36"/>
    <n v="6.6"/>
  </r>
  <r>
    <s v="F5Q958"/>
    <x v="186"/>
    <x v="2"/>
    <x v="2"/>
    <x v="0"/>
    <s v="AEROPUERTO"/>
    <d v="2024-02-29T00:00:00"/>
    <d v="1899-12-30T08:24:35"/>
    <n v="6.6"/>
  </r>
  <r>
    <s v="F5Q958"/>
    <x v="186"/>
    <x v="2"/>
    <x v="2"/>
    <x v="0"/>
    <s v="AEROPUERTO"/>
    <d v="2024-02-29T00:00:00"/>
    <d v="1899-12-30T12:20:35"/>
    <n v="6.6"/>
  </r>
  <r>
    <s v="F5Q958"/>
    <x v="186"/>
    <x v="2"/>
    <x v="2"/>
    <x v="0"/>
    <s v="AEROPUERTO"/>
    <d v="2024-02-29T00:00:00"/>
    <d v="1899-12-30T12:28:58"/>
    <n v="6.6"/>
  </r>
  <r>
    <s v="BBF698"/>
    <x v="187"/>
    <x v="603"/>
    <x v="1"/>
    <x v="1"/>
    <s v="URBANO"/>
    <d v="2024-02-26T00:00:00"/>
    <d v="1899-12-30T05:45:01"/>
    <n v="6.6"/>
  </r>
  <r>
    <s v="BBF698"/>
    <x v="187"/>
    <x v="604"/>
    <x v="1"/>
    <x v="1"/>
    <s v="URBANO"/>
    <d v="2024-02-26T00:00:00"/>
    <d v="1899-12-30T07:54:25"/>
    <n v="6.6"/>
  </r>
  <r>
    <s v="BBF698"/>
    <x v="187"/>
    <x v="2"/>
    <x v="2"/>
    <x v="1"/>
    <s v="URBANO"/>
    <d v="2024-02-26T00:00:00"/>
    <d v="1899-12-30T13:51:12"/>
    <n v="6.6"/>
  </r>
  <r>
    <s v="BBF698"/>
    <x v="187"/>
    <x v="605"/>
    <x v="1"/>
    <x v="1"/>
    <s v="URBANO"/>
    <d v="2024-02-27T00:00:00"/>
    <d v="1899-12-30T04:58:49"/>
    <n v="6.6"/>
  </r>
  <r>
    <s v="BBF698"/>
    <x v="187"/>
    <x v="605"/>
    <x v="1"/>
    <x v="1"/>
    <s v="URBANO"/>
    <d v="2024-02-27T00:00:00"/>
    <d v="1899-12-30T05:02:57"/>
    <n v="6.6"/>
  </r>
  <r>
    <s v="BBF698"/>
    <x v="187"/>
    <x v="2"/>
    <x v="2"/>
    <x v="1"/>
    <s v="URBANO"/>
    <d v="2024-02-27T00:00:00"/>
    <d v="1899-12-30T12:47:48"/>
    <n v="6.6"/>
  </r>
  <r>
    <s v="BBF698"/>
    <x v="187"/>
    <x v="606"/>
    <x v="1"/>
    <x v="1"/>
    <s v="URBANO"/>
    <d v="2024-02-28T00:00:00"/>
    <d v="1899-12-30T08:48:48"/>
    <n v="6.6"/>
  </r>
  <r>
    <s v="BBF698"/>
    <x v="187"/>
    <x v="606"/>
    <x v="1"/>
    <x v="1"/>
    <s v="URBANO"/>
    <d v="2024-02-28T00:00:00"/>
    <d v="1899-12-30T08:55:44"/>
    <n v="6.6"/>
  </r>
  <r>
    <s v="BBF698"/>
    <x v="187"/>
    <x v="2"/>
    <x v="2"/>
    <x v="1"/>
    <s v="URBANO"/>
    <d v="2024-02-28T00:00:00"/>
    <d v="1899-12-30T18:08:14"/>
    <n v="6.6"/>
  </r>
  <r>
    <s v="BBF698"/>
    <x v="187"/>
    <x v="2"/>
    <x v="2"/>
    <x v="1"/>
    <s v="URBANO"/>
    <d v="2024-02-29T00:00:00"/>
    <d v="1899-12-30T06:07:43"/>
    <n v="6.6"/>
  </r>
  <r>
    <s v="BBF698"/>
    <x v="187"/>
    <x v="607"/>
    <x v="1"/>
    <x v="1"/>
    <s v="URBANO"/>
    <d v="2024-02-29T00:00:00"/>
    <d v="1899-12-30T07:29:52"/>
    <n v="6.6"/>
  </r>
  <r>
    <s v="BBF698"/>
    <x v="187"/>
    <x v="608"/>
    <x v="1"/>
    <x v="1"/>
    <s v="URBANO"/>
    <d v="2024-02-29T00:00:00"/>
    <d v="1899-12-30T09:19:10"/>
    <n v="6.6"/>
  </r>
  <r>
    <s v="BBF698"/>
    <x v="187"/>
    <x v="2"/>
    <x v="2"/>
    <x v="1"/>
    <s v="URBANO"/>
    <d v="2024-02-29T00:00:00"/>
    <d v="1899-12-30T13:44:00"/>
    <n v="6.6"/>
  </r>
  <r>
    <s v="ADH572"/>
    <x v="188"/>
    <x v="609"/>
    <x v="1"/>
    <x v="1"/>
    <s v="URBANO"/>
    <d v="2024-02-26T00:00:00"/>
    <d v="1899-12-30T08:57:41"/>
    <n v="6.6"/>
  </r>
  <r>
    <s v="ADH572"/>
    <x v="188"/>
    <x v="610"/>
    <x v="1"/>
    <x v="1"/>
    <s v="URBANO"/>
    <d v="2024-02-26T00:00:00"/>
    <d v="1899-12-30T10:00:41"/>
    <n v="6.6"/>
  </r>
  <r>
    <s v="ADH572"/>
    <x v="188"/>
    <x v="2"/>
    <x v="2"/>
    <x v="1"/>
    <s v="URBANO"/>
    <d v="2024-02-28T00:00:00"/>
    <d v="1899-12-30T12:39:56"/>
    <n v="6.6"/>
  </r>
  <r>
    <s v="ADH572"/>
    <x v="188"/>
    <x v="2"/>
    <x v="2"/>
    <x v="1"/>
    <s v="URBANO"/>
    <d v="2024-02-28T00:00:00"/>
    <d v="1899-12-30T12:48:13"/>
    <n v="6.6"/>
  </r>
  <r>
    <s v="BYC124"/>
    <x v="189"/>
    <x v="2"/>
    <x v="2"/>
    <x v="1"/>
    <s v="URBANO"/>
    <d v="2024-02-27T00:00:00"/>
    <d v="1899-12-30T12:03:36"/>
    <n v="6.6"/>
  </r>
  <r>
    <s v="BYC124"/>
    <x v="189"/>
    <x v="2"/>
    <x v="2"/>
    <x v="1"/>
    <s v="URBANO"/>
    <d v="2024-02-27T00:00:00"/>
    <d v="1899-12-30T12:13:08"/>
    <n v="6.6"/>
  </r>
  <r>
    <s v="BYC124"/>
    <x v="189"/>
    <x v="611"/>
    <x v="1"/>
    <x v="1"/>
    <s v="URBANO"/>
    <d v="2024-02-28T00:00:00"/>
    <d v="1899-12-30T14:10:55"/>
    <n v="6.6"/>
  </r>
  <r>
    <s v="BYC124"/>
    <x v="189"/>
    <x v="611"/>
    <x v="1"/>
    <x v="1"/>
    <s v="URBANO"/>
    <d v="2024-02-28T00:00:00"/>
    <d v="1899-12-30T14:15:17"/>
    <n v="6.6"/>
  </r>
  <r>
    <s v="BYC124"/>
    <x v="189"/>
    <x v="2"/>
    <x v="2"/>
    <x v="1"/>
    <s v="URBANO"/>
    <d v="2024-02-28T00:00:00"/>
    <d v="1899-12-30T15:50:55"/>
    <n v="6.6"/>
  </r>
  <r>
    <s v="BNG615"/>
    <x v="190"/>
    <x v="612"/>
    <x v="1"/>
    <x v="1"/>
    <s v="URBANO"/>
    <d v="2024-02-26T00:00:00"/>
    <d v="1899-12-30T23:41:34"/>
    <n v="6.6"/>
  </r>
  <r>
    <s v="BNG615"/>
    <x v="190"/>
    <x v="613"/>
    <x v="1"/>
    <x v="1"/>
    <s v="URBANO"/>
    <d v="2024-02-27T00:00:00"/>
    <d v="1899-12-30T02:12:06"/>
    <n v="6.6"/>
  </r>
  <r>
    <s v="BNG615"/>
    <x v="190"/>
    <x v="614"/>
    <x v="1"/>
    <x v="1"/>
    <s v="URBANO"/>
    <d v="2024-02-29T00:00:00"/>
    <d v="1899-12-30T03:12:07"/>
    <n v="6.6"/>
  </r>
  <r>
    <s v="BNG615"/>
    <x v="190"/>
    <x v="615"/>
    <x v="1"/>
    <x v="1"/>
    <s v="URBANO"/>
    <d v="2024-02-29T00:00:00"/>
    <d v="1899-12-30T07:22:15"/>
    <n v="6.6"/>
  </r>
  <r>
    <s v="BNG615"/>
    <x v="190"/>
    <x v="616"/>
    <x v="1"/>
    <x v="1"/>
    <s v="URBANO"/>
    <d v="2024-02-29T00:00:00"/>
    <d v="1899-12-30T09:05:40"/>
    <n v="6.6"/>
  </r>
  <r>
    <s v="BNG615"/>
    <x v="190"/>
    <x v="616"/>
    <x v="3"/>
    <x v="1"/>
    <s v="URBANO"/>
    <d v="2024-02-29T00:00:00"/>
    <d v="1899-12-30T09:19:55"/>
    <n v="6.6"/>
  </r>
  <r>
    <s v="D0T524"/>
    <x v="191"/>
    <x v="617"/>
    <x v="1"/>
    <x v="1"/>
    <s v="URBANO"/>
    <d v="2024-02-26T00:00:00"/>
    <d v="1899-12-30T02:40:39"/>
    <n v="6.6"/>
  </r>
  <r>
    <s v="D0T524"/>
    <x v="191"/>
    <x v="618"/>
    <x v="1"/>
    <x v="1"/>
    <s v="URBANO"/>
    <d v="2024-02-27T00:00:00"/>
    <d v="1899-12-30T02:14:06"/>
    <n v="6.6"/>
  </r>
  <r>
    <s v="D0T524"/>
    <x v="191"/>
    <x v="619"/>
    <x v="1"/>
    <x v="1"/>
    <s v="URBANO"/>
    <d v="2024-02-27T00:00:00"/>
    <d v="1899-12-30T23:36:19"/>
    <n v="6.6"/>
  </r>
  <r>
    <s v="D0T524"/>
    <x v="191"/>
    <x v="620"/>
    <x v="1"/>
    <x v="1"/>
    <s v="URBANO"/>
    <d v="2024-02-28T00:00:00"/>
    <d v="1899-12-30T21:17:24"/>
    <n v="6.6"/>
  </r>
  <r>
    <s v="BYE186"/>
    <x v="192"/>
    <x v="621"/>
    <x v="1"/>
    <x v="1"/>
    <s v="URBANO"/>
    <d v="2024-02-26T00:00:00"/>
    <d v="1899-12-30T22:30:32"/>
    <n v="6.6"/>
  </r>
  <r>
    <s v="BYE186"/>
    <x v="192"/>
    <x v="2"/>
    <x v="2"/>
    <x v="1"/>
    <s v="URBANO"/>
    <d v="2024-02-27T00:00:00"/>
    <d v="1899-12-30T13:55:26"/>
    <n v="6.6"/>
  </r>
  <r>
    <s v="BYE186"/>
    <x v="192"/>
    <x v="2"/>
    <x v="2"/>
    <x v="1"/>
    <s v="URBANO"/>
    <d v="2024-02-29T00:00:00"/>
    <d v="1899-12-30T11:58:46"/>
    <n v="6.6"/>
  </r>
  <r>
    <s v="BYE186"/>
    <x v="192"/>
    <x v="622"/>
    <x v="1"/>
    <x v="1"/>
    <s v="URBANO"/>
    <d v="2024-02-29T00:00:00"/>
    <d v="1899-12-30T18:53:08"/>
    <n v="6.6"/>
  </r>
  <r>
    <s v="BWJ255"/>
    <x v="193"/>
    <x v="2"/>
    <x v="2"/>
    <x v="1"/>
    <s v="URBANO"/>
    <d v="2024-02-27T00:00:00"/>
    <d v="1899-12-30T22:36:59"/>
    <n v="6.6"/>
  </r>
  <r>
    <s v="CFG461"/>
    <x v="194"/>
    <x v="2"/>
    <x v="2"/>
    <x v="1"/>
    <s v="URBANO"/>
    <d v="2024-02-29T00:00:00"/>
    <d v="1899-12-30T12:17:46"/>
    <n v="6.6"/>
  </r>
  <r>
    <s v="BSF586"/>
    <x v="195"/>
    <x v="2"/>
    <x v="2"/>
    <x v="1"/>
    <s v="URBANO"/>
    <d v="2024-02-28T00:00:00"/>
    <d v="1899-12-30T16:40:45"/>
    <n v="6.6"/>
  </r>
  <r>
    <s v="BSF586"/>
    <x v="195"/>
    <x v="2"/>
    <x v="2"/>
    <x v="1"/>
    <s v="URBANO"/>
    <d v="2024-02-28T00:00:00"/>
    <d v="1899-12-30T16:50:00"/>
    <n v="6.6"/>
  </r>
  <r>
    <s v="CHU685"/>
    <x v="196"/>
    <x v="623"/>
    <x v="3"/>
    <x v="0"/>
    <s v="AEROPUERTO"/>
    <d v="2024-02-26T00:00:00"/>
    <d v="1899-12-30T13:08:31"/>
    <n v="6.6"/>
  </r>
  <r>
    <s v="CHU685"/>
    <x v="196"/>
    <x v="623"/>
    <x v="3"/>
    <x v="0"/>
    <s v="AEROPUERTO"/>
    <d v="2024-02-26T00:00:00"/>
    <d v="1899-12-30T13:17:58"/>
    <n v="6.6"/>
  </r>
  <r>
    <s v="CHU685"/>
    <x v="196"/>
    <x v="624"/>
    <x v="1"/>
    <x v="0"/>
    <s v="AEROPUERTO"/>
    <d v="2024-02-26T00:00:00"/>
    <d v="1899-12-30T22:26:16"/>
    <n v="6.6"/>
  </r>
  <r>
    <s v="CHU685"/>
    <x v="196"/>
    <x v="624"/>
    <x v="1"/>
    <x v="0"/>
    <s v="AEROPUERTO"/>
    <d v="2024-02-26T00:00:00"/>
    <d v="1899-12-30T22:36:29"/>
    <n v="6.6"/>
  </r>
  <r>
    <s v="F7Z615"/>
    <x v="197"/>
    <x v="625"/>
    <x v="1"/>
    <x v="1"/>
    <s v="URBANO"/>
    <d v="2024-02-26T00:00:00"/>
    <d v="1899-12-30T01:12:08"/>
    <n v="6.6"/>
  </r>
  <r>
    <s v="F7Z615"/>
    <x v="197"/>
    <x v="626"/>
    <x v="1"/>
    <x v="1"/>
    <s v="URBANO"/>
    <d v="2024-02-26T00:00:00"/>
    <d v="1899-12-30T06:32:58"/>
    <n v="6.6"/>
  </r>
  <r>
    <s v="F7Z615"/>
    <x v="197"/>
    <x v="2"/>
    <x v="2"/>
    <x v="1"/>
    <s v="URBANO"/>
    <d v="2024-02-26T00:00:00"/>
    <d v="1899-12-30T07:42:08"/>
    <n v="6.6"/>
  </r>
  <r>
    <s v="F7Z615"/>
    <x v="197"/>
    <x v="627"/>
    <x v="1"/>
    <x v="1"/>
    <s v="URBANO"/>
    <d v="2024-02-26T00:00:00"/>
    <d v="1899-12-30T20:45:58"/>
    <n v="6.6"/>
  </r>
  <r>
    <s v="F7Z615"/>
    <x v="197"/>
    <x v="628"/>
    <x v="1"/>
    <x v="1"/>
    <s v="URBANO"/>
    <d v="2024-02-26T00:00:00"/>
    <d v="1899-12-30T21:41:19"/>
    <n v="6.6"/>
  </r>
  <r>
    <s v="F7Z615"/>
    <x v="197"/>
    <x v="628"/>
    <x v="1"/>
    <x v="1"/>
    <s v="URBANO"/>
    <d v="2024-02-26T00:00:00"/>
    <d v="1899-12-30T21:47:36"/>
    <n v="6.6"/>
  </r>
  <r>
    <s v="F7Z615"/>
    <x v="197"/>
    <x v="629"/>
    <x v="1"/>
    <x v="1"/>
    <s v="URBANO"/>
    <d v="2024-02-27T00:00:00"/>
    <d v="1899-12-30T05:17:19"/>
    <n v="6.6"/>
  </r>
  <r>
    <s v="F7Z615"/>
    <x v="197"/>
    <x v="630"/>
    <x v="1"/>
    <x v="1"/>
    <s v="URBANO"/>
    <d v="2024-02-27T00:00:00"/>
    <d v="1899-12-30T21:02:02"/>
    <n v="6.6"/>
  </r>
  <r>
    <s v="F7Z615"/>
    <x v="197"/>
    <x v="631"/>
    <x v="1"/>
    <x v="1"/>
    <s v="URBANO"/>
    <d v="2024-02-28T00:00:00"/>
    <d v="1899-12-30T19:43:18"/>
    <n v="6.6"/>
  </r>
  <r>
    <s v="F7Z615"/>
    <x v="197"/>
    <x v="632"/>
    <x v="1"/>
    <x v="1"/>
    <s v="URBANO"/>
    <d v="2024-02-29T00:00:00"/>
    <d v="1899-12-30T00:16:34"/>
    <n v="6.6"/>
  </r>
  <r>
    <s v="F7Z615"/>
    <x v="197"/>
    <x v="633"/>
    <x v="1"/>
    <x v="1"/>
    <s v="URBANO"/>
    <d v="2024-02-29T00:00:00"/>
    <d v="1899-12-30T06:35:00"/>
    <n v="6.6"/>
  </r>
  <r>
    <s v="Z6U370"/>
    <x v="198"/>
    <x v="634"/>
    <x v="1"/>
    <x v="1"/>
    <s v="URBANO"/>
    <d v="2024-02-27T00:00:00"/>
    <d v="1899-12-30T00:12:57"/>
    <n v="6.6"/>
  </r>
  <r>
    <s v="Z6U370"/>
    <x v="198"/>
    <x v="635"/>
    <x v="1"/>
    <x v="1"/>
    <s v="URBANO"/>
    <d v="2024-02-27T00:00:00"/>
    <d v="1899-12-30T21:52:28"/>
    <n v="6.6"/>
  </r>
  <r>
    <s v="Z6U370"/>
    <x v="198"/>
    <x v="636"/>
    <x v="3"/>
    <x v="1"/>
    <s v="URBANO"/>
    <d v="2024-02-29T00:00:00"/>
    <d v="1899-12-30T16:14:45"/>
    <n v="6.6"/>
  </r>
  <r>
    <s v="Z6U370"/>
    <x v="198"/>
    <x v="636"/>
    <x v="3"/>
    <x v="1"/>
    <s v="URBANO"/>
    <d v="2024-02-29T00:00:00"/>
    <d v="1899-12-30T16:26:13"/>
    <n v="6.6"/>
  </r>
  <r>
    <s v="Z6U370"/>
    <x v="198"/>
    <x v="637"/>
    <x v="3"/>
    <x v="1"/>
    <s v="URBANO"/>
    <d v="2024-02-29T00:00:00"/>
    <d v="1899-12-30T16:54:14"/>
    <n v="6.6"/>
  </r>
  <r>
    <s v="Z6U370"/>
    <x v="198"/>
    <x v="637"/>
    <x v="1"/>
    <x v="1"/>
    <s v="URBANO"/>
    <d v="2024-02-29T00:00:00"/>
    <d v="1899-12-30T17:31:58"/>
    <n v="6.6"/>
  </r>
  <r>
    <s v="Z6U370"/>
    <x v="198"/>
    <x v="637"/>
    <x v="1"/>
    <x v="1"/>
    <s v="URBANO"/>
    <d v="2024-02-29T00:00:00"/>
    <d v="1899-12-30T17:48:21"/>
    <n v="6.6"/>
  </r>
  <r>
    <s v="Z6U370"/>
    <x v="198"/>
    <x v="638"/>
    <x v="1"/>
    <x v="1"/>
    <s v="URBANO"/>
    <d v="2024-02-29T00:00:00"/>
    <d v="1899-12-30T20:52:52"/>
    <n v="6.6"/>
  </r>
  <r>
    <s v="Z6U370"/>
    <x v="198"/>
    <x v="639"/>
    <x v="1"/>
    <x v="1"/>
    <s v="URBANO"/>
    <d v="2024-02-29T00:00:00"/>
    <d v="1899-12-30T22:51:48"/>
    <n v="6.6"/>
  </r>
  <r>
    <s v="CBE341"/>
    <x v="199"/>
    <x v="640"/>
    <x v="1"/>
    <x v="1"/>
    <s v="URBANO"/>
    <d v="2024-02-27T00:00:00"/>
    <d v="1899-12-30T04:18:18"/>
    <n v="6.6"/>
  </r>
  <r>
    <s v="CBE341"/>
    <x v="199"/>
    <x v="640"/>
    <x v="1"/>
    <x v="1"/>
    <s v="URBANO"/>
    <d v="2024-02-27T00:00:00"/>
    <d v="1899-12-30T04:25:59"/>
    <n v="6.6"/>
  </r>
  <r>
    <s v="CBE341"/>
    <x v="199"/>
    <x v="641"/>
    <x v="1"/>
    <x v="1"/>
    <s v="URBANO"/>
    <d v="2024-02-27T00:00:00"/>
    <d v="1899-12-30T11:52:09"/>
    <n v="6.6"/>
  </r>
  <r>
    <s v="CBE341"/>
    <x v="199"/>
    <x v="642"/>
    <x v="1"/>
    <x v="1"/>
    <s v="URBANO"/>
    <d v="2024-02-27T00:00:00"/>
    <d v="1899-12-30T19:15:23"/>
    <n v="6.6"/>
  </r>
  <r>
    <s v="CBE341"/>
    <x v="199"/>
    <x v="643"/>
    <x v="1"/>
    <x v="1"/>
    <s v="URBANO"/>
    <d v="2024-02-27T00:00:00"/>
    <d v="1899-12-30T21:26:14"/>
    <n v="6.6"/>
  </r>
  <r>
    <s v="CBE341"/>
    <x v="199"/>
    <x v="644"/>
    <x v="1"/>
    <x v="1"/>
    <s v="URBANO"/>
    <d v="2024-02-28T00:00:00"/>
    <d v="1899-12-30T06:45:56"/>
    <n v="6.6"/>
  </r>
  <r>
    <s v="CBE341"/>
    <x v="199"/>
    <x v="645"/>
    <x v="3"/>
    <x v="1"/>
    <s v="URBANO"/>
    <d v="2024-02-28T00:00:00"/>
    <d v="1899-12-30T07:08:26"/>
    <n v="6.6"/>
  </r>
  <r>
    <s v="BWX187"/>
    <x v="200"/>
    <x v="646"/>
    <x v="1"/>
    <x v="1"/>
    <s v="URBANO"/>
    <d v="2024-02-26T00:00:00"/>
    <d v="1899-12-30T09:00:36"/>
    <n v="6.6"/>
  </r>
  <r>
    <s v="BWX187"/>
    <x v="200"/>
    <x v="646"/>
    <x v="1"/>
    <x v="1"/>
    <s v="URBANO"/>
    <d v="2024-02-26T00:00:00"/>
    <d v="1899-12-30T09:09:30"/>
    <n v="6.6"/>
  </r>
  <r>
    <s v="BWX187"/>
    <x v="200"/>
    <x v="647"/>
    <x v="1"/>
    <x v="1"/>
    <s v="URBANO"/>
    <d v="2024-02-26T00:00:00"/>
    <d v="1899-12-30T12:20:18"/>
    <n v="6.6"/>
  </r>
  <r>
    <s v="BWX187"/>
    <x v="200"/>
    <x v="648"/>
    <x v="1"/>
    <x v="1"/>
    <s v="URBANO"/>
    <d v="2024-02-28T00:00:00"/>
    <d v="1899-12-30T07:02:08"/>
    <n v="6.6"/>
  </r>
  <r>
    <s v="BWX187"/>
    <x v="200"/>
    <x v="648"/>
    <x v="1"/>
    <x v="1"/>
    <s v="URBANO"/>
    <d v="2024-02-28T00:00:00"/>
    <d v="1899-12-30T07:12:43"/>
    <n v="6.6"/>
  </r>
  <r>
    <s v="BWX187"/>
    <x v="200"/>
    <x v="2"/>
    <x v="2"/>
    <x v="1"/>
    <s v="URBANO"/>
    <d v="2024-02-29T00:00:00"/>
    <d v="1899-12-30T07:04:00"/>
    <n v="6.6"/>
  </r>
  <r>
    <s v="CBM544"/>
    <x v="201"/>
    <x v="649"/>
    <x v="1"/>
    <x v="1"/>
    <s v="URBANO"/>
    <d v="2024-02-26T00:00:00"/>
    <d v="1899-12-30T00:19:36"/>
    <n v="6.6"/>
  </r>
  <r>
    <s v="CBM544"/>
    <x v="201"/>
    <x v="650"/>
    <x v="1"/>
    <x v="1"/>
    <s v="URBANO"/>
    <d v="2024-02-26T00:00:00"/>
    <d v="1899-12-30T03:40:36"/>
    <n v="6.6"/>
  </r>
  <r>
    <s v="CBM544"/>
    <x v="201"/>
    <x v="651"/>
    <x v="1"/>
    <x v="1"/>
    <s v="URBANO"/>
    <d v="2024-02-26T00:00:00"/>
    <d v="1899-12-30T06:55:22"/>
    <n v="6.6"/>
  </r>
  <r>
    <s v="CBM544"/>
    <x v="201"/>
    <x v="652"/>
    <x v="1"/>
    <x v="1"/>
    <s v="URBANO"/>
    <d v="2024-02-27T00:00:00"/>
    <d v="1899-12-30T13:10:20"/>
    <n v="6.6"/>
  </r>
  <r>
    <s v="CBM544"/>
    <x v="201"/>
    <x v="652"/>
    <x v="1"/>
    <x v="1"/>
    <s v="URBANO"/>
    <d v="2024-02-27T00:00:00"/>
    <d v="1899-12-30T13:21:40"/>
    <n v="6.6"/>
  </r>
  <r>
    <s v="CBM544"/>
    <x v="201"/>
    <x v="652"/>
    <x v="1"/>
    <x v="1"/>
    <s v="URBANO"/>
    <d v="2024-02-27T00:00:00"/>
    <d v="1899-12-30T13:24:07"/>
    <n v="6.6"/>
  </r>
  <r>
    <s v="CBM544"/>
    <x v="201"/>
    <x v="653"/>
    <x v="1"/>
    <x v="1"/>
    <s v="URBANO"/>
    <d v="2024-02-28T00:00:00"/>
    <d v="1899-12-30T17:39:53"/>
    <n v="6.6"/>
  </r>
  <r>
    <s v="CBM544"/>
    <x v="201"/>
    <x v="653"/>
    <x v="1"/>
    <x v="1"/>
    <s v="URBANO"/>
    <d v="2024-02-28T00:00:00"/>
    <d v="1899-12-30T18:20:20"/>
    <n v="6.6"/>
  </r>
  <r>
    <s v="BBG105"/>
    <x v="202"/>
    <x v="2"/>
    <x v="2"/>
    <x v="1"/>
    <s v="URBANO"/>
    <d v="2024-02-28T00:00:00"/>
    <d v="1899-12-30T10:57:32"/>
    <n v="6.6"/>
  </r>
  <r>
    <s v="CBM626"/>
    <x v="203"/>
    <x v="2"/>
    <x v="2"/>
    <x v="1"/>
    <s v="URBANO"/>
    <d v="2024-02-27T00:00:00"/>
    <d v="1899-12-30T17:54:48"/>
    <n v="6.6"/>
  </r>
  <r>
    <s v="CBM626"/>
    <x v="203"/>
    <x v="654"/>
    <x v="1"/>
    <x v="1"/>
    <s v="URBANO"/>
    <d v="2024-02-27T00:00:00"/>
    <d v="1899-12-30T20:27:47"/>
    <n v="6.6"/>
  </r>
  <r>
    <s v="CBM626"/>
    <x v="203"/>
    <x v="655"/>
    <x v="1"/>
    <x v="1"/>
    <s v="URBANO"/>
    <d v="2024-02-27T00:00:00"/>
    <d v="1899-12-30T22:16:35"/>
    <n v="6.6"/>
  </r>
  <r>
    <s v="CBM626"/>
    <x v="203"/>
    <x v="656"/>
    <x v="1"/>
    <x v="1"/>
    <s v="URBANO"/>
    <d v="2024-02-29T00:00:00"/>
    <d v="1899-12-30T00:18:41"/>
    <n v="6.6"/>
  </r>
  <r>
    <s v="CBM626"/>
    <x v="203"/>
    <x v="2"/>
    <x v="2"/>
    <x v="1"/>
    <s v="URBANO"/>
    <d v="2024-02-29T00:00:00"/>
    <d v="1899-12-30T17:39:50"/>
    <n v="6.6"/>
  </r>
  <r>
    <s v="CBM626"/>
    <x v="203"/>
    <x v="657"/>
    <x v="1"/>
    <x v="1"/>
    <s v="URBANO"/>
    <d v="2024-02-29T00:00:00"/>
    <d v="1899-12-30T22:53:07"/>
    <n v="6.6"/>
  </r>
  <r>
    <s v="CBM626"/>
    <x v="203"/>
    <x v="657"/>
    <x v="1"/>
    <x v="1"/>
    <s v="URBANO"/>
    <d v="2024-02-29T00:00:00"/>
    <d v="1899-12-30T23:02:41"/>
    <n v="6.6"/>
  </r>
  <r>
    <s v="CAN349"/>
    <x v="204"/>
    <x v="658"/>
    <x v="1"/>
    <x v="1"/>
    <s v="URBANO"/>
    <d v="2024-02-29T00:00:00"/>
    <d v="1899-12-30T19:02:56"/>
    <n v="6.6"/>
  </r>
  <r>
    <s v="BPG151"/>
    <x v="205"/>
    <x v="659"/>
    <x v="1"/>
    <x v="1"/>
    <s v="URBANO"/>
    <d v="2024-02-27T00:00:00"/>
    <d v="1899-12-30T00:13:06"/>
    <n v="6.6"/>
  </r>
  <r>
    <s v="BPG151"/>
    <x v="205"/>
    <x v="660"/>
    <x v="1"/>
    <x v="1"/>
    <s v="URBANO"/>
    <d v="2024-02-27T00:00:00"/>
    <d v="1899-12-30T02:35:41"/>
    <n v="6.6"/>
  </r>
  <r>
    <s v="BPG151"/>
    <x v="205"/>
    <x v="661"/>
    <x v="1"/>
    <x v="1"/>
    <s v="URBANO"/>
    <d v="2024-02-27T00:00:00"/>
    <d v="1899-12-30T23:27:24"/>
    <n v="6.6"/>
  </r>
  <r>
    <s v="BPG151"/>
    <x v="205"/>
    <x v="662"/>
    <x v="1"/>
    <x v="1"/>
    <s v="URBANO"/>
    <d v="2024-02-28T00:00:00"/>
    <d v="1899-12-30T03:09:53"/>
    <n v="6.6"/>
  </r>
  <r>
    <s v="BPG151"/>
    <x v="205"/>
    <x v="2"/>
    <x v="2"/>
    <x v="1"/>
    <s v="URBANO"/>
    <d v="2024-02-28T00:00:00"/>
    <d v="1899-12-30T07:15:54"/>
    <n v="6.6"/>
  </r>
  <r>
    <s v="BPG151"/>
    <x v="205"/>
    <x v="663"/>
    <x v="1"/>
    <x v="1"/>
    <s v="URBANO"/>
    <d v="2024-02-28T00:00:00"/>
    <d v="1899-12-30T21:09:45"/>
    <n v="6.6"/>
  </r>
  <r>
    <s v="BPG151"/>
    <x v="205"/>
    <x v="664"/>
    <x v="1"/>
    <x v="1"/>
    <s v="URBANO"/>
    <d v="2024-02-29T00:00:00"/>
    <d v="1899-12-30T19:12:12"/>
    <n v="6.6"/>
  </r>
  <r>
    <s v="CBP025"/>
    <x v="206"/>
    <x v="665"/>
    <x v="1"/>
    <x v="1"/>
    <s v="URBANO"/>
    <d v="2024-02-26T00:00:00"/>
    <d v="1899-12-30T18:57:01"/>
    <n v="6.6"/>
  </r>
  <r>
    <s v="CBP025"/>
    <x v="206"/>
    <x v="665"/>
    <x v="1"/>
    <x v="1"/>
    <s v="URBANO"/>
    <d v="2024-02-26T00:00:00"/>
    <d v="1899-12-30T19:09:19"/>
    <n v="6.6"/>
  </r>
  <r>
    <s v="CBP025"/>
    <x v="206"/>
    <x v="666"/>
    <x v="1"/>
    <x v="1"/>
    <s v="URBANO"/>
    <d v="2024-02-26T00:00:00"/>
    <d v="1899-12-30T21:11:49"/>
    <n v="6.6"/>
  </r>
  <r>
    <s v="CBP025"/>
    <x v="206"/>
    <x v="666"/>
    <x v="1"/>
    <x v="1"/>
    <s v="URBANO"/>
    <d v="2024-02-26T00:00:00"/>
    <d v="1899-12-30T21:19:50"/>
    <n v="6.6"/>
  </r>
  <r>
    <s v="CBP025"/>
    <x v="206"/>
    <x v="667"/>
    <x v="1"/>
    <x v="1"/>
    <s v="URBANO"/>
    <d v="2024-02-28T00:00:00"/>
    <d v="1899-12-30T00:17:29"/>
    <n v="6.6"/>
  </r>
  <r>
    <s v="CBP025"/>
    <x v="206"/>
    <x v="668"/>
    <x v="1"/>
    <x v="1"/>
    <s v="URBANO"/>
    <d v="2024-02-29T00:00:00"/>
    <d v="1899-12-30T21:56:27"/>
    <n v="6.6"/>
  </r>
  <r>
    <s v="CBP025"/>
    <x v="206"/>
    <x v="668"/>
    <x v="1"/>
    <x v="1"/>
    <s v="URBANO"/>
    <d v="2024-02-29T00:00:00"/>
    <d v="1899-12-30T22:41:14"/>
    <n v="6.6"/>
  </r>
  <r>
    <s v="CBY599"/>
    <x v="207"/>
    <x v="2"/>
    <x v="2"/>
    <x v="1"/>
    <s v="URBANO"/>
    <d v="2024-02-26T00:00:00"/>
    <d v="1899-12-30T13:59:30"/>
    <n v="6.6"/>
  </r>
  <r>
    <s v="CBY599"/>
    <x v="207"/>
    <x v="2"/>
    <x v="2"/>
    <x v="1"/>
    <s v="URBANO"/>
    <d v="2024-02-26T00:00:00"/>
    <d v="1899-12-30T14:22:49"/>
    <n v="6.6"/>
  </r>
  <r>
    <s v="CBY599"/>
    <x v="207"/>
    <x v="2"/>
    <x v="2"/>
    <x v="1"/>
    <s v="URBANO"/>
    <d v="2024-02-26T00:00:00"/>
    <d v="1899-12-30T14:29:54"/>
    <n v="6.6"/>
  </r>
  <r>
    <s v="CBY599"/>
    <x v="207"/>
    <x v="2"/>
    <x v="2"/>
    <x v="1"/>
    <s v="URBANO"/>
    <d v="2024-02-26T00:00:00"/>
    <d v="1899-12-30T20:14:48"/>
    <n v="6.6"/>
  </r>
  <r>
    <s v="CBY599"/>
    <x v="207"/>
    <x v="2"/>
    <x v="2"/>
    <x v="1"/>
    <s v="URBANO"/>
    <d v="2024-02-27T00:00:00"/>
    <d v="1899-12-30T08:54:47"/>
    <n v="6.6"/>
  </r>
  <r>
    <s v="BCL569"/>
    <x v="208"/>
    <x v="2"/>
    <x v="2"/>
    <x v="1"/>
    <s v="URBANO"/>
    <d v="2024-02-26T00:00:00"/>
    <d v="1899-12-30T07:08:04"/>
    <n v="6.6"/>
  </r>
  <r>
    <s v="BCL569"/>
    <x v="208"/>
    <x v="2"/>
    <x v="2"/>
    <x v="1"/>
    <s v="URBANO"/>
    <d v="2024-02-26T00:00:00"/>
    <d v="1899-12-30T07:21:38"/>
    <n v="6.6"/>
  </r>
  <r>
    <s v="BCL569"/>
    <x v="208"/>
    <x v="2"/>
    <x v="2"/>
    <x v="1"/>
    <s v="URBANO"/>
    <d v="2024-02-26T00:00:00"/>
    <d v="1899-12-30T08:42:25"/>
    <n v="6.6"/>
  </r>
  <r>
    <s v="BCL569"/>
    <x v="208"/>
    <x v="2"/>
    <x v="2"/>
    <x v="1"/>
    <s v="URBANO"/>
    <d v="2024-02-28T00:00:00"/>
    <d v="1899-12-30T10:34:08"/>
    <n v="6.6"/>
  </r>
  <r>
    <s v="BME526"/>
    <x v="209"/>
    <x v="669"/>
    <x v="1"/>
    <x v="1"/>
    <s v="URBANO"/>
    <d v="2024-02-29T00:00:00"/>
    <d v="1899-12-30T07:21:22"/>
    <n v="6.6"/>
  </r>
  <r>
    <s v="BAF355"/>
    <x v="210"/>
    <x v="670"/>
    <x v="1"/>
    <x v="1"/>
    <s v="URBANO"/>
    <d v="2024-02-26T00:00:00"/>
    <d v="1899-12-30T22:14:07"/>
    <n v="6.6"/>
  </r>
  <r>
    <s v="BAF355"/>
    <x v="210"/>
    <x v="671"/>
    <x v="1"/>
    <x v="1"/>
    <s v="URBANO"/>
    <d v="2024-02-27T00:00:00"/>
    <d v="1899-12-30T06:24:13"/>
    <n v="6.6"/>
  </r>
  <r>
    <s v="BAF355"/>
    <x v="210"/>
    <x v="672"/>
    <x v="1"/>
    <x v="1"/>
    <s v="URBANO"/>
    <d v="2024-02-27T00:00:00"/>
    <d v="1899-12-30T21:17:23"/>
    <n v="6.6"/>
  </r>
  <r>
    <s v="BAF355"/>
    <x v="210"/>
    <x v="672"/>
    <x v="1"/>
    <x v="1"/>
    <s v="URBANO"/>
    <d v="2024-02-27T00:00:00"/>
    <d v="1899-12-30T21:29:00"/>
    <n v="6.6"/>
  </r>
  <r>
    <s v="BAF355"/>
    <x v="210"/>
    <x v="673"/>
    <x v="1"/>
    <x v="1"/>
    <s v="URBANO"/>
    <d v="2024-02-28T00:00:00"/>
    <d v="1899-12-30T22:38:24"/>
    <n v="6.6"/>
  </r>
  <r>
    <s v="BMZ625"/>
    <x v="211"/>
    <x v="2"/>
    <x v="2"/>
    <x v="1"/>
    <s v="URBANO"/>
    <d v="2024-02-28T00:00:00"/>
    <d v="1899-12-30T11:28:23"/>
    <n v="6.6"/>
  </r>
  <r>
    <s v="BMZ625"/>
    <x v="211"/>
    <x v="2"/>
    <x v="2"/>
    <x v="1"/>
    <s v="URBANO"/>
    <d v="2024-02-28T00:00:00"/>
    <d v="1899-12-30T11:39:39"/>
    <n v="6.6"/>
  </r>
  <r>
    <s v="ACZ039"/>
    <x v="212"/>
    <x v="2"/>
    <x v="2"/>
    <x v="1"/>
    <s v="URBANO"/>
    <d v="2024-02-26T00:00:00"/>
    <d v="1899-12-30T15:39:08"/>
    <n v="6.6"/>
  </r>
  <r>
    <s v="ACZ039"/>
    <x v="212"/>
    <x v="2"/>
    <x v="2"/>
    <x v="1"/>
    <s v="URBANO"/>
    <d v="2024-02-27T00:00:00"/>
    <d v="1899-12-30T19:09:33"/>
    <n v="6.6"/>
  </r>
  <r>
    <s v="ACZ039"/>
    <x v="212"/>
    <x v="674"/>
    <x v="1"/>
    <x v="1"/>
    <s v="URBANO"/>
    <d v="2024-02-28T00:00:00"/>
    <d v="1899-12-30T22:31:17"/>
    <n v="6.6"/>
  </r>
  <r>
    <s v="BYW305"/>
    <x v="213"/>
    <x v="2"/>
    <x v="2"/>
    <x v="1"/>
    <s v="URBANO"/>
    <d v="2024-02-27T00:00:00"/>
    <d v="1899-12-30T09:18:14"/>
    <n v="6.6"/>
  </r>
  <r>
    <s v="BYW305"/>
    <x v="213"/>
    <x v="2"/>
    <x v="2"/>
    <x v="1"/>
    <s v="URBANO"/>
    <d v="2024-02-27T00:00:00"/>
    <d v="1899-12-30T09:27:36"/>
    <n v="6.6"/>
  </r>
  <r>
    <s v="CBF032"/>
    <x v="214"/>
    <x v="2"/>
    <x v="2"/>
    <x v="1"/>
    <s v="URBANO"/>
    <d v="2024-02-27T00:00:00"/>
    <d v="1899-12-30T10:25:28"/>
    <n v="6.6"/>
  </r>
  <r>
    <s v="AYP652"/>
    <x v="215"/>
    <x v="675"/>
    <x v="1"/>
    <x v="1"/>
    <s v="URBANO"/>
    <d v="2024-02-26T00:00:00"/>
    <d v="1899-12-30T19:48:21"/>
    <n v="6.6"/>
  </r>
  <r>
    <s v="AYP652"/>
    <x v="215"/>
    <x v="675"/>
    <x v="1"/>
    <x v="1"/>
    <s v="URBANO"/>
    <d v="2024-02-26T00:00:00"/>
    <d v="1899-12-30T19:58:42"/>
    <n v="6.6"/>
  </r>
  <r>
    <s v="AYP652"/>
    <x v="215"/>
    <x v="676"/>
    <x v="1"/>
    <x v="1"/>
    <s v="URBANO"/>
    <d v="2024-02-26T00:00:00"/>
    <d v="1899-12-30T21:34:23"/>
    <n v="6.6"/>
  </r>
  <r>
    <s v="AYP652"/>
    <x v="215"/>
    <x v="677"/>
    <x v="1"/>
    <x v="1"/>
    <s v="URBANO"/>
    <d v="2024-02-26T00:00:00"/>
    <d v="1899-12-30T23:27:20"/>
    <n v="6.6"/>
  </r>
  <r>
    <s v="AYP652"/>
    <x v="215"/>
    <x v="678"/>
    <x v="3"/>
    <x v="1"/>
    <s v="URBANO"/>
    <d v="2024-02-28T00:00:00"/>
    <d v="1899-12-30T03:04:20"/>
    <n v="6.6"/>
  </r>
  <r>
    <s v="AYP652"/>
    <x v="215"/>
    <x v="678"/>
    <x v="1"/>
    <x v="1"/>
    <s v="URBANO"/>
    <d v="2024-02-28T00:00:00"/>
    <d v="1899-12-30T03:20:15"/>
    <n v="6.6"/>
  </r>
  <r>
    <s v="AYP652"/>
    <x v="215"/>
    <x v="679"/>
    <x v="1"/>
    <x v="1"/>
    <s v="URBANO"/>
    <d v="2024-02-28T00:00:00"/>
    <d v="1899-12-30T07:21:12"/>
    <n v="6.6"/>
  </r>
  <r>
    <s v="AYP652"/>
    <x v="215"/>
    <x v="679"/>
    <x v="1"/>
    <x v="1"/>
    <s v="URBANO"/>
    <d v="2024-02-28T00:00:00"/>
    <d v="1899-12-30T07:35:20"/>
    <n v="6.6"/>
  </r>
  <r>
    <s v="AYP652"/>
    <x v="215"/>
    <x v="680"/>
    <x v="1"/>
    <x v="1"/>
    <s v="URBANO"/>
    <d v="2024-02-28T00:00:00"/>
    <d v="1899-12-30T09:02:12"/>
    <n v="6.6"/>
  </r>
  <r>
    <s v="AYP652"/>
    <x v="215"/>
    <x v="680"/>
    <x v="1"/>
    <x v="1"/>
    <s v="URBANO"/>
    <d v="2024-02-28T00:00:00"/>
    <d v="1899-12-30T09:19:13"/>
    <n v="6.6"/>
  </r>
  <r>
    <s v="AYP652"/>
    <x v="215"/>
    <x v="681"/>
    <x v="3"/>
    <x v="1"/>
    <s v="URBANO"/>
    <d v="2024-02-28T00:00:00"/>
    <d v="1899-12-30T21:36:48"/>
    <n v="6.6"/>
  </r>
  <r>
    <s v="AYP652"/>
    <x v="215"/>
    <x v="681"/>
    <x v="1"/>
    <x v="1"/>
    <s v="URBANO"/>
    <d v="2024-02-28T00:00:00"/>
    <d v="1899-12-30T22:15:02"/>
    <n v="6.6"/>
  </r>
  <r>
    <s v="AYP652"/>
    <x v="215"/>
    <x v="682"/>
    <x v="1"/>
    <x v="1"/>
    <s v="URBANO"/>
    <d v="2024-02-28T00:00:00"/>
    <d v="1899-12-30T23:31:30"/>
    <n v="6.6"/>
  </r>
  <r>
    <s v="AYP652"/>
    <x v="215"/>
    <x v="683"/>
    <x v="1"/>
    <x v="1"/>
    <s v="URBANO"/>
    <d v="2024-02-29T00:00:00"/>
    <d v="1899-12-30T11:12:29"/>
    <n v="6.6"/>
  </r>
  <r>
    <s v="AYP652"/>
    <x v="215"/>
    <x v="683"/>
    <x v="1"/>
    <x v="1"/>
    <s v="URBANO"/>
    <d v="2024-02-29T00:00:00"/>
    <d v="1899-12-30T11:23:59"/>
    <n v="6.6"/>
  </r>
  <r>
    <s v="AYP652"/>
    <x v="215"/>
    <x v="684"/>
    <x v="1"/>
    <x v="1"/>
    <s v="URBANO"/>
    <d v="2024-02-29T00:00:00"/>
    <d v="1899-12-30T12:09:37"/>
    <n v="6.6"/>
  </r>
  <r>
    <s v="AYP652"/>
    <x v="215"/>
    <x v="685"/>
    <x v="1"/>
    <x v="1"/>
    <s v="URBANO"/>
    <d v="2024-02-29T00:00:00"/>
    <d v="1899-12-30T13:52:32"/>
    <n v="6.6"/>
  </r>
  <r>
    <s v="AYP652"/>
    <x v="215"/>
    <x v="686"/>
    <x v="1"/>
    <x v="1"/>
    <s v="URBANO"/>
    <d v="2024-02-29T00:00:00"/>
    <d v="1899-12-30T17:13:01"/>
    <n v="6.6"/>
  </r>
  <r>
    <s v="AYP652"/>
    <x v="215"/>
    <x v="687"/>
    <x v="1"/>
    <x v="1"/>
    <s v="URBANO"/>
    <d v="2024-02-29T00:00:00"/>
    <d v="1899-12-30T23:33:50"/>
    <n v="6.6"/>
  </r>
  <r>
    <s v="CCR475"/>
    <x v="216"/>
    <x v="688"/>
    <x v="1"/>
    <x v="1"/>
    <s v="URBANO"/>
    <d v="2024-02-26T00:00:00"/>
    <d v="1899-12-30T00:13:51"/>
    <n v="6.6"/>
  </r>
  <r>
    <s v="CCR475"/>
    <x v="216"/>
    <x v="689"/>
    <x v="1"/>
    <x v="1"/>
    <s v="URBANO"/>
    <d v="2024-02-26T00:00:00"/>
    <d v="1899-12-30T05:35:12"/>
    <n v="6.6"/>
  </r>
  <r>
    <s v="CCR475"/>
    <x v="216"/>
    <x v="690"/>
    <x v="1"/>
    <x v="1"/>
    <s v="URBANO"/>
    <d v="2024-02-26T00:00:00"/>
    <d v="1899-12-30T14:15:44"/>
    <n v="6.6"/>
  </r>
  <r>
    <s v="CCR475"/>
    <x v="216"/>
    <x v="690"/>
    <x v="1"/>
    <x v="1"/>
    <s v="URBANO"/>
    <d v="2024-02-26T00:00:00"/>
    <d v="1899-12-30T14:28:17"/>
    <n v="6.6"/>
  </r>
  <r>
    <s v="CCR475"/>
    <x v="216"/>
    <x v="691"/>
    <x v="1"/>
    <x v="1"/>
    <s v="URBANO"/>
    <d v="2024-02-26T00:00:00"/>
    <d v="1899-12-30T16:44:18"/>
    <n v="6.6"/>
  </r>
  <r>
    <s v="CCR475"/>
    <x v="216"/>
    <x v="692"/>
    <x v="1"/>
    <x v="1"/>
    <s v="URBANO"/>
    <d v="2024-02-27T00:00:00"/>
    <d v="1899-12-30T05:29:32"/>
    <n v="6.6"/>
  </r>
  <r>
    <s v="CCR475"/>
    <x v="216"/>
    <x v="693"/>
    <x v="1"/>
    <x v="1"/>
    <s v="URBANO"/>
    <d v="2024-02-27T00:00:00"/>
    <d v="1899-12-30T09:49:32"/>
    <n v="6.6"/>
  </r>
  <r>
    <s v="CCR475"/>
    <x v="216"/>
    <x v="694"/>
    <x v="1"/>
    <x v="1"/>
    <s v="URBANO"/>
    <d v="2024-02-27T00:00:00"/>
    <d v="1899-12-30T13:52:05"/>
    <n v="6.6"/>
  </r>
  <r>
    <s v="CCR475"/>
    <x v="216"/>
    <x v="2"/>
    <x v="2"/>
    <x v="1"/>
    <s v="URBANO"/>
    <d v="2024-02-27T00:00:00"/>
    <d v="1899-12-30T14:31:31"/>
    <n v="6.6"/>
  </r>
  <r>
    <s v="CCR475"/>
    <x v="216"/>
    <x v="695"/>
    <x v="1"/>
    <x v="1"/>
    <s v="URBANO"/>
    <d v="2024-02-27T00:00:00"/>
    <d v="1899-12-30T16:43:57"/>
    <n v="6.6"/>
  </r>
  <r>
    <s v="CCR475"/>
    <x v="216"/>
    <x v="695"/>
    <x v="1"/>
    <x v="1"/>
    <s v="URBANO"/>
    <d v="2024-02-27T00:00:00"/>
    <d v="1899-12-30T16:54:10"/>
    <n v="6.6"/>
  </r>
  <r>
    <s v="CCR475"/>
    <x v="216"/>
    <x v="696"/>
    <x v="1"/>
    <x v="1"/>
    <s v="URBANO"/>
    <d v="2024-02-28T00:00:00"/>
    <d v="1899-12-30T09:57:38"/>
    <n v="6.6"/>
  </r>
  <r>
    <s v="CCR475"/>
    <x v="216"/>
    <x v="696"/>
    <x v="1"/>
    <x v="1"/>
    <s v="URBANO"/>
    <d v="2024-02-28T00:00:00"/>
    <d v="1899-12-30T10:09:11"/>
    <n v="6.6"/>
  </r>
  <r>
    <s v="CCR475"/>
    <x v="216"/>
    <x v="697"/>
    <x v="1"/>
    <x v="1"/>
    <s v="URBANO"/>
    <d v="2024-02-28T00:00:00"/>
    <d v="1899-12-30T19:40:37"/>
    <n v="6.6"/>
  </r>
  <r>
    <s v="CCR475"/>
    <x v="216"/>
    <x v="697"/>
    <x v="1"/>
    <x v="1"/>
    <s v="URBANO"/>
    <d v="2024-02-28T00:00:00"/>
    <d v="1899-12-30T20:00:00"/>
    <n v="6.6"/>
  </r>
  <r>
    <s v="CCR475"/>
    <x v="216"/>
    <x v="698"/>
    <x v="1"/>
    <x v="1"/>
    <s v="URBANO"/>
    <d v="2024-02-29T00:00:00"/>
    <d v="1899-12-30T07:28:57"/>
    <n v="6.6"/>
  </r>
  <r>
    <s v="BXH189"/>
    <x v="217"/>
    <x v="2"/>
    <x v="2"/>
    <x v="1"/>
    <s v="URBANO"/>
    <d v="2024-02-27T00:00:00"/>
    <d v="1899-12-30T15:32:32"/>
    <n v="6.6"/>
  </r>
  <r>
    <s v="BWG152"/>
    <x v="218"/>
    <x v="699"/>
    <x v="1"/>
    <x v="0"/>
    <s v="AEROPUERTO"/>
    <d v="2024-02-28T00:00:00"/>
    <d v="1899-12-30T22:34:32"/>
    <n v="6.6"/>
  </r>
  <r>
    <s v="BWG152"/>
    <x v="218"/>
    <x v="699"/>
    <x v="1"/>
    <x v="0"/>
    <s v="AEROPUERTO"/>
    <d v="2024-02-28T00:00:00"/>
    <d v="1899-12-30T22:45:31"/>
    <n v="6.6"/>
  </r>
  <r>
    <s v="APC021"/>
    <x v="219"/>
    <x v="2"/>
    <x v="2"/>
    <x v="1"/>
    <s v="URBANO"/>
    <d v="2024-02-28T00:00:00"/>
    <d v="1899-12-30T20:03:19"/>
    <n v="6.6"/>
  </r>
  <r>
    <s v="CBK464"/>
    <x v="220"/>
    <x v="2"/>
    <x v="2"/>
    <x v="1"/>
    <s v="URBANO"/>
    <d v="2024-02-29T00:00:00"/>
    <d v="1899-12-30T15:59:42"/>
    <n v="6.6"/>
  </r>
  <r>
    <s v="CBK464"/>
    <x v="220"/>
    <x v="2"/>
    <x v="2"/>
    <x v="1"/>
    <s v="URBANO"/>
    <d v="2024-02-29T00:00:00"/>
    <d v="1899-12-30T16:09:08"/>
    <n v="6.6"/>
  </r>
  <r>
    <s v="CBJ245"/>
    <x v="221"/>
    <x v="2"/>
    <x v="2"/>
    <x v="1"/>
    <s v="URBANO"/>
    <d v="2024-02-28T00:00:00"/>
    <d v="1899-12-30T07:27:36"/>
    <n v="6.6"/>
  </r>
  <r>
    <s v="CBJ245"/>
    <x v="221"/>
    <x v="2"/>
    <x v="2"/>
    <x v="1"/>
    <s v="URBANO"/>
    <d v="2024-02-28T00:00:00"/>
    <d v="1899-12-30T14:41:56"/>
    <n v="6.6"/>
  </r>
  <r>
    <s v="CBJ245"/>
    <x v="221"/>
    <x v="2"/>
    <x v="2"/>
    <x v="1"/>
    <s v="URBANO"/>
    <d v="2024-02-28T00:00:00"/>
    <d v="1899-12-30T14:49:37"/>
    <n v="6.6"/>
  </r>
  <r>
    <s v="BVI286"/>
    <x v="222"/>
    <x v="2"/>
    <x v="2"/>
    <x v="1"/>
    <s v="PLAZAS"/>
    <d v="2024-02-27T00:00:00"/>
    <d v="1899-12-30T15:25:54"/>
    <n v="6.6"/>
  </r>
  <r>
    <s v="BVI286"/>
    <x v="222"/>
    <x v="2"/>
    <x v="2"/>
    <x v="1"/>
    <s v="PLAZAS"/>
    <d v="2024-02-27T00:00:00"/>
    <d v="1899-12-30T15:37:05"/>
    <n v="6.6"/>
  </r>
  <r>
    <s v="BBF121"/>
    <x v="223"/>
    <x v="2"/>
    <x v="2"/>
    <x v="1"/>
    <s v="URBANO"/>
    <d v="2024-02-29T00:00:00"/>
    <d v="1899-12-30T09:16:02"/>
    <n v="6.6"/>
  </r>
  <r>
    <s v="CAP338"/>
    <x v="224"/>
    <x v="2"/>
    <x v="2"/>
    <x v="1"/>
    <s v="URBANO"/>
    <d v="2024-02-27T00:00:00"/>
    <d v="1899-12-30T10:36:07"/>
    <n v="6.6"/>
  </r>
  <r>
    <s v="CAP338"/>
    <x v="224"/>
    <x v="2"/>
    <x v="2"/>
    <x v="1"/>
    <s v="URBANO"/>
    <d v="2024-02-27T00:00:00"/>
    <d v="1899-12-30T19:36:55"/>
    <n v="6.6"/>
  </r>
  <r>
    <s v="CAP338"/>
    <x v="224"/>
    <x v="2"/>
    <x v="2"/>
    <x v="1"/>
    <s v="URBANO"/>
    <d v="2024-02-28T00:00:00"/>
    <d v="1899-12-30T09:16:21"/>
    <n v="6.6"/>
  </r>
  <r>
    <s v="CAP338"/>
    <x v="224"/>
    <x v="2"/>
    <x v="2"/>
    <x v="1"/>
    <s v="URBANO"/>
    <d v="2024-02-28T00:00:00"/>
    <d v="1899-12-30T09:31:17"/>
    <n v="6.6"/>
  </r>
  <r>
    <s v="CAP338"/>
    <x v="224"/>
    <x v="2"/>
    <x v="2"/>
    <x v="1"/>
    <s v="URBANO"/>
    <d v="2024-02-29T00:00:00"/>
    <d v="1899-12-30T18:25:44"/>
    <n v="6.6"/>
  </r>
  <r>
    <s v="CAP338"/>
    <x v="224"/>
    <x v="2"/>
    <x v="2"/>
    <x v="1"/>
    <s v="URBANO"/>
    <d v="2024-02-29T00:00:00"/>
    <d v="1899-12-30T18:39:55"/>
    <n v="6.6"/>
  </r>
  <r>
    <s v="F8B624"/>
    <x v="225"/>
    <x v="700"/>
    <x v="1"/>
    <x v="1"/>
    <s v="URBANO"/>
    <d v="2024-02-27T00:00:00"/>
    <d v="1899-12-30T01:39:00"/>
    <n v="6.6"/>
  </r>
  <r>
    <s v="F8B624"/>
    <x v="225"/>
    <x v="701"/>
    <x v="1"/>
    <x v="1"/>
    <s v="URBANO"/>
    <d v="2024-02-27T00:00:00"/>
    <d v="1899-12-30T03:22:58"/>
    <n v="6.6"/>
  </r>
  <r>
    <s v="F8B624"/>
    <x v="225"/>
    <x v="702"/>
    <x v="1"/>
    <x v="1"/>
    <s v="URBANO"/>
    <d v="2024-02-27T00:00:00"/>
    <d v="1899-12-30T23:02:15"/>
    <n v="6.6"/>
  </r>
  <r>
    <s v="F8B624"/>
    <x v="225"/>
    <x v="703"/>
    <x v="1"/>
    <x v="1"/>
    <s v="URBANO"/>
    <d v="2024-02-28T00:00:00"/>
    <d v="1899-12-30T03:11:51"/>
    <n v="6.6"/>
  </r>
  <r>
    <s v="F8B624"/>
    <x v="225"/>
    <x v="704"/>
    <x v="1"/>
    <x v="1"/>
    <s v="URBANO"/>
    <d v="2024-02-29T00:00:00"/>
    <d v="1899-12-30T02:21:35"/>
    <n v="6.6"/>
  </r>
  <r>
    <s v="CCX688"/>
    <x v="226"/>
    <x v="705"/>
    <x v="1"/>
    <x v="0"/>
    <s v="AEROPUERTO"/>
    <d v="2024-02-26T00:00:00"/>
    <d v="1899-12-30T15:44:29"/>
    <n v="6.6"/>
  </r>
  <r>
    <s v="CCX688"/>
    <x v="226"/>
    <x v="705"/>
    <x v="1"/>
    <x v="0"/>
    <s v="AEROPUERTO"/>
    <d v="2024-02-26T00:00:00"/>
    <d v="1899-12-30T15:55:24"/>
    <n v="6.6"/>
  </r>
  <r>
    <s v="CCX688"/>
    <x v="226"/>
    <x v="2"/>
    <x v="2"/>
    <x v="0"/>
    <s v="AEROPUERTO"/>
    <d v="2024-02-27T00:00:00"/>
    <d v="1899-12-30T22:17:27"/>
    <n v="6.6"/>
  </r>
  <r>
    <s v="CCX688"/>
    <x v="226"/>
    <x v="2"/>
    <x v="2"/>
    <x v="0"/>
    <s v="AEROPUERTO"/>
    <d v="2024-02-27T00:00:00"/>
    <d v="1899-12-30T22:26:57"/>
    <n v="6.6"/>
  </r>
  <r>
    <s v="CCX688"/>
    <x v="226"/>
    <x v="2"/>
    <x v="2"/>
    <x v="0"/>
    <s v="AEROPUERTO"/>
    <d v="2024-02-28T00:00:00"/>
    <d v="1899-12-30T08:34:15"/>
    <n v="6.6"/>
  </r>
  <r>
    <s v="CCX688"/>
    <x v="226"/>
    <x v="706"/>
    <x v="3"/>
    <x v="0"/>
    <s v="AEROPUERTO"/>
    <d v="2024-02-29T00:00:00"/>
    <d v="1899-12-30T03:43:57"/>
    <n v="6.6"/>
  </r>
  <r>
    <s v="CAV690"/>
    <x v="227"/>
    <x v="707"/>
    <x v="1"/>
    <x v="1"/>
    <s v="URBANO"/>
    <d v="2024-02-26T00:00:00"/>
    <d v="1899-12-30T23:19:27"/>
    <n v="6.6"/>
  </r>
  <r>
    <s v="CAV690"/>
    <x v="227"/>
    <x v="708"/>
    <x v="1"/>
    <x v="1"/>
    <s v="URBANO"/>
    <d v="2024-02-29T00:00:00"/>
    <d v="1899-12-30T20:28:00"/>
    <n v="6.6"/>
  </r>
  <r>
    <s v="BHU036"/>
    <x v="228"/>
    <x v="2"/>
    <x v="2"/>
    <x v="1"/>
    <s v="URBANO"/>
    <d v="2024-02-26T00:00:00"/>
    <d v="1899-12-30T02:35:06"/>
    <n v="6.6"/>
  </r>
  <r>
    <s v="BHU036"/>
    <x v="228"/>
    <x v="2"/>
    <x v="2"/>
    <x v="1"/>
    <s v="URBANO"/>
    <d v="2024-02-26T00:00:00"/>
    <d v="1899-12-30T02:42:09"/>
    <n v="6.6"/>
  </r>
  <r>
    <s v="BHU036"/>
    <x v="228"/>
    <x v="2"/>
    <x v="2"/>
    <x v="1"/>
    <s v="URBANO"/>
    <d v="2024-02-28T00:00:00"/>
    <d v="1899-12-30T04:31:34"/>
    <n v="6.6"/>
  </r>
  <r>
    <s v="BHU036"/>
    <x v="228"/>
    <x v="2"/>
    <x v="2"/>
    <x v="1"/>
    <s v="URBANO"/>
    <d v="2024-02-28T00:00:00"/>
    <d v="1899-12-30T04:39:20"/>
    <n v="6.6"/>
  </r>
  <r>
    <s v="BHU036"/>
    <x v="228"/>
    <x v="2"/>
    <x v="2"/>
    <x v="1"/>
    <s v="URBANO"/>
    <d v="2024-02-29T00:00:00"/>
    <d v="1899-12-30T05:02:19"/>
    <n v="6.6"/>
  </r>
  <r>
    <s v="BHU036"/>
    <x v="228"/>
    <x v="2"/>
    <x v="2"/>
    <x v="1"/>
    <s v="URBANO"/>
    <d v="2024-02-29T00:00:00"/>
    <d v="1899-12-30T05:09:42"/>
    <n v="6.6"/>
  </r>
  <r>
    <s v="Z7C417"/>
    <x v="229"/>
    <x v="709"/>
    <x v="1"/>
    <x v="1"/>
    <s v="URBANO"/>
    <d v="2024-02-26T00:00:00"/>
    <d v="1899-12-30T03:25:31"/>
    <n v="6.6"/>
  </r>
  <r>
    <s v="Z7C417"/>
    <x v="229"/>
    <x v="710"/>
    <x v="1"/>
    <x v="1"/>
    <s v="URBANO"/>
    <d v="2024-02-26T00:00:00"/>
    <d v="1899-12-30T08:38:59"/>
    <n v="6.6"/>
  </r>
  <r>
    <s v="Z7C417"/>
    <x v="229"/>
    <x v="710"/>
    <x v="1"/>
    <x v="1"/>
    <s v="URBANO"/>
    <d v="2024-02-26T00:00:00"/>
    <d v="1899-12-30T08:47:00"/>
    <n v="6.6"/>
  </r>
  <r>
    <s v="Z7C417"/>
    <x v="229"/>
    <x v="2"/>
    <x v="2"/>
    <x v="1"/>
    <s v="URBANO"/>
    <d v="2024-02-26T00:00:00"/>
    <d v="1899-12-30T16:47:36"/>
    <n v="6.6"/>
  </r>
  <r>
    <s v="Z7C417"/>
    <x v="229"/>
    <x v="2"/>
    <x v="2"/>
    <x v="1"/>
    <s v="URBANO"/>
    <d v="2024-02-26T00:00:00"/>
    <d v="1899-12-30T16:58:19"/>
    <n v="6.6"/>
  </r>
  <r>
    <s v="Z7C417"/>
    <x v="229"/>
    <x v="2"/>
    <x v="2"/>
    <x v="1"/>
    <s v="URBANO"/>
    <d v="2024-02-27T00:00:00"/>
    <d v="1899-12-30T09:38:50"/>
    <n v="6.6"/>
  </r>
  <r>
    <s v="Z7C417"/>
    <x v="229"/>
    <x v="2"/>
    <x v="2"/>
    <x v="1"/>
    <s v="URBANO"/>
    <d v="2024-02-27T00:00:00"/>
    <d v="1899-12-30T09:51:49"/>
    <n v="6.6"/>
  </r>
  <r>
    <s v="Z7C417"/>
    <x v="229"/>
    <x v="2"/>
    <x v="2"/>
    <x v="1"/>
    <s v="URBANO"/>
    <d v="2024-02-28T00:00:00"/>
    <d v="1899-12-30T09:26:21"/>
    <n v="6.6"/>
  </r>
  <r>
    <s v="Z7C417"/>
    <x v="229"/>
    <x v="2"/>
    <x v="2"/>
    <x v="1"/>
    <s v="URBANO"/>
    <d v="2024-02-28T00:00:00"/>
    <d v="1899-12-30T09:45:53"/>
    <n v="6.6"/>
  </r>
  <r>
    <s v="Z7C417"/>
    <x v="229"/>
    <x v="2"/>
    <x v="2"/>
    <x v="1"/>
    <s v="URBANO"/>
    <d v="2024-02-28T00:00:00"/>
    <d v="1899-12-30T16:52:31"/>
    <n v="6.6"/>
  </r>
  <r>
    <s v="Z7C417"/>
    <x v="229"/>
    <x v="2"/>
    <x v="2"/>
    <x v="1"/>
    <s v="URBANO"/>
    <d v="2024-02-28T00:00:00"/>
    <d v="1899-12-30T17:53:58"/>
    <n v="6.6"/>
  </r>
  <r>
    <s v="Z7C417"/>
    <x v="229"/>
    <x v="711"/>
    <x v="1"/>
    <x v="1"/>
    <s v="URBANO"/>
    <d v="2024-02-28T00:00:00"/>
    <d v="1899-12-30T23:33:52"/>
    <n v="6.6"/>
  </r>
  <r>
    <s v="Z7C417"/>
    <x v="229"/>
    <x v="2"/>
    <x v="2"/>
    <x v="1"/>
    <s v="URBANO"/>
    <d v="2024-02-29T00:00:00"/>
    <d v="1899-12-30T00:44:02"/>
    <n v="6.6"/>
  </r>
  <r>
    <s v="Z7C417"/>
    <x v="229"/>
    <x v="712"/>
    <x v="1"/>
    <x v="1"/>
    <s v="URBANO"/>
    <d v="2024-02-29T00:00:00"/>
    <d v="1899-12-30T03:23:32"/>
    <n v="6.6"/>
  </r>
  <r>
    <s v="CDX557"/>
    <x v="230"/>
    <x v="713"/>
    <x v="1"/>
    <x v="1"/>
    <s v="URBANO"/>
    <d v="2024-02-26T00:00:00"/>
    <d v="1899-12-30T07:51:32"/>
    <n v="6.6"/>
  </r>
  <r>
    <s v="CDX557"/>
    <x v="230"/>
    <x v="714"/>
    <x v="1"/>
    <x v="1"/>
    <s v="URBANO"/>
    <d v="2024-02-28T00:00:00"/>
    <d v="1899-12-30T20:28:39"/>
    <n v="6.6"/>
  </r>
  <r>
    <s v="BPR661"/>
    <x v="231"/>
    <x v="715"/>
    <x v="1"/>
    <x v="1"/>
    <s v="URBANO"/>
    <d v="2024-02-26T00:00:00"/>
    <d v="1899-12-30T08:09:37"/>
    <n v="6.6"/>
  </r>
  <r>
    <s v="BPR661"/>
    <x v="231"/>
    <x v="716"/>
    <x v="1"/>
    <x v="1"/>
    <s v="URBANO"/>
    <d v="2024-02-26T00:00:00"/>
    <d v="1899-12-30T13:31:13"/>
    <n v="6.6"/>
  </r>
  <r>
    <s v="BPR661"/>
    <x v="231"/>
    <x v="716"/>
    <x v="1"/>
    <x v="1"/>
    <s v="URBANO"/>
    <d v="2024-02-26T00:00:00"/>
    <d v="1899-12-30T13:41:54"/>
    <n v="6.6"/>
  </r>
  <r>
    <s v="BPR661"/>
    <x v="231"/>
    <x v="2"/>
    <x v="2"/>
    <x v="1"/>
    <s v="URBANO"/>
    <d v="2024-02-27T00:00:00"/>
    <d v="1899-12-30T19:27:43"/>
    <n v="6.6"/>
  </r>
  <r>
    <s v="BPR661"/>
    <x v="231"/>
    <x v="717"/>
    <x v="1"/>
    <x v="1"/>
    <s v="URBANO"/>
    <d v="2024-02-29T00:00:00"/>
    <d v="1899-12-30T20:26:57"/>
    <n v="6.6"/>
  </r>
  <r>
    <s v="BHW621"/>
    <x v="232"/>
    <x v="2"/>
    <x v="2"/>
    <x v="1"/>
    <s v="URBANO"/>
    <d v="2024-02-27T00:00:00"/>
    <d v="1899-12-30T12:47:26"/>
    <n v="6.6"/>
  </r>
  <r>
    <s v="BHW621"/>
    <x v="232"/>
    <x v="2"/>
    <x v="2"/>
    <x v="1"/>
    <s v="URBANO"/>
    <d v="2024-02-28T00:00:00"/>
    <d v="1899-12-30T09:33:37"/>
    <n v="6.6"/>
  </r>
  <r>
    <s v="BHW621"/>
    <x v="232"/>
    <x v="2"/>
    <x v="2"/>
    <x v="1"/>
    <s v="URBANO"/>
    <d v="2024-02-28T00:00:00"/>
    <d v="1899-12-30T11:40:06"/>
    <n v="6.6"/>
  </r>
  <r>
    <s v="BHW621"/>
    <x v="232"/>
    <x v="2"/>
    <x v="2"/>
    <x v="1"/>
    <s v="URBANO"/>
    <d v="2024-02-28T00:00:00"/>
    <d v="1899-12-30T13:40:03"/>
    <n v="6.6"/>
  </r>
  <r>
    <s v="BHW621"/>
    <x v="232"/>
    <x v="2"/>
    <x v="2"/>
    <x v="1"/>
    <s v="URBANO"/>
    <d v="2024-02-28T00:00:00"/>
    <d v="1899-12-30T13:44:16"/>
    <n v="6.6"/>
  </r>
  <r>
    <s v="BUI446"/>
    <x v="233"/>
    <x v="2"/>
    <x v="2"/>
    <x v="1"/>
    <s v="URBANO"/>
    <d v="2024-02-26T00:00:00"/>
    <d v="1899-12-30T06:18:56"/>
    <n v="6.6"/>
  </r>
  <r>
    <s v="BUI446"/>
    <x v="233"/>
    <x v="718"/>
    <x v="1"/>
    <x v="1"/>
    <s v="URBANO"/>
    <d v="2024-02-26T00:00:00"/>
    <d v="1899-12-30T17:52:35"/>
    <n v="6.6"/>
  </r>
  <r>
    <s v="BUI446"/>
    <x v="233"/>
    <x v="2"/>
    <x v="2"/>
    <x v="1"/>
    <s v="URBANO"/>
    <d v="2024-02-28T00:00:00"/>
    <d v="1899-12-30T06:43:47"/>
    <n v="6.6"/>
  </r>
  <r>
    <s v="CCO670"/>
    <x v="234"/>
    <x v="719"/>
    <x v="3"/>
    <x v="1"/>
    <s v="URBANO"/>
    <d v="2024-02-28T00:00:00"/>
    <d v="1899-12-30T17:28:59"/>
    <n v="6.6"/>
  </r>
  <r>
    <s v="CCO670"/>
    <x v="234"/>
    <x v="2"/>
    <x v="2"/>
    <x v="1"/>
    <s v="URBANO"/>
    <d v="2024-02-28T00:00:00"/>
    <d v="1899-12-30T18:24:27"/>
    <n v="6.6"/>
  </r>
  <r>
    <s v="CCO670"/>
    <x v="234"/>
    <x v="720"/>
    <x v="3"/>
    <x v="1"/>
    <s v="URBANO"/>
    <d v="2024-02-29T00:00:00"/>
    <d v="1899-12-30T16:31:19"/>
    <n v="6.6"/>
  </r>
  <r>
    <s v="CCO670"/>
    <x v="234"/>
    <x v="720"/>
    <x v="3"/>
    <x v="1"/>
    <s v="URBANO"/>
    <d v="2024-02-29T00:00:00"/>
    <d v="1899-12-30T16:39:03"/>
    <n v="6.6"/>
  </r>
  <r>
    <s v="CCO670"/>
    <x v="234"/>
    <x v="720"/>
    <x v="1"/>
    <x v="1"/>
    <s v="URBANO"/>
    <d v="2024-02-29T00:00:00"/>
    <d v="1899-12-30T17:31:13"/>
    <n v="6.6"/>
  </r>
  <r>
    <s v="ATH410"/>
    <x v="235"/>
    <x v="2"/>
    <x v="2"/>
    <x v="1"/>
    <s v="URBANO"/>
    <d v="2024-02-26T00:00:00"/>
    <d v="1899-12-30T15:24:53"/>
    <n v="6.6"/>
  </r>
  <r>
    <s v="ATH410"/>
    <x v="235"/>
    <x v="2"/>
    <x v="2"/>
    <x v="1"/>
    <s v="URBANO"/>
    <d v="2024-02-26T00:00:00"/>
    <d v="1899-12-30T15:36:43"/>
    <n v="6.6"/>
  </r>
  <r>
    <s v="ATH410"/>
    <x v="235"/>
    <x v="721"/>
    <x v="1"/>
    <x v="1"/>
    <s v="URBANO"/>
    <d v="2024-02-28T00:00:00"/>
    <d v="1899-12-30T18:44:34"/>
    <n v="6.6"/>
  </r>
  <r>
    <s v="ATH410"/>
    <x v="235"/>
    <x v="721"/>
    <x v="1"/>
    <x v="1"/>
    <s v="URBANO"/>
    <d v="2024-02-28T00:00:00"/>
    <d v="1899-12-30T19:24:10"/>
    <n v="6.6"/>
  </r>
  <r>
    <s v="BLL611"/>
    <x v="236"/>
    <x v="2"/>
    <x v="2"/>
    <x v="1"/>
    <s v="URBANO"/>
    <d v="2024-02-26T00:00:00"/>
    <d v="1899-12-30T11:05:12"/>
    <n v="6.6"/>
  </r>
  <r>
    <s v="BLL611"/>
    <x v="236"/>
    <x v="722"/>
    <x v="1"/>
    <x v="1"/>
    <s v="URBANO"/>
    <d v="2024-02-26T00:00:00"/>
    <d v="1899-12-30T14:05:28"/>
    <n v="6.6"/>
  </r>
  <r>
    <s v="BLL611"/>
    <x v="236"/>
    <x v="722"/>
    <x v="1"/>
    <x v="1"/>
    <s v="URBANO"/>
    <d v="2024-02-26T00:00:00"/>
    <d v="1899-12-30T14:13:22"/>
    <n v="6.6"/>
  </r>
  <r>
    <s v="BLL611"/>
    <x v="236"/>
    <x v="723"/>
    <x v="1"/>
    <x v="1"/>
    <s v="URBANO"/>
    <d v="2024-02-26T00:00:00"/>
    <d v="1899-12-30T17:03:55"/>
    <n v="6.6"/>
  </r>
  <r>
    <s v="BLL611"/>
    <x v="236"/>
    <x v="723"/>
    <x v="1"/>
    <x v="1"/>
    <s v="URBANO"/>
    <d v="2024-02-26T00:00:00"/>
    <d v="1899-12-30T17:13:49"/>
    <n v="6.6"/>
  </r>
  <r>
    <s v="BLL611"/>
    <x v="236"/>
    <x v="2"/>
    <x v="2"/>
    <x v="1"/>
    <s v="URBANO"/>
    <d v="2024-02-26T00:00:00"/>
    <d v="1899-12-30T18:31:43"/>
    <n v="6.6"/>
  </r>
  <r>
    <s v="BLL611"/>
    <x v="236"/>
    <x v="2"/>
    <x v="2"/>
    <x v="1"/>
    <s v="URBANO"/>
    <d v="2024-02-26T00:00:00"/>
    <d v="1899-12-30T18:42:22"/>
    <n v="6.6"/>
  </r>
  <r>
    <s v="BLL611"/>
    <x v="236"/>
    <x v="2"/>
    <x v="2"/>
    <x v="1"/>
    <s v="URBANO"/>
    <d v="2024-02-27T00:00:00"/>
    <d v="1899-12-30T10:33:16"/>
    <n v="6.6"/>
  </r>
  <r>
    <s v="BLL611"/>
    <x v="236"/>
    <x v="2"/>
    <x v="2"/>
    <x v="1"/>
    <s v="URBANO"/>
    <d v="2024-02-27T00:00:00"/>
    <d v="1899-12-30T22:22:01"/>
    <n v="6.6"/>
  </r>
  <r>
    <s v="BLL611"/>
    <x v="236"/>
    <x v="2"/>
    <x v="2"/>
    <x v="1"/>
    <s v="URBANO"/>
    <d v="2024-02-28T00:00:00"/>
    <d v="1899-12-30T08:34:15"/>
    <n v="6.6"/>
  </r>
  <r>
    <s v="BLL611"/>
    <x v="236"/>
    <x v="2"/>
    <x v="2"/>
    <x v="1"/>
    <s v="URBANO"/>
    <d v="2024-02-28T00:00:00"/>
    <d v="1899-12-30T21:07:43"/>
    <n v="6.6"/>
  </r>
  <r>
    <s v="BLL611"/>
    <x v="236"/>
    <x v="2"/>
    <x v="2"/>
    <x v="1"/>
    <s v="URBANO"/>
    <d v="2024-02-29T00:00:00"/>
    <d v="1899-12-30T11:19:55"/>
    <n v="6.6"/>
  </r>
  <r>
    <s v="BLL611"/>
    <x v="236"/>
    <x v="724"/>
    <x v="3"/>
    <x v="1"/>
    <s v="URBANO"/>
    <d v="2024-02-29T00:00:00"/>
    <d v="1899-12-30T21:33:24"/>
    <n v="6.6"/>
  </r>
  <r>
    <s v="T4Z322"/>
    <x v="237"/>
    <x v="725"/>
    <x v="1"/>
    <x v="1"/>
    <s v="URBANO"/>
    <d v="2024-02-27T00:00:00"/>
    <d v="1899-12-30T18:48:36"/>
    <n v="6.6"/>
  </r>
  <r>
    <s v="T4Z322"/>
    <x v="237"/>
    <x v="725"/>
    <x v="1"/>
    <x v="1"/>
    <s v="URBANO"/>
    <d v="2024-02-27T00:00:00"/>
    <d v="1899-12-30T18:59:43"/>
    <n v="6.6"/>
  </r>
  <r>
    <s v="T4Z322"/>
    <x v="237"/>
    <x v="725"/>
    <x v="1"/>
    <x v="1"/>
    <s v="URBANO"/>
    <d v="2024-02-27T00:00:00"/>
    <d v="1899-12-30T20:52:28"/>
    <n v="6.6"/>
  </r>
  <r>
    <s v="T4Z322"/>
    <x v="237"/>
    <x v="725"/>
    <x v="1"/>
    <x v="1"/>
    <s v="URBANO"/>
    <d v="2024-02-27T00:00:00"/>
    <d v="1899-12-30T21:11:03"/>
    <n v="6.6"/>
  </r>
  <r>
    <s v="BLW390"/>
    <x v="238"/>
    <x v="2"/>
    <x v="2"/>
    <x v="1"/>
    <s v="URBANO"/>
    <d v="2024-02-28T00:00:00"/>
    <d v="1899-12-30T19:00:36"/>
    <n v="6.6"/>
  </r>
  <r>
    <s v="AVF355"/>
    <x v="239"/>
    <x v="726"/>
    <x v="1"/>
    <x v="1"/>
    <s v="URBANO"/>
    <d v="2024-02-26T00:00:00"/>
    <d v="1899-12-30T14:09:30"/>
    <n v="6.6"/>
  </r>
  <r>
    <s v="AVF355"/>
    <x v="239"/>
    <x v="726"/>
    <x v="1"/>
    <x v="1"/>
    <s v="URBANO"/>
    <d v="2024-02-26T00:00:00"/>
    <d v="1899-12-30T16:17:32"/>
    <n v="6.6"/>
  </r>
  <r>
    <s v="AVF355"/>
    <x v="239"/>
    <x v="726"/>
    <x v="1"/>
    <x v="1"/>
    <s v="URBANO"/>
    <d v="2024-02-26T00:00:00"/>
    <d v="1899-12-30T16:23:29"/>
    <n v="6.6"/>
  </r>
  <r>
    <s v="AVF355"/>
    <x v="239"/>
    <x v="727"/>
    <x v="1"/>
    <x v="1"/>
    <s v="URBANO"/>
    <d v="2024-02-29T00:00:00"/>
    <d v="1899-12-30T08:24:57"/>
    <n v="6.6"/>
  </r>
  <r>
    <s v="AVF355"/>
    <x v="239"/>
    <x v="727"/>
    <x v="1"/>
    <x v="1"/>
    <s v="URBANO"/>
    <d v="2024-02-29T00:00:00"/>
    <d v="1899-12-30T08:49:28"/>
    <n v="6.6"/>
  </r>
  <r>
    <s v="BLP599"/>
    <x v="240"/>
    <x v="2"/>
    <x v="2"/>
    <x v="1"/>
    <s v="URBANO"/>
    <d v="2024-02-27T00:00:00"/>
    <d v="1899-12-30T19:58:42"/>
    <n v="6.6"/>
  </r>
  <r>
    <s v="BLP599"/>
    <x v="240"/>
    <x v="2"/>
    <x v="2"/>
    <x v="1"/>
    <s v="URBANO"/>
    <d v="2024-02-27T00:00:00"/>
    <d v="1899-12-30T23:25:24"/>
    <n v="6.6"/>
  </r>
  <r>
    <s v="BZV079"/>
    <x v="241"/>
    <x v="2"/>
    <x v="2"/>
    <x v="1"/>
    <s v="URBANO"/>
    <d v="2024-02-29T00:00:00"/>
    <d v="1899-12-30T20:32:48"/>
    <n v="6.6"/>
  </r>
  <r>
    <s v="BZV079"/>
    <x v="241"/>
    <x v="2"/>
    <x v="2"/>
    <x v="1"/>
    <s v="URBANO"/>
    <d v="2024-02-29T00:00:00"/>
    <d v="1899-12-30T20:42:26"/>
    <n v="6.6"/>
  </r>
  <r>
    <s v="BZV079"/>
    <x v="241"/>
    <x v="2"/>
    <x v="2"/>
    <x v="1"/>
    <s v="URBANO"/>
    <d v="2024-02-29T00:00:00"/>
    <d v="1899-12-30T21:24:18"/>
    <n v="6.6"/>
  </r>
  <r>
    <s v="BZV079"/>
    <x v="241"/>
    <x v="2"/>
    <x v="2"/>
    <x v="1"/>
    <s v="URBANO"/>
    <d v="2024-02-29T00:00:00"/>
    <d v="1899-12-30T21:33:04"/>
    <n v="6.6"/>
  </r>
  <r>
    <s v="CKA667"/>
    <x v="242"/>
    <x v="728"/>
    <x v="1"/>
    <x v="0"/>
    <s v="AEROPUERTO"/>
    <d v="2024-02-26T00:00:00"/>
    <d v="1899-12-30T07:40:47"/>
    <n v="6.6"/>
  </r>
  <r>
    <s v="CKA667"/>
    <x v="242"/>
    <x v="728"/>
    <x v="1"/>
    <x v="0"/>
    <s v="AEROPUERTO"/>
    <d v="2024-02-26T00:00:00"/>
    <d v="1899-12-30T08:01:53"/>
    <n v="6.6"/>
  </r>
  <r>
    <s v="CKA667"/>
    <x v="242"/>
    <x v="2"/>
    <x v="2"/>
    <x v="0"/>
    <s v="AEROPUERTO"/>
    <d v="2024-02-26T00:00:00"/>
    <d v="1899-12-30T12:19:25"/>
    <n v="6.6"/>
  </r>
  <r>
    <s v="CKA667"/>
    <x v="242"/>
    <x v="729"/>
    <x v="1"/>
    <x v="0"/>
    <s v="AEROPUERTO"/>
    <d v="2024-02-27T00:00:00"/>
    <d v="1899-12-30T07:55:23"/>
    <n v="6.6"/>
  </r>
  <r>
    <s v="CKA667"/>
    <x v="242"/>
    <x v="730"/>
    <x v="1"/>
    <x v="0"/>
    <s v="AEROPUERTO"/>
    <d v="2024-02-29T00:00:00"/>
    <d v="1899-12-30T13:26:21"/>
    <n v="6.6"/>
  </r>
  <r>
    <s v="CKA667"/>
    <x v="242"/>
    <x v="730"/>
    <x v="1"/>
    <x v="0"/>
    <s v="AEROPUERTO"/>
    <d v="2024-02-29T00:00:00"/>
    <d v="1899-12-30T13:37:38"/>
    <n v="6.6"/>
  </r>
  <r>
    <s v="CKA667"/>
    <x v="242"/>
    <x v="2"/>
    <x v="2"/>
    <x v="0"/>
    <s v="AEROPUERTO"/>
    <d v="2024-02-29T00:00:00"/>
    <d v="1899-12-30T14:20:58"/>
    <n v="6.6"/>
  </r>
  <r>
    <s v="CKA667"/>
    <x v="242"/>
    <x v="2"/>
    <x v="2"/>
    <x v="0"/>
    <s v="AEROPUERTO"/>
    <d v="2024-02-29T00:00:00"/>
    <d v="1899-12-30T14:29:49"/>
    <n v="6.6"/>
  </r>
  <r>
    <s v="BUG288"/>
    <x v="243"/>
    <x v="2"/>
    <x v="2"/>
    <x v="0"/>
    <s v="AEROPUERTO"/>
    <d v="2024-02-29T00:00:00"/>
    <d v="1899-12-30T01:22:58"/>
    <n v="6.6"/>
  </r>
  <r>
    <s v="BUG288"/>
    <x v="243"/>
    <x v="2"/>
    <x v="2"/>
    <x v="0"/>
    <s v="AEROPUERTO"/>
    <d v="2024-02-29T00:00:00"/>
    <d v="1899-12-30T22:08:05"/>
    <n v="6.6"/>
  </r>
  <r>
    <s v="BTL486"/>
    <x v="244"/>
    <x v="731"/>
    <x v="1"/>
    <x v="0"/>
    <s v="AEROPUERTO"/>
    <d v="2024-02-29T00:00:00"/>
    <d v="1899-12-30T07:02:17"/>
    <n v="6.6"/>
  </r>
  <r>
    <s v="BTL486"/>
    <x v="244"/>
    <x v="731"/>
    <x v="1"/>
    <x v="0"/>
    <s v="AEROPUERTO"/>
    <d v="2024-02-29T00:00:00"/>
    <d v="1899-12-30T07:18:24"/>
    <n v="6.6"/>
  </r>
  <r>
    <s v="BTL486"/>
    <x v="244"/>
    <x v="732"/>
    <x v="1"/>
    <x v="0"/>
    <s v="AEROPUERTO"/>
    <d v="2024-02-29T00:00:00"/>
    <d v="1899-12-30T22:24:45"/>
    <n v="6.6"/>
  </r>
  <r>
    <s v="BTL486"/>
    <x v="244"/>
    <x v="732"/>
    <x v="1"/>
    <x v="0"/>
    <s v="AEROPUERTO"/>
    <d v="2024-02-29T00:00:00"/>
    <d v="1899-12-30T22:34:25"/>
    <n v="6.6"/>
  </r>
  <r>
    <s v="BLN321"/>
    <x v="245"/>
    <x v="733"/>
    <x v="0"/>
    <x v="0"/>
    <s v="AEROPUERTO"/>
    <d v="2024-02-26T00:00:00"/>
    <d v="1899-12-30T03:17:03"/>
    <n v="6.6"/>
  </r>
  <r>
    <s v="BLN321"/>
    <x v="245"/>
    <x v="734"/>
    <x v="1"/>
    <x v="0"/>
    <s v="AEROPUERTO"/>
    <d v="2024-02-26T00:00:00"/>
    <d v="1899-12-30T05:01:28"/>
    <n v="6.6"/>
  </r>
  <r>
    <s v="BLN321"/>
    <x v="245"/>
    <x v="734"/>
    <x v="1"/>
    <x v="0"/>
    <s v="AEROPUERTO"/>
    <d v="2024-02-26T00:00:00"/>
    <d v="1899-12-30T05:09:07"/>
    <n v="6.6"/>
  </r>
  <r>
    <s v="BLN321"/>
    <x v="245"/>
    <x v="735"/>
    <x v="1"/>
    <x v="0"/>
    <s v="AEROPUERTO"/>
    <d v="2024-02-26T00:00:00"/>
    <d v="1899-12-30T05:56:38"/>
    <n v="6.6"/>
  </r>
  <r>
    <s v="BLN321"/>
    <x v="245"/>
    <x v="2"/>
    <x v="2"/>
    <x v="0"/>
    <s v="AEROPUERTO"/>
    <d v="2024-02-26T00:00:00"/>
    <d v="1899-12-30T06:12:26"/>
    <n v="6.6"/>
  </r>
  <r>
    <s v="BLN321"/>
    <x v="245"/>
    <x v="736"/>
    <x v="1"/>
    <x v="0"/>
    <s v="AEROPUERTO"/>
    <d v="2024-02-27T00:00:00"/>
    <d v="1899-12-30T02:53:14"/>
    <n v="6.6"/>
  </r>
  <r>
    <s v="BLN321"/>
    <x v="245"/>
    <x v="736"/>
    <x v="1"/>
    <x v="0"/>
    <s v="AEROPUERTO"/>
    <d v="2024-02-27T00:00:00"/>
    <d v="1899-12-30T03:00:24"/>
    <n v="6.6"/>
  </r>
  <r>
    <s v="BLN321"/>
    <x v="245"/>
    <x v="737"/>
    <x v="1"/>
    <x v="0"/>
    <s v="AEROPUERTO"/>
    <d v="2024-02-27T00:00:00"/>
    <d v="1899-12-30T05:03:19"/>
    <n v="6.6"/>
  </r>
  <r>
    <s v="BLN321"/>
    <x v="245"/>
    <x v="737"/>
    <x v="1"/>
    <x v="0"/>
    <s v="AEROPUERTO"/>
    <d v="2024-02-27T00:00:00"/>
    <d v="1899-12-30T05:09:42"/>
    <n v="6.6"/>
  </r>
  <r>
    <s v="BLN321"/>
    <x v="245"/>
    <x v="738"/>
    <x v="1"/>
    <x v="0"/>
    <s v="AEROPUERTO"/>
    <d v="2024-02-27T00:00:00"/>
    <d v="1899-12-30T07:07:03"/>
    <n v="6.6"/>
  </r>
  <r>
    <s v="BLN321"/>
    <x v="245"/>
    <x v="738"/>
    <x v="1"/>
    <x v="0"/>
    <s v="AEROPUERTO"/>
    <d v="2024-02-27T00:00:00"/>
    <d v="1899-12-30T07:16:02"/>
    <n v="6.6"/>
  </r>
  <r>
    <s v="BLN321"/>
    <x v="245"/>
    <x v="739"/>
    <x v="3"/>
    <x v="0"/>
    <s v="AEROPUERTO"/>
    <d v="2024-02-27T00:00:00"/>
    <d v="1899-12-30T16:30:54"/>
    <n v="6.6"/>
  </r>
  <r>
    <s v="BLN321"/>
    <x v="245"/>
    <x v="739"/>
    <x v="3"/>
    <x v="0"/>
    <s v="AEROPUERTO"/>
    <d v="2024-02-27T00:00:00"/>
    <d v="1899-12-30T16:41:27"/>
    <n v="6.6"/>
  </r>
  <r>
    <s v="BLN321"/>
    <x v="245"/>
    <x v="740"/>
    <x v="0"/>
    <x v="0"/>
    <s v="AEROPUERTO"/>
    <d v="2024-02-28T00:00:00"/>
    <d v="1899-12-30T04:47:53"/>
    <n v="6.6"/>
  </r>
  <r>
    <s v="BLN321"/>
    <x v="245"/>
    <x v="740"/>
    <x v="0"/>
    <x v="0"/>
    <s v="AEROPUERTO"/>
    <d v="2024-02-28T00:00:00"/>
    <d v="1899-12-30T04:55:24"/>
    <n v="6.6"/>
  </r>
  <r>
    <s v="BLN321"/>
    <x v="245"/>
    <x v="741"/>
    <x v="1"/>
    <x v="0"/>
    <s v="AEROPUERTO"/>
    <d v="2024-02-28T00:00:00"/>
    <d v="1899-12-30T07:36:27"/>
    <n v="6.6"/>
  </r>
  <r>
    <s v="BLN321"/>
    <x v="245"/>
    <x v="741"/>
    <x v="1"/>
    <x v="0"/>
    <s v="AEROPUERTO"/>
    <d v="2024-02-28T00:00:00"/>
    <d v="1899-12-30T07:53:24"/>
    <n v="6.6"/>
  </r>
  <r>
    <s v="BLN321"/>
    <x v="245"/>
    <x v="742"/>
    <x v="0"/>
    <x v="0"/>
    <s v="AEROPUERTO"/>
    <d v="2024-02-28T00:00:00"/>
    <d v="1899-12-30T14:20:07"/>
    <n v="6.6"/>
  </r>
  <r>
    <s v="BLN321"/>
    <x v="245"/>
    <x v="742"/>
    <x v="0"/>
    <x v="0"/>
    <s v="AEROPUERTO"/>
    <d v="2024-02-28T00:00:00"/>
    <d v="1899-12-30T14:28:54"/>
    <n v="6.6"/>
  </r>
  <r>
    <s v="BLN321"/>
    <x v="245"/>
    <x v="743"/>
    <x v="1"/>
    <x v="0"/>
    <s v="AEROPUERTO"/>
    <d v="2024-02-29T00:00:00"/>
    <d v="1899-12-30T05:51:53"/>
    <n v="6.6"/>
  </r>
  <r>
    <s v="BLN321"/>
    <x v="245"/>
    <x v="743"/>
    <x v="1"/>
    <x v="0"/>
    <s v="AEROPUERTO"/>
    <d v="2024-02-29T00:00:00"/>
    <d v="1899-12-30T05:56:12"/>
    <n v="6.6"/>
  </r>
  <r>
    <s v="BLN321"/>
    <x v="245"/>
    <x v="744"/>
    <x v="1"/>
    <x v="0"/>
    <s v="AEROPUERTO"/>
    <d v="2024-02-29T00:00:00"/>
    <d v="1899-12-30T13:18:16"/>
    <n v="6.6"/>
  </r>
  <r>
    <s v="BLN321"/>
    <x v="245"/>
    <x v="744"/>
    <x v="1"/>
    <x v="0"/>
    <s v="AEROPUERTO"/>
    <d v="2024-02-29T00:00:00"/>
    <d v="1899-12-30T13:29:37"/>
    <n v="6.6"/>
  </r>
  <r>
    <s v="BLN321"/>
    <x v="245"/>
    <x v="2"/>
    <x v="2"/>
    <x v="0"/>
    <s v="AEROPUERTO"/>
    <d v="2024-02-29T00:00:00"/>
    <d v="1899-12-30T13:49:44"/>
    <n v="6.6"/>
  </r>
  <r>
    <s v="CCA573"/>
    <x v="246"/>
    <x v="745"/>
    <x v="1"/>
    <x v="0"/>
    <s v="AEROPUERTO"/>
    <d v="2024-02-26T00:00:00"/>
    <d v="1899-12-30T08:58:35"/>
    <n v="6.6"/>
  </r>
  <r>
    <s v="CCA573"/>
    <x v="246"/>
    <x v="745"/>
    <x v="1"/>
    <x v="0"/>
    <s v="AEROPUERTO"/>
    <d v="2024-02-26T00:00:00"/>
    <d v="1899-12-30T09:11:47"/>
    <n v="6.6"/>
  </r>
  <r>
    <s v="CCA573"/>
    <x v="246"/>
    <x v="746"/>
    <x v="1"/>
    <x v="0"/>
    <s v="AEROPUERTO"/>
    <d v="2024-02-26T00:00:00"/>
    <d v="1899-12-30T10:49:34"/>
    <n v="6.6"/>
  </r>
  <r>
    <s v="CCA573"/>
    <x v="246"/>
    <x v="746"/>
    <x v="1"/>
    <x v="0"/>
    <s v="AEROPUERTO"/>
    <d v="2024-02-26T00:00:00"/>
    <d v="1899-12-30T10:57:44"/>
    <n v="6.6"/>
  </r>
  <r>
    <s v="CCA573"/>
    <x v="246"/>
    <x v="747"/>
    <x v="1"/>
    <x v="0"/>
    <s v="AEROPUERTO"/>
    <d v="2024-02-28T00:00:00"/>
    <d v="1899-12-30T15:32:24"/>
    <n v="6.6"/>
  </r>
  <r>
    <s v="CCA573"/>
    <x v="246"/>
    <x v="747"/>
    <x v="1"/>
    <x v="0"/>
    <s v="AEROPUERTO"/>
    <d v="2024-02-28T00:00:00"/>
    <d v="1899-12-30T16:10:45"/>
    <n v="6.6"/>
  </r>
  <r>
    <s v="CCA573"/>
    <x v="246"/>
    <x v="748"/>
    <x v="1"/>
    <x v="0"/>
    <s v="AEROPUERTO"/>
    <d v="2024-02-29T00:00:00"/>
    <d v="1899-12-30T11:21:25"/>
    <n v="6.6"/>
  </r>
  <r>
    <s v="CCA573"/>
    <x v="246"/>
    <x v="748"/>
    <x v="1"/>
    <x v="0"/>
    <s v="AEROPUERTO"/>
    <d v="2024-02-29T00:00:00"/>
    <d v="1899-12-30T11:36:52"/>
    <n v="6.6"/>
  </r>
  <r>
    <s v="CCA573"/>
    <x v="246"/>
    <x v="749"/>
    <x v="1"/>
    <x v="0"/>
    <s v="AEROPUERTO"/>
    <d v="2024-02-29T00:00:00"/>
    <d v="1899-12-30T20:25:15"/>
    <n v="6.6"/>
  </r>
  <r>
    <s v="BED550"/>
    <x v="247"/>
    <x v="750"/>
    <x v="1"/>
    <x v="0"/>
    <s v="AEROPUERTO"/>
    <d v="2024-02-27T00:00:00"/>
    <d v="1899-12-30T22:17:34"/>
    <n v="6.6"/>
  </r>
  <r>
    <s v="BED550"/>
    <x v="247"/>
    <x v="750"/>
    <x v="1"/>
    <x v="0"/>
    <s v="AEROPUERTO"/>
    <d v="2024-02-27T00:00:00"/>
    <d v="1899-12-30T23:04:24"/>
    <n v="6.6"/>
  </r>
  <r>
    <s v="BED550"/>
    <x v="247"/>
    <x v="751"/>
    <x v="3"/>
    <x v="0"/>
    <s v="AEROPUERTO"/>
    <d v="2024-02-27T00:00:00"/>
    <d v="1899-12-30T23:11:25"/>
    <n v="6.6"/>
  </r>
  <r>
    <s v="BZB364"/>
    <x v="248"/>
    <x v="752"/>
    <x v="1"/>
    <x v="0"/>
    <s v="AEROPUERTO"/>
    <d v="2024-02-26T00:00:00"/>
    <d v="1899-12-30T11:37:49"/>
    <n v="6.6"/>
  </r>
  <r>
    <s v="BZB364"/>
    <x v="248"/>
    <x v="752"/>
    <x v="1"/>
    <x v="0"/>
    <s v="AEROPUERTO"/>
    <d v="2024-02-26T00:00:00"/>
    <d v="1899-12-30T13:22:15"/>
    <n v="6.6"/>
  </r>
  <r>
    <s v="BZB364"/>
    <x v="248"/>
    <x v="752"/>
    <x v="1"/>
    <x v="0"/>
    <s v="AEROPUERTO"/>
    <d v="2024-02-26T00:00:00"/>
    <d v="1899-12-30T14:17:04"/>
    <n v="6.6"/>
  </r>
  <r>
    <s v="BZB364"/>
    <x v="248"/>
    <x v="753"/>
    <x v="1"/>
    <x v="0"/>
    <s v="AEROPUERTO"/>
    <d v="2024-02-26T00:00:00"/>
    <d v="1899-12-30T17:51:38"/>
    <n v="6.6"/>
  </r>
  <r>
    <s v="BZB364"/>
    <x v="248"/>
    <x v="754"/>
    <x v="1"/>
    <x v="0"/>
    <s v="AEROPUERTO"/>
    <d v="2024-02-28T00:00:00"/>
    <d v="1899-12-30T07:42:22"/>
    <n v="6.6"/>
  </r>
  <r>
    <s v="BZB364"/>
    <x v="248"/>
    <x v="754"/>
    <x v="1"/>
    <x v="0"/>
    <s v="AEROPUERTO"/>
    <d v="2024-02-28T00:00:00"/>
    <d v="1899-12-30T08:00:10"/>
    <n v="6.6"/>
  </r>
  <r>
    <s v="BZB364"/>
    <x v="248"/>
    <x v="755"/>
    <x v="1"/>
    <x v="0"/>
    <s v="AEROPUERTO"/>
    <d v="2024-02-28T00:00:00"/>
    <d v="1899-12-30T15:23:35"/>
    <n v="6.6"/>
  </r>
  <r>
    <s v="BZB364"/>
    <x v="248"/>
    <x v="755"/>
    <x v="1"/>
    <x v="0"/>
    <s v="AEROPUERTO"/>
    <d v="2024-02-28T00:00:00"/>
    <d v="1899-12-30T15:59:23"/>
    <n v="6.6"/>
  </r>
  <r>
    <s v="BZB364"/>
    <x v="248"/>
    <x v="756"/>
    <x v="1"/>
    <x v="0"/>
    <s v="AEROPUERTO"/>
    <d v="2024-02-28T00:00:00"/>
    <d v="1899-12-30T17:19:25"/>
    <n v="6.6"/>
  </r>
  <r>
    <s v="BZB364"/>
    <x v="248"/>
    <x v="756"/>
    <x v="1"/>
    <x v="0"/>
    <s v="AEROPUERTO"/>
    <d v="2024-02-28T00:00:00"/>
    <d v="1899-12-30T17:30:15"/>
    <n v="6.6"/>
  </r>
  <r>
    <s v="BZB364"/>
    <x v="248"/>
    <x v="757"/>
    <x v="1"/>
    <x v="0"/>
    <s v="AEROPUERTO"/>
    <d v="2024-02-28T00:00:00"/>
    <d v="1899-12-30T19:45:26"/>
    <n v="6.6"/>
  </r>
  <r>
    <s v="BZB364"/>
    <x v="248"/>
    <x v="758"/>
    <x v="0"/>
    <x v="0"/>
    <s v="AEROPUERTO"/>
    <d v="2024-02-28T00:00:00"/>
    <d v="1899-12-30T21:50:50"/>
    <n v="6.6"/>
  </r>
  <r>
    <s v="BZB364"/>
    <x v="248"/>
    <x v="758"/>
    <x v="0"/>
    <x v="0"/>
    <s v="AEROPUERTO"/>
    <d v="2024-02-28T00:00:00"/>
    <d v="1899-12-30T21:57:24"/>
    <n v="6.6"/>
  </r>
  <r>
    <s v="BZB364"/>
    <x v="248"/>
    <x v="2"/>
    <x v="2"/>
    <x v="0"/>
    <s v="AEROPUERTO"/>
    <d v="2024-02-29T00:00:00"/>
    <d v="1899-12-30T00:42:37"/>
    <n v="6.6"/>
  </r>
  <r>
    <s v="BZB364"/>
    <x v="248"/>
    <x v="2"/>
    <x v="2"/>
    <x v="0"/>
    <s v="AEROPUERTO"/>
    <d v="2024-02-29T00:00:00"/>
    <d v="1899-12-30T11:01:37"/>
    <n v="6.6"/>
  </r>
  <r>
    <s v="BZB364"/>
    <x v="248"/>
    <x v="759"/>
    <x v="1"/>
    <x v="0"/>
    <s v="AEROPUERTO"/>
    <d v="2024-02-29T00:00:00"/>
    <d v="1899-12-30T21:47:36"/>
    <n v="6.6"/>
  </r>
  <r>
    <s v="BZB364"/>
    <x v="248"/>
    <x v="759"/>
    <x v="1"/>
    <x v="0"/>
    <s v="AEROPUERTO"/>
    <d v="2024-02-29T00:00:00"/>
    <d v="1899-12-30T21:54:18"/>
    <n v="6.6"/>
  </r>
  <r>
    <s v="AMB623"/>
    <x v="249"/>
    <x v="760"/>
    <x v="3"/>
    <x v="0"/>
    <s v="AEROPUERTO"/>
    <d v="2024-02-26T00:00:00"/>
    <d v="1899-12-30T11:17:48"/>
    <n v="6.6"/>
  </r>
  <r>
    <s v="AMB623"/>
    <x v="249"/>
    <x v="760"/>
    <x v="3"/>
    <x v="0"/>
    <s v="AEROPUERTO"/>
    <d v="2024-02-26T00:00:00"/>
    <d v="1899-12-30T11:28:49"/>
    <n v="6.6"/>
  </r>
  <r>
    <s v="AMB623"/>
    <x v="249"/>
    <x v="761"/>
    <x v="1"/>
    <x v="0"/>
    <s v="AEROPUERTO"/>
    <d v="2024-02-27T00:00:00"/>
    <d v="1899-12-30T13:03:54"/>
    <n v="6.6"/>
  </r>
  <r>
    <s v="AMB623"/>
    <x v="249"/>
    <x v="761"/>
    <x v="1"/>
    <x v="0"/>
    <s v="AEROPUERTO"/>
    <d v="2024-02-27T00:00:00"/>
    <d v="1899-12-30T13:19:10"/>
    <n v="6.6"/>
  </r>
  <r>
    <s v="AMB623"/>
    <x v="249"/>
    <x v="762"/>
    <x v="1"/>
    <x v="0"/>
    <s v="AEROPUERTO"/>
    <d v="2024-02-27T00:00:00"/>
    <d v="1899-12-30T16:20:26"/>
    <n v="6.6"/>
  </r>
  <r>
    <s v="AMB623"/>
    <x v="249"/>
    <x v="762"/>
    <x v="1"/>
    <x v="0"/>
    <s v="AEROPUERTO"/>
    <d v="2024-02-27T00:00:00"/>
    <d v="1899-12-30T16:32:22"/>
    <n v="6.6"/>
  </r>
  <r>
    <s v="AMB623"/>
    <x v="249"/>
    <x v="763"/>
    <x v="3"/>
    <x v="0"/>
    <s v="AEROPUERTO"/>
    <d v="2024-02-28T00:00:00"/>
    <d v="1899-12-30T19:04:07"/>
    <n v="6.6"/>
  </r>
  <r>
    <s v="AUU383"/>
    <x v="250"/>
    <x v="2"/>
    <x v="2"/>
    <x v="1"/>
    <s v="URBANO"/>
    <d v="2024-02-26T00:00:00"/>
    <d v="1899-12-30T07:31:11"/>
    <n v="6.6"/>
  </r>
  <r>
    <s v="AUU383"/>
    <x v="250"/>
    <x v="2"/>
    <x v="2"/>
    <x v="1"/>
    <s v="URBANO"/>
    <d v="2024-02-29T00:00:00"/>
    <d v="1899-12-30T08:29:51"/>
    <n v="6.6"/>
  </r>
  <r>
    <s v="AUU383"/>
    <x v="250"/>
    <x v="2"/>
    <x v="2"/>
    <x v="1"/>
    <s v="URBANO"/>
    <d v="2024-02-29T00:00:00"/>
    <d v="1899-12-30T08:39:38"/>
    <n v="6.6"/>
  </r>
  <r>
    <s v="CFW098"/>
    <x v="251"/>
    <x v="764"/>
    <x v="1"/>
    <x v="1"/>
    <s v="URBANO"/>
    <d v="2024-02-29T00:00:00"/>
    <d v="1899-12-30T09:10:32"/>
    <n v="6.6"/>
  </r>
  <r>
    <s v="CFW098"/>
    <x v="251"/>
    <x v="764"/>
    <x v="1"/>
    <x v="1"/>
    <s v="URBANO"/>
    <d v="2024-02-29T00:00:00"/>
    <d v="1899-12-30T09:25:43"/>
    <n v="6.6"/>
  </r>
  <r>
    <s v="T6W236"/>
    <x v="252"/>
    <x v="765"/>
    <x v="1"/>
    <x v="1"/>
    <s v="URBANO"/>
    <d v="2024-02-27T00:00:00"/>
    <d v="1899-12-30T04:54:56"/>
    <n v="6.6"/>
  </r>
  <r>
    <s v="T6W236"/>
    <x v="252"/>
    <x v="2"/>
    <x v="2"/>
    <x v="1"/>
    <s v="URBANO"/>
    <d v="2024-02-28T00:00:00"/>
    <d v="1899-12-30T21:04:21"/>
    <n v="6.6"/>
  </r>
  <r>
    <s v="T6W236"/>
    <x v="252"/>
    <x v="766"/>
    <x v="1"/>
    <x v="1"/>
    <s v="URBANO"/>
    <d v="2024-02-29T00:00:00"/>
    <d v="1899-12-30T03:24:27"/>
    <n v="6.6"/>
  </r>
  <r>
    <s v="T6W236"/>
    <x v="252"/>
    <x v="2"/>
    <x v="2"/>
    <x v="1"/>
    <s v="URBANO"/>
    <d v="2024-02-29T00:00:00"/>
    <d v="1899-12-30T11:59:24"/>
    <n v="6.6"/>
  </r>
  <r>
    <s v="T6W236"/>
    <x v="252"/>
    <x v="2"/>
    <x v="2"/>
    <x v="1"/>
    <s v="URBANO"/>
    <d v="2024-02-29T00:00:00"/>
    <d v="1899-12-30T13:21:05"/>
    <n v="6.6"/>
  </r>
  <r>
    <s v="T6W236"/>
    <x v="252"/>
    <x v="767"/>
    <x v="1"/>
    <x v="1"/>
    <s v="URBANO"/>
    <d v="2024-02-29T00:00:00"/>
    <d v="1899-12-30T16:43:54"/>
    <n v="6.6"/>
  </r>
  <r>
    <s v="F8Z232"/>
    <x v="253"/>
    <x v="768"/>
    <x v="1"/>
    <x v="0"/>
    <s v="AEROPUERTO"/>
    <d v="2024-02-26T00:00:00"/>
    <d v="1899-12-30T07:50:15"/>
    <n v="6.6"/>
  </r>
  <r>
    <s v="F8Z232"/>
    <x v="253"/>
    <x v="768"/>
    <x v="1"/>
    <x v="0"/>
    <s v="AEROPUERTO"/>
    <d v="2024-02-26T00:00:00"/>
    <d v="1899-12-30T08:11:44"/>
    <n v="6.6"/>
  </r>
  <r>
    <s v="F8Z232"/>
    <x v="253"/>
    <x v="769"/>
    <x v="1"/>
    <x v="0"/>
    <s v="AEROPUERTO"/>
    <d v="2024-02-26T00:00:00"/>
    <d v="1899-12-30T09:53:40"/>
    <n v="6.6"/>
  </r>
  <r>
    <s v="F8Z232"/>
    <x v="253"/>
    <x v="769"/>
    <x v="1"/>
    <x v="0"/>
    <s v="AEROPUERTO"/>
    <d v="2024-02-26T00:00:00"/>
    <d v="1899-12-30T10:01:38"/>
    <n v="6.6"/>
  </r>
  <r>
    <s v="F8Z232"/>
    <x v="253"/>
    <x v="770"/>
    <x v="1"/>
    <x v="0"/>
    <s v="AEROPUERTO"/>
    <d v="2024-02-26T00:00:00"/>
    <d v="1899-12-30T11:00:34"/>
    <n v="6.6"/>
  </r>
  <r>
    <s v="F8Z232"/>
    <x v="253"/>
    <x v="770"/>
    <x v="1"/>
    <x v="0"/>
    <s v="AEROPUERTO"/>
    <d v="2024-02-26T00:00:00"/>
    <d v="1899-12-30T11:11:35"/>
    <n v="6.6"/>
  </r>
  <r>
    <s v="F8Z232"/>
    <x v="253"/>
    <x v="771"/>
    <x v="1"/>
    <x v="0"/>
    <s v="AEROPUERTO"/>
    <d v="2024-02-26T00:00:00"/>
    <d v="1899-12-30T19:33:59"/>
    <n v="6.6"/>
  </r>
  <r>
    <s v="F8Z232"/>
    <x v="253"/>
    <x v="772"/>
    <x v="3"/>
    <x v="0"/>
    <s v="AEROPUERTO"/>
    <d v="2024-02-27T00:00:00"/>
    <d v="1899-12-30T11:06:41"/>
    <n v="6.6"/>
  </r>
  <r>
    <s v="F8Z232"/>
    <x v="253"/>
    <x v="772"/>
    <x v="3"/>
    <x v="0"/>
    <s v="AEROPUERTO"/>
    <d v="2024-02-27T00:00:00"/>
    <d v="1899-12-30T11:17:43"/>
    <n v="6.6"/>
  </r>
  <r>
    <s v="F8Z232"/>
    <x v="253"/>
    <x v="773"/>
    <x v="1"/>
    <x v="0"/>
    <s v="AEROPUERTO"/>
    <d v="2024-02-27T00:00:00"/>
    <d v="1899-12-30T16:21:08"/>
    <n v="6.6"/>
  </r>
  <r>
    <s v="F8Z232"/>
    <x v="253"/>
    <x v="773"/>
    <x v="1"/>
    <x v="0"/>
    <s v="AEROPUERTO"/>
    <d v="2024-02-27T00:00:00"/>
    <d v="1899-12-30T16:28:33"/>
    <n v="6.6"/>
  </r>
  <r>
    <s v="F8Z232"/>
    <x v="253"/>
    <x v="2"/>
    <x v="2"/>
    <x v="0"/>
    <s v="AEROPUERTO"/>
    <d v="2024-02-28T00:00:00"/>
    <d v="1899-12-30T06:44:17"/>
    <n v="6.6"/>
  </r>
  <r>
    <s v="F8Z232"/>
    <x v="253"/>
    <x v="2"/>
    <x v="2"/>
    <x v="0"/>
    <s v="AEROPUERTO"/>
    <d v="2024-02-28T00:00:00"/>
    <d v="1899-12-30T06:52:53"/>
    <n v="6.6"/>
  </r>
  <r>
    <s v="F8Z232"/>
    <x v="253"/>
    <x v="774"/>
    <x v="1"/>
    <x v="0"/>
    <s v="AEROPUERTO"/>
    <d v="2024-02-28T00:00:00"/>
    <d v="1899-12-30T13:53:05"/>
    <n v="6.6"/>
  </r>
  <r>
    <s v="F8Z232"/>
    <x v="253"/>
    <x v="775"/>
    <x v="1"/>
    <x v="0"/>
    <s v="AEROPUERTO"/>
    <d v="2024-02-28T00:00:00"/>
    <d v="1899-12-30T16:23:01"/>
    <n v="6.6"/>
  </r>
  <r>
    <s v="F8Z232"/>
    <x v="253"/>
    <x v="775"/>
    <x v="1"/>
    <x v="0"/>
    <s v="AEROPUERTO"/>
    <d v="2024-02-28T00:00:00"/>
    <d v="1899-12-30T16:52:55"/>
    <n v="6.6"/>
  </r>
  <r>
    <s v="BYX561"/>
    <x v="254"/>
    <x v="2"/>
    <x v="2"/>
    <x v="1"/>
    <s v="URBANO"/>
    <d v="2024-02-26T00:00:00"/>
    <d v="1899-12-30T08:55:51"/>
    <n v="6.6"/>
  </r>
  <r>
    <s v="BYX561"/>
    <x v="254"/>
    <x v="2"/>
    <x v="2"/>
    <x v="1"/>
    <s v="URBANO"/>
    <d v="2024-02-26T00:00:00"/>
    <d v="1899-12-30T09:08:06"/>
    <n v="6.6"/>
  </r>
  <r>
    <s v="BYX561"/>
    <x v="254"/>
    <x v="2"/>
    <x v="2"/>
    <x v="1"/>
    <s v="URBANO"/>
    <d v="2024-02-28T00:00:00"/>
    <d v="1899-12-30T19:09:22"/>
    <n v="6.6"/>
  </r>
  <r>
    <s v="BYX561"/>
    <x v="254"/>
    <x v="776"/>
    <x v="1"/>
    <x v="1"/>
    <s v="URBANO"/>
    <d v="2024-02-29T00:00:00"/>
    <d v="1899-12-30T05:49:46"/>
    <n v="6.6"/>
  </r>
  <r>
    <s v="BYX561"/>
    <x v="254"/>
    <x v="776"/>
    <x v="1"/>
    <x v="1"/>
    <s v="URBANO"/>
    <d v="2024-02-29T00:00:00"/>
    <d v="1899-12-30T05:57:50"/>
    <n v="6.6"/>
  </r>
  <r>
    <s v="BYX561"/>
    <x v="254"/>
    <x v="777"/>
    <x v="3"/>
    <x v="1"/>
    <s v="URBANO"/>
    <d v="2024-02-29T00:00:00"/>
    <d v="1899-12-30T09:09:08"/>
    <n v="6.6"/>
  </r>
  <r>
    <s v="BYX561"/>
    <x v="254"/>
    <x v="777"/>
    <x v="3"/>
    <x v="1"/>
    <s v="URBANO"/>
    <d v="2024-02-29T00:00:00"/>
    <d v="1899-12-30T09:23:04"/>
    <n v="6.6"/>
  </r>
  <r>
    <s v="BJK436"/>
    <x v="255"/>
    <x v="778"/>
    <x v="1"/>
    <x v="1"/>
    <s v="URBANO"/>
    <d v="2024-02-27T00:00:00"/>
    <d v="1899-12-30T09:00:32"/>
    <n v="6.6"/>
  </r>
  <r>
    <s v="BJK436"/>
    <x v="255"/>
    <x v="778"/>
    <x v="1"/>
    <x v="1"/>
    <s v="URBANO"/>
    <d v="2024-02-27T00:00:00"/>
    <d v="1899-12-30T09:13:45"/>
    <n v="6.6"/>
  </r>
  <r>
    <s v="BJK436"/>
    <x v="255"/>
    <x v="779"/>
    <x v="1"/>
    <x v="1"/>
    <s v="URBANO"/>
    <d v="2024-02-27T00:00:00"/>
    <d v="1899-12-30T15:36:56"/>
    <n v="6.6"/>
  </r>
  <r>
    <s v="BJK436"/>
    <x v="255"/>
    <x v="779"/>
    <x v="1"/>
    <x v="1"/>
    <s v="URBANO"/>
    <d v="2024-02-27T00:00:00"/>
    <d v="1899-12-30T15:51:45"/>
    <n v="6.6"/>
  </r>
  <r>
    <s v="BJK436"/>
    <x v="255"/>
    <x v="780"/>
    <x v="1"/>
    <x v="1"/>
    <s v="URBANO"/>
    <d v="2024-02-28T00:00:00"/>
    <d v="1899-12-30T10:46:50"/>
    <n v="6.6"/>
  </r>
  <r>
    <s v="BJK436"/>
    <x v="255"/>
    <x v="781"/>
    <x v="3"/>
    <x v="1"/>
    <s v="URBANO"/>
    <d v="2024-02-28T00:00:00"/>
    <d v="1899-12-30T13:56:04"/>
    <n v="6.6"/>
  </r>
  <r>
    <s v="BJK436"/>
    <x v="255"/>
    <x v="781"/>
    <x v="3"/>
    <x v="1"/>
    <s v="URBANO"/>
    <d v="2024-02-28T00:00:00"/>
    <d v="1899-12-30T14:04:22"/>
    <n v="6.6"/>
  </r>
  <r>
    <s v="BJK436"/>
    <x v="255"/>
    <x v="2"/>
    <x v="2"/>
    <x v="1"/>
    <s v="URBANO"/>
    <d v="2024-02-29T00:00:00"/>
    <d v="1899-12-30T09:04:14"/>
    <n v="6.6"/>
  </r>
  <r>
    <s v="Z7J196"/>
    <x v="256"/>
    <x v="2"/>
    <x v="2"/>
    <x v="1"/>
    <s v="LATAM"/>
    <d v="2024-02-27T00:00:00"/>
    <d v="1899-12-30T17:25:27"/>
    <n v="6.6"/>
  </r>
  <r>
    <s v="BLR278"/>
    <x v="257"/>
    <x v="2"/>
    <x v="2"/>
    <x v="1"/>
    <s v="LATAM"/>
    <d v="2024-02-26T00:00:00"/>
    <d v="1899-12-30T20:20:17"/>
    <n v="6.6"/>
  </r>
  <r>
    <s v="BLR278"/>
    <x v="257"/>
    <x v="2"/>
    <x v="2"/>
    <x v="1"/>
    <s v="LATAM"/>
    <d v="2024-02-26T00:00:00"/>
    <d v="1899-12-30T20:30:21"/>
    <n v="6.6"/>
  </r>
  <r>
    <s v="BLR278"/>
    <x v="257"/>
    <x v="2"/>
    <x v="2"/>
    <x v="1"/>
    <s v="LATAM"/>
    <d v="2024-02-28T00:00:00"/>
    <d v="1899-12-30T06:01:05"/>
    <n v="6.6"/>
  </r>
  <r>
    <s v="BLR278"/>
    <x v="257"/>
    <x v="2"/>
    <x v="2"/>
    <x v="1"/>
    <s v="LATAM"/>
    <d v="2024-02-29T00:00:00"/>
    <d v="1899-12-30T17:47:40"/>
    <n v="6.6"/>
  </r>
  <r>
    <s v="BUU050"/>
    <x v="258"/>
    <x v="782"/>
    <x v="1"/>
    <x v="0"/>
    <s v="AEROPUERTO"/>
    <d v="2024-02-26T00:00:00"/>
    <d v="1899-12-30T05:08:36"/>
    <n v="6.6"/>
  </r>
  <r>
    <s v="BUU050"/>
    <x v="258"/>
    <x v="782"/>
    <x v="1"/>
    <x v="0"/>
    <s v="AEROPUERTO"/>
    <d v="2024-02-26T00:00:00"/>
    <d v="1899-12-30T05:16:48"/>
    <n v="6.6"/>
  </r>
  <r>
    <s v="BUU050"/>
    <x v="258"/>
    <x v="783"/>
    <x v="0"/>
    <x v="0"/>
    <s v="AEROPUERTO"/>
    <d v="2024-02-26T00:00:00"/>
    <d v="1899-12-30T09:21:04"/>
    <n v="6.6"/>
  </r>
  <r>
    <s v="BUU050"/>
    <x v="258"/>
    <x v="783"/>
    <x v="0"/>
    <x v="0"/>
    <s v="AEROPUERTO"/>
    <d v="2024-02-26T00:00:00"/>
    <d v="1899-12-30T09:29:49"/>
    <n v="6.6"/>
  </r>
  <r>
    <s v="BUU050"/>
    <x v="258"/>
    <x v="784"/>
    <x v="0"/>
    <x v="0"/>
    <s v="AEROPUERTO"/>
    <d v="2024-02-26T00:00:00"/>
    <d v="1899-12-30T16:44:52"/>
    <n v="6.6"/>
  </r>
  <r>
    <s v="BUU050"/>
    <x v="258"/>
    <x v="784"/>
    <x v="0"/>
    <x v="0"/>
    <s v="AEROPUERTO"/>
    <d v="2024-02-26T00:00:00"/>
    <d v="1899-12-30T16:54:09"/>
    <n v="6.6"/>
  </r>
  <r>
    <s v="BUU050"/>
    <x v="258"/>
    <x v="785"/>
    <x v="1"/>
    <x v="0"/>
    <s v="AEROPUERTO"/>
    <d v="2024-02-27T00:00:00"/>
    <d v="1899-12-30T12:42:48"/>
    <n v="6.6"/>
  </r>
  <r>
    <s v="BUU050"/>
    <x v="258"/>
    <x v="785"/>
    <x v="1"/>
    <x v="0"/>
    <s v="AEROPUERTO"/>
    <d v="2024-02-27T00:00:00"/>
    <d v="1899-12-30T13:05:03"/>
    <n v="6.6"/>
  </r>
  <r>
    <s v="BUU050"/>
    <x v="258"/>
    <x v="786"/>
    <x v="1"/>
    <x v="0"/>
    <s v="AEROPUERTO"/>
    <d v="2024-02-29T00:00:00"/>
    <d v="1899-12-30T11:24:02"/>
    <n v="6.6"/>
  </r>
  <r>
    <s v="BUU050"/>
    <x v="258"/>
    <x v="786"/>
    <x v="1"/>
    <x v="0"/>
    <s v="AEROPUERTO"/>
    <d v="2024-02-29T00:00:00"/>
    <d v="1899-12-30T11:34:32"/>
    <n v="6.6"/>
  </r>
  <r>
    <s v="BUU050"/>
    <x v="258"/>
    <x v="2"/>
    <x v="2"/>
    <x v="0"/>
    <s v="AEROPUERTO"/>
    <d v="2024-02-29T00:00:00"/>
    <d v="1899-12-30T13:51:34"/>
    <n v="6.6"/>
  </r>
  <r>
    <s v="BPD149"/>
    <x v="259"/>
    <x v="2"/>
    <x v="2"/>
    <x v="1"/>
    <s v="URBANO"/>
    <d v="2024-02-26T00:00:00"/>
    <d v="1899-12-30T15:43:19"/>
    <n v="6.6"/>
  </r>
  <r>
    <s v="BPD149"/>
    <x v="259"/>
    <x v="2"/>
    <x v="2"/>
    <x v="1"/>
    <s v="URBANO"/>
    <d v="2024-02-26T00:00:00"/>
    <d v="1899-12-30T15:53:56"/>
    <n v="6.6"/>
  </r>
  <r>
    <s v="BPD149"/>
    <x v="259"/>
    <x v="2"/>
    <x v="2"/>
    <x v="1"/>
    <s v="URBANO"/>
    <d v="2024-02-26T00:00:00"/>
    <d v="1899-12-30T19:46:14"/>
    <n v="6.6"/>
  </r>
  <r>
    <s v="CCW212"/>
    <x v="260"/>
    <x v="787"/>
    <x v="1"/>
    <x v="1"/>
    <s v="URBANO"/>
    <d v="2024-02-26T00:00:00"/>
    <d v="1899-12-30T08:25:39"/>
    <n v="6.6"/>
  </r>
  <r>
    <s v="CCW212"/>
    <x v="260"/>
    <x v="788"/>
    <x v="1"/>
    <x v="1"/>
    <s v="URBANO"/>
    <d v="2024-02-26T00:00:00"/>
    <d v="1899-12-30T11:39:31"/>
    <n v="6.6"/>
  </r>
  <r>
    <s v="CCW212"/>
    <x v="260"/>
    <x v="788"/>
    <x v="1"/>
    <x v="1"/>
    <s v="URBANO"/>
    <d v="2024-02-26T00:00:00"/>
    <d v="1899-12-30T11:46:50"/>
    <n v="6.6"/>
  </r>
  <r>
    <s v="CCW212"/>
    <x v="260"/>
    <x v="789"/>
    <x v="1"/>
    <x v="1"/>
    <s v="URBANO"/>
    <d v="2024-02-26T00:00:00"/>
    <d v="1899-12-30T17:36:10"/>
    <n v="6.6"/>
  </r>
  <r>
    <s v="CCW212"/>
    <x v="260"/>
    <x v="789"/>
    <x v="1"/>
    <x v="1"/>
    <s v="URBANO"/>
    <d v="2024-02-26T00:00:00"/>
    <d v="1899-12-30T17:49:41"/>
    <n v="6.6"/>
  </r>
  <r>
    <s v="CCW212"/>
    <x v="260"/>
    <x v="790"/>
    <x v="1"/>
    <x v="1"/>
    <s v="URBANO"/>
    <d v="2024-02-26T00:00:00"/>
    <d v="1899-12-30T20:14:51"/>
    <n v="6.6"/>
  </r>
  <r>
    <s v="CCW212"/>
    <x v="260"/>
    <x v="2"/>
    <x v="2"/>
    <x v="1"/>
    <s v="URBANO"/>
    <d v="2024-02-26T00:00:00"/>
    <d v="1899-12-30T22:10:40"/>
    <n v="6.6"/>
  </r>
  <r>
    <s v="CCW212"/>
    <x v="260"/>
    <x v="2"/>
    <x v="2"/>
    <x v="1"/>
    <s v="URBANO"/>
    <d v="2024-02-26T00:00:00"/>
    <d v="1899-12-30T22:17:23"/>
    <n v="6.6"/>
  </r>
  <r>
    <s v="CCW212"/>
    <x v="260"/>
    <x v="791"/>
    <x v="1"/>
    <x v="1"/>
    <s v="URBANO"/>
    <d v="2024-02-28T00:00:00"/>
    <d v="1899-12-30T13:29:19"/>
    <n v="6.6"/>
  </r>
  <r>
    <s v="CCW212"/>
    <x v="260"/>
    <x v="791"/>
    <x v="1"/>
    <x v="1"/>
    <s v="URBANO"/>
    <d v="2024-02-28T00:00:00"/>
    <d v="1899-12-30T13:40:40"/>
    <n v="6.6"/>
  </r>
  <r>
    <s v="CCW212"/>
    <x v="260"/>
    <x v="792"/>
    <x v="1"/>
    <x v="1"/>
    <s v="URBANO"/>
    <d v="2024-02-28T00:00:00"/>
    <d v="1899-12-30T21:25:35"/>
    <n v="6.6"/>
  </r>
  <r>
    <s v="CCW212"/>
    <x v="260"/>
    <x v="792"/>
    <x v="1"/>
    <x v="1"/>
    <s v="URBANO"/>
    <d v="2024-02-28T00:00:00"/>
    <d v="1899-12-30T21:34:31"/>
    <n v="6.6"/>
  </r>
  <r>
    <s v="CCW212"/>
    <x v="260"/>
    <x v="793"/>
    <x v="1"/>
    <x v="1"/>
    <s v="URBANO"/>
    <d v="2024-02-28T00:00:00"/>
    <d v="1899-12-30T22:33:20"/>
    <n v="6.6"/>
  </r>
  <r>
    <s v="CCW212"/>
    <x v="260"/>
    <x v="793"/>
    <x v="1"/>
    <x v="1"/>
    <s v="URBANO"/>
    <d v="2024-02-28T00:00:00"/>
    <d v="1899-12-30T22:40:20"/>
    <n v="6.6"/>
  </r>
  <r>
    <s v="CCW212"/>
    <x v="260"/>
    <x v="2"/>
    <x v="2"/>
    <x v="1"/>
    <s v="URBANO"/>
    <d v="2024-02-29T00:00:00"/>
    <d v="1899-12-30T19:42:14"/>
    <n v="6.6"/>
  </r>
  <r>
    <s v="CCW212"/>
    <x v="260"/>
    <x v="2"/>
    <x v="2"/>
    <x v="1"/>
    <s v="URBANO"/>
    <d v="2024-02-29T00:00:00"/>
    <d v="1899-12-30T19:53:07"/>
    <n v="6.6"/>
  </r>
  <r>
    <s v="CCW212"/>
    <x v="260"/>
    <x v="2"/>
    <x v="2"/>
    <x v="1"/>
    <s v="URBANO"/>
    <d v="2024-02-29T00:00:00"/>
    <d v="1899-12-30T20:53:50"/>
    <n v="6.6"/>
  </r>
  <r>
    <s v="CHB027"/>
    <x v="261"/>
    <x v="2"/>
    <x v="2"/>
    <x v="1"/>
    <s v="URBANO"/>
    <d v="2024-02-27T00:00:00"/>
    <d v="1899-12-30T18:51:22"/>
    <n v="6.6"/>
  </r>
  <r>
    <s v="CHB027"/>
    <x v="261"/>
    <x v="2"/>
    <x v="2"/>
    <x v="1"/>
    <s v="URBANO"/>
    <d v="2024-02-27T00:00:00"/>
    <d v="1899-12-30T19:21:17"/>
    <n v="6.6"/>
  </r>
  <r>
    <s v="CAU393"/>
    <x v="262"/>
    <x v="794"/>
    <x v="3"/>
    <x v="1"/>
    <s v="URBANO"/>
    <d v="2024-02-29T00:00:00"/>
    <d v="1899-12-30T06:51:35"/>
    <n v="6.6"/>
  </r>
  <r>
    <s v="CEK263"/>
    <x v="263"/>
    <x v="795"/>
    <x v="3"/>
    <x v="1"/>
    <s v="URBANO"/>
    <d v="2024-02-26T00:00:00"/>
    <d v="1899-12-30T06:09:46"/>
    <n v="6.6"/>
  </r>
  <r>
    <s v="CEK263"/>
    <x v="263"/>
    <x v="795"/>
    <x v="3"/>
    <x v="1"/>
    <s v="URBANO"/>
    <d v="2024-02-26T00:00:00"/>
    <d v="1899-12-30T06:17:26"/>
    <n v="6.6"/>
  </r>
  <r>
    <s v="CEK263"/>
    <x v="263"/>
    <x v="796"/>
    <x v="3"/>
    <x v="1"/>
    <s v="URBANO"/>
    <d v="2024-02-29T00:00:00"/>
    <d v="1899-12-30T07:04:33"/>
    <n v="6.6"/>
  </r>
  <r>
    <s v="CEK263"/>
    <x v="263"/>
    <x v="796"/>
    <x v="3"/>
    <x v="1"/>
    <s v="URBANO"/>
    <d v="2024-02-29T00:00:00"/>
    <d v="1899-12-30T07:13:06"/>
    <n v="6.6"/>
  </r>
  <r>
    <s v="ARP492"/>
    <x v="264"/>
    <x v="797"/>
    <x v="1"/>
    <x v="1"/>
    <s v="URBANO"/>
    <d v="2024-02-27T00:00:00"/>
    <d v="1899-12-30T09:01:19"/>
    <n v="6.6"/>
  </r>
  <r>
    <s v="ARP492"/>
    <x v="264"/>
    <x v="797"/>
    <x v="1"/>
    <x v="1"/>
    <s v="URBANO"/>
    <d v="2024-02-27T00:00:00"/>
    <d v="1899-12-30T09:13:26"/>
    <n v="6.6"/>
  </r>
  <r>
    <s v="ARP492"/>
    <x v="264"/>
    <x v="798"/>
    <x v="1"/>
    <x v="1"/>
    <s v="URBANO"/>
    <d v="2024-02-27T00:00:00"/>
    <d v="1899-12-30T13:42:31"/>
    <n v="6.6"/>
  </r>
  <r>
    <s v="ARP492"/>
    <x v="264"/>
    <x v="798"/>
    <x v="1"/>
    <x v="1"/>
    <s v="URBANO"/>
    <d v="2024-02-27T00:00:00"/>
    <d v="1899-12-30T13:51:03"/>
    <n v="6.6"/>
  </r>
  <r>
    <s v="ARP492"/>
    <x v="264"/>
    <x v="799"/>
    <x v="1"/>
    <x v="1"/>
    <s v="URBANO"/>
    <d v="2024-02-29T00:00:00"/>
    <d v="1899-12-30T22:27:22"/>
    <n v="6.6"/>
  </r>
  <r>
    <s v="ARP492"/>
    <x v="264"/>
    <x v="2"/>
    <x v="2"/>
    <x v="1"/>
    <s v="URBANO"/>
    <d v="2024-02-29T00:00:00"/>
    <d v="1899-12-30T23:07:20"/>
    <n v="6.6"/>
  </r>
  <r>
    <s v="AXD673"/>
    <x v="265"/>
    <x v="2"/>
    <x v="2"/>
    <x v="1"/>
    <s v="URBANO"/>
    <d v="2024-02-26T00:00:00"/>
    <d v="1899-12-30T06:11:14"/>
    <n v="6.6"/>
  </r>
  <r>
    <s v="AXD673"/>
    <x v="265"/>
    <x v="2"/>
    <x v="2"/>
    <x v="1"/>
    <s v="URBANO"/>
    <d v="2024-02-26T00:00:00"/>
    <d v="1899-12-30T06:19:00"/>
    <n v="6.6"/>
  </r>
  <r>
    <s v="AXD673"/>
    <x v="265"/>
    <x v="2"/>
    <x v="2"/>
    <x v="1"/>
    <s v="URBANO"/>
    <d v="2024-02-27T00:00:00"/>
    <d v="1899-12-30T19:00:53"/>
    <n v="6.6"/>
  </r>
  <r>
    <s v="AXD673"/>
    <x v="265"/>
    <x v="2"/>
    <x v="2"/>
    <x v="1"/>
    <s v="URBANO"/>
    <d v="2024-02-27T00:00:00"/>
    <d v="1899-12-30T19:31:19"/>
    <n v="6.6"/>
  </r>
  <r>
    <s v="AXD673"/>
    <x v="265"/>
    <x v="2"/>
    <x v="2"/>
    <x v="1"/>
    <s v="URBANO"/>
    <d v="2024-02-28T00:00:00"/>
    <d v="1899-12-30T08:26:41"/>
    <n v="6.6"/>
  </r>
  <r>
    <s v="AXD673"/>
    <x v="265"/>
    <x v="2"/>
    <x v="2"/>
    <x v="1"/>
    <s v="URBANO"/>
    <d v="2024-02-28T00:00:00"/>
    <d v="1899-12-30T08:39:12"/>
    <n v="6.6"/>
  </r>
  <r>
    <s v="CJD487"/>
    <x v="266"/>
    <x v="800"/>
    <x v="1"/>
    <x v="1"/>
    <s v="URBANO"/>
    <d v="2024-02-26T00:00:00"/>
    <d v="1899-12-30T07:09:36"/>
    <n v="6.6"/>
  </r>
  <r>
    <s v="CJD487"/>
    <x v="266"/>
    <x v="800"/>
    <x v="1"/>
    <x v="1"/>
    <s v="URBANO"/>
    <d v="2024-02-26T00:00:00"/>
    <d v="1899-12-30T07:20:01"/>
    <n v="6.6"/>
  </r>
  <r>
    <s v="BVR261"/>
    <x v="267"/>
    <x v="2"/>
    <x v="2"/>
    <x v="1"/>
    <s v="LATAM"/>
    <d v="2024-02-29T00:00:00"/>
    <d v="1899-12-30T23:07:35"/>
    <n v="6.6"/>
  </r>
  <r>
    <s v="BVR261"/>
    <x v="267"/>
    <x v="2"/>
    <x v="2"/>
    <x v="1"/>
    <s v="LATAM"/>
    <d v="2024-02-29T00:00:00"/>
    <d v="1899-12-30T23:15:32"/>
    <n v="6.6"/>
  </r>
  <r>
    <s v="BMU686"/>
    <x v="268"/>
    <x v="801"/>
    <x v="1"/>
    <x v="1"/>
    <s v="LATAM"/>
    <d v="2024-02-26T00:00:00"/>
    <d v="1899-12-30T08:37:33"/>
    <n v="6.6"/>
  </r>
  <r>
    <s v="BMU686"/>
    <x v="268"/>
    <x v="801"/>
    <x v="1"/>
    <x v="1"/>
    <s v="LATAM"/>
    <d v="2024-02-26T00:00:00"/>
    <d v="1899-12-30T08:45:29"/>
    <n v="6.6"/>
  </r>
  <r>
    <s v="BMU686"/>
    <x v="268"/>
    <x v="802"/>
    <x v="1"/>
    <x v="1"/>
    <s v="LATAM"/>
    <d v="2024-02-26T00:00:00"/>
    <d v="1899-12-30T12:07:08"/>
    <n v="6.6"/>
  </r>
  <r>
    <s v="BMU686"/>
    <x v="268"/>
    <x v="803"/>
    <x v="1"/>
    <x v="1"/>
    <s v="LATAM"/>
    <d v="2024-02-26T00:00:00"/>
    <d v="1899-12-30T13:13:49"/>
    <n v="6.6"/>
  </r>
  <r>
    <s v="BMU686"/>
    <x v="268"/>
    <x v="803"/>
    <x v="1"/>
    <x v="1"/>
    <s v="LATAM"/>
    <d v="2024-02-26T00:00:00"/>
    <d v="1899-12-30T13:21:24"/>
    <n v="6.6"/>
  </r>
  <r>
    <s v="BMU686"/>
    <x v="268"/>
    <x v="2"/>
    <x v="2"/>
    <x v="1"/>
    <s v="LATAM"/>
    <d v="2024-02-26T00:00:00"/>
    <d v="1899-12-30T19:43:41"/>
    <n v="6.6"/>
  </r>
  <r>
    <s v="BMU686"/>
    <x v="268"/>
    <x v="804"/>
    <x v="1"/>
    <x v="1"/>
    <s v="LATAM"/>
    <d v="2024-02-27T00:00:00"/>
    <d v="1899-12-30T08:09:37"/>
    <n v="6.6"/>
  </r>
  <r>
    <s v="BMU686"/>
    <x v="268"/>
    <x v="804"/>
    <x v="1"/>
    <x v="1"/>
    <s v="LATAM"/>
    <d v="2024-02-27T00:00:00"/>
    <d v="1899-12-30T08:23:33"/>
    <n v="6.6"/>
  </r>
  <r>
    <s v="BMU686"/>
    <x v="268"/>
    <x v="805"/>
    <x v="1"/>
    <x v="1"/>
    <s v="LATAM"/>
    <d v="2024-02-27T00:00:00"/>
    <d v="1899-12-30T13:42:36"/>
    <n v="6.6"/>
  </r>
  <r>
    <s v="BMU686"/>
    <x v="268"/>
    <x v="805"/>
    <x v="1"/>
    <x v="1"/>
    <s v="LATAM"/>
    <d v="2024-02-27T00:00:00"/>
    <d v="1899-12-30T13:51:05"/>
    <n v="6.6"/>
  </r>
  <r>
    <s v="BMU686"/>
    <x v="268"/>
    <x v="806"/>
    <x v="1"/>
    <x v="1"/>
    <s v="LATAM"/>
    <d v="2024-02-28T00:00:00"/>
    <d v="1899-12-30T08:33:02"/>
    <n v="6.6"/>
  </r>
  <r>
    <s v="BMU686"/>
    <x v="268"/>
    <x v="806"/>
    <x v="1"/>
    <x v="1"/>
    <s v="LATAM"/>
    <d v="2024-02-28T00:00:00"/>
    <d v="1899-12-30T08:44:16"/>
    <n v="6.6"/>
  </r>
  <r>
    <s v="BMU686"/>
    <x v="268"/>
    <x v="807"/>
    <x v="1"/>
    <x v="1"/>
    <s v="LATAM"/>
    <d v="2024-02-29T00:00:00"/>
    <d v="1899-12-30T09:11:32"/>
    <n v="6.6"/>
  </r>
  <r>
    <s v="BMU686"/>
    <x v="268"/>
    <x v="807"/>
    <x v="1"/>
    <x v="1"/>
    <s v="LATAM"/>
    <d v="2024-02-29T00:00:00"/>
    <d v="1899-12-30T09:24:03"/>
    <n v="6.6"/>
  </r>
  <r>
    <s v="BMU686"/>
    <x v="268"/>
    <x v="808"/>
    <x v="1"/>
    <x v="1"/>
    <s v="LATAM"/>
    <d v="2024-02-29T00:00:00"/>
    <d v="1899-12-30T11:55:12"/>
    <n v="6.6"/>
  </r>
  <r>
    <s v="BMU686"/>
    <x v="268"/>
    <x v="808"/>
    <x v="3"/>
    <x v="1"/>
    <s v="LATAM"/>
    <d v="2024-02-29T00:00:00"/>
    <d v="1899-12-30T12:07:51"/>
    <n v="6.6"/>
  </r>
  <r>
    <s v="BMU686"/>
    <x v="268"/>
    <x v="809"/>
    <x v="1"/>
    <x v="1"/>
    <s v="LATAM"/>
    <d v="2024-02-29T00:00:00"/>
    <d v="1899-12-30T13:12:32"/>
    <n v="6.6"/>
  </r>
  <r>
    <s v="BMU686"/>
    <x v="268"/>
    <x v="809"/>
    <x v="1"/>
    <x v="1"/>
    <s v="LATAM"/>
    <d v="2024-02-29T00:00:00"/>
    <d v="1899-12-30T13:20:17"/>
    <n v="6.6"/>
  </r>
  <r>
    <s v="BUP085"/>
    <x v="269"/>
    <x v="810"/>
    <x v="3"/>
    <x v="1"/>
    <s v="LATAM"/>
    <d v="2024-02-26T00:00:00"/>
    <d v="1899-12-30T15:57:16"/>
    <n v="6.6"/>
  </r>
  <r>
    <s v="BUP085"/>
    <x v="269"/>
    <x v="810"/>
    <x v="3"/>
    <x v="1"/>
    <s v="LATAM"/>
    <d v="2024-02-26T00:00:00"/>
    <d v="1899-12-30T16:09:51"/>
    <n v="6.6"/>
  </r>
  <r>
    <s v="BUP085"/>
    <x v="269"/>
    <x v="811"/>
    <x v="3"/>
    <x v="1"/>
    <s v="LATAM"/>
    <d v="2024-02-26T00:00:00"/>
    <d v="1899-12-30T20:12:59"/>
    <n v="6.6"/>
  </r>
  <r>
    <s v="BUP085"/>
    <x v="269"/>
    <x v="811"/>
    <x v="3"/>
    <x v="1"/>
    <s v="LATAM"/>
    <d v="2024-02-26T00:00:00"/>
    <d v="1899-12-30T20:25:03"/>
    <n v="6.6"/>
  </r>
  <r>
    <s v="BUP085"/>
    <x v="269"/>
    <x v="812"/>
    <x v="3"/>
    <x v="1"/>
    <s v="LATAM"/>
    <d v="2024-02-27T00:00:00"/>
    <d v="1899-12-30T08:44:59"/>
    <n v="6.6"/>
  </r>
  <r>
    <s v="BUP085"/>
    <x v="269"/>
    <x v="812"/>
    <x v="3"/>
    <x v="1"/>
    <s v="LATAM"/>
    <d v="2024-02-27T00:00:00"/>
    <d v="1899-12-30T09:00:12"/>
    <n v="6.6"/>
  </r>
  <r>
    <s v="BUP085"/>
    <x v="269"/>
    <x v="813"/>
    <x v="3"/>
    <x v="1"/>
    <s v="LATAM"/>
    <d v="2024-02-27T00:00:00"/>
    <d v="1899-12-30T12:15:50"/>
    <n v="6.6"/>
  </r>
  <r>
    <s v="BUP085"/>
    <x v="269"/>
    <x v="814"/>
    <x v="3"/>
    <x v="1"/>
    <s v="LATAM"/>
    <d v="2024-02-27T00:00:00"/>
    <d v="1899-12-30T13:24:49"/>
    <n v="6.6"/>
  </r>
  <r>
    <s v="BUP085"/>
    <x v="269"/>
    <x v="814"/>
    <x v="3"/>
    <x v="1"/>
    <s v="LATAM"/>
    <d v="2024-02-27T00:00:00"/>
    <d v="1899-12-30T13:37:12"/>
    <n v="6.6"/>
  </r>
  <r>
    <s v="BUP085"/>
    <x v="269"/>
    <x v="815"/>
    <x v="3"/>
    <x v="1"/>
    <s v="LATAM"/>
    <d v="2024-02-27T00:00:00"/>
    <d v="1899-12-30T22:20:02"/>
    <n v="6.6"/>
  </r>
  <r>
    <s v="BUP085"/>
    <x v="269"/>
    <x v="816"/>
    <x v="3"/>
    <x v="1"/>
    <s v="LATAM"/>
    <d v="2024-02-28T00:00:00"/>
    <d v="1899-12-30T10:36:57"/>
    <n v="6.6"/>
  </r>
  <r>
    <s v="BUP085"/>
    <x v="269"/>
    <x v="816"/>
    <x v="3"/>
    <x v="1"/>
    <s v="LATAM"/>
    <d v="2024-02-28T00:00:00"/>
    <d v="1899-12-30T10:50:36"/>
    <n v="6.6"/>
  </r>
  <r>
    <s v="BUP085"/>
    <x v="269"/>
    <x v="817"/>
    <x v="3"/>
    <x v="1"/>
    <s v="LATAM"/>
    <d v="2024-02-28T00:00:00"/>
    <d v="1899-12-30T20:46:50"/>
    <n v="6.6"/>
  </r>
  <r>
    <s v="BUP085"/>
    <x v="269"/>
    <x v="817"/>
    <x v="3"/>
    <x v="1"/>
    <s v="LATAM"/>
    <d v="2024-02-28T00:00:00"/>
    <d v="1899-12-30T20:56:32"/>
    <n v="6.6"/>
  </r>
  <r>
    <s v="BUP085"/>
    <x v="269"/>
    <x v="818"/>
    <x v="3"/>
    <x v="1"/>
    <s v="LATAM"/>
    <d v="2024-02-29T00:00:00"/>
    <d v="1899-12-30T06:40:12"/>
    <n v="6.6"/>
  </r>
  <r>
    <s v="BUP085"/>
    <x v="269"/>
    <x v="819"/>
    <x v="3"/>
    <x v="1"/>
    <s v="LATAM"/>
    <d v="2024-02-29T00:00:00"/>
    <d v="1899-12-30T08:32:02"/>
    <n v="6.6"/>
  </r>
  <r>
    <s v="BUP085"/>
    <x v="269"/>
    <x v="819"/>
    <x v="3"/>
    <x v="1"/>
    <s v="LATAM"/>
    <d v="2024-02-29T00:00:00"/>
    <d v="1899-12-30T08:41:00"/>
    <n v="6.6"/>
  </r>
  <r>
    <s v="BZW495"/>
    <x v="270"/>
    <x v="820"/>
    <x v="3"/>
    <x v="1"/>
    <s v="LATAM"/>
    <d v="2024-02-27T00:00:00"/>
    <d v="1899-12-30T11:51:26"/>
    <n v="6.6"/>
  </r>
  <r>
    <s v="BZW495"/>
    <x v="270"/>
    <x v="820"/>
    <x v="3"/>
    <x v="1"/>
    <s v="LATAM"/>
    <d v="2024-02-27T00:00:00"/>
    <d v="1899-12-30T12:03:47"/>
    <n v="6.6"/>
  </r>
  <r>
    <s v="BZW495"/>
    <x v="270"/>
    <x v="2"/>
    <x v="2"/>
    <x v="1"/>
    <s v="LATAM"/>
    <d v="2024-02-28T00:00:00"/>
    <d v="1899-12-30T16:02:10"/>
    <n v="6.6"/>
  </r>
  <r>
    <s v="BJH331"/>
    <x v="271"/>
    <x v="821"/>
    <x v="1"/>
    <x v="1"/>
    <s v="LATAM"/>
    <d v="2024-02-26T00:00:00"/>
    <d v="1899-12-30T20:19:29"/>
    <n v="6.6"/>
  </r>
  <r>
    <s v="BJH331"/>
    <x v="271"/>
    <x v="822"/>
    <x v="1"/>
    <x v="1"/>
    <s v="LATAM"/>
    <d v="2024-02-26T00:00:00"/>
    <d v="1899-12-30T21:02:44"/>
    <n v="6.6"/>
  </r>
  <r>
    <s v="BJH331"/>
    <x v="271"/>
    <x v="822"/>
    <x v="1"/>
    <x v="1"/>
    <s v="LATAM"/>
    <d v="2024-02-26T00:00:00"/>
    <d v="1899-12-30T21:11:41"/>
    <n v="6.6"/>
  </r>
  <r>
    <s v="BJH331"/>
    <x v="271"/>
    <x v="823"/>
    <x v="1"/>
    <x v="1"/>
    <s v="LATAM"/>
    <d v="2024-02-27T00:00:00"/>
    <d v="1899-12-30T20:01:03"/>
    <n v="6.6"/>
  </r>
  <r>
    <s v="BJH331"/>
    <x v="271"/>
    <x v="823"/>
    <x v="1"/>
    <x v="1"/>
    <s v="LATAM"/>
    <d v="2024-02-27T00:00:00"/>
    <d v="1899-12-30T20:11:53"/>
    <n v="6.6"/>
  </r>
  <r>
    <s v="BJH331"/>
    <x v="271"/>
    <x v="824"/>
    <x v="3"/>
    <x v="1"/>
    <s v="LATAM"/>
    <d v="2024-02-28T00:00:00"/>
    <d v="1899-12-30T09:03:59"/>
    <n v="6.6"/>
  </r>
  <r>
    <s v="BJH331"/>
    <x v="271"/>
    <x v="824"/>
    <x v="3"/>
    <x v="1"/>
    <s v="LATAM"/>
    <d v="2024-02-28T00:00:00"/>
    <d v="1899-12-30T09:19:10"/>
    <n v="6.6"/>
  </r>
  <r>
    <s v="BJH331"/>
    <x v="271"/>
    <x v="825"/>
    <x v="1"/>
    <x v="1"/>
    <s v="LATAM"/>
    <d v="2024-02-28T00:00:00"/>
    <d v="1899-12-30T10:11:16"/>
    <n v="6.6"/>
  </r>
  <r>
    <s v="BJH331"/>
    <x v="271"/>
    <x v="825"/>
    <x v="1"/>
    <x v="1"/>
    <s v="LATAM"/>
    <d v="2024-02-28T00:00:00"/>
    <d v="1899-12-30T10:28:22"/>
    <n v="6.6"/>
  </r>
  <r>
    <s v="BJH331"/>
    <x v="271"/>
    <x v="826"/>
    <x v="1"/>
    <x v="1"/>
    <s v="LATAM"/>
    <d v="2024-02-28T00:00:00"/>
    <d v="1899-12-30T13:49:08"/>
    <n v="6.6"/>
  </r>
  <r>
    <s v="BJH331"/>
    <x v="271"/>
    <x v="826"/>
    <x v="1"/>
    <x v="1"/>
    <s v="LATAM"/>
    <d v="2024-02-28T00:00:00"/>
    <d v="1899-12-30T13:57:05"/>
    <n v="6.6"/>
  </r>
  <r>
    <s v="BJH331"/>
    <x v="271"/>
    <x v="827"/>
    <x v="1"/>
    <x v="1"/>
    <s v="LATAM"/>
    <d v="2024-02-28T00:00:00"/>
    <d v="1899-12-30T19:27:59"/>
    <n v="6.6"/>
  </r>
  <r>
    <s v="BJH331"/>
    <x v="271"/>
    <x v="827"/>
    <x v="1"/>
    <x v="1"/>
    <s v="LATAM"/>
    <d v="2024-02-28T00:00:00"/>
    <d v="1899-12-30T19:48:26"/>
    <n v="6.6"/>
  </r>
  <r>
    <s v="BJH331"/>
    <x v="271"/>
    <x v="828"/>
    <x v="1"/>
    <x v="1"/>
    <s v="LATAM"/>
    <d v="2024-02-28T00:00:00"/>
    <d v="1899-12-30T21:08:11"/>
    <n v="6.6"/>
  </r>
  <r>
    <s v="BJH331"/>
    <x v="271"/>
    <x v="828"/>
    <x v="1"/>
    <x v="1"/>
    <s v="LATAM"/>
    <d v="2024-02-28T00:00:00"/>
    <d v="1899-12-30T21:15:58"/>
    <n v="6.6"/>
  </r>
  <r>
    <s v="BRV668"/>
    <x v="272"/>
    <x v="2"/>
    <x v="2"/>
    <x v="1"/>
    <s v="LATAM"/>
    <d v="2024-02-26T00:00:00"/>
    <d v="1899-12-30T11:46:00"/>
    <n v="6.6"/>
  </r>
  <r>
    <s v="BRV668"/>
    <x v="272"/>
    <x v="2"/>
    <x v="2"/>
    <x v="1"/>
    <s v="LATAM"/>
    <d v="2024-02-26T00:00:00"/>
    <d v="1899-12-30T11:53:50"/>
    <n v="6.6"/>
  </r>
  <r>
    <s v="BRV668"/>
    <x v="272"/>
    <x v="2"/>
    <x v="2"/>
    <x v="1"/>
    <s v="LATAM"/>
    <d v="2024-02-28T00:00:00"/>
    <d v="1899-12-30T11:40:24"/>
    <n v="6.6"/>
  </r>
  <r>
    <s v="BRV668"/>
    <x v="272"/>
    <x v="2"/>
    <x v="2"/>
    <x v="1"/>
    <s v="LATAM"/>
    <d v="2024-02-28T00:00:00"/>
    <d v="1899-12-30T11:48:34"/>
    <n v="6.6"/>
  </r>
  <r>
    <s v="BRV668"/>
    <x v="272"/>
    <x v="2"/>
    <x v="2"/>
    <x v="1"/>
    <s v="LATAM"/>
    <d v="2024-02-29T00:00:00"/>
    <d v="1899-12-30T09:58:16"/>
    <n v="6.6"/>
  </r>
  <r>
    <s v="BFF624"/>
    <x v="273"/>
    <x v="2"/>
    <x v="2"/>
    <x v="1"/>
    <s v="LATAM"/>
    <d v="2024-02-28T00:00:00"/>
    <d v="1899-12-30T09:20:11"/>
    <n v="6.6"/>
  </r>
  <r>
    <s v="BFF624"/>
    <x v="273"/>
    <x v="2"/>
    <x v="2"/>
    <x v="1"/>
    <s v="LATAM"/>
    <d v="2024-02-28T00:00:00"/>
    <d v="1899-12-30T11:37:59"/>
    <n v="6.6"/>
  </r>
  <r>
    <s v="BFF624"/>
    <x v="273"/>
    <x v="2"/>
    <x v="2"/>
    <x v="1"/>
    <s v="LATAM"/>
    <d v="2024-02-28T00:00:00"/>
    <d v="1899-12-30T11:47:46"/>
    <n v="6.6"/>
  </r>
  <r>
    <s v="BFF624"/>
    <x v="273"/>
    <x v="2"/>
    <x v="2"/>
    <x v="1"/>
    <s v="LATAM"/>
    <d v="2024-02-29T00:00:00"/>
    <d v="1899-12-30T12:10:12"/>
    <n v="6.6"/>
  </r>
  <r>
    <s v="BFF624"/>
    <x v="273"/>
    <x v="2"/>
    <x v="2"/>
    <x v="1"/>
    <s v="LATAM"/>
    <d v="2024-02-29T00:00:00"/>
    <d v="1899-12-30T12:18:43"/>
    <n v="6.6"/>
  </r>
  <r>
    <s v="BZG569"/>
    <x v="274"/>
    <x v="2"/>
    <x v="2"/>
    <x v="1"/>
    <s v="LATAM"/>
    <d v="2024-02-27T00:00:00"/>
    <d v="1899-12-30T12:51:40"/>
    <n v="6.6"/>
  </r>
  <r>
    <s v="BZG569"/>
    <x v="274"/>
    <x v="2"/>
    <x v="2"/>
    <x v="1"/>
    <s v="LATAM"/>
    <d v="2024-02-27T00:00:00"/>
    <d v="1899-12-30T13:03:25"/>
    <n v="6.6"/>
  </r>
  <r>
    <s v="BZG569"/>
    <x v="274"/>
    <x v="2"/>
    <x v="2"/>
    <x v="1"/>
    <s v="LATAM"/>
    <d v="2024-02-29T00:00:00"/>
    <d v="1899-12-30T19:29:00"/>
    <n v="6.6"/>
  </r>
  <r>
    <s v="BZG569"/>
    <x v="274"/>
    <x v="2"/>
    <x v="2"/>
    <x v="1"/>
    <s v="LATAM"/>
    <d v="2024-02-29T00:00:00"/>
    <d v="1899-12-30T19:41:34"/>
    <n v="6.6"/>
  </r>
  <r>
    <s v="BFK695"/>
    <x v="275"/>
    <x v="829"/>
    <x v="1"/>
    <x v="0"/>
    <s v="AEROPUERTO"/>
    <d v="2024-02-26T00:00:00"/>
    <d v="1899-12-30T10:33:31"/>
    <n v="6.6"/>
  </r>
  <r>
    <s v="BFK695"/>
    <x v="275"/>
    <x v="829"/>
    <x v="1"/>
    <x v="0"/>
    <s v="AEROPUERTO"/>
    <d v="2024-02-26T00:00:00"/>
    <d v="1899-12-30T10:42:35"/>
    <n v="6.6"/>
  </r>
  <r>
    <s v="BFK695"/>
    <x v="275"/>
    <x v="2"/>
    <x v="2"/>
    <x v="0"/>
    <s v="AEROPUERTO"/>
    <d v="2024-02-26T00:00:00"/>
    <d v="1899-12-30T11:46:07"/>
    <n v="6.6"/>
  </r>
  <r>
    <s v="BFK695"/>
    <x v="275"/>
    <x v="2"/>
    <x v="2"/>
    <x v="0"/>
    <s v="AEROPUERTO"/>
    <d v="2024-02-26T00:00:00"/>
    <d v="1899-12-30T11:50:42"/>
    <n v="6.6"/>
  </r>
  <r>
    <s v="BFK695"/>
    <x v="275"/>
    <x v="830"/>
    <x v="1"/>
    <x v="0"/>
    <s v="AEROPUERTO"/>
    <d v="2024-02-29T00:00:00"/>
    <d v="1899-12-30T17:15:29"/>
    <n v="6.6"/>
  </r>
  <r>
    <s v="BFK695"/>
    <x v="275"/>
    <x v="830"/>
    <x v="1"/>
    <x v="0"/>
    <s v="AEROPUERTO"/>
    <d v="2024-02-29T00:00:00"/>
    <d v="1899-12-30T17:31:05"/>
    <n v="6.6"/>
  </r>
  <r>
    <s v="BRZ482"/>
    <x v="276"/>
    <x v="2"/>
    <x v="2"/>
    <x v="1"/>
    <s v="LATAM"/>
    <d v="2024-02-28T00:00:00"/>
    <d v="1899-12-30T16:34:31"/>
    <n v="6.6"/>
  </r>
  <r>
    <s v="BRZ482"/>
    <x v="276"/>
    <x v="2"/>
    <x v="2"/>
    <x v="1"/>
    <s v="LATAM"/>
    <d v="2024-02-28T00:00:00"/>
    <d v="1899-12-30T17:10:48"/>
    <n v="6.6"/>
  </r>
  <r>
    <s v="BRZ482"/>
    <x v="276"/>
    <x v="2"/>
    <x v="2"/>
    <x v="1"/>
    <s v="LATAM"/>
    <d v="2024-02-28T00:00:00"/>
    <d v="1899-12-30T17:34:08"/>
    <n v="6.6"/>
  </r>
  <r>
    <s v="BLL693"/>
    <x v="277"/>
    <x v="831"/>
    <x v="1"/>
    <x v="1"/>
    <s v="LATAM"/>
    <d v="2024-02-28T00:00:00"/>
    <d v="1899-12-30T05:46:39"/>
    <n v="6.6"/>
  </r>
  <r>
    <s v="BLL693"/>
    <x v="277"/>
    <x v="831"/>
    <x v="1"/>
    <x v="1"/>
    <s v="LATAM"/>
    <d v="2024-02-28T00:00:00"/>
    <d v="1899-12-30T05:54:15"/>
    <n v="6.6"/>
  </r>
  <r>
    <s v="BSF071"/>
    <x v="278"/>
    <x v="832"/>
    <x v="3"/>
    <x v="1"/>
    <s v="LATAM"/>
    <d v="2024-02-28T00:00:00"/>
    <d v="1899-12-30T14:00:22"/>
    <n v="6.6"/>
  </r>
  <r>
    <s v="BSF071"/>
    <x v="278"/>
    <x v="832"/>
    <x v="3"/>
    <x v="1"/>
    <s v="LATAM"/>
    <d v="2024-02-28T00:00:00"/>
    <d v="1899-12-30T14:18:15"/>
    <n v="6.6"/>
  </r>
  <r>
    <s v="BWH102"/>
    <x v="279"/>
    <x v="833"/>
    <x v="1"/>
    <x v="1"/>
    <s v="LATAM"/>
    <d v="2024-02-26T00:00:00"/>
    <d v="1899-12-30T07:01:53"/>
    <n v="6.6"/>
  </r>
  <r>
    <s v="BWH102"/>
    <x v="279"/>
    <x v="833"/>
    <x v="1"/>
    <x v="1"/>
    <s v="LATAM"/>
    <d v="2024-02-26T00:00:00"/>
    <d v="1899-12-30T07:11:18"/>
    <n v="6.6"/>
  </r>
  <r>
    <s v="BWH102"/>
    <x v="279"/>
    <x v="834"/>
    <x v="1"/>
    <x v="1"/>
    <s v="LATAM"/>
    <d v="2024-02-26T00:00:00"/>
    <d v="1899-12-30T08:10:10"/>
    <n v="6.6"/>
  </r>
  <r>
    <s v="BWH102"/>
    <x v="279"/>
    <x v="834"/>
    <x v="1"/>
    <x v="1"/>
    <s v="LATAM"/>
    <d v="2024-02-26T00:00:00"/>
    <d v="1899-12-30T08:27:03"/>
    <n v="6.6"/>
  </r>
  <r>
    <s v="BWH102"/>
    <x v="279"/>
    <x v="835"/>
    <x v="1"/>
    <x v="1"/>
    <s v="LATAM"/>
    <d v="2024-02-26T00:00:00"/>
    <d v="1899-12-30T09:56:25"/>
    <n v="6.6"/>
  </r>
  <r>
    <s v="BWH102"/>
    <x v="279"/>
    <x v="835"/>
    <x v="1"/>
    <x v="1"/>
    <s v="LATAM"/>
    <d v="2024-02-26T00:00:00"/>
    <d v="1899-12-30T10:03:58"/>
    <n v="6.6"/>
  </r>
  <r>
    <s v="BWH102"/>
    <x v="279"/>
    <x v="836"/>
    <x v="1"/>
    <x v="1"/>
    <s v="LATAM"/>
    <d v="2024-02-26T00:00:00"/>
    <d v="1899-12-30T12:42:52"/>
    <n v="6.6"/>
  </r>
  <r>
    <s v="BWH102"/>
    <x v="279"/>
    <x v="836"/>
    <x v="3"/>
    <x v="1"/>
    <s v="LATAM"/>
    <d v="2024-02-26T00:00:00"/>
    <d v="1899-12-30T12:53:59"/>
    <n v="6.6"/>
  </r>
  <r>
    <s v="BWH102"/>
    <x v="279"/>
    <x v="837"/>
    <x v="1"/>
    <x v="1"/>
    <s v="LATAM"/>
    <d v="2024-02-26T00:00:00"/>
    <d v="1899-12-30T14:41:02"/>
    <n v="6.6"/>
  </r>
  <r>
    <s v="BWH102"/>
    <x v="279"/>
    <x v="837"/>
    <x v="1"/>
    <x v="1"/>
    <s v="LATAM"/>
    <d v="2024-02-26T00:00:00"/>
    <d v="1899-12-30T14:50:34"/>
    <n v="6.6"/>
  </r>
  <r>
    <s v="BWH102"/>
    <x v="279"/>
    <x v="838"/>
    <x v="1"/>
    <x v="1"/>
    <s v="LATAM"/>
    <d v="2024-02-29T00:00:00"/>
    <d v="1899-12-30T08:24:03"/>
    <n v="6.6"/>
  </r>
  <r>
    <s v="BWH102"/>
    <x v="279"/>
    <x v="838"/>
    <x v="1"/>
    <x v="1"/>
    <s v="LATAM"/>
    <d v="2024-02-29T00:00:00"/>
    <d v="1899-12-30T08:43:51"/>
    <n v="6.6"/>
  </r>
  <r>
    <s v="BWH102"/>
    <x v="279"/>
    <x v="839"/>
    <x v="1"/>
    <x v="1"/>
    <s v="LATAM"/>
    <d v="2024-02-29T00:00:00"/>
    <d v="1899-12-30T09:59:03"/>
    <n v="6.6"/>
  </r>
  <r>
    <s v="BWH102"/>
    <x v="279"/>
    <x v="839"/>
    <x v="1"/>
    <x v="1"/>
    <s v="LATAM"/>
    <d v="2024-02-29T00:00:00"/>
    <d v="1899-12-30T10:07:58"/>
    <n v="6.6"/>
  </r>
  <r>
    <s v="BRJ288"/>
    <x v="280"/>
    <x v="2"/>
    <x v="2"/>
    <x v="1"/>
    <s v="LATAM"/>
    <d v="2024-02-29T00:00:00"/>
    <d v="1899-12-30T11:36:21"/>
    <n v="6.6"/>
  </r>
  <r>
    <s v="BRJ288"/>
    <x v="280"/>
    <x v="2"/>
    <x v="2"/>
    <x v="1"/>
    <s v="LATAM"/>
    <d v="2024-02-29T00:00:00"/>
    <d v="1899-12-30T11:45:55"/>
    <n v="6.6"/>
  </r>
  <r>
    <s v="CBJ315"/>
    <x v="281"/>
    <x v="840"/>
    <x v="1"/>
    <x v="1"/>
    <s v="LATAM"/>
    <d v="2024-02-28T00:00:00"/>
    <d v="1899-12-30T14:37:58"/>
    <n v="6.6"/>
  </r>
  <r>
    <s v="CBJ315"/>
    <x v="281"/>
    <x v="840"/>
    <x v="3"/>
    <x v="1"/>
    <s v="LATAM"/>
    <d v="2024-02-28T00:00:00"/>
    <d v="1899-12-30T14:45:53"/>
    <n v="6.6"/>
  </r>
  <r>
    <s v="CBJ315"/>
    <x v="281"/>
    <x v="841"/>
    <x v="1"/>
    <x v="1"/>
    <s v="LATAM"/>
    <d v="2024-02-28T00:00:00"/>
    <d v="1899-12-30T17:01:45"/>
    <n v="6.6"/>
  </r>
  <r>
    <s v="CBJ315"/>
    <x v="281"/>
    <x v="841"/>
    <x v="1"/>
    <x v="1"/>
    <s v="LATAM"/>
    <d v="2024-02-28T00:00:00"/>
    <d v="1899-12-30T17:11:08"/>
    <n v="6.6"/>
  </r>
  <r>
    <s v="BDE552"/>
    <x v="282"/>
    <x v="842"/>
    <x v="1"/>
    <x v="1"/>
    <s v="LATAM"/>
    <d v="2024-02-26T00:00:00"/>
    <d v="1899-12-30T18:34:38"/>
    <n v="6.6"/>
  </r>
  <r>
    <s v="BDE552"/>
    <x v="282"/>
    <x v="843"/>
    <x v="1"/>
    <x v="1"/>
    <s v="LATAM"/>
    <d v="2024-02-26T00:00:00"/>
    <d v="1899-12-30T19:36:12"/>
    <n v="6.6"/>
  </r>
  <r>
    <s v="BDE552"/>
    <x v="282"/>
    <x v="843"/>
    <x v="1"/>
    <x v="1"/>
    <s v="LATAM"/>
    <d v="2024-02-26T00:00:00"/>
    <d v="1899-12-30T19:46:33"/>
    <n v="6.6"/>
  </r>
  <r>
    <s v="BDE552"/>
    <x v="282"/>
    <x v="844"/>
    <x v="1"/>
    <x v="1"/>
    <s v="LATAM"/>
    <d v="2024-02-27T00:00:00"/>
    <d v="1899-12-30T06:44:21"/>
    <n v="6.6"/>
  </r>
  <r>
    <s v="BDE552"/>
    <x v="282"/>
    <x v="845"/>
    <x v="1"/>
    <x v="1"/>
    <s v="LATAM"/>
    <d v="2024-02-27T00:00:00"/>
    <d v="1899-12-30T08:34:09"/>
    <n v="6.6"/>
  </r>
  <r>
    <s v="BDE552"/>
    <x v="282"/>
    <x v="846"/>
    <x v="1"/>
    <x v="1"/>
    <s v="LATAM"/>
    <d v="2024-02-29T00:00:00"/>
    <d v="1899-12-30T06:08:32"/>
    <n v="6.6"/>
  </r>
  <r>
    <s v="BDE552"/>
    <x v="282"/>
    <x v="847"/>
    <x v="1"/>
    <x v="1"/>
    <s v="LATAM"/>
    <d v="2024-02-29T00:00:00"/>
    <d v="1899-12-30T07:54:41"/>
    <n v="6.6"/>
  </r>
  <r>
    <s v="BWT057"/>
    <x v="283"/>
    <x v="2"/>
    <x v="2"/>
    <x v="1"/>
    <s v="LATAM"/>
    <d v="2024-02-27T00:00:00"/>
    <d v="1899-12-30T21:16:46"/>
    <n v="6.6"/>
  </r>
  <r>
    <s v="BWT057"/>
    <x v="283"/>
    <x v="2"/>
    <x v="2"/>
    <x v="1"/>
    <s v="LATAM"/>
    <d v="2024-02-27T00:00:00"/>
    <d v="1899-12-30T23:27:04"/>
    <n v="6.6"/>
  </r>
  <r>
    <s v="CBV125"/>
    <x v="284"/>
    <x v="2"/>
    <x v="2"/>
    <x v="1"/>
    <s v="LATAM"/>
    <d v="2024-02-26T00:00:00"/>
    <d v="1899-12-30T02:45:06"/>
    <n v="6.6"/>
  </r>
  <r>
    <s v="CBV125"/>
    <x v="284"/>
    <x v="2"/>
    <x v="2"/>
    <x v="1"/>
    <s v="LATAM"/>
    <d v="2024-02-27T00:00:00"/>
    <d v="1899-12-30T09:08:27"/>
    <n v="6.6"/>
  </r>
  <r>
    <s v="CBV125"/>
    <x v="284"/>
    <x v="2"/>
    <x v="2"/>
    <x v="1"/>
    <s v="LATAM"/>
    <d v="2024-02-27T00:00:00"/>
    <d v="1899-12-30T09:21:24"/>
    <n v="6.6"/>
  </r>
  <r>
    <s v="CBV125"/>
    <x v="284"/>
    <x v="2"/>
    <x v="2"/>
    <x v="1"/>
    <s v="LATAM"/>
    <d v="2024-02-27T00:00:00"/>
    <d v="1899-12-30T11:59:06"/>
    <n v="6.6"/>
  </r>
  <r>
    <s v="CBV125"/>
    <x v="284"/>
    <x v="2"/>
    <x v="2"/>
    <x v="1"/>
    <s v="LATAM"/>
    <d v="2024-02-27T00:00:00"/>
    <d v="1899-12-30T12:14:19"/>
    <n v="6.6"/>
  </r>
  <r>
    <s v="CBV125"/>
    <x v="284"/>
    <x v="2"/>
    <x v="2"/>
    <x v="1"/>
    <s v="LATAM"/>
    <d v="2024-02-29T00:00:00"/>
    <d v="1899-12-30T02:57:16"/>
    <n v="6.6"/>
  </r>
  <r>
    <s v="BLQ115"/>
    <x v="285"/>
    <x v="2"/>
    <x v="2"/>
    <x v="1"/>
    <s v="LATAM"/>
    <d v="2024-02-26T00:00:00"/>
    <d v="1899-12-30T19:00:45"/>
    <n v="6.6"/>
  </r>
  <r>
    <s v="BLQ115"/>
    <x v="285"/>
    <x v="2"/>
    <x v="2"/>
    <x v="1"/>
    <s v="LATAM"/>
    <d v="2024-02-26T00:00:00"/>
    <d v="1899-12-30T19:12:09"/>
    <n v="6.6"/>
  </r>
  <r>
    <s v="BLQ115"/>
    <x v="285"/>
    <x v="2"/>
    <x v="2"/>
    <x v="1"/>
    <s v="LATAM"/>
    <d v="2024-02-28T00:00:00"/>
    <d v="1899-12-30T14:13:53"/>
    <n v="6.6"/>
  </r>
  <r>
    <s v="BXU586"/>
    <x v="286"/>
    <x v="848"/>
    <x v="1"/>
    <x v="1"/>
    <s v="LATAM"/>
    <d v="2024-02-27T00:00:00"/>
    <d v="1899-12-30T06:42:58"/>
    <n v="6.6"/>
  </r>
  <r>
    <s v="CAN230"/>
    <x v="287"/>
    <x v="849"/>
    <x v="3"/>
    <x v="1"/>
    <s v="LATAM"/>
    <d v="2024-02-28T00:00:00"/>
    <d v="1899-12-30T16:35:54"/>
    <n v="6.6"/>
  </r>
  <r>
    <s v="CAN230"/>
    <x v="287"/>
    <x v="849"/>
    <x v="3"/>
    <x v="1"/>
    <s v="LATAM"/>
    <d v="2024-02-28T00:00:00"/>
    <d v="1899-12-30T17:10:07"/>
    <n v="6.6"/>
  </r>
  <r>
    <s v="CAN230"/>
    <x v="287"/>
    <x v="849"/>
    <x v="1"/>
    <x v="1"/>
    <s v="LATAM"/>
    <d v="2024-02-28T00:00:00"/>
    <d v="1899-12-30T17:43:57"/>
    <n v="6.6"/>
  </r>
  <r>
    <s v="CAN230"/>
    <x v="287"/>
    <x v="849"/>
    <x v="1"/>
    <x v="1"/>
    <s v="LATAM"/>
    <d v="2024-02-28T00:00:00"/>
    <d v="1899-12-30T18:55:59"/>
    <n v="6.6"/>
  </r>
  <r>
    <s v="B2O609"/>
    <x v="288"/>
    <x v="850"/>
    <x v="1"/>
    <x v="1"/>
    <s v="URBANO"/>
    <d v="2024-02-26T00:00:00"/>
    <d v="1899-12-30T17:14:24"/>
    <n v="6.6"/>
  </r>
  <r>
    <s v="B2O609"/>
    <x v="288"/>
    <x v="851"/>
    <x v="3"/>
    <x v="1"/>
    <s v="URBANO"/>
    <d v="2024-02-26T00:00:00"/>
    <d v="1899-12-30T18:09:39"/>
    <n v="6.6"/>
  </r>
  <r>
    <s v="B2O609"/>
    <x v="288"/>
    <x v="852"/>
    <x v="0"/>
    <x v="1"/>
    <s v="URBANO"/>
    <d v="2024-02-26T00:00:00"/>
    <d v="1899-12-30T21:37:00"/>
    <n v="6.6"/>
  </r>
  <r>
    <s v="B2O609"/>
    <x v="288"/>
    <x v="852"/>
    <x v="0"/>
    <x v="1"/>
    <s v="URBANO"/>
    <d v="2024-02-26T00:00:00"/>
    <d v="1899-12-30T21:44:55"/>
    <n v="6.6"/>
  </r>
  <r>
    <s v="B2O609"/>
    <x v="288"/>
    <x v="853"/>
    <x v="1"/>
    <x v="1"/>
    <s v="URBANO"/>
    <d v="2024-02-27T00:00:00"/>
    <d v="1899-12-30T04:32:21"/>
    <n v="6.6"/>
  </r>
  <r>
    <s v="B2O609"/>
    <x v="288"/>
    <x v="853"/>
    <x v="1"/>
    <x v="1"/>
    <s v="URBANO"/>
    <d v="2024-02-27T00:00:00"/>
    <d v="1899-12-30T04:38:12"/>
    <n v="6.6"/>
  </r>
  <r>
    <s v="B2O609"/>
    <x v="288"/>
    <x v="2"/>
    <x v="2"/>
    <x v="1"/>
    <s v="URBANO"/>
    <d v="2024-02-27T00:00:00"/>
    <d v="1899-12-30T06:53:37"/>
    <n v="6.6"/>
  </r>
  <r>
    <s v="B2O609"/>
    <x v="288"/>
    <x v="2"/>
    <x v="2"/>
    <x v="1"/>
    <s v="URBANO"/>
    <d v="2024-02-27T00:00:00"/>
    <d v="1899-12-30T07:03:11"/>
    <n v="6.6"/>
  </r>
  <r>
    <s v="B2O609"/>
    <x v="288"/>
    <x v="2"/>
    <x v="2"/>
    <x v="1"/>
    <s v="URBANO"/>
    <d v="2024-02-28T00:00:00"/>
    <d v="1899-12-30T19:27:48"/>
    <n v="6.6"/>
  </r>
  <r>
    <s v="B2O609"/>
    <x v="288"/>
    <x v="2"/>
    <x v="2"/>
    <x v="1"/>
    <s v="URBANO"/>
    <d v="2024-02-28T00:00:00"/>
    <d v="1899-12-30T19:48:07"/>
    <n v="6.6"/>
  </r>
  <r>
    <s v="B2O609"/>
    <x v="288"/>
    <x v="854"/>
    <x v="1"/>
    <x v="1"/>
    <s v="URBANO"/>
    <d v="2024-02-29T00:00:00"/>
    <d v="1899-12-30T12:34:49"/>
    <n v="6.6"/>
  </r>
  <r>
    <s v="B2O609"/>
    <x v="288"/>
    <x v="854"/>
    <x v="1"/>
    <x v="1"/>
    <s v="URBANO"/>
    <d v="2024-02-29T00:00:00"/>
    <d v="1899-12-30T12:51:23"/>
    <n v="6.6"/>
  </r>
  <r>
    <s v="B2O609"/>
    <x v="288"/>
    <x v="855"/>
    <x v="1"/>
    <x v="1"/>
    <s v="URBANO"/>
    <d v="2024-02-29T00:00:00"/>
    <d v="1899-12-30T13:48:14"/>
    <n v="6.6"/>
  </r>
  <r>
    <s v="B2O609"/>
    <x v="288"/>
    <x v="855"/>
    <x v="1"/>
    <x v="1"/>
    <s v="URBANO"/>
    <d v="2024-02-29T00:00:00"/>
    <d v="1899-12-30T13:56:38"/>
    <n v="6.6"/>
  </r>
  <r>
    <s v="C9P301"/>
    <x v="289"/>
    <x v="856"/>
    <x v="1"/>
    <x v="1"/>
    <s v="LATAM"/>
    <d v="2024-02-28T00:00:00"/>
    <d v="1899-12-30T07:43:12"/>
    <n v="6.6"/>
  </r>
  <r>
    <s v="C9P301"/>
    <x v="289"/>
    <x v="856"/>
    <x v="1"/>
    <x v="1"/>
    <s v="LATAM"/>
    <d v="2024-02-28T00:00:00"/>
    <d v="1899-12-30T08:00:33"/>
    <n v="6.6"/>
  </r>
  <r>
    <s v="C9P301"/>
    <x v="289"/>
    <x v="857"/>
    <x v="1"/>
    <x v="1"/>
    <s v="LATAM"/>
    <d v="2024-02-28T00:00:00"/>
    <d v="1899-12-30T12:45:28"/>
    <n v="6.6"/>
  </r>
  <r>
    <s v="C9P301"/>
    <x v="289"/>
    <x v="857"/>
    <x v="1"/>
    <x v="1"/>
    <s v="LATAM"/>
    <d v="2024-02-28T00:00:00"/>
    <d v="1899-12-30T12:54:06"/>
    <n v="6.6"/>
  </r>
  <r>
    <s v="C9P301"/>
    <x v="289"/>
    <x v="858"/>
    <x v="1"/>
    <x v="1"/>
    <s v="LATAM"/>
    <d v="2024-02-29T00:00:00"/>
    <d v="1899-12-30T13:21:23"/>
    <n v="6.6"/>
  </r>
  <r>
    <s v="BHG356"/>
    <x v="290"/>
    <x v="859"/>
    <x v="1"/>
    <x v="1"/>
    <s v="LATAM"/>
    <d v="2024-02-26T00:00:00"/>
    <d v="1899-12-30T18:09:35"/>
    <n v="6.6"/>
  </r>
  <r>
    <s v="BHG356"/>
    <x v="290"/>
    <x v="859"/>
    <x v="3"/>
    <x v="1"/>
    <s v="LATAM"/>
    <d v="2024-02-26T00:00:00"/>
    <d v="1899-12-30T18:22:49"/>
    <n v="6.6"/>
  </r>
  <r>
    <s v="BHG356"/>
    <x v="290"/>
    <x v="2"/>
    <x v="2"/>
    <x v="1"/>
    <s v="LATAM"/>
    <d v="2024-02-26T00:00:00"/>
    <d v="1899-12-30T19:01:32"/>
    <n v="6.6"/>
  </r>
  <r>
    <s v="BHG356"/>
    <x v="290"/>
    <x v="2"/>
    <x v="2"/>
    <x v="1"/>
    <s v="LATAM"/>
    <d v="2024-02-26T00:00:00"/>
    <d v="1899-12-30T19:23:37"/>
    <n v="6.6"/>
  </r>
  <r>
    <s v="BHG356"/>
    <x v="290"/>
    <x v="860"/>
    <x v="1"/>
    <x v="1"/>
    <s v="LATAM"/>
    <d v="2024-02-26T00:00:00"/>
    <d v="1899-12-30T20:23:34"/>
    <n v="6.6"/>
  </r>
  <r>
    <s v="BHG356"/>
    <x v="290"/>
    <x v="861"/>
    <x v="1"/>
    <x v="1"/>
    <s v="LATAM"/>
    <d v="2024-02-27T00:00:00"/>
    <d v="1899-12-30T20:07:03"/>
    <n v="6.6"/>
  </r>
  <r>
    <s v="BHG356"/>
    <x v="290"/>
    <x v="862"/>
    <x v="3"/>
    <x v="1"/>
    <s v="LATAM"/>
    <d v="2024-02-28T00:00:00"/>
    <d v="1899-12-30T06:17:41"/>
    <n v="6.6"/>
  </r>
  <r>
    <s v="BHG356"/>
    <x v="290"/>
    <x v="863"/>
    <x v="1"/>
    <x v="1"/>
    <s v="LATAM"/>
    <d v="2024-02-28T00:00:00"/>
    <d v="1899-12-30T20:00:02"/>
    <n v="6.6"/>
  </r>
  <r>
    <s v="BHG356"/>
    <x v="290"/>
    <x v="863"/>
    <x v="1"/>
    <x v="1"/>
    <s v="LATAM"/>
    <d v="2024-02-28T00:00:00"/>
    <d v="1899-12-30T20:10:37"/>
    <n v="6.6"/>
  </r>
  <r>
    <s v="BHG356"/>
    <x v="290"/>
    <x v="2"/>
    <x v="2"/>
    <x v="1"/>
    <s v="LATAM"/>
    <d v="2024-02-28T00:00:00"/>
    <d v="1899-12-30T21:01:11"/>
    <n v="6.6"/>
  </r>
  <r>
    <s v="BHG356"/>
    <x v="290"/>
    <x v="2"/>
    <x v="2"/>
    <x v="1"/>
    <s v="LATAM"/>
    <d v="2024-02-29T00:00:00"/>
    <d v="1899-12-30T00:51:15"/>
    <n v="6.6"/>
  </r>
  <r>
    <s v="BHG356"/>
    <x v="290"/>
    <x v="864"/>
    <x v="1"/>
    <x v="1"/>
    <s v="LATAM"/>
    <d v="2024-02-29T00:00:00"/>
    <d v="1899-12-30T11:48:31"/>
    <n v="6.6"/>
  </r>
  <r>
    <s v="BHG356"/>
    <x v="290"/>
    <x v="864"/>
    <x v="1"/>
    <x v="1"/>
    <s v="LATAM"/>
    <d v="2024-02-29T00:00:00"/>
    <d v="1899-12-30T11:57:18"/>
    <n v="6.6"/>
  </r>
  <r>
    <s v="AMG110"/>
    <x v="291"/>
    <x v="865"/>
    <x v="1"/>
    <x v="1"/>
    <s v="LATAM"/>
    <d v="2024-02-27T00:00:00"/>
    <d v="1899-12-30T03:38:54"/>
    <n v="6.6"/>
  </r>
  <r>
    <s v="AMG110"/>
    <x v="291"/>
    <x v="2"/>
    <x v="2"/>
    <x v="1"/>
    <s v="LATAM"/>
    <d v="2024-02-28T00:00:00"/>
    <d v="1899-12-30T22:21:38"/>
    <n v="6.6"/>
  </r>
  <r>
    <s v="CCI257"/>
    <x v="292"/>
    <x v="866"/>
    <x v="1"/>
    <x v="0"/>
    <s v="AEROPUERTO"/>
    <d v="2024-02-26T00:00:00"/>
    <d v="1899-12-30T05:49:08"/>
    <n v="6.6"/>
  </r>
  <r>
    <s v="CCI257"/>
    <x v="292"/>
    <x v="866"/>
    <x v="1"/>
    <x v="0"/>
    <s v="AEROPUERTO"/>
    <d v="2024-02-26T00:00:00"/>
    <d v="1899-12-30T05:56:38"/>
    <n v="6.6"/>
  </r>
  <r>
    <s v="CCI257"/>
    <x v="292"/>
    <x v="2"/>
    <x v="2"/>
    <x v="0"/>
    <s v="AEROPUERTO"/>
    <d v="2024-02-27T00:00:00"/>
    <d v="1899-12-30T11:46:46"/>
    <n v="6.6"/>
  </r>
  <r>
    <s v="CCI257"/>
    <x v="292"/>
    <x v="867"/>
    <x v="1"/>
    <x v="0"/>
    <s v="AEROPUERTO"/>
    <d v="2024-02-27T00:00:00"/>
    <d v="1899-12-30T18:22:23"/>
    <n v="6.6"/>
  </r>
  <r>
    <s v="CCI257"/>
    <x v="292"/>
    <x v="868"/>
    <x v="1"/>
    <x v="0"/>
    <s v="AEROPUERTO"/>
    <d v="2024-02-27T00:00:00"/>
    <d v="1899-12-30T23:19:22"/>
    <n v="6.6"/>
  </r>
  <r>
    <s v="CCI257"/>
    <x v="292"/>
    <x v="868"/>
    <x v="1"/>
    <x v="0"/>
    <s v="AEROPUERTO"/>
    <d v="2024-02-27T00:00:00"/>
    <d v="1899-12-30T23:30:15"/>
    <n v="6.6"/>
  </r>
  <r>
    <s v="CCI257"/>
    <x v="292"/>
    <x v="2"/>
    <x v="2"/>
    <x v="0"/>
    <s v="AEROPUERTO"/>
    <d v="2024-02-28T00:00:00"/>
    <d v="1899-12-30T00:04:32"/>
    <n v="6.6"/>
  </r>
  <r>
    <s v="AFF275"/>
    <x v="293"/>
    <x v="869"/>
    <x v="1"/>
    <x v="1"/>
    <s v="URBANO"/>
    <d v="2024-02-27T00:00:00"/>
    <d v="1899-12-30T13:35:53"/>
    <n v="6.6"/>
  </r>
  <r>
    <s v="AFF275"/>
    <x v="293"/>
    <x v="870"/>
    <x v="1"/>
    <x v="1"/>
    <s v="URBANO"/>
    <d v="2024-02-28T00:00:00"/>
    <d v="1899-12-30T19:25:17"/>
    <n v="6.6"/>
  </r>
  <r>
    <s v="AFF275"/>
    <x v="293"/>
    <x v="871"/>
    <x v="1"/>
    <x v="1"/>
    <s v="URBANO"/>
    <d v="2024-02-28T00:00:00"/>
    <d v="1899-12-30T22:01:36"/>
    <n v="6.6"/>
  </r>
  <r>
    <s v="AFF275"/>
    <x v="293"/>
    <x v="2"/>
    <x v="2"/>
    <x v="1"/>
    <s v="URBANO"/>
    <d v="2024-02-29T00:00:00"/>
    <d v="1899-12-30T13:57:49"/>
    <n v="6.6"/>
  </r>
  <r>
    <s v="AFF275"/>
    <x v="293"/>
    <x v="872"/>
    <x v="3"/>
    <x v="1"/>
    <s v="URBANO"/>
    <d v="2024-02-29T00:00:00"/>
    <d v="1899-12-30T19:17:13"/>
    <n v="6.6"/>
  </r>
  <r>
    <s v="AFF275"/>
    <x v="293"/>
    <x v="872"/>
    <x v="1"/>
    <x v="1"/>
    <s v="URBANO"/>
    <d v="2024-02-29T00:00:00"/>
    <d v="1899-12-30T21:34:55"/>
    <n v="6.6"/>
  </r>
  <r>
    <s v="BKY431"/>
    <x v="294"/>
    <x v="873"/>
    <x v="1"/>
    <x v="1"/>
    <s v="LATAM"/>
    <d v="2024-02-28T00:00:00"/>
    <d v="1899-12-30T16:41:55"/>
    <n v="6.6"/>
  </r>
  <r>
    <s v="BKY431"/>
    <x v="294"/>
    <x v="874"/>
    <x v="1"/>
    <x v="1"/>
    <s v="LATAM"/>
    <d v="2024-02-29T00:00:00"/>
    <d v="1899-12-30T14:00:32"/>
    <n v="6.6"/>
  </r>
  <r>
    <s v="BKY431"/>
    <x v="294"/>
    <x v="874"/>
    <x v="1"/>
    <x v="1"/>
    <s v="LATAM"/>
    <d v="2024-02-29T00:00:00"/>
    <d v="1899-12-30T14:08:14"/>
    <n v="6.6"/>
  </r>
  <r>
    <s v="BBM080"/>
    <x v="295"/>
    <x v="875"/>
    <x v="1"/>
    <x v="1"/>
    <s v="LATAM"/>
    <d v="2024-02-27T00:00:00"/>
    <d v="1899-12-30T15:33:28"/>
    <n v="6.6"/>
  </r>
  <r>
    <s v="BBM080"/>
    <x v="295"/>
    <x v="875"/>
    <x v="3"/>
    <x v="1"/>
    <s v="LATAM"/>
    <d v="2024-02-27T00:00:00"/>
    <d v="1899-12-30T15:47:05"/>
    <n v="6.6"/>
  </r>
  <r>
    <s v="BBM080"/>
    <x v="295"/>
    <x v="876"/>
    <x v="1"/>
    <x v="1"/>
    <s v="LATAM"/>
    <d v="2024-02-27T00:00:00"/>
    <d v="1899-12-30T17:12:52"/>
    <n v="6.6"/>
  </r>
  <r>
    <s v="BBM080"/>
    <x v="295"/>
    <x v="876"/>
    <x v="1"/>
    <x v="1"/>
    <s v="LATAM"/>
    <d v="2024-02-27T00:00:00"/>
    <d v="1899-12-30T17:24:15"/>
    <n v="6.6"/>
  </r>
  <r>
    <s v="BBM080"/>
    <x v="295"/>
    <x v="877"/>
    <x v="1"/>
    <x v="1"/>
    <s v="LATAM"/>
    <d v="2024-02-27T00:00:00"/>
    <d v="1899-12-30T18:15:14"/>
    <n v="6.6"/>
  </r>
  <r>
    <s v="BBM080"/>
    <x v="295"/>
    <x v="877"/>
    <x v="1"/>
    <x v="1"/>
    <s v="LATAM"/>
    <d v="2024-02-27T00:00:00"/>
    <d v="1899-12-30T18:27:22"/>
    <n v="6.6"/>
  </r>
  <r>
    <s v="BBM080"/>
    <x v="295"/>
    <x v="878"/>
    <x v="1"/>
    <x v="1"/>
    <s v="LATAM"/>
    <d v="2024-02-28T00:00:00"/>
    <d v="1899-12-30T13:24:49"/>
    <n v="6.6"/>
  </r>
  <r>
    <s v="BBM080"/>
    <x v="295"/>
    <x v="878"/>
    <x v="1"/>
    <x v="1"/>
    <s v="LATAM"/>
    <d v="2024-02-28T00:00:00"/>
    <d v="1899-12-30T13:32:48"/>
    <n v="6.6"/>
  </r>
  <r>
    <s v="BBM080"/>
    <x v="295"/>
    <x v="879"/>
    <x v="1"/>
    <x v="1"/>
    <s v="LATAM"/>
    <d v="2024-02-28T00:00:00"/>
    <d v="1899-12-30T17:58:47"/>
    <n v="6.6"/>
  </r>
  <r>
    <s v="BBM080"/>
    <x v="295"/>
    <x v="880"/>
    <x v="1"/>
    <x v="1"/>
    <s v="LATAM"/>
    <d v="2024-02-29T00:00:00"/>
    <d v="1899-12-30T13:52:41"/>
    <n v="6.6"/>
  </r>
  <r>
    <s v="BBM080"/>
    <x v="295"/>
    <x v="880"/>
    <x v="1"/>
    <x v="1"/>
    <s v="LATAM"/>
    <d v="2024-02-29T00:00:00"/>
    <d v="1899-12-30T14:00:14"/>
    <n v="6.6"/>
  </r>
  <r>
    <s v="BHC644"/>
    <x v="296"/>
    <x v="2"/>
    <x v="2"/>
    <x v="0"/>
    <s v="AEROPUERTO"/>
    <d v="2024-02-28T00:00:00"/>
    <d v="1899-12-30T21:19:55"/>
    <n v="6.6"/>
  </r>
  <r>
    <s v="BHC644"/>
    <x v="296"/>
    <x v="2"/>
    <x v="2"/>
    <x v="0"/>
    <s v="AEROPUERTO"/>
    <d v="2024-02-28T00:00:00"/>
    <d v="1899-12-30T21:27:24"/>
    <n v="6.6"/>
  </r>
  <r>
    <s v="BHC644"/>
    <x v="296"/>
    <x v="881"/>
    <x v="1"/>
    <x v="0"/>
    <s v="AEROPUERTO"/>
    <d v="2024-02-28T00:00:00"/>
    <d v="1899-12-30T22:20:25"/>
    <n v="6.6"/>
  </r>
  <r>
    <s v="BHC644"/>
    <x v="296"/>
    <x v="881"/>
    <x v="1"/>
    <x v="0"/>
    <s v="AEROPUERTO"/>
    <d v="2024-02-28T00:00:00"/>
    <d v="1899-12-30T22:29:25"/>
    <n v="6.6"/>
  </r>
  <r>
    <s v="BHC644"/>
    <x v="296"/>
    <x v="2"/>
    <x v="2"/>
    <x v="0"/>
    <s v="AEROPUERTO"/>
    <d v="2024-02-28T00:00:00"/>
    <d v="1899-12-30T22:57:11"/>
    <n v="6.6"/>
  </r>
  <r>
    <s v="BHC644"/>
    <x v="296"/>
    <x v="2"/>
    <x v="2"/>
    <x v="0"/>
    <s v="AEROPUERTO"/>
    <d v="2024-02-28T00:00:00"/>
    <d v="1899-12-30T23:04:38"/>
    <n v="6.6"/>
  </r>
  <r>
    <s v="BHC644"/>
    <x v="296"/>
    <x v="882"/>
    <x v="1"/>
    <x v="0"/>
    <s v="AEROPUERTO"/>
    <d v="2024-02-29T00:00:00"/>
    <d v="1899-12-30T20:44:18"/>
    <n v="6.6"/>
  </r>
  <r>
    <s v="BHC644"/>
    <x v="296"/>
    <x v="882"/>
    <x v="1"/>
    <x v="0"/>
    <s v="AEROPUERTO"/>
    <d v="2024-02-29T00:00:00"/>
    <d v="1899-12-30T20:53:49"/>
    <n v="6.6"/>
  </r>
  <r>
    <s v="BHC644"/>
    <x v="296"/>
    <x v="2"/>
    <x v="2"/>
    <x v="0"/>
    <s v="AEROPUERTO"/>
    <d v="2024-02-29T00:00:00"/>
    <d v="1899-12-30T21:36:34"/>
    <n v="6.6"/>
  </r>
  <r>
    <s v="BHC644"/>
    <x v="296"/>
    <x v="2"/>
    <x v="2"/>
    <x v="0"/>
    <s v="AEROPUERTO"/>
    <d v="2024-02-29T00:00:00"/>
    <d v="1899-12-30T21:44:23"/>
    <n v="6.6"/>
  </r>
  <r>
    <s v="CBA429"/>
    <x v="297"/>
    <x v="883"/>
    <x v="3"/>
    <x v="0"/>
    <s v="AEROPUERTO"/>
    <d v="2024-02-27T00:00:00"/>
    <d v="1899-12-30T12:42:13"/>
    <n v="6.6"/>
  </r>
  <r>
    <s v="CBA429"/>
    <x v="297"/>
    <x v="884"/>
    <x v="3"/>
    <x v="0"/>
    <s v="AEROPUERTO"/>
    <d v="2024-02-27T00:00:00"/>
    <d v="1899-12-30T16:45:15"/>
    <n v="6.6"/>
  </r>
  <r>
    <s v="CBA429"/>
    <x v="297"/>
    <x v="885"/>
    <x v="1"/>
    <x v="0"/>
    <s v="AEROPUERTO"/>
    <d v="2024-02-27T00:00:00"/>
    <d v="1899-12-30T17:49:51"/>
    <n v="6.6"/>
  </r>
  <r>
    <s v="CBA429"/>
    <x v="297"/>
    <x v="885"/>
    <x v="1"/>
    <x v="0"/>
    <s v="AEROPUERTO"/>
    <d v="2024-02-27T00:00:00"/>
    <d v="1899-12-30T18:04:40"/>
    <n v="6.6"/>
  </r>
  <r>
    <s v="CBA429"/>
    <x v="297"/>
    <x v="886"/>
    <x v="0"/>
    <x v="0"/>
    <s v="AEROPUERTO"/>
    <d v="2024-02-28T00:00:00"/>
    <d v="1899-12-30T08:09:20"/>
    <n v="6.6"/>
  </r>
  <r>
    <s v="CBA429"/>
    <x v="297"/>
    <x v="886"/>
    <x v="0"/>
    <x v="0"/>
    <s v="AEROPUERTO"/>
    <d v="2024-02-28T00:00:00"/>
    <d v="1899-12-30T08:21:44"/>
    <n v="6.6"/>
  </r>
  <r>
    <s v="CBA429"/>
    <x v="297"/>
    <x v="2"/>
    <x v="2"/>
    <x v="0"/>
    <s v="AEROPUERTO"/>
    <d v="2024-02-28T00:00:00"/>
    <d v="1899-12-30T14:18:59"/>
    <n v="6.6"/>
  </r>
  <r>
    <s v="CBA429"/>
    <x v="297"/>
    <x v="2"/>
    <x v="2"/>
    <x v="0"/>
    <s v="AEROPUERTO"/>
    <d v="2024-02-28T00:00:00"/>
    <d v="1899-12-30T14:25:19"/>
    <n v="6.6"/>
  </r>
  <r>
    <s v="CBA429"/>
    <x v="297"/>
    <x v="887"/>
    <x v="1"/>
    <x v="0"/>
    <s v="AEROPUERTO"/>
    <d v="2024-02-29T00:00:00"/>
    <d v="1899-12-30T16:33:44"/>
    <n v="6.6"/>
  </r>
  <r>
    <s v="CBA429"/>
    <x v="297"/>
    <x v="887"/>
    <x v="1"/>
    <x v="0"/>
    <s v="AEROPUERTO"/>
    <d v="2024-02-29T00:00:00"/>
    <d v="1899-12-30T16:44:45"/>
    <n v="6.6"/>
  </r>
  <r>
    <s v="BWE239"/>
    <x v="298"/>
    <x v="2"/>
    <x v="2"/>
    <x v="1"/>
    <s v="LATAM"/>
    <d v="2024-02-26T00:00:00"/>
    <d v="1899-12-30T01:40:56"/>
    <n v="6.6"/>
  </r>
  <r>
    <s v="BWE239"/>
    <x v="298"/>
    <x v="2"/>
    <x v="2"/>
    <x v="1"/>
    <s v="LATAM"/>
    <d v="2024-02-28T00:00:00"/>
    <d v="1899-12-30T19:52:11"/>
    <n v="6.6"/>
  </r>
  <r>
    <s v="BWE239"/>
    <x v="298"/>
    <x v="888"/>
    <x v="1"/>
    <x v="1"/>
    <s v="LATAM"/>
    <d v="2024-02-28T00:00:00"/>
    <d v="1899-12-30T20:04:17"/>
    <n v="6.6"/>
  </r>
  <r>
    <s v="BWE239"/>
    <x v="298"/>
    <x v="889"/>
    <x v="1"/>
    <x v="1"/>
    <s v="LATAM"/>
    <d v="2024-02-29T00:00:00"/>
    <d v="1899-12-30T22:02:49"/>
    <n v="6.6"/>
  </r>
  <r>
    <s v="BWE239"/>
    <x v="298"/>
    <x v="889"/>
    <x v="1"/>
    <x v="1"/>
    <s v="LATAM"/>
    <d v="2024-02-29T00:00:00"/>
    <d v="1899-12-30T22:12:27"/>
    <n v="6.6"/>
  </r>
  <r>
    <s v="BPM524"/>
    <x v="299"/>
    <x v="890"/>
    <x v="1"/>
    <x v="1"/>
    <s v="LATAM"/>
    <d v="2024-02-28T00:00:00"/>
    <d v="1899-12-30T09:24:11"/>
    <n v="6.6"/>
  </r>
  <r>
    <s v="BPM524"/>
    <x v="299"/>
    <x v="891"/>
    <x v="1"/>
    <x v="1"/>
    <s v="LATAM"/>
    <d v="2024-02-28T00:00:00"/>
    <d v="1899-12-30T16:19:38"/>
    <n v="6.6"/>
  </r>
  <r>
    <s v="BPM524"/>
    <x v="299"/>
    <x v="891"/>
    <x v="1"/>
    <x v="1"/>
    <s v="LATAM"/>
    <d v="2024-02-28T00:00:00"/>
    <d v="1899-12-30T16:29:05"/>
    <n v="6.6"/>
  </r>
  <r>
    <s v="BPM524"/>
    <x v="299"/>
    <x v="892"/>
    <x v="1"/>
    <x v="1"/>
    <s v="LATAM"/>
    <d v="2024-02-29T00:00:00"/>
    <d v="1899-12-30T11:56:40"/>
    <n v="6.6"/>
  </r>
  <r>
    <s v="BPM524"/>
    <x v="299"/>
    <x v="893"/>
    <x v="1"/>
    <x v="1"/>
    <s v="LATAM"/>
    <d v="2024-02-29T00:00:00"/>
    <d v="1899-12-30T13:48:03"/>
    <n v="6.6"/>
  </r>
  <r>
    <s v="CAQ693"/>
    <x v="300"/>
    <x v="894"/>
    <x v="3"/>
    <x v="1"/>
    <s v="LATAM"/>
    <d v="2024-02-28T00:00:00"/>
    <d v="1899-12-30T06:02:37"/>
    <n v="6.6"/>
  </r>
  <r>
    <s v="CAQ693"/>
    <x v="300"/>
    <x v="2"/>
    <x v="2"/>
    <x v="1"/>
    <s v="LATAM"/>
    <d v="2024-02-28T00:00:00"/>
    <d v="1899-12-30T06:15:14"/>
    <n v="6.6"/>
  </r>
  <r>
    <s v="CAQ693"/>
    <x v="300"/>
    <x v="895"/>
    <x v="1"/>
    <x v="1"/>
    <s v="LATAM"/>
    <d v="2024-02-28T00:00:00"/>
    <d v="1899-12-30T06:49:26"/>
    <n v="6.6"/>
  </r>
  <r>
    <s v="CAQ693"/>
    <x v="300"/>
    <x v="895"/>
    <x v="1"/>
    <x v="1"/>
    <s v="LATAM"/>
    <d v="2024-02-28T00:00:00"/>
    <d v="1899-12-30T06:57:48"/>
    <n v="6.6"/>
  </r>
  <r>
    <s v="CAQ693"/>
    <x v="300"/>
    <x v="896"/>
    <x v="1"/>
    <x v="1"/>
    <s v="LATAM"/>
    <d v="2024-02-28T00:00:00"/>
    <d v="1899-12-30T08:45:42"/>
    <n v="6.6"/>
  </r>
  <r>
    <s v="CAQ693"/>
    <x v="300"/>
    <x v="896"/>
    <x v="1"/>
    <x v="1"/>
    <s v="LATAM"/>
    <d v="2024-02-28T00:00:00"/>
    <d v="1899-12-30T09:01:20"/>
    <n v="6.6"/>
  </r>
  <r>
    <s v="CAQ693"/>
    <x v="300"/>
    <x v="897"/>
    <x v="3"/>
    <x v="1"/>
    <s v="LATAM"/>
    <d v="2024-02-29T00:00:00"/>
    <d v="1899-12-30T02:53:34"/>
    <n v="6.6"/>
  </r>
  <r>
    <s v="CAQ693"/>
    <x v="300"/>
    <x v="897"/>
    <x v="3"/>
    <x v="1"/>
    <s v="LATAM"/>
    <d v="2024-02-29T00:00:00"/>
    <d v="1899-12-30T03:01:44"/>
    <n v="6.6"/>
  </r>
  <r>
    <s v="CAQ693"/>
    <x v="300"/>
    <x v="898"/>
    <x v="3"/>
    <x v="1"/>
    <s v="LATAM"/>
    <d v="2024-02-29T00:00:00"/>
    <d v="1899-12-30T06:15:12"/>
    <n v="6.6"/>
  </r>
  <r>
    <s v="CAQ693"/>
    <x v="300"/>
    <x v="899"/>
    <x v="1"/>
    <x v="1"/>
    <s v="LATAM"/>
    <d v="2024-02-29T00:00:00"/>
    <d v="1899-12-30T06:52:10"/>
    <n v="6.6"/>
  </r>
  <r>
    <s v="BWC096"/>
    <x v="301"/>
    <x v="900"/>
    <x v="1"/>
    <x v="1"/>
    <s v="LATAM"/>
    <d v="2024-02-26T00:00:00"/>
    <d v="1899-12-30T11:44:42"/>
    <n v="6.6"/>
  </r>
  <r>
    <s v="BWC096"/>
    <x v="301"/>
    <x v="900"/>
    <x v="1"/>
    <x v="1"/>
    <s v="LATAM"/>
    <d v="2024-02-26T00:00:00"/>
    <d v="1899-12-30T11:53:34"/>
    <n v="6.6"/>
  </r>
  <r>
    <s v="BWC096"/>
    <x v="301"/>
    <x v="901"/>
    <x v="1"/>
    <x v="1"/>
    <s v="LATAM"/>
    <d v="2024-02-26T00:00:00"/>
    <d v="1899-12-30T13:34:56"/>
    <n v="6.6"/>
  </r>
  <r>
    <s v="BWC096"/>
    <x v="301"/>
    <x v="901"/>
    <x v="3"/>
    <x v="1"/>
    <s v="LATAM"/>
    <d v="2024-02-26T00:00:00"/>
    <d v="1899-12-30T13:45:51"/>
    <n v="6.6"/>
  </r>
  <r>
    <s v="BWC096"/>
    <x v="301"/>
    <x v="902"/>
    <x v="1"/>
    <x v="1"/>
    <s v="LATAM"/>
    <d v="2024-02-26T00:00:00"/>
    <d v="1899-12-30T16:18:47"/>
    <n v="6.6"/>
  </r>
  <r>
    <s v="BWC096"/>
    <x v="301"/>
    <x v="903"/>
    <x v="1"/>
    <x v="1"/>
    <s v="LATAM"/>
    <d v="2024-02-27T00:00:00"/>
    <d v="1899-12-30T08:14:33"/>
    <n v="6.6"/>
  </r>
  <r>
    <s v="BWC096"/>
    <x v="301"/>
    <x v="903"/>
    <x v="1"/>
    <x v="1"/>
    <s v="LATAM"/>
    <d v="2024-02-27T00:00:00"/>
    <d v="1899-12-30T08:28:21"/>
    <n v="6.6"/>
  </r>
  <r>
    <s v="BWC096"/>
    <x v="301"/>
    <x v="904"/>
    <x v="1"/>
    <x v="1"/>
    <s v="LATAM"/>
    <d v="2024-02-28T00:00:00"/>
    <d v="1899-12-30T13:47:29"/>
    <n v="6.6"/>
  </r>
  <r>
    <s v="BWC096"/>
    <x v="301"/>
    <x v="904"/>
    <x v="1"/>
    <x v="1"/>
    <s v="LATAM"/>
    <d v="2024-02-28T00:00:00"/>
    <d v="1899-12-30T13:54:24"/>
    <n v="6.6"/>
  </r>
  <r>
    <s v="BWC096"/>
    <x v="301"/>
    <x v="905"/>
    <x v="1"/>
    <x v="1"/>
    <s v="LATAM"/>
    <d v="2024-02-29T00:00:00"/>
    <d v="1899-12-30T12:38:24"/>
    <n v="6.6"/>
  </r>
  <r>
    <s v="BWC096"/>
    <x v="301"/>
    <x v="905"/>
    <x v="1"/>
    <x v="1"/>
    <s v="LATAM"/>
    <d v="2024-02-29T00:00:00"/>
    <d v="1899-12-30T12:46:20"/>
    <n v="6.6"/>
  </r>
  <r>
    <s v="BWC096"/>
    <x v="301"/>
    <x v="906"/>
    <x v="1"/>
    <x v="1"/>
    <s v="LATAM"/>
    <d v="2024-02-29T00:00:00"/>
    <d v="1899-12-30T14:27:04"/>
    <n v="6.6"/>
  </r>
  <r>
    <s v="BWC096"/>
    <x v="301"/>
    <x v="907"/>
    <x v="1"/>
    <x v="1"/>
    <s v="LATAM"/>
    <d v="2024-02-29T00:00:00"/>
    <d v="1899-12-30T17:02:41"/>
    <n v="6.6"/>
  </r>
  <r>
    <s v="BWC096"/>
    <x v="301"/>
    <x v="907"/>
    <x v="1"/>
    <x v="1"/>
    <s v="LATAM"/>
    <d v="2024-02-29T00:00:00"/>
    <d v="1899-12-30T17:14:38"/>
    <n v="6.6"/>
  </r>
  <r>
    <s v="BWC096"/>
    <x v="301"/>
    <x v="908"/>
    <x v="1"/>
    <x v="1"/>
    <s v="LATAM"/>
    <d v="2024-02-29T00:00:00"/>
    <d v="1899-12-30T19:32:09"/>
    <n v="6.6"/>
  </r>
  <r>
    <s v="BWC096"/>
    <x v="301"/>
    <x v="908"/>
    <x v="1"/>
    <x v="1"/>
    <s v="LATAM"/>
    <d v="2024-02-29T00:00:00"/>
    <d v="1899-12-30T19:43:21"/>
    <n v="6.6"/>
  </r>
  <r>
    <s v="CKL081"/>
    <x v="302"/>
    <x v="909"/>
    <x v="1"/>
    <x v="1"/>
    <s v="LATAM"/>
    <d v="2024-02-26T00:00:00"/>
    <d v="1899-12-30T17:08:45"/>
    <n v="6.6"/>
  </r>
  <r>
    <s v="CKL081"/>
    <x v="302"/>
    <x v="910"/>
    <x v="1"/>
    <x v="1"/>
    <s v="LATAM"/>
    <d v="2024-02-26T00:00:00"/>
    <d v="1899-12-30T21:08:01"/>
    <n v="6.6"/>
  </r>
  <r>
    <s v="CKL081"/>
    <x v="302"/>
    <x v="910"/>
    <x v="1"/>
    <x v="1"/>
    <s v="LATAM"/>
    <d v="2024-02-26T00:00:00"/>
    <d v="1899-12-30T21:17:01"/>
    <n v="6.6"/>
  </r>
  <r>
    <s v="CKL081"/>
    <x v="302"/>
    <x v="911"/>
    <x v="1"/>
    <x v="1"/>
    <s v="LATAM"/>
    <d v="2024-02-27T00:00:00"/>
    <d v="1899-12-30T21:35:18"/>
    <n v="6.6"/>
  </r>
  <r>
    <s v="CKL081"/>
    <x v="302"/>
    <x v="911"/>
    <x v="1"/>
    <x v="1"/>
    <s v="LATAM"/>
    <d v="2024-02-27T00:00:00"/>
    <d v="1899-12-30T21:42:44"/>
    <n v="6.6"/>
  </r>
  <r>
    <s v="CKL081"/>
    <x v="302"/>
    <x v="912"/>
    <x v="1"/>
    <x v="1"/>
    <s v="LATAM"/>
    <d v="2024-02-28T00:00:00"/>
    <d v="1899-12-30T17:03:20"/>
    <n v="6.6"/>
  </r>
  <r>
    <s v="CKL081"/>
    <x v="302"/>
    <x v="913"/>
    <x v="1"/>
    <x v="1"/>
    <s v="LATAM"/>
    <d v="2024-02-28T00:00:00"/>
    <d v="1899-12-30T21:50:40"/>
    <n v="6.6"/>
  </r>
  <r>
    <s v="CKL081"/>
    <x v="302"/>
    <x v="914"/>
    <x v="1"/>
    <x v="1"/>
    <s v="LATAM"/>
    <d v="2024-02-29T00:00:00"/>
    <d v="1899-12-30T17:28:15"/>
    <n v="6.6"/>
  </r>
  <r>
    <s v="AUM498"/>
    <x v="303"/>
    <x v="915"/>
    <x v="1"/>
    <x v="0"/>
    <s v="AEROPUERTO"/>
    <d v="2024-02-27T00:00:00"/>
    <d v="1899-12-30T04:24:25"/>
    <n v="6.6"/>
  </r>
  <r>
    <s v="AUM498"/>
    <x v="303"/>
    <x v="915"/>
    <x v="1"/>
    <x v="0"/>
    <s v="AEROPUERTO"/>
    <d v="2024-02-27T00:00:00"/>
    <d v="1899-12-30T04:32:04"/>
    <n v="6.6"/>
  </r>
  <r>
    <s v="AUM498"/>
    <x v="303"/>
    <x v="916"/>
    <x v="1"/>
    <x v="0"/>
    <s v="AEROPUERTO"/>
    <d v="2024-02-27T00:00:00"/>
    <d v="1899-12-30T06:39:03"/>
    <n v="6.6"/>
  </r>
  <r>
    <s v="AUM498"/>
    <x v="303"/>
    <x v="916"/>
    <x v="1"/>
    <x v="0"/>
    <s v="AEROPUERTO"/>
    <d v="2024-02-27T00:00:00"/>
    <d v="1899-12-30T06:51:04"/>
    <n v="6.6"/>
  </r>
  <r>
    <s v="AUM498"/>
    <x v="303"/>
    <x v="917"/>
    <x v="1"/>
    <x v="0"/>
    <s v="AEROPUERTO"/>
    <d v="2024-02-27T00:00:00"/>
    <d v="1899-12-30T08:26:52"/>
    <n v="6.6"/>
  </r>
  <r>
    <s v="AUM498"/>
    <x v="303"/>
    <x v="917"/>
    <x v="1"/>
    <x v="0"/>
    <s v="AEROPUERTO"/>
    <d v="2024-02-27T00:00:00"/>
    <d v="1899-12-30T08:37:42"/>
    <n v="6.6"/>
  </r>
  <r>
    <s v="AUM498"/>
    <x v="303"/>
    <x v="918"/>
    <x v="1"/>
    <x v="0"/>
    <s v="AEROPUERTO"/>
    <d v="2024-02-27T00:00:00"/>
    <d v="1899-12-30T10:44:44"/>
    <n v="6.6"/>
  </r>
  <r>
    <s v="AUM498"/>
    <x v="303"/>
    <x v="918"/>
    <x v="1"/>
    <x v="0"/>
    <s v="AEROPUERTO"/>
    <d v="2024-02-27T00:00:00"/>
    <d v="1899-12-30T10:56:26"/>
    <n v="6.6"/>
  </r>
  <r>
    <s v="AUM498"/>
    <x v="303"/>
    <x v="919"/>
    <x v="1"/>
    <x v="0"/>
    <s v="AEROPUERTO"/>
    <d v="2024-02-28T00:00:00"/>
    <d v="1899-12-30T07:42:42"/>
    <n v="6.6"/>
  </r>
  <r>
    <s v="AUM498"/>
    <x v="303"/>
    <x v="919"/>
    <x v="1"/>
    <x v="0"/>
    <s v="AEROPUERTO"/>
    <d v="2024-02-28T00:00:00"/>
    <d v="1899-12-30T08:00:30"/>
    <n v="6.6"/>
  </r>
  <r>
    <s v="AUM498"/>
    <x v="303"/>
    <x v="920"/>
    <x v="1"/>
    <x v="0"/>
    <s v="AEROPUERTO"/>
    <d v="2024-02-28T00:00:00"/>
    <d v="1899-12-30T10:33:47"/>
    <n v="6.6"/>
  </r>
  <r>
    <s v="AUM498"/>
    <x v="303"/>
    <x v="920"/>
    <x v="1"/>
    <x v="0"/>
    <s v="AEROPUERTO"/>
    <d v="2024-02-28T00:00:00"/>
    <d v="1899-12-30T10:47:09"/>
    <n v="6.6"/>
  </r>
  <r>
    <s v="CEL281"/>
    <x v="304"/>
    <x v="921"/>
    <x v="1"/>
    <x v="1"/>
    <s v="URBANO"/>
    <d v="2024-02-26T00:00:00"/>
    <d v="1899-12-30T14:27:46"/>
    <n v="6.6"/>
  </r>
  <r>
    <s v="CEL281"/>
    <x v="304"/>
    <x v="921"/>
    <x v="3"/>
    <x v="1"/>
    <s v="URBANO"/>
    <d v="2024-02-26T00:00:00"/>
    <d v="1899-12-30T14:40:04"/>
    <n v="6.6"/>
  </r>
  <r>
    <s v="CEL281"/>
    <x v="304"/>
    <x v="922"/>
    <x v="1"/>
    <x v="1"/>
    <s v="URBANO"/>
    <d v="2024-02-26T00:00:00"/>
    <d v="1899-12-30T22:31:46"/>
    <n v="6.6"/>
  </r>
  <r>
    <s v="CEL281"/>
    <x v="304"/>
    <x v="922"/>
    <x v="3"/>
    <x v="1"/>
    <s v="URBANO"/>
    <d v="2024-02-26T00:00:00"/>
    <d v="1899-12-30T22:41:57"/>
    <n v="6.6"/>
  </r>
  <r>
    <s v="CEL281"/>
    <x v="304"/>
    <x v="923"/>
    <x v="1"/>
    <x v="1"/>
    <s v="URBANO"/>
    <d v="2024-02-28T00:00:00"/>
    <d v="1899-12-30T14:42:53"/>
    <n v="6.6"/>
  </r>
  <r>
    <s v="CEL281"/>
    <x v="304"/>
    <x v="923"/>
    <x v="1"/>
    <x v="1"/>
    <s v="URBANO"/>
    <d v="2024-02-28T00:00:00"/>
    <d v="1899-12-30T14:51:37"/>
    <n v="6.6"/>
  </r>
  <r>
    <s v="CEL281"/>
    <x v="304"/>
    <x v="924"/>
    <x v="1"/>
    <x v="1"/>
    <s v="URBANO"/>
    <d v="2024-02-28T00:00:00"/>
    <d v="1899-12-30T18:05:42"/>
    <n v="6.6"/>
  </r>
  <r>
    <s v="CEL281"/>
    <x v="304"/>
    <x v="924"/>
    <x v="1"/>
    <x v="1"/>
    <s v="URBANO"/>
    <d v="2024-02-28T00:00:00"/>
    <d v="1899-12-30T18:45:13"/>
    <n v="6.6"/>
  </r>
  <r>
    <s v="CEL281"/>
    <x v="304"/>
    <x v="2"/>
    <x v="2"/>
    <x v="1"/>
    <s v="URBANO"/>
    <d v="2024-02-29T00:00:00"/>
    <d v="1899-12-30T13:44:18"/>
    <n v="6.6"/>
  </r>
  <r>
    <s v="CEL281"/>
    <x v="304"/>
    <x v="2"/>
    <x v="2"/>
    <x v="1"/>
    <s v="URBANO"/>
    <d v="2024-02-29T00:00:00"/>
    <d v="1899-12-30T13:52:24"/>
    <n v="6.6"/>
  </r>
  <r>
    <s v="CEL281"/>
    <x v="304"/>
    <x v="2"/>
    <x v="2"/>
    <x v="1"/>
    <s v="URBANO"/>
    <d v="2024-02-29T00:00:00"/>
    <d v="1899-12-30T15:15:33"/>
    <n v="6.6"/>
  </r>
  <r>
    <s v="CEL281"/>
    <x v="304"/>
    <x v="2"/>
    <x v="2"/>
    <x v="1"/>
    <s v="URBANO"/>
    <d v="2024-02-29T00:00:00"/>
    <d v="1899-12-30T15:28:38"/>
    <n v="6.6"/>
  </r>
  <r>
    <s v="CDX009"/>
    <x v="305"/>
    <x v="925"/>
    <x v="1"/>
    <x v="1"/>
    <s v="LATAM"/>
    <d v="2024-02-27T00:00:00"/>
    <d v="1899-12-30T05:29:02"/>
    <n v="6.6"/>
  </r>
  <r>
    <s v="CDX009"/>
    <x v="305"/>
    <x v="925"/>
    <x v="1"/>
    <x v="1"/>
    <s v="LATAM"/>
    <d v="2024-02-27T00:00:00"/>
    <d v="1899-12-30T05:40:08"/>
    <n v="6.6"/>
  </r>
  <r>
    <s v="CDX009"/>
    <x v="305"/>
    <x v="926"/>
    <x v="1"/>
    <x v="1"/>
    <s v="LATAM"/>
    <d v="2024-02-27T00:00:00"/>
    <d v="1899-12-30T06:41:02"/>
    <n v="6.6"/>
  </r>
  <r>
    <s v="CDX009"/>
    <x v="305"/>
    <x v="926"/>
    <x v="1"/>
    <x v="1"/>
    <s v="LATAM"/>
    <d v="2024-02-27T00:00:00"/>
    <d v="1899-12-30T06:48:25"/>
    <n v="6.6"/>
  </r>
  <r>
    <s v="CDX009"/>
    <x v="305"/>
    <x v="2"/>
    <x v="2"/>
    <x v="1"/>
    <s v="LATAM"/>
    <d v="2024-02-28T00:00:00"/>
    <d v="1899-12-30T12:51:44"/>
    <n v="6.6"/>
  </r>
  <r>
    <s v="CDX009"/>
    <x v="305"/>
    <x v="927"/>
    <x v="1"/>
    <x v="1"/>
    <s v="LATAM"/>
    <d v="2024-02-28T00:00:00"/>
    <d v="1899-12-30T19:39:09"/>
    <n v="6.6"/>
  </r>
  <r>
    <s v="CDX009"/>
    <x v="305"/>
    <x v="927"/>
    <x v="1"/>
    <x v="1"/>
    <s v="LATAM"/>
    <d v="2024-02-28T00:00:00"/>
    <d v="1899-12-30T19:50:49"/>
    <n v="6.6"/>
  </r>
  <r>
    <s v="CDX009"/>
    <x v="305"/>
    <x v="928"/>
    <x v="1"/>
    <x v="1"/>
    <s v="LATAM"/>
    <d v="2024-02-28T00:00:00"/>
    <d v="1899-12-30T20:45:48"/>
    <n v="6.6"/>
  </r>
  <r>
    <s v="CDX009"/>
    <x v="305"/>
    <x v="928"/>
    <x v="1"/>
    <x v="1"/>
    <s v="LATAM"/>
    <d v="2024-02-28T00:00:00"/>
    <d v="1899-12-30T20:58:10"/>
    <n v="6.6"/>
  </r>
  <r>
    <s v="CDX009"/>
    <x v="305"/>
    <x v="929"/>
    <x v="1"/>
    <x v="1"/>
    <s v="LATAM"/>
    <d v="2024-02-29T00:00:00"/>
    <d v="1899-12-30T05:09:22"/>
    <n v="6.6"/>
  </r>
  <r>
    <s v="CDX009"/>
    <x v="305"/>
    <x v="929"/>
    <x v="1"/>
    <x v="1"/>
    <s v="LATAM"/>
    <d v="2024-02-29T00:00:00"/>
    <d v="1899-12-30T05:17:08"/>
    <n v="6.6"/>
  </r>
  <r>
    <s v="CDX009"/>
    <x v="305"/>
    <x v="930"/>
    <x v="1"/>
    <x v="1"/>
    <s v="LATAM"/>
    <d v="2024-02-29T00:00:00"/>
    <d v="1899-12-30T08:49:19"/>
    <n v="6.6"/>
  </r>
  <r>
    <s v="CDX009"/>
    <x v="305"/>
    <x v="930"/>
    <x v="1"/>
    <x v="1"/>
    <s v="LATAM"/>
    <d v="2024-02-29T00:00:00"/>
    <d v="1899-12-30T09:00:25"/>
    <n v="6.6"/>
  </r>
  <r>
    <s v="CDX009"/>
    <x v="305"/>
    <x v="931"/>
    <x v="1"/>
    <x v="1"/>
    <s v="LATAM"/>
    <d v="2024-02-29T00:00:00"/>
    <d v="1899-12-30T19:07:53"/>
    <n v="6.6"/>
  </r>
  <r>
    <s v="CDX009"/>
    <x v="305"/>
    <x v="931"/>
    <x v="1"/>
    <x v="1"/>
    <s v="LATAM"/>
    <d v="2024-02-29T00:00:00"/>
    <d v="1899-12-30T19:19:09"/>
    <n v="6.6"/>
  </r>
  <r>
    <s v="CAB369"/>
    <x v="306"/>
    <x v="2"/>
    <x v="2"/>
    <x v="1"/>
    <s v="LATAM"/>
    <d v="2024-02-26T00:00:00"/>
    <d v="1899-12-30T07:49:51"/>
    <n v="6.6"/>
  </r>
  <r>
    <s v="CAB369"/>
    <x v="306"/>
    <x v="2"/>
    <x v="2"/>
    <x v="1"/>
    <s v="LATAM"/>
    <d v="2024-02-26T00:00:00"/>
    <d v="1899-12-30T08:35:10"/>
    <n v="6.6"/>
  </r>
  <r>
    <s v="CAB369"/>
    <x v="306"/>
    <x v="2"/>
    <x v="2"/>
    <x v="1"/>
    <s v="LATAM"/>
    <d v="2024-02-26T00:00:00"/>
    <d v="1899-12-30T08:43:32"/>
    <n v="6.6"/>
  </r>
  <r>
    <s v="CAB369"/>
    <x v="306"/>
    <x v="2"/>
    <x v="2"/>
    <x v="1"/>
    <s v="LATAM"/>
    <d v="2024-02-26T00:00:00"/>
    <d v="1899-12-30T21:03:09"/>
    <n v="6.6"/>
  </r>
  <r>
    <s v="CAB369"/>
    <x v="306"/>
    <x v="2"/>
    <x v="2"/>
    <x v="1"/>
    <s v="LATAM"/>
    <d v="2024-02-27T00:00:00"/>
    <d v="1899-12-30T16:57:25"/>
    <n v="6.6"/>
  </r>
  <r>
    <s v="CAB369"/>
    <x v="306"/>
    <x v="2"/>
    <x v="2"/>
    <x v="1"/>
    <s v="LATAM"/>
    <d v="2024-02-27T00:00:00"/>
    <d v="1899-12-30T19:00:57"/>
    <n v="6.6"/>
  </r>
  <r>
    <s v="CAB369"/>
    <x v="306"/>
    <x v="2"/>
    <x v="2"/>
    <x v="1"/>
    <s v="LATAM"/>
    <d v="2024-02-27T00:00:00"/>
    <d v="1899-12-30T20:15:05"/>
    <n v="6.6"/>
  </r>
  <r>
    <s v="CAB369"/>
    <x v="306"/>
    <x v="2"/>
    <x v="2"/>
    <x v="1"/>
    <s v="LATAM"/>
    <d v="2024-02-27T00:00:00"/>
    <d v="1899-12-30T20:38:44"/>
    <n v="6.6"/>
  </r>
  <r>
    <s v="CAB369"/>
    <x v="306"/>
    <x v="2"/>
    <x v="2"/>
    <x v="1"/>
    <s v="LATAM"/>
    <d v="2024-02-28T00:00:00"/>
    <d v="1899-12-30T10:19:07"/>
    <n v="6.6"/>
  </r>
  <r>
    <s v="CAB369"/>
    <x v="306"/>
    <x v="2"/>
    <x v="2"/>
    <x v="1"/>
    <s v="LATAM"/>
    <d v="2024-02-29T00:00:00"/>
    <d v="1899-12-30T22:09:36"/>
    <n v="6.6"/>
  </r>
  <r>
    <s v="CAB369"/>
    <x v="306"/>
    <x v="2"/>
    <x v="2"/>
    <x v="1"/>
    <s v="LATAM"/>
    <d v="2024-02-29T00:00:00"/>
    <d v="1899-12-30T23:32:46"/>
    <n v="6.6"/>
  </r>
  <r>
    <s v="BDU096"/>
    <x v="307"/>
    <x v="2"/>
    <x v="2"/>
    <x v="1"/>
    <s v="LATAM"/>
    <d v="2024-02-26T00:00:00"/>
    <d v="1899-12-30T00:10:25"/>
    <n v="6.6"/>
  </r>
  <r>
    <s v="BDU096"/>
    <x v="307"/>
    <x v="2"/>
    <x v="2"/>
    <x v="1"/>
    <s v="LATAM"/>
    <d v="2024-02-26T00:00:00"/>
    <d v="1899-12-30T00:19:02"/>
    <n v="6.6"/>
  </r>
  <r>
    <s v="BDU096"/>
    <x v="307"/>
    <x v="932"/>
    <x v="3"/>
    <x v="1"/>
    <s v="LATAM"/>
    <d v="2024-02-26T00:00:00"/>
    <d v="1899-12-30T07:51:47"/>
    <n v="6.6"/>
  </r>
  <r>
    <s v="BDU096"/>
    <x v="307"/>
    <x v="2"/>
    <x v="2"/>
    <x v="1"/>
    <s v="LATAM"/>
    <d v="2024-02-26T00:00:00"/>
    <d v="1899-12-30T15:43:22"/>
    <n v="6.6"/>
  </r>
  <r>
    <s v="BDU096"/>
    <x v="307"/>
    <x v="2"/>
    <x v="2"/>
    <x v="1"/>
    <s v="LATAM"/>
    <d v="2024-02-26T00:00:00"/>
    <d v="1899-12-30T15:53:53"/>
    <n v="6.6"/>
  </r>
  <r>
    <s v="BDU096"/>
    <x v="307"/>
    <x v="2"/>
    <x v="2"/>
    <x v="1"/>
    <s v="LATAM"/>
    <d v="2024-02-26T00:00:00"/>
    <d v="1899-12-30T23:02:32"/>
    <n v="6.6"/>
  </r>
  <r>
    <s v="BDU096"/>
    <x v="307"/>
    <x v="2"/>
    <x v="2"/>
    <x v="1"/>
    <s v="LATAM"/>
    <d v="2024-02-26T00:00:00"/>
    <d v="1899-12-30T23:11:38"/>
    <n v="6.6"/>
  </r>
  <r>
    <s v="BDU096"/>
    <x v="307"/>
    <x v="933"/>
    <x v="3"/>
    <x v="1"/>
    <s v="LATAM"/>
    <d v="2024-02-27T00:00:00"/>
    <d v="1899-12-30T06:26:21"/>
    <n v="6.6"/>
  </r>
  <r>
    <s v="BDU096"/>
    <x v="307"/>
    <x v="933"/>
    <x v="3"/>
    <x v="1"/>
    <s v="LATAM"/>
    <d v="2024-02-27T00:00:00"/>
    <d v="1899-12-30T06:35:07"/>
    <n v="6.6"/>
  </r>
  <r>
    <s v="BDU096"/>
    <x v="307"/>
    <x v="934"/>
    <x v="3"/>
    <x v="1"/>
    <s v="LATAM"/>
    <d v="2024-02-28T00:00:00"/>
    <d v="1899-12-30T06:47:41"/>
    <n v="6.6"/>
  </r>
  <r>
    <s v="BDU096"/>
    <x v="307"/>
    <x v="934"/>
    <x v="3"/>
    <x v="1"/>
    <s v="LATAM"/>
    <d v="2024-02-28T00:00:00"/>
    <d v="1899-12-30T06:55:02"/>
    <n v="6.6"/>
  </r>
  <r>
    <s v="BDU096"/>
    <x v="307"/>
    <x v="935"/>
    <x v="3"/>
    <x v="1"/>
    <s v="LATAM"/>
    <d v="2024-02-29T00:00:00"/>
    <d v="1899-12-30T06:38:27"/>
    <n v="6.6"/>
  </r>
  <r>
    <s v="BDU096"/>
    <x v="307"/>
    <x v="935"/>
    <x v="3"/>
    <x v="1"/>
    <s v="LATAM"/>
    <d v="2024-02-29T00:00:00"/>
    <d v="1899-12-30T06:46:55"/>
    <n v="6.6"/>
  </r>
  <r>
    <s v="CBH631"/>
    <x v="308"/>
    <x v="936"/>
    <x v="1"/>
    <x v="1"/>
    <s v="LATAM"/>
    <d v="2024-02-28T00:00:00"/>
    <d v="1899-12-30T07:58:06"/>
    <n v="6.6"/>
  </r>
  <r>
    <s v="CBH631"/>
    <x v="308"/>
    <x v="936"/>
    <x v="1"/>
    <x v="1"/>
    <s v="LATAM"/>
    <d v="2024-02-28T00:00:00"/>
    <d v="1899-12-30T08:15:16"/>
    <n v="6.6"/>
  </r>
  <r>
    <s v="AVX849"/>
    <x v="309"/>
    <x v="937"/>
    <x v="1"/>
    <x v="1"/>
    <s v="LATAM"/>
    <d v="2024-02-27T00:00:00"/>
    <d v="1899-12-30T13:27:33"/>
    <n v="6.6"/>
  </r>
  <r>
    <s v="AVX849"/>
    <x v="309"/>
    <x v="2"/>
    <x v="2"/>
    <x v="1"/>
    <s v="LATAM"/>
    <d v="2024-02-28T00:00:00"/>
    <d v="1899-12-30T21:53:04"/>
    <n v="6.6"/>
  </r>
  <r>
    <s v="AVX849"/>
    <x v="309"/>
    <x v="2"/>
    <x v="2"/>
    <x v="1"/>
    <s v="LATAM"/>
    <d v="2024-02-28T00:00:00"/>
    <d v="1899-12-30T22:01:04"/>
    <n v="6.6"/>
  </r>
  <r>
    <s v="AVX849"/>
    <x v="309"/>
    <x v="938"/>
    <x v="1"/>
    <x v="1"/>
    <s v="LATAM"/>
    <d v="2024-02-29T00:00:00"/>
    <d v="1899-12-30T11:07:53"/>
    <n v="6.6"/>
  </r>
  <r>
    <s v="AVX849"/>
    <x v="309"/>
    <x v="938"/>
    <x v="1"/>
    <x v="1"/>
    <s v="LATAM"/>
    <d v="2024-02-29T00:00:00"/>
    <d v="1899-12-30T11:20:01"/>
    <n v="6.6"/>
  </r>
  <r>
    <s v="BKN591"/>
    <x v="310"/>
    <x v="2"/>
    <x v="2"/>
    <x v="1"/>
    <s v="URBANO"/>
    <d v="2024-02-26T00:00:00"/>
    <d v="1899-12-30T21:27:28"/>
    <n v="6.6"/>
  </r>
  <r>
    <s v="BKN591"/>
    <x v="310"/>
    <x v="2"/>
    <x v="2"/>
    <x v="1"/>
    <s v="URBANO"/>
    <d v="2024-02-27T00:00:00"/>
    <d v="1899-12-30T07:27:21"/>
    <n v="6.6"/>
  </r>
  <r>
    <s v="BKN591"/>
    <x v="310"/>
    <x v="2"/>
    <x v="2"/>
    <x v="1"/>
    <s v="URBANO"/>
    <d v="2024-02-28T00:00:00"/>
    <d v="1899-12-30T07:30:28"/>
    <n v="6.6"/>
  </r>
  <r>
    <s v="BKN591"/>
    <x v="310"/>
    <x v="2"/>
    <x v="2"/>
    <x v="1"/>
    <s v="URBANO"/>
    <d v="2024-02-28T00:00:00"/>
    <d v="1899-12-30T07:46:16"/>
    <n v="6.6"/>
  </r>
  <r>
    <s v="BER461"/>
    <x v="311"/>
    <x v="939"/>
    <x v="3"/>
    <x v="1"/>
    <s v="PLAZAS"/>
    <d v="2024-02-27T00:00:00"/>
    <d v="1899-12-30T18:29:15"/>
    <n v="6.6"/>
  </r>
  <r>
    <s v="BER461"/>
    <x v="311"/>
    <x v="939"/>
    <x v="3"/>
    <x v="1"/>
    <s v="PLAZAS"/>
    <d v="2024-02-27T00:00:00"/>
    <d v="1899-12-30T19:01:16"/>
    <n v="6.6"/>
  </r>
  <r>
    <s v="BER461"/>
    <x v="311"/>
    <x v="2"/>
    <x v="2"/>
    <x v="1"/>
    <s v="PLAZAS"/>
    <d v="2024-02-28T00:00:00"/>
    <d v="1899-12-30T17:59:36"/>
    <n v="6.6"/>
  </r>
  <r>
    <s v="BER461"/>
    <x v="311"/>
    <x v="2"/>
    <x v="2"/>
    <x v="1"/>
    <s v="PLAZAS"/>
    <d v="2024-02-29T00:00:00"/>
    <d v="1899-12-30T07:02:15"/>
    <n v="6.6"/>
  </r>
  <r>
    <s v="CEY409"/>
    <x v="312"/>
    <x v="940"/>
    <x v="1"/>
    <x v="1"/>
    <s v="LATAM"/>
    <d v="2024-02-26T00:00:00"/>
    <d v="1899-12-30T04:15:48"/>
    <n v="6.6"/>
  </r>
  <r>
    <s v="CEY409"/>
    <x v="312"/>
    <x v="940"/>
    <x v="1"/>
    <x v="1"/>
    <s v="LATAM"/>
    <d v="2024-02-26T00:00:00"/>
    <d v="1899-12-30T04:24:03"/>
    <n v="6.6"/>
  </r>
  <r>
    <s v="CEY409"/>
    <x v="312"/>
    <x v="2"/>
    <x v="2"/>
    <x v="1"/>
    <s v="LATAM"/>
    <d v="2024-02-27T00:00:00"/>
    <d v="1899-12-30T12:24:23"/>
    <n v="6.6"/>
  </r>
  <r>
    <s v="CEY409"/>
    <x v="312"/>
    <x v="2"/>
    <x v="2"/>
    <x v="1"/>
    <s v="LATAM"/>
    <d v="2024-02-27T00:00:00"/>
    <d v="1899-12-30T12:47:29"/>
    <n v="6.6"/>
  </r>
  <r>
    <s v="CEY409"/>
    <x v="312"/>
    <x v="2"/>
    <x v="2"/>
    <x v="1"/>
    <s v="LATAM"/>
    <d v="2024-02-29T00:00:00"/>
    <d v="1899-12-30T08:48:40"/>
    <n v="6.6"/>
  </r>
  <r>
    <s v="CEY409"/>
    <x v="312"/>
    <x v="2"/>
    <x v="2"/>
    <x v="1"/>
    <s v="LATAM"/>
    <d v="2024-02-29T00:00:00"/>
    <d v="1899-12-30T08:58:24"/>
    <n v="6.6"/>
  </r>
  <r>
    <s v="CEY409"/>
    <x v="312"/>
    <x v="2"/>
    <x v="2"/>
    <x v="1"/>
    <s v="LATAM"/>
    <d v="2024-02-29T00:00:00"/>
    <d v="1899-12-30T14:45:23"/>
    <n v="6.6"/>
  </r>
  <r>
    <s v="CEY409"/>
    <x v="312"/>
    <x v="2"/>
    <x v="2"/>
    <x v="1"/>
    <s v="LATAM"/>
    <d v="2024-02-29T00:00:00"/>
    <d v="1899-12-30T14:50:25"/>
    <n v="6.6"/>
  </r>
  <r>
    <s v="CHU501"/>
    <x v="313"/>
    <x v="2"/>
    <x v="2"/>
    <x v="1"/>
    <s v="LATAM"/>
    <d v="2024-02-28T00:00:00"/>
    <d v="1899-12-30T09:25:11"/>
    <n v="6.6"/>
  </r>
  <r>
    <s v="CHU501"/>
    <x v="313"/>
    <x v="2"/>
    <x v="2"/>
    <x v="1"/>
    <s v="LATAM"/>
    <d v="2024-02-28T00:00:00"/>
    <d v="1899-12-30T09:42:23"/>
    <n v="6.6"/>
  </r>
  <r>
    <s v="BVF672"/>
    <x v="314"/>
    <x v="2"/>
    <x v="2"/>
    <x v="1"/>
    <s v="LATAM"/>
    <d v="2024-02-28T00:00:00"/>
    <d v="1899-12-30T07:30:22"/>
    <n v="6.6"/>
  </r>
  <r>
    <s v="BVF672"/>
    <x v="314"/>
    <x v="941"/>
    <x v="1"/>
    <x v="1"/>
    <s v="LATAM"/>
    <d v="2024-02-29T00:00:00"/>
    <d v="1899-12-30T08:50:50"/>
    <n v="6.6"/>
  </r>
  <r>
    <s v="AVN612"/>
    <x v="315"/>
    <x v="942"/>
    <x v="1"/>
    <x v="1"/>
    <s v="URBANO"/>
    <d v="2024-02-27T00:00:00"/>
    <d v="1899-12-30T06:31:41"/>
    <n v="6.6"/>
  </r>
  <r>
    <s v="AVN612"/>
    <x v="315"/>
    <x v="943"/>
    <x v="1"/>
    <x v="1"/>
    <s v="URBANO"/>
    <d v="2024-02-27T00:00:00"/>
    <d v="1899-12-30T07:58:06"/>
    <n v="6.6"/>
  </r>
  <r>
    <s v="AVN612"/>
    <x v="315"/>
    <x v="943"/>
    <x v="1"/>
    <x v="1"/>
    <s v="URBANO"/>
    <d v="2024-02-27T00:00:00"/>
    <d v="1899-12-30T08:07:52"/>
    <n v="6.6"/>
  </r>
  <r>
    <s v="AVN612"/>
    <x v="315"/>
    <x v="944"/>
    <x v="1"/>
    <x v="1"/>
    <s v="URBANO"/>
    <d v="2024-02-28T00:00:00"/>
    <d v="1899-12-30T17:57:56"/>
    <n v="6.6"/>
  </r>
  <r>
    <s v="BUN386"/>
    <x v="316"/>
    <x v="2"/>
    <x v="2"/>
    <x v="1"/>
    <s v="PLAZAS"/>
    <d v="2024-02-27T00:00:00"/>
    <d v="1899-12-30T21:30:11"/>
    <n v="6.6"/>
  </r>
  <r>
    <s v="BUN386"/>
    <x v="316"/>
    <x v="2"/>
    <x v="2"/>
    <x v="1"/>
    <s v="PLAZAS"/>
    <d v="2024-02-27T00:00:00"/>
    <d v="1899-12-30T21:37:56"/>
    <n v="6.6"/>
  </r>
  <r>
    <s v="BUN386"/>
    <x v="316"/>
    <x v="945"/>
    <x v="1"/>
    <x v="1"/>
    <s v="PLAZAS"/>
    <d v="2024-02-29T00:00:00"/>
    <d v="1899-12-30T13:20:57"/>
    <n v="6.6"/>
  </r>
  <r>
    <s v="BUN386"/>
    <x v="316"/>
    <x v="946"/>
    <x v="1"/>
    <x v="1"/>
    <s v="PLAZAS"/>
    <d v="2024-02-29T00:00:00"/>
    <d v="1899-12-30T22:41:49"/>
    <n v="6.6"/>
  </r>
  <r>
    <s v="BUN386"/>
    <x v="316"/>
    <x v="946"/>
    <x v="1"/>
    <x v="1"/>
    <s v="PLAZAS"/>
    <d v="2024-02-29T00:00:00"/>
    <d v="1899-12-30T22:52:28"/>
    <n v="6.6"/>
  </r>
  <r>
    <s v="CED168"/>
    <x v="317"/>
    <x v="2"/>
    <x v="2"/>
    <x v="0"/>
    <s v="AEROPUERTO"/>
    <d v="2024-02-26T00:00:00"/>
    <d v="1899-12-30T03:26:39"/>
    <n v="6.6"/>
  </r>
  <r>
    <s v="CED168"/>
    <x v="317"/>
    <x v="2"/>
    <x v="2"/>
    <x v="0"/>
    <s v="AEROPUERTO"/>
    <d v="2024-02-26T00:00:00"/>
    <d v="1899-12-30T03:34:37"/>
    <n v="6.6"/>
  </r>
  <r>
    <s v="CED168"/>
    <x v="317"/>
    <x v="2"/>
    <x v="2"/>
    <x v="0"/>
    <s v="AEROPUERTO"/>
    <d v="2024-02-26T00:00:00"/>
    <d v="1899-12-30T15:16:13"/>
    <n v="6.6"/>
  </r>
  <r>
    <s v="CED168"/>
    <x v="317"/>
    <x v="947"/>
    <x v="1"/>
    <x v="0"/>
    <s v="AEROPUERTO"/>
    <d v="2024-02-27T00:00:00"/>
    <d v="1899-12-30T04:30:24"/>
    <n v="6.6"/>
  </r>
  <r>
    <s v="CED168"/>
    <x v="317"/>
    <x v="947"/>
    <x v="1"/>
    <x v="0"/>
    <s v="AEROPUERTO"/>
    <d v="2024-02-27T00:00:00"/>
    <d v="1899-12-30T04:37:01"/>
    <n v="6.6"/>
  </r>
  <r>
    <s v="CED168"/>
    <x v="317"/>
    <x v="948"/>
    <x v="1"/>
    <x v="0"/>
    <s v="AEROPUERTO"/>
    <d v="2024-02-27T00:00:00"/>
    <d v="1899-12-30T07:12:07"/>
    <n v="6.6"/>
  </r>
  <r>
    <s v="CED168"/>
    <x v="317"/>
    <x v="948"/>
    <x v="1"/>
    <x v="0"/>
    <s v="AEROPUERTO"/>
    <d v="2024-02-27T00:00:00"/>
    <d v="1899-12-30T07:22:41"/>
    <n v="6.6"/>
  </r>
  <r>
    <s v="CED168"/>
    <x v="317"/>
    <x v="2"/>
    <x v="2"/>
    <x v="0"/>
    <s v="AEROPUERTO"/>
    <d v="2024-02-27T00:00:00"/>
    <d v="1899-12-30T13:07:09"/>
    <n v="6.6"/>
  </r>
  <r>
    <s v="CED168"/>
    <x v="317"/>
    <x v="2"/>
    <x v="2"/>
    <x v="0"/>
    <s v="AEROPUERTO"/>
    <d v="2024-02-27T00:00:00"/>
    <d v="1899-12-30T13:17:15"/>
    <n v="6.6"/>
  </r>
  <r>
    <s v="CED168"/>
    <x v="317"/>
    <x v="949"/>
    <x v="1"/>
    <x v="0"/>
    <s v="AEROPUERTO"/>
    <d v="2024-02-27T00:00:00"/>
    <d v="1899-12-30T13:58:26"/>
    <n v="6.6"/>
  </r>
  <r>
    <s v="CED168"/>
    <x v="317"/>
    <x v="949"/>
    <x v="1"/>
    <x v="0"/>
    <s v="AEROPUERTO"/>
    <d v="2024-02-27T00:00:00"/>
    <d v="1899-12-30T14:06:22"/>
    <n v="6.6"/>
  </r>
  <r>
    <s v="CED168"/>
    <x v="317"/>
    <x v="950"/>
    <x v="1"/>
    <x v="0"/>
    <s v="AEROPUERTO"/>
    <d v="2024-02-27T00:00:00"/>
    <d v="1899-12-30T16:20:51"/>
    <n v="6.6"/>
  </r>
  <r>
    <s v="CED168"/>
    <x v="317"/>
    <x v="950"/>
    <x v="1"/>
    <x v="0"/>
    <s v="AEROPUERTO"/>
    <d v="2024-02-27T00:00:00"/>
    <d v="1899-12-30T16:31:21"/>
    <n v="6.6"/>
  </r>
  <r>
    <s v="CED168"/>
    <x v="317"/>
    <x v="951"/>
    <x v="1"/>
    <x v="0"/>
    <s v="AEROPUERTO"/>
    <d v="2024-02-28T00:00:00"/>
    <d v="1899-12-30T15:04:35"/>
    <n v="6.6"/>
  </r>
  <r>
    <s v="CED168"/>
    <x v="317"/>
    <x v="951"/>
    <x v="1"/>
    <x v="0"/>
    <s v="AEROPUERTO"/>
    <d v="2024-02-28T00:00:00"/>
    <d v="1899-12-30T15:41:27"/>
    <n v="6.6"/>
  </r>
  <r>
    <s v="CED168"/>
    <x v="317"/>
    <x v="2"/>
    <x v="2"/>
    <x v="0"/>
    <s v="AEROPUERTO"/>
    <d v="2024-02-29T00:00:00"/>
    <d v="1899-12-30T00:43:49"/>
    <n v="6.6"/>
  </r>
  <r>
    <s v="CED168"/>
    <x v="317"/>
    <x v="952"/>
    <x v="1"/>
    <x v="0"/>
    <s v="AEROPUERTO"/>
    <d v="2024-02-29T00:00:00"/>
    <d v="1899-12-30T06:03:24"/>
    <n v="6.6"/>
  </r>
  <r>
    <s v="CED168"/>
    <x v="317"/>
    <x v="952"/>
    <x v="1"/>
    <x v="0"/>
    <s v="AEROPUERTO"/>
    <d v="2024-02-29T00:00:00"/>
    <d v="1899-12-30T06:10:38"/>
    <n v="6.6"/>
  </r>
  <r>
    <s v="AYN626"/>
    <x v="318"/>
    <x v="2"/>
    <x v="2"/>
    <x v="1"/>
    <s v="PLAZAS"/>
    <d v="2024-02-26T00:00:00"/>
    <d v="1899-12-30T11:09:48"/>
    <n v="6.6"/>
  </r>
  <r>
    <s v="AYN626"/>
    <x v="318"/>
    <x v="2"/>
    <x v="2"/>
    <x v="1"/>
    <s v="PLAZAS"/>
    <d v="2024-02-29T00:00:00"/>
    <d v="1899-12-30T21:20:06"/>
    <n v="6.6"/>
  </r>
  <r>
    <s v="D3L007"/>
    <x v="319"/>
    <x v="2"/>
    <x v="2"/>
    <x v="1"/>
    <s v="PLAZAS"/>
    <d v="2024-02-26T00:00:00"/>
    <d v="1899-12-30T11:26:56"/>
    <n v="6.6"/>
  </r>
  <r>
    <s v="D3L007"/>
    <x v="319"/>
    <x v="953"/>
    <x v="3"/>
    <x v="1"/>
    <s v="PLAZAS"/>
    <d v="2024-02-27T00:00:00"/>
    <d v="1899-12-30T20:15:18"/>
    <n v="6.6"/>
  </r>
  <r>
    <s v="D3L007"/>
    <x v="319"/>
    <x v="953"/>
    <x v="3"/>
    <x v="1"/>
    <s v="PLAZAS"/>
    <d v="2024-02-27T00:00:00"/>
    <d v="1899-12-30T20:44:06"/>
    <n v="6.6"/>
  </r>
  <r>
    <s v="D3L007"/>
    <x v="319"/>
    <x v="954"/>
    <x v="1"/>
    <x v="1"/>
    <s v="PLAZAS"/>
    <d v="2024-02-27T00:00:00"/>
    <d v="1899-12-30T22:39:04"/>
    <n v="6.6"/>
  </r>
  <r>
    <s v="D3L007"/>
    <x v="319"/>
    <x v="954"/>
    <x v="1"/>
    <x v="1"/>
    <s v="PLAZAS"/>
    <d v="2024-02-27T00:00:00"/>
    <d v="1899-12-30T22:50:33"/>
    <n v="6.6"/>
  </r>
  <r>
    <s v="D3L007"/>
    <x v="319"/>
    <x v="2"/>
    <x v="2"/>
    <x v="1"/>
    <s v="PLAZAS"/>
    <d v="2024-02-28T00:00:00"/>
    <d v="1899-12-30T14:22:18"/>
    <n v="6.6"/>
  </r>
  <r>
    <s v="D3L007"/>
    <x v="319"/>
    <x v="2"/>
    <x v="2"/>
    <x v="1"/>
    <s v="PLAZAS"/>
    <d v="2024-02-28T00:00:00"/>
    <d v="1899-12-30T22:59:42"/>
    <n v="6.6"/>
  </r>
  <r>
    <s v="D3L007"/>
    <x v="319"/>
    <x v="2"/>
    <x v="2"/>
    <x v="1"/>
    <s v="PLAZAS"/>
    <d v="2024-02-29T00:00:00"/>
    <d v="1899-12-30T12:09:41"/>
    <n v="6.6"/>
  </r>
  <r>
    <s v="ARJ682"/>
    <x v="320"/>
    <x v="2"/>
    <x v="2"/>
    <x v="1"/>
    <s v="PLAZAS"/>
    <d v="2024-02-26T00:00:00"/>
    <d v="1899-12-30T15:12:15"/>
    <n v="6.6"/>
  </r>
  <r>
    <s v="ARJ682"/>
    <x v="320"/>
    <x v="2"/>
    <x v="2"/>
    <x v="1"/>
    <s v="PLAZAS"/>
    <d v="2024-02-26T00:00:00"/>
    <d v="1899-12-30T20:26:42"/>
    <n v="6.6"/>
  </r>
  <r>
    <s v="AZQ420"/>
    <x v="321"/>
    <x v="2"/>
    <x v="2"/>
    <x v="1"/>
    <s v="PLAZAS"/>
    <d v="2024-02-26T00:00:00"/>
    <d v="1899-12-30T11:20:49"/>
    <n v="6.6"/>
  </r>
  <r>
    <s v="AZQ420"/>
    <x v="321"/>
    <x v="955"/>
    <x v="1"/>
    <x v="1"/>
    <s v="PLAZAS"/>
    <d v="2024-02-26T00:00:00"/>
    <d v="1899-12-30T12:35:41"/>
    <n v="6.6"/>
  </r>
  <r>
    <s v="AZQ420"/>
    <x v="321"/>
    <x v="955"/>
    <x v="1"/>
    <x v="1"/>
    <s v="PLAZAS"/>
    <d v="2024-02-26T00:00:00"/>
    <d v="1899-12-30T12:46:10"/>
    <n v="6.6"/>
  </r>
  <r>
    <s v="AZQ420"/>
    <x v="321"/>
    <x v="956"/>
    <x v="1"/>
    <x v="1"/>
    <s v="PLAZAS"/>
    <d v="2024-02-26T00:00:00"/>
    <d v="1899-12-30T23:16:33"/>
    <n v="6.6"/>
  </r>
  <r>
    <s v="AZQ420"/>
    <x v="321"/>
    <x v="957"/>
    <x v="1"/>
    <x v="1"/>
    <s v="PLAZAS"/>
    <d v="2024-02-27T00:00:00"/>
    <d v="1899-12-30T10:40:18"/>
    <n v="6.6"/>
  </r>
  <r>
    <s v="AZQ420"/>
    <x v="321"/>
    <x v="958"/>
    <x v="1"/>
    <x v="1"/>
    <s v="PLAZAS"/>
    <d v="2024-02-28T00:00:00"/>
    <d v="1899-12-30T20:29:08"/>
    <n v="6.6"/>
  </r>
  <r>
    <s v="AXE507"/>
    <x v="322"/>
    <x v="2"/>
    <x v="2"/>
    <x v="1"/>
    <s v="PLAZAS"/>
    <d v="2024-02-27T00:00:00"/>
    <d v="1899-12-30T23:10:44"/>
    <n v="6.6"/>
  </r>
  <r>
    <s v="AXE507"/>
    <x v="322"/>
    <x v="2"/>
    <x v="2"/>
    <x v="1"/>
    <s v="PLAZAS"/>
    <d v="2024-02-27T00:00:00"/>
    <d v="1899-12-30T23:18:14"/>
    <n v="6.6"/>
  </r>
  <r>
    <s v="AXE507"/>
    <x v="322"/>
    <x v="2"/>
    <x v="2"/>
    <x v="1"/>
    <s v="PLAZAS"/>
    <d v="2024-02-28T00:00:00"/>
    <d v="1899-12-30T23:07:44"/>
    <n v="6.6"/>
  </r>
  <r>
    <s v="AXE507"/>
    <x v="322"/>
    <x v="2"/>
    <x v="2"/>
    <x v="1"/>
    <s v="PLAZAS"/>
    <d v="2024-02-28T00:00:00"/>
    <d v="1899-12-30T23:15:23"/>
    <n v="6.6"/>
  </r>
  <r>
    <s v="AMF659"/>
    <x v="323"/>
    <x v="2"/>
    <x v="2"/>
    <x v="1"/>
    <s v="URBANO"/>
    <d v="2024-02-26T00:00:00"/>
    <d v="1899-12-30T08:34:35"/>
    <n v="6.6"/>
  </r>
  <r>
    <s v="AMF659"/>
    <x v="323"/>
    <x v="2"/>
    <x v="2"/>
    <x v="1"/>
    <s v="URBANO"/>
    <d v="2024-02-27T00:00:00"/>
    <d v="1899-12-30T12:33:40"/>
    <n v="6.6"/>
  </r>
  <r>
    <s v="AMF659"/>
    <x v="323"/>
    <x v="959"/>
    <x v="1"/>
    <x v="1"/>
    <s v="URBANO"/>
    <d v="2024-02-28T00:00:00"/>
    <d v="1899-12-30T21:01:43"/>
    <n v="6.6"/>
  </r>
  <r>
    <s v="Z6V443"/>
    <x v="324"/>
    <x v="2"/>
    <x v="2"/>
    <x v="1"/>
    <s v="PLAZAS"/>
    <d v="2024-02-26T00:00:00"/>
    <d v="1899-12-30T07:12:10"/>
    <n v="6.6"/>
  </r>
  <r>
    <s v="Z6V443"/>
    <x v="324"/>
    <x v="960"/>
    <x v="1"/>
    <x v="1"/>
    <s v="PLAZAS"/>
    <d v="2024-02-26T00:00:00"/>
    <d v="1899-12-30T09:09:04"/>
    <n v="6.6"/>
  </r>
  <r>
    <s v="Z6V443"/>
    <x v="324"/>
    <x v="960"/>
    <x v="1"/>
    <x v="1"/>
    <s v="PLAZAS"/>
    <d v="2024-02-26T00:00:00"/>
    <d v="1899-12-30T09:20:58"/>
    <n v="6.6"/>
  </r>
  <r>
    <s v="Z6V443"/>
    <x v="324"/>
    <x v="961"/>
    <x v="1"/>
    <x v="1"/>
    <s v="PLAZAS"/>
    <d v="2024-02-26T00:00:00"/>
    <d v="1899-12-30T14:12:45"/>
    <n v="6.6"/>
  </r>
  <r>
    <s v="Z6V443"/>
    <x v="324"/>
    <x v="2"/>
    <x v="2"/>
    <x v="1"/>
    <s v="PLAZAS"/>
    <d v="2024-02-26T00:00:00"/>
    <d v="1899-12-30T15:27:12"/>
    <n v="6.6"/>
  </r>
  <r>
    <s v="Z6V443"/>
    <x v="324"/>
    <x v="2"/>
    <x v="2"/>
    <x v="1"/>
    <s v="PLAZAS"/>
    <d v="2024-02-27T00:00:00"/>
    <d v="1899-12-30T06:41:54"/>
    <n v="6.6"/>
  </r>
  <r>
    <s v="Z6V443"/>
    <x v="324"/>
    <x v="962"/>
    <x v="1"/>
    <x v="1"/>
    <s v="PLAZAS"/>
    <d v="2024-02-27T00:00:00"/>
    <d v="1899-12-30T07:34:11"/>
    <n v="6.6"/>
  </r>
  <r>
    <s v="Z6V443"/>
    <x v="324"/>
    <x v="2"/>
    <x v="2"/>
    <x v="1"/>
    <s v="PLAZAS"/>
    <d v="2024-02-27T00:00:00"/>
    <d v="1899-12-30T15:35:37"/>
    <n v="6.6"/>
  </r>
  <r>
    <s v="Z6V443"/>
    <x v="324"/>
    <x v="2"/>
    <x v="2"/>
    <x v="1"/>
    <s v="PLAZAS"/>
    <d v="2024-02-27T00:00:00"/>
    <d v="1899-12-30T17:13:31"/>
    <n v="6.6"/>
  </r>
  <r>
    <s v="Z6V443"/>
    <x v="324"/>
    <x v="2"/>
    <x v="2"/>
    <x v="1"/>
    <s v="PLAZAS"/>
    <d v="2024-02-27T00:00:00"/>
    <d v="1899-12-30T17:43:01"/>
    <n v="6.6"/>
  </r>
  <r>
    <s v="Z6V443"/>
    <x v="324"/>
    <x v="2"/>
    <x v="2"/>
    <x v="1"/>
    <s v="PLAZAS"/>
    <d v="2024-02-28T00:00:00"/>
    <d v="1899-12-30T07:47:54"/>
    <n v="6.6"/>
  </r>
  <r>
    <s v="Z6V443"/>
    <x v="324"/>
    <x v="2"/>
    <x v="2"/>
    <x v="1"/>
    <s v="PLAZAS"/>
    <d v="2024-02-28T00:00:00"/>
    <d v="1899-12-30T16:15:41"/>
    <n v="6.6"/>
  </r>
  <r>
    <s v="Z6V443"/>
    <x v="324"/>
    <x v="2"/>
    <x v="2"/>
    <x v="1"/>
    <s v="PLAZAS"/>
    <d v="2024-02-28T00:00:00"/>
    <d v="1899-12-30T17:42:59"/>
    <n v="6.6"/>
  </r>
  <r>
    <s v="Z6V443"/>
    <x v="324"/>
    <x v="2"/>
    <x v="2"/>
    <x v="1"/>
    <s v="PLAZAS"/>
    <d v="2024-02-28T00:00:00"/>
    <d v="1899-12-30T17:58:24"/>
    <n v="6.6"/>
  </r>
  <r>
    <s v="Z6V443"/>
    <x v="324"/>
    <x v="2"/>
    <x v="2"/>
    <x v="1"/>
    <s v="PLAZAS"/>
    <d v="2024-02-29T00:00:00"/>
    <d v="1899-12-30T06:46:58"/>
    <n v="6.6"/>
  </r>
  <r>
    <s v="Z6V443"/>
    <x v="324"/>
    <x v="963"/>
    <x v="1"/>
    <x v="1"/>
    <s v="PLAZAS"/>
    <d v="2024-02-29T00:00:00"/>
    <d v="1899-12-30T07:47:31"/>
    <n v="6.6"/>
  </r>
  <r>
    <s v="Z6V443"/>
    <x v="324"/>
    <x v="2"/>
    <x v="2"/>
    <x v="1"/>
    <s v="PLAZAS"/>
    <d v="2024-02-29T00:00:00"/>
    <d v="1899-12-30T17:07:42"/>
    <n v="6.6"/>
  </r>
  <r>
    <s v="Z6V443"/>
    <x v="324"/>
    <x v="964"/>
    <x v="1"/>
    <x v="1"/>
    <s v="PLAZAS"/>
    <d v="2024-02-29T00:00:00"/>
    <d v="1899-12-30T18:00:33"/>
    <n v="6.6"/>
  </r>
  <r>
    <s v="Z6V443"/>
    <x v="324"/>
    <x v="965"/>
    <x v="1"/>
    <x v="1"/>
    <s v="PLAZAS"/>
    <d v="2024-02-29T00:00:00"/>
    <d v="1899-12-30T20:02:42"/>
    <n v="6.6"/>
  </r>
  <r>
    <s v="Z6V443"/>
    <x v="324"/>
    <x v="965"/>
    <x v="1"/>
    <x v="1"/>
    <s v="PLAZAS"/>
    <d v="2024-02-29T00:00:00"/>
    <d v="1899-12-30T20:29:38"/>
    <n v="6.6"/>
  </r>
  <r>
    <s v="BCJ418"/>
    <x v="325"/>
    <x v="2"/>
    <x v="2"/>
    <x v="1"/>
    <s v="PLAZAS"/>
    <d v="2024-02-26T00:00:00"/>
    <d v="1899-12-30T12:45:12"/>
    <n v="6.6"/>
  </r>
  <r>
    <s v="BCJ418"/>
    <x v="325"/>
    <x v="2"/>
    <x v="2"/>
    <x v="1"/>
    <s v="PLAZAS"/>
    <d v="2024-02-27T00:00:00"/>
    <d v="1899-12-30T09:07:26"/>
    <n v="6.6"/>
  </r>
  <r>
    <s v="BCJ418"/>
    <x v="325"/>
    <x v="2"/>
    <x v="2"/>
    <x v="1"/>
    <s v="PLAZAS"/>
    <d v="2024-02-27T00:00:00"/>
    <d v="1899-12-30T16:22:29"/>
    <n v="6.6"/>
  </r>
  <r>
    <s v="BCJ418"/>
    <x v="325"/>
    <x v="2"/>
    <x v="2"/>
    <x v="1"/>
    <s v="PLAZAS"/>
    <d v="2024-02-27T00:00:00"/>
    <d v="1899-12-30T22:43:32"/>
    <n v="6.6"/>
  </r>
  <r>
    <s v="BCJ418"/>
    <x v="325"/>
    <x v="2"/>
    <x v="2"/>
    <x v="1"/>
    <s v="PLAZAS"/>
    <d v="2024-02-29T00:00:00"/>
    <d v="1899-12-30T13:35:58"/>
    <n v="6.6"/>
  </r>
  <r>
    <s v="CDN520"/>
    <x v="326"/>
    <x v="966"/>
    <x v="1"/>
    <x v="1"/>
    <s v="PLAZAS"/>
    <d v="2024-02-26T00:00:00"/>
    <d v="1899-12-30T21:46:43"/>
    <n v="6.6"/>
  </r>
  <r>
    <s v="CDN520"/>
    <x v="326"/>
    <x v="966"/>
    <x v="1"/>
    <x v="1"/>
    <s v="PLAZAS"/>
    <d v="2024-02-26T00:00:00"/>
    <d v="1899-12-30T21:56:42"/>
    <n v="6.6"/>
  </r>
  <r>
    <s v="CDN520"/>
    <x v="326"/>
    <x v="967"/>
    <x v="1"/>
    <x v="1"/>
    <s v="PLAZAS"/>
    <d v="2024-02-29T00:00:00"/>
    <d v="1899-12-30T19:32:25"/>
    <n v="6.6"/>
  </r>
  <r>
    <s v="CDN520"/>
    <x v="326"/>
    <x v="967"/>
    <x v="1"/>
    <x v="1"/>
    <s v="PLAZAS"/>
    <d v="2024-02-29T00:00:00"/>
    <d v="1899-12-30T19:43:36"/>
    <n v="6.6"/>
  </r>
  <r>
    <s v="CDN520"/>
    <x v="326"/>
    <x v="968"/>
    <x v="1"/>
    <x v="1"/>
    <s v="PLAZAS"/>
    <d v="2024-02-29T00:00:00"/>
    <d v="1899-12-30T22:31:32"/>
    <n v="6.6"/>
  </r>
  <r>
    <s v="CDN520"/>
    <x v="326"/>
    <x v="968"/>
    <x v="1"/>
    <x v="1"/>
    <s v="PLAZAS"/>
    <d v="2024-02-29T00:00:00"/>
    <d v="1899-12-30T22:41:05"/>
    <n v="6.6"/>
  </r>
  <r>
    <s v="BPI301"/>
    <x v="327"/>
    <x v="2"/>
    <x v="2"/>
    <x v="1"/>
    <s v="PLAZAS"/>
    <d v="2024-02-26T00:00:00"/>
    <d v="1899-12-30T13:19:12"/>
    <n v="6.6"/>
  </r>
  <r>
    <s v="BPI301"/>
    <x v="327"/>
    <x v="2"/>
    <x v="2"/>
    <x v="1"/>
    <s v="PLAZAS"/>
    <d v="2024-02-26T00:00:00"/>
    <d v="1899-12-30T13:27:55"/>
    <n v="6.6"/>
  </r>
  <r>
    <s v="BPI301"/>
    <x v="327"/>
    <x v="969"/>
    <x v="1"/>
    <x v="1"/>
    <s v="PLAZAS"/>
    <d v="2024-02-26T00:00:00"/>
    <d v="1899-12-30T14:12:12"/>
    <n v="6.6"/>
  </r>
  <r>
    <s v="BPI301"/>
    <x v="327"/>
    <x v="969"/>
    <x v="1"/>
    <x v="1"/>
    <s v="PLAZAS"/>
    <d v="2024-02-26T00:00:00"/>
    <d v="1899-12-30T14:23:41"/>
    <n v="6.6"/>
  </r>
  <r>
    <s v="BPI301"/>
    <x v="327"/>
    <x v="2"/>
    <x v="2"/>
    <x v="1"/>
    <s v="PLAZAS"/>
    <d v="2024-02-26T00:00:00"/>
    <d v="1899-12-30T14:44:21"/>
    <n v="6.6"/>
  </r>
  <r>
    <s v="BPI301"/>
    <x v="327"/>
    <x v="970"/>
    <x v="3"/>
    <x v="1"/>
    <s v="PLAZAS"/>
    <d v="2024-02-29T00:00:00"/>
    <d v="1899-12-30T16:46:08"/>
    <n v="6.6"/>
  </r>
  <r>
    <s v="BPI301"/>
    <x v="327"/>
    <x v="970"/>
    <x v="3"/>
    <x v="1"/>
    <s v="PLAZAS"/>
    <d v="2024-02-29T00:00:00"/>
    <d v="1899-12-30T16:59:48"/>
    <n v="6.6"/>
  </r>
  <r>
    <s v="BPI301"/>
    <x v="327"/>
    <x v="971"/>
    <x v="1"/>
    <x v="1"/>
    <s v="PLAZAS"/>
    <d v="2024-02-29T00:00:00"/>
    <d v="1899-12-30T18:48:19"/>
    <n v="6.6"/>
  </r>
  <r>
    <s v="BPI301"/>
    <x v="327"/>
    <x v="971"/>
    <x v="1"/>
    <x v="1"/>
    <s v="PLAZAS"/>
    <d v="2024-02-29T00:00:00"/>
    <d v="1899-12-30T19:00:06"/>
    <n v="6.6"/>
  </r>
  <r>
    <s v="AUJ076"/>
    <x v="328"/>
    <x v="2"/>
    <x v="2"/>
    <x v="1"/>
    <s v="PLAZAS"/>
    <d v="2024-02-26T00:00:00"/>
    <d v="1899-12-30T14:04:33"/>
    <n v="6.6"/>
  </r>
  <r>
    <s v="AUJ076"/>
    <x v="328"/>
    <x v="972"/>
    <x v="3"/>
    <x v="1"/>
    <s v="PLAZAS"/>
    <d v="2024-02-26T00:00:00"/>
    <d v="1899-12-30T14:12:18"/>
    <n v="6.6"/>
  </r>
  <r>
    <s v="CCU585"/>
    <x v="329"/>
    <x v="973"/>
    <x v="3"/>
    <x v="1"/>
    <s v="PLAZAS"/>
    <d v="2024-02-29T00:00:00"/>
    <d v="1899-12-30T08:47:49"/>
    <n v="6.6"/>
  </r>
  <r>
    <s v="CCU585"/>
    <x v="329"/>
    <x v="973"/>
    <x v="3"/>
    <x v="1"/>
    <s v="PLAZAS"/>
    <d v="2024-02-29T00:00:00"/>
    <d v="1899-12-30T08:58:22"/>
    <n v="6.6"/>
  </r>
  <r>
    <s v="BPZ593"/>
    <x v="330"/>
    <x v="974"/>
    <x v="0"/>
    <x v="1"/>
    <s v="PLAZAS"/>
    <d v="2024-02-26T00:00:00"/>
    <d v="1899-12-30T12:10:52"/>
    <n v="6.6"/>
  </r>
  <r>
    <s v="BPZ593"/>
    <x v="330"/>
    <x v="974"/>
    <x v="0"/>
    <x v="1"/>
    <s v="PLAZAS"/>
    <d v="2024-02-26T00:00:00"/>
    <d v="1899-12-30T12:19:02"/>
    <n v="6.6"/>
  </r>
  <r>
    <s v="BPZ593"/>
    <x v="330"/>
    <x v="2"/>
    <x v="2"/>
    <x v="1"/>
    <s v="PLAZAS"/>
    <d v="2024-02-26T00:00:00"/>
    <d v="1899-12-30T20:50:04"/>
    <n v="6.6"/>
  </r>
  <r>
    <s v="BPZ593"/>
    <x v="330"/>
    <x v="975"/>
    <x v="1"/>
    <x v="1"/>
    <s v="PLAZAS"/>
    <d v="2024-02-27T00:00:00"/>
    <d v="1899-12-30T13:13:52"/>
    <n v="6.6"/>
  </r>
  <r>
    <s v="BPZ593"/>
    <x v="330"/>
    <x v="975"/>
    <x v="1"/>
    <x v="1"/>
    <s v="PLAZAS"/>
    <d v="2024-02-27T00:00:00"/>
    <d v="1899-12-30T13:29:52"/>
    <n v="6.6"/>
  </r>
  <r>
    <s v="BPZ593"/>
    <x v="330"/>
    <x v="2"/>
    <x v="2"/>
    <x v="1"/>
    <s v="PLAZAS"/>
    <d v="2024-02-27T00:00:00"/>
    <d v="1899-12-30T21:32:24"/>
    <n v="6.6"/>
  </r>
  <r>
    <s v="BPZ593"/>
    <x v="330"/>
    <x v="976"/>
    <x v="1"/>
    <x v="1"/>
    <s v="PLAZAS"/>
    <d v="2024-02-28T00:00:00"/>
    <d v="1899-12-30T19:32:25"/>
    <n v="6.6"/>
  </r>
  <r>
    <s v="BPZ593"/>
    <x v="330"/>
    <x v="2"/>
    <x v="2"/>
    <x v="1"/>
    <s v="PLAZAS"/>
    <d v="2024-02-29T00:00:00"/>
    <d v="1899-12-30T08:24:32"/>
    <n v="6.6"/>
  </r>
  <r>
    <s v="BPZ593"/>
    <x v="330"/>
    <x v="2"/>
    <x v="2"/>
    <x v="1"/>
    <s v="PLAZAS"/>
    <d v="2024-02-29T00:00:00"/>
    <d v="1899-12-30T08:32:35"/>
    <n v="6.6"/>
  </r>
  <r>
    <s v="BPZ593"/>
    <x v="330"/>
    <x v="977"/>
    <x v="0"/>
    <x v="1"/>
    <s v="PLAZAS"/>
    <d v="2024-02-29T00:00:00"/>
    <d v="1899-12-30T16:29:48"/>
    <n v="6.6"/>
  </r>
  <r>
    <s v="BPZ593"/>
    <x v="330"/>
    <x v="977"/>
    <x v="0"/>
    <x v="1"/>
    <s v="PLAZAS"/>
    <d v="2024-02-29T00:00:00"/>
    <d v="1899-12-30T16:39:12"/>
    <n v="6.6"/>
  </r>
  <r>
    <s v="BVP590"/>
    <x v="331"/>
    <x v="978"/>
    <x v="1"/>
    <x v="0"/>
    <s v="AEROPUERTO"/>
    <d v="2024-02-26T00:00:00"/>
    <d v="1899-12-30T08:10:01"/>
    <n v="6.6"/>
  </r>
  <r>
    <s v="BVP590"/>
    <x v="331"/>
    <x v="2"/>
    <x v="2"/>
    <x v="0"/>
    <s v="AEROPUERTO"/>
    <d v="2024-02-26T00:00:00"/>
    <d v="1899-12-30T18:23:41"/>
    <n v="6.6"/>
  </r>
  <r>
    <s v="BVP590"/>
    <x v="331"/>
    <x v="979"/>
    <x v="3"/>
    <x v="0"/>
    <s v="AEROPUERTO"/>
    <d v="2024-02-27T00:00:00"/>
    <d v="1899-12-30T08:13:18"/>
    <n v="6.6"/>
  </r>
  <r>
    <s v="BVP590"/>
    <x v="331"/>
    <x v="979"/>
    <x v="3"/>
    <x v="0"/>
    <s v="AEROPUERTO"/>
    <d v="2024-02-27T00:00:00"/>
    <d v="1899-12-30T08:27:11"/>
    <n v="6.6"/>
  </r>
  <r>
    <s v="BVP590"/>
    <x v="331"/>
    <x v="980"/>
    <x v="3"/>
    <x v="0"/>
    <s v="AEROPUERTO"/>
    <d v="2024-02-27T00:00:00"/>
    <d v="1899-12-30T10:42:00"/>
    <n v="6.6"/>
  </r>
  <r>
    <s v="BVP590"/>
    <x v="331"/>
    <x v="980"/>
    <x v="3"/>
    <x v="0"/>
    <s v="AEROPUERTO"/>
    <d v="2024-02-27T00:00:00"/>
    <d v="1899-12-30T10:55:39"/>
    <n v="6.6"/>
  </r>
  <r>
    <s v="BVP590"/>
    <x v="331"/>
    <x v="981"/>
    <x v="1"/>
    <x v="0"/>
    <s v="AEROPUERTO"/>
    <d v="2024-02-27T00:00:00"/>
    <d v="1899-12-30T20:57:54"/>
    <n v="6.6"/>
  </r>
  <r>
    <s v="BVP590"/>
    <x v="331"/>
    <x v="981"/>
    <x v="1"/>
    <x v="0"/>
    <s v="AEROPUERTO"/>
    <d v="2024-02-27T00:00:00"/>
    <d v="1899-12-30T21:07:45"/>
    <n v="6.6"/>
  </r>
  <r>
    <s v="BVP590"/>
    <x v="331"/>
    <x v="2"/>
    <x v="2"/>
    <x v="0"/>
    <s v="AEROPUERTO"/>
    <d v="2024-02-28T00:00:00"/>
    <d v="1899-12-30T13:29:44"/>
    <n v="6.6"/>
  </r>
  <r>
    <s v="BVP590"/>
    <x v="331"/>
    <x v="982"/>
    <x v="1"/>
    <x v="0"/>
    <s v="AEROPUERTO"/>
    <d v="2024-02-28T00:00:00"/>
    <d v="1899-12-30T15:35:48"/>
    <n v="6.6"/>
  </r>
  <r>
    <s v="BVP590"/>
    <x v="331"/>
    <x v="982"/>
    <x v="1"/>
    <x v="0"/>
    <s v="AEROPUERTO"/>
    <d v="2024-02-28T00:00:00"/>
    <d v="1899-12-30T16:05:18"/>
    <n v="6.6"/>
  </r>
  <r>
    <s v="BVP590"/>
    <x v="331"/>
    <x v="983"/>
    <x v="1"/>
    <x v="0"/>
    <s v="AEROPUERTO"/>
    <d v="2024-02-28T00:00:00"/>
    <d v="1899-12-30T18:10:14"/>
    <n v="6.6"/>
  </r>
  <r>
    <s v="BVP590"/>
    <x v="331"/>
    <x v="984"/>
    <x v="1"/>
    <x v="0"/>
    <s v="AEROPUERTO"/>
    <d v="2024-02-28T00:00:00"/>
    <d v="1899-12-30T20:29:38"/>
    <n v="6.6"/>
  </r>
  <r>
    <s v="BVP590"/>
    <x v="331"/>
    <x v="984"/>
    <x v="1"/>
    <x v="0"/>
    <s v="AEROPUERTO"/>
    <d v="2024-02-28T00:00:00"/>
    <d v="1899-12-30T20:40:01"/>
    <n v="6.6"/>
  </r>
  <r>
    <s v="BVP590"/>
    <x v="331"/>
    <x v="985"/>
    <x v="1"/>
    <x v="0"/>
    <s v="AEROPUERTO"/>
    <d v="2024-02-29T00:00:00"/>
    <d v="1899-12-30T08:17:55"/>
    <n v="6.6"/>
  </r>
  <r>
    <s v="BVP590"/>
    <x v="331"/>
    <x v="986"/>
    <x v="3"/>
    <x v="0"/>
    <s v="AEROPUERTO"/>
    <d v="2024-02-29T00:00:00"/>
    <d v="1899-12-30T12:57:56"/>
    <n v="6.6"/>
  </r>
  <r>
    <s v="BVP590"/>
    <x v="331"/>
    <x v="986"/>
    <x v="3"/>
    <x v="0"/>
    <s v="AEROPUERTO"/>
    <d v="2024-02-29T00:00:00"/>
    <d v="1899-12-30T13:08:08"/>
    <n v="6.6"/>
  </r>
  <r>
    <s v="BVP590"/>
    <x v="331"/>
    <x v="2"/>
    <x v="2"/>
    <x v="0"/>
    <s v="AEROPUERTO"/>
    <d v="2024-02-29T00:00:00"/>
    <d v="1899-12-30T18:07:20"/>
    <n v="6.6"/>
  </r>
  <r>
    <s v="BVP590"/>
    <x v="331"/>
    <x v="2"/>
    <x v="2"/>
    <x v="0"/>
    <s v="AEROPUERTO"/>
    <d v="2024-02-29T00:00:00"/>
    <d v="1899-12-30T18:33:39"/>
    <n v="6.6"/>
  </r>
  <r>
    <s v="CAW577"/>
    <x v="332"/>
    <x v="2"/>
    <x v="2"/>
    <x v="1"/>
    <s v="PLAZAS"/>
    <d v="2024-02-26T00:00:00"/>
    <d v="1899-12-30T14:06:05"/>
    <n v="6.6"/>
  </r>
  <r>
    <s v="CAW577"/>
    <x v="332"/>
    <x v="2"/>
    <x v="2"/>
    <x v="1"/>
    <s v="PLAZAS"/>
    <d v="2024-02-26T00:00:00"/>
    <d v="1899-12-30T14:14:17"/>
    <n v="6.6"/>
  </r>
  <r>
    <s v="CAW577"/>
    <x v="332"/>
    <x v="2"/>
    <x v="2"/>
    <x v="1"/>
    <s v="PLAZAS"/>
    <d v="2024-02-27T00:00:00"/>
    <d v="1899-12-30T13:11:44"/>
    <n v="6.6"/>
  </r>
  <r>
    <s v="CAW577"/>
    <x v="332"/>
    <x v="2"/>
    <x v="2"/>
    <x v="1"/>
    <s v="PLAZAS"/>
    <d v="2024-02-27T00:00:00"/>
    <d v="1899-12-30T13:27:43"/>
    <n v="6.6"/>
  </r>
  <r>
    <s v="CAW577"/>
    <x v="332"/>
    <x v="2"/>
    <x v="2"/>
    <x v="1"/>
    <s v="PLAZAS"/>
    <d v="2024-02-27T00:00:00"/>
    <d v="1899-12-30T14:54:57"/>
    <n v="6.6"/>
  </r>
  <r>
    <s v="CAW577"/>
    <x v="332"/>
    <x v="2"/>
    <x v="2"/>
    <x v="1"/>
    <s v="PLAZAS"/>
    <d v="2024-02-27T00:00:00"/>
    <d v="1899-12-30T15:07:03"/>
    <n v="6.6"/>
  </r>
  <r>
    <s v="BDT316"/>
    <x v="333"/>
    <x v="2"/>
    <x v="2"/>
    <x v="1"/>
    <s v="URBANO"/>
    <d v="2024-02-26T00:00:00"/>
    <d v="1899-12-30T08:23:21"/>
    <n v="6.6"/>
  </r>
  <r>
    <s v="BDT316"/>
    <x v="333"/>
    <x v="2"/>
    <x v="2"/>
    <x v="1"/>
    <s v="URBANO"/>
    <d v="2024-02-26T00:00:00"/>
    <d v="1899-12-30T08:37:40"/>
    <n v="6.6"/>
  </r>
  <r>
    <s v="BDT316"/>
    <x v="333"/>
    <x v="2"/>
    <x v="2"/>
    <x v="1"/>
    <s v="URBANO"/>
    <d v="2024-02-27T00:00:00"/>
    <d v="1899-12-30T08:57:33"/>
    <n v="6.6"/>
  </r>
  <r>
    <s v="BDT316"/>
    <x v="333"/>
    <x v="2"/>
    <x v="2"/>
    <x v="1"/>
    <s v="URBANO"/>
    <d v="2024-02-27T00:00:00"/>
    <d v="1899-12-30T09:11:28"/>
    <n v="6.6"/>
  </r>
  <r>
    <s v="BDT316"/>
    <x v="333"/>
    <x v="2"/>
    <x v="2"/>
    <x v="1"/>
    <s v="URBANO"/>
    <d v="2024-02-27T00:00:00"/>
    <d v="1899-12-30T22:12:42"/>
    <n v="6.6"/>
  </r>
  <r>
    <s v="BDT316"/>
    <x v="333"/>
    <x v="2"/>
    <x v="2"/>
    <x v="1"/>
    <s v="URBANO"/>
    <d v="2024-02-28T00:00:00"/>
    <d v="1899-12-30T03:17:19"/>
    <n v="6.6"/>
  </r>
  <r>
    <s v="BDT316"/>
    <x v="333"/>
    <x v="2"/>
    <x v="2"/>
    <x v="1"/>
    <s v="URBANO"/>
    <d v="2024-02-28T00:00:00"/>
    <d v="1899-12-30T08:51:47"/>
    <n v="6.6"/>
  </r>
  <r>
    <s v="CJF133"/>
    <x v="334"/>
    <x v="987"/>
    <x v="1"/>
    <x v="0"/>
    <s v="AEROPUERTO"/>
    <d v="2024-02-28T00:00:00"/>
    <d v="1899-12-30T16:27:32"/>
    <n v="6.6"/>
  </r>
  <r>
    <s v="CJF133"/>
    <x v="334"/>
    <x v="987"/>
    <x v="1"/>
    <x v="0"/>
    <s v="AEROPUERTO"/>
    <d v="2024-02-28T00:00:00"/>
    <d v="1899-12-30T17:15:23"/>
    <n v="6.6"/>
  </r>
  <r>
    <s v="CJF133"/>
    <x v="334"/>
    <x v="2"/>
    <x v="2"/>
    <x v="0"/>
    <s v="AEROPUERTO"/>
    <d v="2024-02-28T00:00:00"/>
    <d v="1899-12-30T18:34:17"/>
    <n v="6.6"/>
  </r>
  <r>
    <s v="CJF133"/>
    <x v="334"/>
    <x v="2"/>
    <x v="2"/>
    <x v="0"/>
    <s v="AEROPUERTO"/>
    <d v="2024-02-28T00:00:00"/>
    <d v="1899-12-30T19:04:47"/>
    <n v="6.6"/>
  </r>
  <r>
    <s v="CJF133"/>
    <x v="334"/>
    <x v="988"/>
    <x v="3"/>
    <x v="0"/>
    <s v="AEROPUERTO"/>
    <d v="2024-02-28T00:00:00"/>
    <d v="1899-12-30T22:32:54"/>
    <n v="6.6"/>
  </r>
  <r>
    <s v="CJF133"/>
    <x v="334"/>
    <x v="2"/>
    <x v="2"/>
    <x v="0"/>
    <s v="AEROPUERTO"/>
    <d v="2024-02-28T00:00:00"/>
    <d v="1899-12-30T22:43:33"/>
    <n v="6.6"/>
  </r>
  <r>
    <s v="CJF133"/>
    <x v="334"/>
    <x v="2"/>
    <x v="2"/>
    <x v="0"/>
    <s v="AEROPUERTO"/>
    <d v="2024-02-29T00:00:00"/>
    <d v="1899-12-30T18:09:50"/>
    <n v="6.6"/>
  </r>
  <r>
    <s v="CJF133"/>
    <x v="334"/>
    <x v="989"/>
    <x v="1"/>
    <x v="0"/>
    <s v="AEROPUERTO"/>
    <d v="2024-02-29T00:00:00"/>
    <d v="1899-12-30T18:24:03"/>
    <n v="6.6"/>
  </r>
  <r>
    <s v="CJF133"/>
    <x v="334"/>
    <x v="989"/>
    <x v="1"/>
    <x v="0"/>
    <s v="AEROPUERTO"/>
    <d v="2024-02-29T00:00:00"/>
    <d v="1899-12-30T18:48:27"/>
    <n v="6.6"/>
  </r>
  <r>
    <s v="CJF133"/>
    <x v="334"/>
    <x v="989"/>
    <x v="3"/>
    <x v="0"/>
    <s v="AEROPUERTO"/>
    <d v="2024-02-29T00:00:00"/>
    <d v="1899-12-30T19:01:38"/>
    <n v="6.6"/>
  </r>
  <r>
    <s v="Z7H613"/>
    <x v="335"/>
    <x v="990"/>
    <x v="3"/>
    <x v="0"/>
    <s v="AEROPUERTO"/>
    <d v="2024-02-26T00:00:00"/>
    <d v="1899-12-30T17:08:11"/>
    <n v="6.6"/>
  </r>
  <r>
    <s v="Z7H613"/>
    <x v="335"/>
    <x v="990"/>
    <x v="3"/>
    <x v="0"/>
    <s v="AEROPUERTO"/>
    <d v="2024-02-26T00:00:00"/>
    <d v="1899-12-30T19:43:36"/>
    <n v="6.6"/>
  </r>
  <r>
    <s v="Z7H613"/>
    <x v="335"/>
    <x v="990"/>
    <x v="3"/>
    <x v="0"/>
    <s v="AEROPUERTO"/>
    <d v="2024-02-26T00:00:00"/>
    <d v="1899-12-30T20:06:52"/>
    <n v="6.6"/>
  </r>
  <r>
    <s v="Z7H613"/>
    <x v="335"/>
    <x v="991"/>
    <x v="1"/>
    <x v="0"/>
    <s v="AEROPUERTO"/>
    <d v="2024-02-27T00:00:00"/>
    <d v="1899-12-30T00:57:58"/>
    <n v="6.6"/>
  </r>
  <r>
    <s v="Z7H613"/>
    <x v="335"/>
    <x v="991"/>
    <x v="1"/>
    <x v="0"/>
    <s v="AEROPUERTO"/>
    <d v="2024-02-27T00:00:00"/>
    <d v="1899-12-30T01:10:24"/>
    <n v="6.6"/>
  </r>
  <r>
    <s v="Z7H613"/>
    <x v="335"/>
    <x v="2"/>
    <x v="2"/>
    <x v="0"/>
    <s v="AEROPUERTO"/>
    <d v="2024-02-27T00:00:00"/>
    <d v="1899-12-30T01:28:28"/>
    <n v="6.6"/>
  </r>
  <r>
    <s v="Z7H613"/>
    <x v="335"/>
    <x v="992"/>
    <x v="3"/>
    <x v="0"/>
    <s v="AEROPUERTO"/>
    <d v="2024-02-27T00:00:00"/>
    <d v="1899-12-30T18:46:46"/>
    <n v="6.6"/>
  </r>
  <r>
    <s v="Z7H613"/>
    <x v="335"/>
    <x v="993"/>
    <x v="1"/>
    <x v="0"/>
    <s v="AEROPUERTO"/>
    <d v="2024-02-28T00:00:00"/>
    <d v="1899-12-30T00:00:38"/>
    <n v="6.6"/>
  </r>
  <r>
    <s v="Z7H613"/>
    <x v="335"/>
    <x v="993"/>
    <x v="1"/>
    <x v="0"/>
    <s v="AEROPUERTO"/>
    <d v="2024-02-28T00:00:00"/>
    <d v="1899-12-30T00:10:21"/>
    <n v="6.6"/>
  </r>
  <r>
    <s v="Z7H613"/>
    <x v="335"/>
    <x v="2"/>
    <x v="2"/>
    <x v="0"/>
    <s v="AEROPUERTO"/>
    <d v="2024-02-28T00:00:00"/>
    <d v="1899-12-30T00:28:13"/>
    <n v="6.6"/>
  </r>
  <r>
    <s v="Z7H613"/>
    <x v="335"/>
    <x v="2"/>
    <x v="2"/>
    <x v="0"/>
    <s v="AEROPUERTO"/>
    <d v="2024-02-28T00:00:00"/>
    <d v="1899-12-30T15:48:41"/>
    <n v="6.6"/>
  </r>
  <r>
    <s v="Z7H613"/>
    <x v="335"/>
    <x v="994"/>
    <x v="1"/>
    <x v="0"/>
    <s v="AEROPUERTO"/>
    <d v="2024-02-28T00:00:00"/>
    <d v="1899-12-30T19:40:52"/>
    <n v="6.6"/>
  </r>
  <r>
    <s v="Z7H613"/>
    <x v="335"/>
    <x v="994"/>
    <x v="1"/>
    <x v="0"/>
    <s v="AEROPUERTO"/>
    <d v="2024-02-28T00:00:00"/>
    <d v="1899-12-30T19:51:55"/>
    <n v="6.6"/>
  </r>
  <r>
    <s v="Z7H613"/>
    <x v="335"/>
    <x v="2"/>
    <x v="2"/>
    <x v="0"/>
    <s v="AEROPUERTO"/>
    <d v="2024-02-28T00:00:00"/>
    <d v="1899-12-30T20:39:14"/>
    <n v="6.6"/>
  </r>
  <r>
    <s v="Z7H613"/>
    <x v="335"/>
    <x v="2"/>
    <x v="2"/>
    <x v="0"/>
    <s v="AEROPUERTO"/>
    <d v="2024-02-28T00:00:00"/>
    <d v="1899-12-30T20:54:34"/>
    <n v="6.6"/>
  </r>
  <r>
    <s v="Z7H613"/>
    <x v="335"/>
    <x v="995"/>
    <x v="1"/>
    <x v="0"/>
    <s v="AEROPUERTO"/>
    <d v="2024-02-28T00:00:00"/>
    <d v="1899-12-30T22:08:17"/>
    <n v="6.6"/>
  </r>
  <r>
    <s v="Z7H613"/>
    <x v="335"/>
    <x v="2"/>
    <x v="2"/>
    <x v="0"/>
    <s v="AEROPUERTO"/>
    <d v="2024-02-28T00:00:00"/>
    <d v="1899-12-30T23:02:35"/>
    <n v="6.6"/>
  </r>
  <r>
    <s v="Z7H613"/>
    <x v="335"/>
    <x v="2"/>
    <x v="2"/>
    <x v="0"/>
    <s v="AEROPUERTO"/>
    <d v="2024-02-29T00:00:00"/>
    <d v="1899-12-30T15:22:09"/>
    <n v="6.6"/>
  </r>
  <r>
    <s v="BUE615"/>
    <x v="336"/>
    <x v="2"/>
    <x v="2"/>
    <x v="0"/>
    <s v="AEROPUERTO"/>
    <d v="2024-02-26T00:00:00"/>
    <d v="1899-12-30T02:46:20"/>
    <n v="6.6"/>
  </r>
  <r>
    <s v="BUE615"/>
    <x v="336"/>
    <x v="996"/>
    <x v="1"/>
    <x v="0"/>
    <s v="AEROPUERTO"/>
    <d v="2024-02-26T00:00:00"/>
    <d v="1899-12-30T12:35:24"/>
    <n v="6.6"/>
  </r>
  <r>
    <s v="BUE615"/>
    <x v="336"/>
    <x v="996"/>
    <x v="1"/>
    <x v="0"/>
    <s v="AEROPUERTO"/>
    <d v="2024-02-26T00:00:00"/>
    <d v="1899-12-30T12:46:12"/>
    <n v="6.6"/>
  </r>
  <r>
    <s v="BUE615"/>
    <x v="336"/>
    <x v="997"/>
    <x v="1"/>
    <x v="0"/>
    <s v="AEROPUERTO"/>
    <d v="2024-02-28T00:00:00"/>
    <d v="1899-12-30T11:42:09"/>
    <n v="6.6"/>
  </r>
  <r>
    <s v="BUE615"/>
    <x v="336"/>
    <x v="997"/>
    <x v="1"/>
    <x v="0"/>
    <s v="AEROPUERTO"/>
    <d v="2024-02-28T00:00:00"/>
    <d v="1899-12-30T11:52:57"/>
    <n v="6.6"/>
  </r>
  <r>
    <s v="BUE615"/>
    <x v="336"/>
    <x v="998"/>
    <x v="1"/>
    <x v="0"/>
    <s v="AEROPUERTO"/>
    <d v="2024-02-28T00:00:00"/>
    <d v="1899-12-30T22:39:09"/>
    <n v="6.6"/>
  </r>
  <r>
    <s v="BUE615"/>
    <x v="336"/>
    <x v="999"/>
    <x v="1"/>
    <x v="0"/>
    <s v="AEROPUERTO"/>
    <d v="2024-02-29T00:00:00"/>
    <d v="1899-12-30T16:35:02"/>
    <n v="6.6"/>
  </r>
  <r>
    <s v="BUE615"/>
    <x v="336"/>
    <x v="999"/>
    <x v="1"/>
    <x v="0"/>
    <s v="AEROPUERTO"/>
    <d v="2024-02-29T00:00:00"/>
    <d v="1899-12-30T16:46:45"/>
    <n v="6.6"/>
  </r>
  <r>
    <s v="BUE615"/>
    <x v="336"/>
    <x v="2"/>
    <x v="2"/>
    <x v="0"/>
    <s v="AEROPUERTO"/>
    <d v="2024-02-29T00:00:00"/>
    <d v="1899-12-30T17:35:01"/>
    <n v="6.6"/>
  </r>
  <r>
    <s v="BUE615"/>
    <x v="336"/>
    <x v="1000"/>
    <x v="1"/>
    <x v="0"/>
    <s v="AEROPUERTO"/>
    <d v="2024-02-29T00:00:00"/>
    <d v="1899-12-30T18:51:12"/>
    <n v="6.6"/>
  </r>
  <r>
    <s v="BUE615"/>
    <x v="336"/>
    <x v="1000"/>
    <x v="1"/>
    <x v="0"/>
    <s v="AEROPUERTO"/>
    <d v="2024-02-29T00:00:00"/>
    <d v="1899-12-30T19:02:23"/>
    <n v="6.6"/>
  </r>
  <r>
    <s v="BUE615"/>
    <x v="336"/>
    <x v="2"/>
    <x v="2"/>
    <x v="0"/>
    <s v="AEROPUERTO"/>
    <d v="2024-02-29T00:00:00"/>
    <d v="1899-12-30T22:37:30"/>
    <n v="6.6"/>
  </r>
  <r>
    <s v="BUE615"/>
    <x v="336"/>
    <x v="2"/>
    <x v="2"/>
    <x v="0"/>
    <s v="AEROPUERTO"/>
    <d v="2024-02-29T00:00:00"/>
    <d v="1899-12-30T22:57:51"/>
    <n v="6.6"/>
  </r>
  <r>
    <s v="AAI176"/>
    <x v="337"/>
    <x v="1001"/>
    <x v="1"/>
    <x v="0"/>
    <s v="AEROPUERTO"/>
    <d v="2024-02-29T00:00:00"/>
    <d v="1899-12-30T12:33:08"/>
    <n v="6.6"/>
  </r>
  <r>
    <s v="AAI176"/>
    <x v="337"/>
    <x v="1001"/>
    <x v="1"/>
    <x v="0"/>
    <s v="AEROPUERTO"/>
    <d v="2024-02-29T00:00:00"/>
    <d v="1899-12-30T12:43:54"/>
    <n v="6.6"/>
  </r>
  <r>
    <s v="AAI176"/>
    <x v="337"/>
    <x v="2"/>
    <x v="2"/>
    <x v="0"/>
    <s v="AEROPUERTO"/>
    <d v="2024-02-29T00:00:00"/>
    <d v="1899-12-30T15:44:21"/>
    <n v="6.6"/>
  </r>
  <r>
    <s v="AAI176"/>
    <x v="337"/>
    <x v="2"/>
    <x v="2"/>
    <x v="0"/>
    <s v="AEROPUERTO"/>
    <d v="2024-02-29T00:00:00"/>
    <d v="1899-12-30T15:52:44"/>
    <n v="6.6"/>
  </r>
  <r>
    <s v="ASN567"/>
    <x v="338"/>
    <x v="1002"/>
    <x v="1"/>
    <x v="1"/>
    <s v="PLAZAS"/>
    <d v="2024-02-28T00:00:00"/>
    <d v="1899-12-30T07:25:46"/>
    <n v="6.6"/>
  </r>
  <r>
    <s v="ASN567"/>
    <x v="338"/>
    <x v="1003"/>
    <x v="1"/>
    <x v="1"/>
    <s v="PLAZAS"/>
    <d v="2024-02-29T00:00:00"/>
    <d v="1899-12-30T07:42:15"/>
    <n v="6.6"/>
  </r>
  <r>
    <s v="ASN567"/>
    <x v="338"/>
    <x v="1003"/>
    <x v="1"/>
    <x v="1"/>
    <s v="PLAZAS"/>
    <d v="2024-02-29T00:00:00"/>
    <d v="1899-12-30T07:51:13"/>
    <n v="6.6"/>
  </r>
  <r>
    <s v="ASN567"/>
    <x v="338"/>
    <x v="1004"/>
    <x v="1"/>
    <x v="1"/>
    <s v="PLAZAS"/>
    <d v="2024-02-29T00:00:00"/>
    <d v="1899-12-30T08:57:52"/>
    <n v="6.6"/>
  </r>
  <r>
    <s v="ASN567"/>
    <x v="338"/>
    <x v="1004"/>
    <x v="1"/>
    <x v="1"/>
    <s v="PLAZAS"/>
    <d v="2024-02-29T00:00:00"/>
    <d v="1899-12-30T09:17:35"/>
    <n v="6.6"/>
  </r>
  <r>
    <s v="BYB491"/>
    <x v="339"/>
    <x v="1005"/>
    <x v="1"/>
    <x v="1"/>
    <s v="PLAZAS"/>
    <d v="2024-02-27T00:00:00"/>
    <d v="1899-12-30T07:54:53"/>
    <n v="6.6"/>
  </r>
  <r>
    <s v="BYB491"/>
    <x v="339"/>
    <x v="1005"/>
    <x v="1"/>
    <x v="1"/>
    <s v="PLAZAS"/>
    <d v="2024-02-27T00:00:00"/>
    <d v="1899-12-30T08:06:42"/>
    <n v="6.6"/>
  </r>
  <r>
    <s v="BYB491"/>
    <x v="339"/>
    <x v="1006"/>
    <x v="1"/>
    <x v="1"/>
    <s v="PLAZAS"/>
    <d v="2024-02-28T00:00:00"/>
    <d v="1899-12-30T07:23:10"/>
    <n v="6.6"/>
  </r>
  <r>
    <s v="BYB491"/>
    <x v="339"/>
    <x v="1007"/>
    <x v="1"/>
    <x v="1"/>
    <s v="PLAZAS"/>
    <d v="2024-02-29T00:00:00"/>
    <d v="1899-12-30T07:46:24"/>
    <n v="6.6"/>
  </r>
  <r>
    <s v="BYB491"/>
    <x v="339"/>
    <x v="1007"/>
    <x v="1"/>
    <x v="1"/>
    <s v="PLAZAS"/>
    <d v="2024-02-29T00:00:00"/>
    <d v="1899-12-30T07:55:32"/>
    <n v="6.6"/>
  </r>
  <r>
    <s v="BYB491"/>
    <x v="339"/>
    <x v="2"/>
    <x v="2"/>
    <x v="1"/>
    <s v="PLAZAS"/>
    <d v="2024-02-29T00:00:00"/>
    <d v="1899-12-30T17:25:07"/>
    <n v="6.6"/>
  </r>
  <r>
    <s v="BYB491"/>
    <x v="339"/>
    <x v="2"/>
    <x v="2"/>
    <x v="1"/>
    <s v="PLAZAS"/>
    <d v="2024-02-29T00:00:00"/>
    <d v="1899-12-30T17:46:03"/>
    <n v="6.6"/>
  </r>
  <r>
    <s v="AZH051"/>
    <x v="340"/>
    <x v="2"/>
    <x v="2"/>
    <x v="1"/>
    <s v="PLAZAS"/>
    <d v="2024-02-26T00:00:00"/>
    <d v="1899-12-30T00:09:17"/>
    <n v="6.6"/>
  </r>
  <r>
    <s v="AZH051"/>
    <x v="340"/>
    <x v="1008"/>
    <x v="3"/>
    <x v="1"/>
    <s v="PLAZAS"/>
    <d v="2024-02-27T00:00:00"/>
    <d v="1899-12-30T20:04:26"/>
    <n v="6.6"/>
  </r>
  <r>
    <s v="AZH051"/>
    <x v="340"/>
    <x v="2"/>
    <x v="2"/>
    <x v="1"/>
    <s v="PLAZAS"/>
    <d v="2024-02-28T00:00:00"/>
    <d v="1899-12-30T16:05:29"/>
    <n v="6.6"/>
  </r>
  <r>
    <s v="BJJ567"/>
    <x v="341"/>
    <x v="2"/>
    <x v="2"/>
    <x v="0"/>
    <s v="AEROPUERTO"/>
    <d v="2024-02-26T00:00:00"/>
    <d v="1899-12-30T00:18:47"/>
    <n v="6.6"/>
  </r>
  <r>
    <s v="BJJ567"/>
    <x v="341"/>
    <x v="2"/>
    <x v="2"/>
    <x v="0"/>
    <s v="AEROPUERTO"/>
    <d v="2024-02-26T00:00:00"/>
    <d v="1899-12-30T00:25:17"/>
    <n v="6.6"/>
  </r>
  <r>
    <s v="BJJ567"/>
    <x v="341"/>
    <x v="1009"/>
    <x v="1"/>
    <x v="0"/>
    <s v="AEROPUERTO"/>
    <d v="2024-02-26T00:00:00"/>
    <d v="1899-12-30T05:37:10"/>
    <n v="6.6"/>
  </r>
  <r>
    <s v="BJJ567"/>
    <x v="341"/>
    <x v="1009"/>
    <x v="1"/>
    <x v="0"/>
    <s v="AEROPUERTO"/>
    <d v="2024-02-26T00:00:00"/>
    <d v="1899-12-30T05:48:14"/>
    <n v="6.6"/>
  </r>
  <r>
    <s v="BJJ567"/>
    <x v="341"/>
    <x v="1010"/>
    <x v="3"/>
    <x v="0"/>
    <s v="AEROPUERTO"/>
    <d v="2024-02-26T00:00:00"/>
    <d v="1899-12-30T06:27:10"/>
    <n v="6.6"/>
  </r>
  <r>
    <s v="BJJ567"/>
    <x v="341"/>
    <x v="1010"/>
    <x v="3"/>
    <x v="0"/>
    <s v="AEROPUERTO"/>
    <d v="2024-02-26T00:00:00"/>
    <d v="1899-12-30T07:02:43"/>
    <n v="6.6"/>
  </r>
  <r>
    <s v="BJJ567"/>
    <x v="341"/>
    <x v="1010"/>
    <x v="3"/>
    <x v="0"/>
    <s v="AEROPUERTO"/>
    <d v="2024-02-26T00:00:00"/>
    <d v="1899-12-30T07:11:13"/>
    <n v="6.6"/>
  </r>
  <r>
    <s v="BJJ567"/>
    <x v="341"/>
    <x v="1011"/>
    <x v="1"/>
    <x v="0"/>
    <s v="AEROPUERTO"/>
    <d v="2024-02-26T00:00:00"/>
    <d v="1899-12-30T22:06:42"/>
    <n v="6.6"/>
  </r>
  <r>
    <s v="BJJ567"/>
    <x v="341"/>
    <x v="1011"/>
    <x v="1"/>
    <x v="0"/>
    <s v="AEROPUERTO"/>
    <d v="2024-02-26T00:00:00"/>
    <d v="1899-12-30T22:13:02"/>
    <n v="6.6"/>
  </r>
  <r>
    <s v="BJJ567"/>
    <x v="341"/>
    <x v="2"/>
    <x v="2"/>
    <x v="0"/>
    <s v="AEROPUERTO"/>
    <d v="2024-02-26T00:00:00"/>
    <d v="1899-12-30T22:39:43"/>
    <n v="6.6"/>
  </r>
  <r>
    <s v="BJJ567"/>
    <x v="341"/>
    <x v="2"/>
    <x v="2"/>
    <x v="0"/>
    <s v="AEROPUERTO"/>
    <d v="2024-02-26T00:00:00"/>
    <d v="1899-12-30T22:42:56"/>
    <n v="6.6"/>
  </r>
  <r>
    <s v="BJJ567"/>
    <x v="341"/>
    <x v="1012"/>
    <x v="1"/>
    <x v="0"/>
    <s v="AEROPUERTO"/>
    <d v="2024-02-27T00:00:00"/>
    <d v="1899-12-30T05:30:21"/>
    <n v="6.6"/>
  </r>
  <r>
    <s v="BJJ567"/>
    <x v="341"/>
    <x v="1012"/>
    <x v="1"/>
    <x v="0"/>
    <s v="AEROPUERTO"/>
    <d v="2024-02-27T00:00:00"/>
    <d v="1899-12-30T05:40:01"/>
    <n v="6.6"/>
  </r>
  <r>
    <s v="BJJ567"/>
    <x v="341"/>
    <x v="1013"/>
    <x v="1"/>
    <x v="0"/>
    <s v="AEROPUERTO"/>
    <d v="2024-02-29T00:00:00"/>
    <d v="1899-12-30T22:35:52"/>
    <n v="6.6"/>
  </r>
  <r>
    <s v="BJJ567"/>
    <x v="341"/>
    <x v="1013"/>
    <x v="1"/>
    <x v="0"/>
    <s v="AEROPUERTO"/>
    <d v="2024-02-29T00:00:00"/>
    <d v="1899-12-30T22:43:45"/>
    <n v="6.6"/>
  </r>
  <r>
    <s v="BJJ567"/>
    <x v="341"/>
    <x v="2"/>
    <x v="2"/>
    <x v="0"/>
    <s v="AEROPUERTO"/>
    <d v="2024-02-29T00:00:00"/>
    <d v="1899-12-30T23:04:44"/>
    <n v="6.6"/>
  </r>
  <r>
    <s v="BJJ567"/>
    <x v="341"/>
    <x v="2"/>
    <x v="2"/>
    <x v="0"/>
    <s v="AEROPUERTO"/>
    <d v="2024-02-29T00:00:00"/>
    <d v="1899-12-30T23:11:16"/>
    <n v="6.6"/>
  </r>
  <r>
    <s v="BYN105"/>
    <x v="342"/>
    <x v="1014"/>
    <x v="1"/>
    <x v="2"/>
    <e v="#N/A"/>
    <d v="2024-02-26T00:00:00"/>
    <d v="1899-12-30T05:21:23"/>
    <n v="6.6"/>
  </r>
  <r>
    <s v="BYN105"/>
    <x v="342"/>
    <x v="1014"/>
    <x v="1"/>
    <x v="2"/>
    <e v="#N/A"/>
    <d v="2024-02-26T00:00:00"/>
    <d v="1899-12-30T05:29:16"/>
    <n v="6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m/>
    <m/>
    <x v="0"/>
    <x v="0"/>
    <m/>
    <m/>
    <m/>
    <m/>
    <m/>
    <m/>
  </r>
  <r>
    <m/>
    <m/>
    <x v="1"/>
    <x v="1"/>
    <m/>
    <m/>
    <m/>
    <m/>
    <m/>
    <m/>
  </r>
  <r>
    <m/>
    <m/>
    <x v="2"/>
    <x v="0"/>
    <m/>
    <m/>
    <m/>
    <m/>
    <m/>
    <m/>
  </r>
  <r>
    <m/>
    <m/>
    <x v="3"/>
    <x v="1"/>
    <m/>
    <m/>
    <m/>
    <m/>
    <m/>
    <m/>
  </r>
  <r>
    <m/>
    <m/>
    <x v="4"/>
    <x v="0"/>
    <m/>
    <m/>
    <m/>
    <m/>
    <m/>
    <m/>
  </r>
  <r>
    <m/>
    <m/>
    <x v="5"/>
    <x v="0"/>
    <m/>
    <m/>
    <m/>
    <m/>
    <m/>
    <m/>
  </r>
  <r>
    <m/>
    <m/>
    <x v="6"/>
    <x v="0"/>
    <m/>
    <m/>
    <m/>
    <m/>
    <m/>
    <m/>
  </r>
  <r>
    <m/>
    <m/>
    <x v="7"/>
    <x v="0"/>
    <m/>
    <m/>
    <m/>
    <m/>
    <m/>
    <m/>
  </r>
  <r>
    <m/>
    <m/>
    <x v="7"/>
    <x v="0"/>
    <m/>
    <m/>
    <m/>
    <m/>
    <m/>
    <m/>
  </r>
  <r>
    <m/>
    <m/>
    <x v="8"/>
    <x v="0"/>
    <m/>
    <m/>
    <m/>
    <m/>
    <m/>
    <m/>
  </r>
  <r>
    <m/>
    <m/>
    <x v="9"/>
    <x v="2"/>
    <m/>
    <m/>
    <m/>
    <m/>
    <m/>
    <m/>
  </r>
  <r>
    <m/>
    <m/>
    <x v="10"/>
    <x v="0"/>
    <m/>
    <m/>
    <m/>
    <m/>
    <m/>
    <m/>
  </r>
  <r>
    <m/>
    <m/>
    <x v="11"/>
    <x v="0"/>
    <m/>
    <m/>
    <m/>
    <m/>
    <m/>
    <m/>
  </r>
  <r>
    <m/>
    <m/>
    <x v="12"/>
    <x v="2"/>
    <m/>
    <m/>
    <m/>
    <m/>
    <m/>
    <m/>
  </r>
  <r>
    <m/>
    <m/>
    <x v="13"/>
    <x v="2"/>
    <m/>
    <m/>
    <m/>
    <m/>
    <m/>
    <m/>
  </r>
  <r>
    <m/>
    <m/>
    <x v="14"/>
    <x v="2"/>
    <m/>
    <m/>
    <m/>
    <m/>
    <m/>
    <m/>
  </r>
  <r>
    <m/>
    <m/>
    <x v="4"/>
    <x v="0"/>
    <m/>
    <m/>
    <m/>
    <m/>
    <m/>
    <m/>
  </r>
  <r>
    <m/>
    <m/>
    <x v="15"/>
    <x v="2"/>
    <m/>
    <m/>
    <m/>
    <m/>
    <m/>
    <m/>
  </r>
  <r>
    <m/>
    <m/>
    <x v="16"/>
    <x v="0"/>
    <m/>
    <m/>
    <m/>
    <m/>
    <m/>
    <m/>
  </r>
  <r>
    <m/>
    <m/>
    <x v="17"/>
    <x v="2"/>
    <m/>
    <m/>
    <m/>
    <m/>
    <m/>
    <m/>
  </r>
  <r>
    <m/>
    <m/>
    <x v="18"/>
    <x v="2"/>
    <m/>
    <m/>
    <m/>
    <m/>
    <m/>
    <m/>
  </r>
  <r>
    <m/>
    <m/>
    <x v="19"/>
    <x v="0"/>
    <m/>
    <m/>
    <m/>
    <m/>
    <m/>
    <m/>
  </r>
  <r>
    <m/>
    <m/>
    <x v="20"/>
    <x v="0"/>
    <m/>
    <m/>
    <m/>
    <m/>
    <m/>
    <m/>
  </r>
  <r>
    <m/>
    <m/>
    <x v="17"/>
    <x v="2"/>
    <m/>
    <m/>
    <m/>
    <m/>
    <m/>
    <m/>
  </r>
  <r>
    <m/>
    <m/>
    <x v="4"/>
    <x v="0"/>
    <m/>
    <m/>
    <m/>
    <m/>
    <m/>
    <m/>
  </r>
  <r>
    <m/>
    <m/>
    <x v="6"/>
    <x v="0"/>
    <m/>
    <m/>
    <m/>
    <m/>
    <m/>
    <m/>
  </r>
  <r>
    <m/>
    <m/>
    <x v="6"/>
    <x v="0"/>
    <m/>
    <m/>
    <m/>
    <m/>
    <m/>
    <m/>
  </r>
  <r>
    <m/>
    <m/>
    <x v="21"/>
    <x v="1"/>
    <m/>
    <m/>
    <m/>
    <m/>
    <m/>
    <m/>
  </r>
  <r>
    <m/>
    <m/>
    <x v="22"/>
    <x v="0"/>
    <m/>
    <m/>
    <m/>
    <m/>
    <m/>
    <m/>
  </r>
  <r>
    <m/>
    <m/>
    <x v="11"/>
    <x v="0"/>
    <m/>
    <m/>
    <m/>
    <m/>
    <m/>
    <m/>
  </r>
  <r>
    <m/>
    <m/>
    <x v="23"/>
    <x v="0"/>
    <m/>
    <m/>
    <m/>
    <m/>
    <m/>
    <m/>
  </r>
  <r>
    <m/>
    <m/>
    <x v="24"/>
    <x v="2"/>
    <m/>
    <m/>
    <m/>
    <m/>
    <m/>
    <m/>
  </r>
  <r>
    <m/>
    <m/>
    <x v="22"/>
    <x v="0"/>
    <m/>
    <m/>
    <m/>
    <m/>
    <m/>
    <m/>
  </r>
  <r>
    <m/>
    <m/>
    <x v="24"/>
    <x v="2"/>
    <m/>
    <m/>
    <m/>
    <m/>
    <m/>
    <m/>
  </r>
  <r>
    <m/>
    <m/>
    <x v="25"/>
    <x v="2"/>
    <m/>
    <m/>
    <m/>
    <m/>
    <m/>
    <m/>
  </r>
  <r>
    <m/>
    <m/>
    <x v="26"/>
    <x v="0"/>
    <m/>
    <m/>
    <m/>
    <m/>
    <m/>
    <m/>
  </r>
  <r>
    <m/>
    <m/>
    <x v="27"/>
    <x v="2"/>
    <m/>
    <m/>
    <m/>
    <m/>
    <m/>
    <m/>
  </r>
  <r>
    <m/>
    <m/>
    <x v="28"/>
    <x v="2"/>
    <m/>
    <m/>
    <m/>
    <m/>
    <m/>
    <m/>
  </r>
  <r>
    <m/>
    <m/>
    <x v="29"/>
    <x v="0"/>
    <m/>
    <m/>
    <m/>
    <m/>
    <m/>
    <m/>
  </r>
  <r>
    <m/>
    <m/>
    <x v="30"/>
    <x v="0"/>
    <m/>
    <m/>
    <m/>
    <m/>
    <m/>
    <m/>
  </r>
  <r>
    <m/>
    <m/>
    <x v="31"/>
    <x v="0"/>
    <m/>
    <m/>
    <m/>
    <m/>
    <m/>
    <m/>
  </r>
  <r>
    <m/>
    <m/>
    <x v="4"/>
    <x v="0"/>
    <m/>
    <m/>
    <m/>
    <m/>
    <m/>
    <m/>
  </r>
  <r>
    <m/>
    <m/>
    <x v="32"/>
    <x v="2"/>
    <m/>
    <m/>
    <m/>
    <m/>
    <m/>
    <m/>
  </r>
  <r>
    <m/>
    <m/>
    <x v="33"/>
    <x v="0"/>
    <m/>
    <m/>
    <m/>
    <m/>
    <m/>
    <m/>
  </r>
  <r>
    <m/>
    <m/>
    <x v="4"/>
    <x v="0"/>
    <m/>
    <m/>
    <m/>
    <m/>
    <m/>
    <m/>
  </r>
  <r>
    <m/>
    <m/>
    <x v="34"/>
    <x v="0"/>
    <m/>
    <m/>
    <m/>
    <m/>
    <m/>
    <m/>
  </r>
  <r>
    <m/>
    <m/>
    <x v="22"/>
    <x v="0"/>
    <m/>
    <m/>
    <m/>
    <m/>
    <m/>
    <m/>
  </r>
  <r>
    <m/>
    <m/>
    <x v="35"/>
    <x v="2"/>
    <m/>
    <m/>
    <m/>
    <m/>
    <m/>
    <m/>
  </r>
  <r>
    <m/>
    <m/>
    <x v="36"/>
    <x v="1"/>
    <m/>
    <m/>
    <m/>
    <m/>
    <m/>
    <m/>
  </r>
  <r>
    <m/>
    <m/>
    <x v="6"/>
    <x v="0"/>
    <m/>
    <m/>
    <m/>
    <m/>
    <m/>
    <m/>
  </r>
  <r>
    <m/>
    <m/>
    <x v="37"/>
    <x v="0"/>
    <m/>
    <m/>
    <m/>
    <m/>
    <m/>
    <m/>
  </r>
  <r>
    <m/>
    <m/>
    <x v="38"/>
    <x v="0"/>
    <m/>
    <m/>
    <m/>
    <m/>
    <m/>
    <m/>
  </r>
  <r>
    <m/>
    <m/>
    <x v="39"/>
    <x v="3"/>
    <m/>
    <m/>
    <m/>
    <m/>
    <m/>
    <m/>
  </r>
  <r>
    <m/>
    <m/>
    <x v="40"/>
    <x v="2"/>
    <m/>
    <m/>
    <m/>
    <m/>
    <m/>
    <m/>
  </r>
  <r>
    <m/>
    <m/>
    <x v="4"/>
    <x v="0"/>
    <m/>
    <m/>
    <m/>
    <m/>
    <m/>
    <m/>
  </r>
  <r>
    <m/>
    <m/>
    <x v="2"/>
    <x v="0"/>
    <m/>
    <m/>
    <m/>
    <m/>
    <m/>
    <m/>
  </r>
  <r>
    <m/>
    <m/>
    <x v="40"/>
    <x v="2"/>
    <m/>
    <m/>
    <m/>
    <m/>
    <m/>
    <m/>
  </r>
  <r>
    <m/>
    <m/>
    <x v="41"/>
    <x v="0"/>
    <m/>
    <m/>
    <m/>
    <m/>
    <m/>
    <m/>
  </r>
  <r>
    <m/>
    <m/>
    <x v="4"/>
    <x v="0"/>
    <m/>
    <m/>
    <m/>
    <m/>
    <m/>
    <m/>
  </r>
  <r>
    <m/>
    <m/>
    <x v="42"/>
    <x v="1"/>
    <m/>
    <m/>
    <m/>
    <m/>
    <m/>
    <m/>
  </r>
  <r>
    <m/>
    <m/>
    <x v="43"/>
    <x v="2"/>
    <m/>
    <m/>
    <m/>
    <m/>
    <m/>
    <m/>
  </r>
  <r>
    <m/>
    <m/>
    <x v="44"/>
    <x v="0"/>
    <m/>
    <m/>
    <m/>
    <m/>
    <m/>
    <m/>
  </r>
  <r>
    <m/>
    <m/>
    <x v="17"/>
    <x v="2"/>
    <m/>
    <m/>
    <m/>
    <m/>
    <m/>
    <m/>
  </r>
  <r>
    <m/>
    <m/>
    <x v="23"/>
    <x v="0"/>
    <m/>
    <m/>
    <m/>
    <m/>
    <m/>
    <m/>
  </r>
  <r>
    <m/>
    <m/>
    <x v="45"/>
    <x v="0"/>
    <m/>
    <m/>
    <m/>
    <m/>
    <m/>
    <m/>
  </r>
  <r>
    <m/>
    <m/>
    <x v="46"/>
    <x v="0"/>
    <m/>
    <m/>
    <m/>
    <m/>
    <m/>
    <m/>
  </r>
  <r>
    <m/>
    <m/>
    <x v="36"/>
    <x v="1"/>
    <m/>
    <m/>
    <m/>
    <m/>
    <m/>
    <m/>
  </r>
  <r>
    <m/>
    <m/>
    <x v="38"/>
    <x v="0"/>
    <m/>
    <m/>
    <m/>
    <m/>
    <m/>
    <m/>
  </r>
  <r>
    <m/>
    <m/>
    <x v="22"/>
    <x v="0"/>
    <m/>
    <m/>
    <m/>
    <m/>
    <m/>
    <m/>
  </r>
  <r>
    <m/>
    <m/>
    <x v="47"/>
    <x v="1"/>
    <m/>
    <m/>
    <m/>
    <m/>
    <m/>
    <m/>
  </r>
  <r>
    <m/>
    <m/>
    <x v="48"/>
    <x v="2"/>
    <m/>
    <m/>
    <m/>
    <m/>
    <m/>
    <m/>
  </r>
  <r>
    <m/>
    <m/>
    <x v="49"/>
    <x v="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1A792-B048-4E1A-BE05-7F7AAE24E840}" name="TablaDinámica12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F4:H38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multipleItemSelectionAllowed="1" showAll="0">
      <items count="8">
        <item h="1" x="2"/>
        <item m="1" x="4"/>
        <item h="1" x="3"/>
        <item x="0"/>
        <item x="1"/>
        <item m="1" x="6"/>
        <item h="1"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34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76"/>
    </i>
    <i>
      <x v="88"/>
    </i>
    <i>
      <x v="89"/>
    </i>
    <i>
      <x v="92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74"/>
    </i>
    <i>
      <x v="185"/>
    </i>
    <i>
      <x v="186"/>
    </i>
    <i>
      <x v="194"/>
    </i>
    <i>
      <x v="197"/>
    </i>
    <i>
      <x v="198"/>
    </i>
    <i>
      <x v="200"/>
    </i>
    <i>
      <x v="202"/>
    </i>
    <i>
      <x v="203"/>
    </i>
    <i>
      <x v="205"/>
    </i>
    <i>
      <x v="207"/>
    </i>
    <i>
      <x v="208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73C79-9071-4A55-9AA3-8E21557AE3F2}" name="TablaDinámica11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4:C21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17">
    <i>
      <x v="25"/>
    </i>
    <i>
      <x v="57"/>
    </i>
    <i>
      <x v="81"/>
    </i>
    <i>
      <x v="121"/>
    </i>
    <i>
      <x v="122"/>
    </i>
    <i>
      <x v="141"/>
    </i>
    <i>
      <x v="150"/>
    </i>
    <i>
      <x v="175"/>
    </i>
    <i>
      <x v="178"/>
    </i>
    <i>
      <x v="184"/>
    </i>
    <i>
      <x v="190"/>
    </i>
    <i>
      <x v="195"/>
    </i>
    <i>
      <x v="196"/>
    </i>
    <i>
      <x v="199"/>
    </i>
    <i>
      <x v="201"/>
    </i>
    <i>
      <x v="204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0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64D51-A23D-453A-938B-C8EC8F4A0460}" name="TablaDinámica13" cacheId="12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K4:M32" firstHeaderRow="0" firstDataRow="1" firstDataCol="1" rowPageCount="1" colPageCount="1"/>
  <pivotFields count="10">
    <pivotField dataField="1" showAll="0"/>
    <pivotField showAll="0"/>
    <pivotField axis="axisRow" showAll="0">
      <items count="210">
        <item m="1" x="204"/>
        <item m="1" x="94"/>
        <item m="1" x="189"/>
        <item m="1" x="56"/>
        <item x="11"/>
        <item m="1" x="92"/>
        <item x="45"/>
        <item m="1" x="100"/>
        <item m="1" x="88"/>
        <item x="16"/>
        <item m="1" x="192"/>
        <item m="1" x="137"/>
        <item m="1" x="174"/>
        <item m="1" x="80"/>
        <item x="6"/>
        <item m="1" x="175"/>
        <item m="1" x="82"/>
        <item m="1" x="147"/>
        <item m="1" x="128"/>
        <item m="1" x="164"/>
        <item m="1" x="176"/>
        <item m="1" x="122"/>
        <item m="1" x="51"/>
        <item m="1" x="199"/>
        <item m="1" x="177"/>
        <item x="17"/>
        <item m="1" x="178"/>
        <item x="0"/>
        <item m="1" x="207"/>
        <item m="1" x="116"/>
        <item x="8"/>
        <item m="1" x="188"/>
        <item m="1" x="179"/>
        <item m="1" x="180"/>
        <item m="1" x="107"/>
        <item m="1" x="151"/>
        <item m="1" x="181"/>
        <item m="1" x="81"/>
        <item m="1" x="182"/>
        <item m="1" x="198"/>
        <item m="1" x="74"/>
        <item m="1" x="131"/>
        <item m="1" x="191"/>
        <item m="1" x="206"/>
        <item m="1" x="183"/>
        <item m="1" x="190"/>
        <item m="1" x="194"/>
        <item x="41"/>
        <item m="1" x="62"/>
        <item m="1" x="201"/>
        <item m="1" x="84"/>
        <item m="1" x="184"/>
        <item m="1" x="196"/>
        <item m="1" x="202"/>
        <item x="20"/>
        <item m="1" x="185"/>
        <item m="1" x="129"/>
        <item x="14"/>
        <item m="1" x="197"/>
        <item m="1" x="200"/>
        <item m="1" x="159"/>
        <item x="7"/>
        <item m="1" x="70"/>
        <item m="1" x="186"/>
        <item m="1" x="205"/>
        <item m="1" x="53"/>
        <item m="1" x="187"/>
        <item m="1" x="208"/>
        <item m="1" x="193"/>
        <item m="1" x="203"/>
        <item m="1" x="195"/>
        <item m="1" x="58"/>
        <item m="1" x="162"/>
        <item m="1" x="60"/>
        <item m="1" x="76"/>
        <item m="1" x="98"/>
        <item x="1"/>
        <item m="1" x="71"/>
        <item m="1" x="73"/>
        <item m="1" x="163"/>
        <item m="1" x="117"/>
        <item x="15"/>
        <item m="1" x="118"/>
        <item m="1" x="101"/>
        <item m="1" x="104"/>
        <item m="1" x="165"/>
        <item m="1" x="166"/>
        <item m="1" x="150"/>
        <item x="37"/>
        <item x="4"/>
        <item m="1" x="153"/>
        <item m="1" x="167"/>
        <item x="36"/>
        <item m="1" x="168"/>
        <item x="49"/>
        <item m="1" x="65"/>
        <item m="1" x="155"/>
        <item m="1" x="169"/>
        <item m="1" x="170"/>
        <item m="1" x="171"/>
        <item x="22"/>
        <item m="1" x="130"/>
        <item x="10"/>
        <item m="1" x="64"/>
        <item m="1" x="172"/>
        <item m="1" x="173"/>
        <item m="1" x="91"/>
        <item x="2"/>
        <item m="1" x="141"/>
        <item m="1" x="72"/>
        <item m="1" x="103"/>
        <item m="1" x="142"/>
        <item m="1" x="143"/>
        <item m="1" x="119"/>
        <item m="1" x="114"/>
        <item m="1" x="144"/>
        <item m="1" x="145"/>
        <item m="1" x="75"/>
        <item m="1" x="146"/>
        <item m="1" x="148"/>
        <item m="1" x="149"/>
        <item x="18"/>
        <item x="25"/>
        <item m="1" x="152"/>
        <item x="23"/>
        <item m="1" x="154"/>
        <item m="1" x="133"/>
        <item m="1" x="136"/>
        <item m="1" x="156"/>
        <item m="1" x="157"/>
        <item m="1" x="158"/>
        <item m="1" x="160"/>
        <item m="1" x="161"/>
        <item m="1" x="120"/>
        <item m="1" x="121"/>
        <item m="1" x="123"/>
        <item x="44"/>
        <item m="1" x="124"/>
        <item m="1" x="125"/>
        <item m="1" x="126"/>
        <item m="1" x="127"/>
        <item x="35"/>
        <item m="1" x="67"/>
        <item m="1" x="132"/>
        <item m="1" x="134"/>
        <item m="1" x="135"/>
        <item m="1" x="111"/>
        <item m="1" x="138"/>
        <item m="1" x="139"/>
        <item m="1" x="140"/>
        <item x="43"/>
        <item m="1" x="87"/>
        <item m="1" x="89"/>
        <item m="1" x="59"/>
        <item m="1" x="90"/>
        <item m="1" x="93"/>
        <item x="29"/>
        <item m="1" x="95"/>
        <item m="1" x="96"/>
        <item m="1" x="97"/>
        <item m="1" x="99"/>
        <item m="1" x="54"/>
        <item x="38"/>
        <item x="39"/>
        <item m="1" x="102"/>
        <item m="1" x="105"/>
        <item m="1" x="52"/>
        <item m="1" x="106"/>
        <item m="1" x="108"/>
        <item m="1" x="109"/>
        <item m="1" x="110"/>
        <item m="1" x="112"/>
        <item m="1" x="113"/>
        <item m="1" x="115"/>
        <item x="42"/>
        <item x="9"/>
        <item m="1" x="55"/>
        <item m="1" x="57"/>
        <item x="40"/>
        <item m="1" x="61"/>
        <item m="1" x="63"/>
        <item m="1" x="66"/>
        <item m="1" x="68"/>
        <item m="1" x="69"/>
        <item x="28"/>
        <item x="34"/>
        <item x="3"/>
        <item m="1" x="77"/>
        <item m="1" x="78"/>
        <item m="1" x="79"/>
        <item x="48"/>
        <item m="1" x="83"/>
        <item m="1" x="85"/>
        <item m="1" x="86"/>
        <item x="5"/>
        <item x="12"/>
        <item x="13"/>
        <item x="19"/>
        <item x="21"/>
        <item x="24"/>
        <item x="26"/>
        <item x="27"/>
        <item x="30"/>
        <item x="31"/>
        <item x="32"/>
        <item x="33"/>
        <item m="1" x="50"/>
        <item x="46"/>
        <item x="47"/>
        <item t="default"/>
      </items>
    </pivotField>
    <pivotField axis="axisPage" showAll="0">
      <items count="8">
        <item x="2"/>
        <item m="1" x="4"/>
        <item x="3"/>
        <item x="0"/>
        <item x="1"/>
        <item m="1" x="6"/>
        <item m="1" x="5"/>
        <item t="default"/>
      </items>
    </pivotField>
    <pivotField dataField="1" numFmtId="2" showAll="0"/>
    <pivotField showAll="0"/>
    <pivotField numFmtId="164" showAll="0"/>
    <pivotField numFmtId="164" showAll="0"/>
    <pivotField showAll="0"/>
    <pivotField showAll="0"/>
  </pivotFields>
  <rowFields count="1">
    <field x="2"/>
  </rowFields>
  <rowItems count="28">
    <i>
      <x v="4"/>
    </i>
    <i>
      <x v="6"/>
    </i>
    <i>
      <x v="9"/>
    </i>
    <i>
      <x v="14"/>
    </i>
    <i>
      <x v="27"/>
    </i>
    <i>
      <x v="30"/>
    </i>
    <i>
      <x v="47"/>
    </i>
    <i>
      <x v="54"/>
    </i>
    <i>
      <x v="61"/>
    </i>
    <i>
      <x v="88"/>
    </i>
    <i>
      <x v="89"/>
    </i>
    <i>
      <x v="94"/>
    </i>
    <i>
      <x v="100"/>
    </i>
    <i>
      <x v="102"/>
    </i>
    <i>
      <x v="107"/>
    </i>
    <i>
      <x v="124"/>
    </i>
    <i>
      <x v="136"/>
    </i>
    <i>
      <x v="156"/>
    </i>
    <i>
      <x v="162"/>
    </i>
    <i>
      <x v="185"/>
    </i>
    <i>
      <x v="194"/>
    </i>
    <i>
      <x v="197"/>
    </i>
    <i>
      <x v="200"/>
    </i>
    <i>
      <x v="202"/>
    </i>
    <i>
      <x v="203"/>
    </i>
    <i>
      <x v="205"/>
    </i>
    <i>
      <x v="207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3" hier="-1"/>
  </pageFields>
  <dataFields count="2">
    <dataField name="Total de Servicios" fld="0" subtotal="count" baseField="2" baseItem="0"/>
    <dataField name="Suma Reembolso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D1EF4-EA04-441D-B049-3809297A1CFE}" name="TablaDinámica6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E6:F122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6">
    <i>
      <x v="1"/>
    </i>
    <i>
      <x v="2"/>
    </i>
    <i>
      <x v="3"/>
    </i>
    <i>
      <x v="4"/>
    </i>
    <i>
      <x v="5"/>
    </i>
    <i>
      <x v="8"/>
    </i>
    <i>
      <x v="15"/>
    </i>
    <i>
      <x v="16"/>
    </i>
    <i>
      <x v="17"/>
    </i>
    <i>
      <x v="19"/>
    </i>
    <i>
      <x v="20"/>
    </i>
    <i>
      <x v="21"/>
    </i>
    <i>
      <x v="27"/>
    </i>
    <i>
      <x v="28"/>
    </i>
    <i>
      <x v="29"/>
    </i>
    <i>
      <x v="33"/>
    </i>
    <i>
      <x v="39"/>
    </i>
    <i>
      <x v="75"/>
    </i>
    <i>
      <x v="83"/>
    </i>
    <i>
      <x v="84"/>
    </i>
    <i>
      <x v="85"/>
    </i>
    <i>
      <x v="86"/>
    </i>
    <i>
      <x v="87"/>
    </i>
    <i>
      <x v="90"/>
    </i>
    <i>
      <x v="91"/>
    </i>
    <i>
      <x v="94"/>
    </i>
    <i>
      <x v="95"/>
    </i>
    <i>
      <x v="101"/>
    </i>
    <i>
      <x v="102"/>
    </i>
    <i>
      <x v="104"/>
    </i>
    <i>
      <x v="106"/>
    </i>
    <i>
      <x v="109"/>
    </i>
    <i>
      <x v="110"/>
    </i>
    <i>
      <x v="113"/>
    </i>
    <i>
      <x v="115"/>
    </i>
    <i>
      <x v="116"/>
    </i>
    <i>
      <x v="117"/>
    </i>
    <i>
      <x v="119"/>
    </i>
    <i>
      <x v="121"/>
    </i>
    <i>
      <x v="123"/>
    </i>
    <i>
      <x v="124"/>
    </i>
    <i>
      <x v="125"/>
    </i>
    <i>
      <x v="128"/>
    </i>
    <i>
      <x v="130"/>
    </i>
    <i>
      <x v="131"/>
    </i>
    <i>
      <x v="133"/>
    </i>
    <i>
      <x v="134"/>
    </i>
    <i>
      <x v="135"/>
    </i>
    <i>
      <x v="137"/>
    </i>
    <i>
      <x v="138"/>
    </i>
    <i>
      <x v="139"/>
    </i>
    <i>
      <x v="140"/>
    </i>
    <i>
      <x v="144"/>
    </i>
    <i>
      <x v="145"/>
    </i>
    <i>
      <x v="146"/>
    </i>
    <i>
      <x v="147"/>
    </i>
    <i>
      <x v="148"/>
    </i>
    <i>
      <x v="149"/>
    </i>
    <i>
      <x v="151"/>
    </i>
    <i>
      <x v="161"/>
    </i>
    <i>
      <x v="162"/>
    </i>
    <i>
      <x v="163"/>
    </i>
    <i>
      <x v="168"/>
    </i>
    <i>
      <x v="171"/>
    </i>
    <i>
      <x v="172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7"/>
    </i>
    <i>
      <x v="188"/>
    </i>
    <i>
      <x v="190"/>
    </i>
    <i>
      <x v="191"/>
    </i>
    <i>
      <x v="192"/>
    </i>
    <i>
      <x v="198"/>
    </i>
    <i>
      <x v="199"/>
    </i>
    <i>
      <x v="203"/>
    </i>
    <i>
      <x v="205"/>
    </i>
    <i>
      <x v="208"/>
    </i>
    <i>
      <x v="218"/>
    </i>
    <i>
      <x v="223"/>
    </i>
    <i>
      <x v="226"/>
    </i>
    <i>
      <x v="227"/>
    </i>
    <i>
      <x v="269"/>
    </i>
    <i>
      <x v="284"/>
    </i>
    <i>
      <x v="288"/>
    </i>
    <i>
      <x v="302"/>
    </i>
    <i>
      <x v="323"/>
    </i>
    <i>
      <x v="329"/>
    </i>
    <i>
      <x v="354"/>
    </i>
    <i>
      <x v="365"/>
    </i>
    <i>
      <x v="370"/>
    </i>
    <i>
      <x v="375"/>
    </i>
    <i>
      <x v="378"/>
    </i>
    <i>
      <x v="380"/>
    </i>
    <i>
      <x v="384"/>
    </i>
    <i>
      <x v="385"/>
    </i>
    <i>
      <x v="386"/>
    </i>
    <i>
      <x v="399"/>
    </i>
    <i>
      <x v="402"/>
    </i>
    <i>
      <x v="403"/>
    </i>
    <i>
      <x v="432"/>
    </i>
    <i>
      <x v="445"/>
    </i>
    <i>
      <x v="504"/>
    </i>
    <i>
      <x v="514"/>
    </i>
    <i>
      <x v="523"/>
    </i>
    <i>
      <x v="528"/>
    </i>
    <i>
      <x v="552"/>
    </i>
    <i>
      <x v="558"/>
    </i>
    <i>
      <x v="559"/>
    </i>
    <i t="grand">
      <x/>
    </i>
  </rowItems>
  <colItems count="1">
    <i/>
  </colItems>
  <pageFields count="3">
    <pageField fld="2" item="0" hier="-1"/>
    <pageField fld="3" item="5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3AA9-BCAB-4863-9039-6D3166FB39E4}" name="TablaDinámica5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A6:B121" firstHeaderRow="1" firstDataRow="1" firstDataCol="1" rowPageCount="3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axis="axisPage" showAll="0">
      <items count="8001">
        <item x="2"/>
        <item m="1" x="7669"/>
        <item m="1" x="7670"/>
        <item m="1" x="7671"/>
        <item m="1" x="7672"/>
        <item m="1" x="7673"/>
        <item m="1" x="7674"/>
        <item m="1" x="7675"/>
        <item m="1" x="7676"/>
        <item m="1" x="7677"/>
        <item m="1" x="7678"/>
        <item m="1" x="7679"/>
        <item m="1" x="7680"/>
        <item m="1" x="7681"/>
        <item m="1" x="7682"/>
        <item m="1" x="7683"/>
        <item m="1" x="7684"/>
        <item m="1" x="7685"/>
        <item m="1" x="7686"/>
        <item m="1" x="7687"/>
        <item m="1" x="7688"/>
        <item m="1" x="7689"/>
        <item m="1" x="7690"/>
        <item m="1" x="7691"/>
        <item m="1" x="7692"/>
        <item m="1" x="7693"/>
        <item m="1" x="7694"/>
        <item m="1" x="7695"/>
        <item m="1" x="7696"/>
        <item m="1" x="7697"/>
        <item m="1" x="7698"/>
        <item m="1" x="7699"/>
        <item m="1" x="7700"/>
        <item m="1" x="7701"/>
        <item m="1" x="7702"/>
        <item m="1" x="7703"/>
        <item m="1" x="7704"/>
        <item m="1" x="7705"/>
        <item m="1" x="7706"/>
        <item m="1" x="7707"/>
        <item m="1" x="7708"/>
        <item m="1" x="7709"/>
        <item m="1" x="7710"/>
        <item m="1" x="7711"/>
        <item m="1" x="7712"/>
        <item m="1" x="7713"/>
        <item m="1" x="7714"/>
        <item m="1" x="7715"/>
        <item m="1" x="7716"/>
        <item m="1" x="7717"/>
        <item m="1" x="7718"/>
        <item m="1" x="7719"/>
        <item m="1" x="7720"/>
        <item m="1" x="7721"/>
        <item m="1" x="7722"/>
        <item m="1" x="7723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769"/>
        <item m="1" x="7770"/>
        <item m="1" x="7771"/>
        <item m="1" x="7772"/>
        <item m="1" x="7773"/>
        <item m="1" x="7774"/>
        <item m="1" x="7775"/>
        <item m="1" x="7776"/>
        <item m="1" x="7777"/>
        <item m="1" x="7778"/>
        <item m="1" x="7779"/>
        <item m="1" x="7780"/>
        <item m="1" x="7781"/>
        <item m="1" x="7782"/>
        <item m="1" x="7783"/>
        <item m="1" x="7784"/>
        <item m="1" x="7785"/>
        <item m="1" x="7786"/>
        <item m="1" x="7787"/>
        <item m="1" x="7788"/>
        <item m="1" x="7789"/>
        <item m="1" x="7790"/>
        <item m="1" x="7791"/>
        <item m="1" x="7792"/>
        <item m="1" x="7793"/>
        <item m="1" x="7794"/>
        <item m="1" x="7795"/>
        <item m="1" x="7796"/>
        <item m="1" x="7797"/>
        <item m="1" x="7798"/>
        <item m="1" x="7799"/>
        <item m="1" x="7800"/>
        <item m="1" x="7801"/>
        <item m="1" x="7802"/>
        <item m="1" x="7803"/>
        <item m="1" x="7804"/>
        <item m="1" x="7805"/>
        <item m="1" x="7806"/>
        <item m="1" x="7807"/>
        <item m="1" x="7808"/>
        <item m="1" x="7809"/>
        <item m="1" x="7810"/>
        <item m="1" x="7811"/>
        <item m="1" x="7812"/>
        <item m="1" x="7813"/>
        <item m="1" x="7814"/>
        <item m="1" x="7815"/>
        <item m="1" x="7816"/>
        <item m="1" x="7817"/>
        <item m="1" x="7818"/>
        <item m="1" x="7819"/>
        <item m="1" x="7820"/>
        <item m="1" x="7821"/>
        <item m="1" x="7822"/>
        <item m="1" x="7823"/>
        <item m="1" x="7824"/>
        <item m="1" x="7825"/>
        <item m="1" x="7826"/>
        <item m="1" x="7827"/>
        <item m="1" x="7828"/>
        <item m="1" x="7829"/>
        <item m="1" x="7830"/>
        <item m="1" x="7831"/>
        <item m="1" x="7832"/>
        <item m="1" x="7833"/>
        <item m="1" x="7834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869"/>
        <item m="1" x="7870"/>
        <item m="1" x="7871"/>
        <item m="1" x="7872"/>
        <item m="1" x="7873"/>
        <item m="1" x="7874"/>
        <item m="1" x="7875"/>
        <item m="1" x="7876"/>
        <item m="1" x="7877"/>
        <item m="1" x="7878"/>
        <item m="1" x="7879"/>
        <item m="1" x="7880"/>
        <item m="1" x="7881"/>
        <item m="1" x="7882"/>
        <item m="1" x="7883"/>
        <item m="1" x="7884"/>
        <item m="1" x="7885"/>
        <item m="1" x="7886"/>
        <item m="1" x="7887"/>
        <item m="1" x="7888"/>
        <item m="1" x="7889"/>
        <item m="1" x="7890"/>
        <item m="1" x="7891"/>
        <item m="1" x="7892"/>
        <item m="1" x="7893"/>
        <item m="1" x="7894"/>
        <item m="1" x="7895"/>
        <item m="1" x="7896"/>
        <item m="1" x="7897"/>
        <item m="1" x="7898"/>
        <item m="1" x="7899"/>
        <item m="1" x="7900"/>
        <item m="1" x="7901"/>
        <item m="1" x="7902"/>
        <item m="1" x="7903"/>
        <item m="1" x="7904"/>
        <item m="1" x="7905"/>
        <item m="1" x="7906"/>
        <item m="1" x="7907"/>
        <item m="1" x="7908"/>
        <item m="1" x="7909"/>
        <item m="1" x="7910"/>
        <item m="1" x="7911"/>
        <item m="1" x="7912"/>
        <item m="1" x="7913"/>
        <item m="1" x="7914"/>
        <item m="1" x="7915"/>
        <item m="1" x="7916"/>
        <item m="1" x="7917"/>
        <item m="1" x="7918"/>
        <item m="1" x="7919"/>
        <item m="1" x="7920"/>
        <item m="1" x="7921"/>
        <item m="1" x="7922"/>
        <item m="1" x="7923"/>
        <item m="1" x="7924"/>
        <item m="1" x="7925"/>
        <item m="1" x="7926"/>
        <item m="1" x="7927"/>
        <item m="1" x="7928"/>
        <item m="1" x="7929"/>
        <item m="1" x="7930"/>
        <item m="1" x="7931"/>
        <item m="1" x="7932"/>
        <item m="1" x="7933"/>
        <item m="1" x="7934"/>
        <item m="1" x="7935"/>
        <item m="1" x="7936"/>
        <item m="1" x="7937"/>
        <item m="1" x="7938"/>
        <item m="1" x="7939"/>
        <item m="1" x="7940"/>
        <item m="1" x="7941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985"/>
        <item m="1" x="7986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999"/>
        <item m="1" x="6592"/>
        <item m="1" x="6593"/>
        <item m="1" x="6594"/>
        <item m="1" x="6595"/>
        <item m="1" x="6596"/>
        <item m="1" x="6597"/>
        <item m="1" x="6598"/>
        <item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m="1" x="6609"/>
        <item m="1" x="6610"/>
        <item m="1" x="6611"/>
        <item m="1" x="6612"/>
        <item m="1" x="6613"/>
        <item m="1" x="6614"/>
        <item m="1" x="6615"/>
        <item m="1" x="6616"/>
        <item m="1" x="6617"/>
        <item m="1" x="6618"/>
        <item m="1" x="6619"/>
        <item m="1" x="6620"/>
        <item m="1" x="6621"/>
        <item m="1" x="6622"/>
        <item m="1" x="6623"/>
        <item m="1" x="6624"/>
        <item m="1" x="6625"/>
        <item m="1" x="6626"/>
        <item m="1" x="6627"/>
        <item m="1" x="6628"/>
        <item m="1" x="6629"/>
        <item m="1" x="6630"/>
        <item m="1" x="6631"/>
        <item m="1" x="6632"/>
        <item m="1" x="6633"/>
        <item m="1" x="6634"/>
        <item m="1" x="6635"/>
        <item m="1" x="6636"/>
        <item m="1" x="6637"/>
        <item m="1" x="6638"/>
        <item m="1" x="6639"/>
        <item m="1" x="6640"/>
        <item m="1" x="6641"/>
        <item m="1" x="6642"/>
        <item m="1" x="6643"/>
        <item m="1" x="6644"/>
        <item m="1" x="6645"/>
        <item m="1" x="6646"/>
        <item m="1" x="6647"/>
        <item m="1" x="6648"/>
        <item m="1" x="6649"/>
        <item m="1" x="6650"/>
        <item m="1" x="6651"/>
        <item m="1" x="6652"/>
        <item m="1" x="6653"/>
        <item m="1" x="6654"/>
        <item m="1" x="6655"/>
        <item m="1" x="6656"/>
        <item m="1" x="6657"/>
        <item m="1" x="6658"/>
        <item m="1" x="6659"/>
        <item m="1" x="6660"/>
        <item m="1" x="6661"/>
        <item m="1" x="6662"/>
        <item m="1" x="6663"/>
        <item m="1" x="6664"/>
        <item m="1" x="6665"/>
        <item m="1" x="6666"/>
        <item m="1" x="6667"/>
        <item m="1" x="6668"/>
        <item m="1" x="6669"/>
        <item m="1" x="6670"/>
        <item m="1" x="6671"/>
        <item m="1" x="6672"/>
        <item m="1" x="6673"/>
        <item m="1" x="6674"/>
        <item m="1" x="6675"/>
        <item m="1" x="6676"/>
        <item m="1" x="6677"/>
        <item m="1" x="6678"/>
        <item m="1" x="6679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6694"/>
        <item m="1" x="6695"/>
        <item m="1" x="6696"/>
        <item m="1" x="6697"/>
        <item m="1" x="6698"/>
        <item m="1" x="6699"/>
        <item m="1" x="6700"/>
        <item m="1" x="6701"/>
        <item m="1" x="6702"/>
        <item m="1" x="6703"/>
        <item m="1" x="6704"/>
        <item m="1" x="6705"/>
        <item m="1" x="6706"/>
        <item m="1" x="6707"/>
        <item m="1" x="6708"/>
        <item m="1" x="6709"/>
        <item m="1" x="6710"/>
        <item m="1" x="6711"/>
        <item m="1" x="6712"/>
        <item m="1" x="6713"/>
        <item m="1" x="6714"/>
        <item m="1" x="6715"/>
        <item m="1" x="6716"/>
        <item m="1" x="6717"/>
        <item m="1" x="6718"/>
        <item m="1" x="6719"/>
        <item m="1" x="6720"/>
        <item m="1" x="6721"/>
        <item m="1" x="6722"/>
        <item m="1" x="6723"/>
        <item m="1" x="6724"/>
        <item m="1" x="6725"/>
        <item m="1" x="6726"/>
        <item m="1" x="6727"/>
        <item m="1" x="6728"/>
        <item m="1" x="6729"/>
        <item m="1" x="6730"/>
        <item m="1" x="6731"/>
        <item m="1" x="6732"/>
        <item m="1" x="6733"/>
        <item m="1" x="6734"/>
        <item m="1" x="6735"/>
        <item m="1" x="6736"/>
        <item m="1" x="6737"/>
        <item m="1" x="6738"/>
        <item m="1" x="6739"/>
        <item m="1" x="6740"/>
        <item m="1" x="6741"/>
        <item m="1" x="6742"/>
        <item m="1" x="6743"/>
        <item m="1" x="6744"/>
        <item m="1" x="6745"/>
        <item m="1" x="6746"/>
        <item m="1" x="6747"/>
        <item m="1" x="6748"/>
        <item m="1" x="6749"/>
        <item m="1" x="6750"/>
        <item m="1" x="6751"/>
        <item m="1" x="6752"/>
        <item m="1" x="6753"/>
        <item m="1" x="6754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6764"/>
        <item m="1" x="6765"/>
        <item m="1" x="6766"/>
        <item m="1" x="6767"/>
        <item m="1" x="6768"/>
        <item m="1" x="6769"/>
        <item m="1" x="6770"/>
        <item m="1" x="6771"/>
        <item m="1" x="6772"/>
        <item m="1" x="6773"/>
        <item m="1" x="6774"/>
        <item m="1" x="6775"/>
        <item m="1" x="6776"/>
        <item m="1" x="6777"/>
        <item m="1" x="6778"/>
        <item m="1" x="6779"/>
        <item m="1" x="6780"/>
        <item m="1" x="6781"/>
        <item m="1" x="6782"/>
        <item m="1" x="6783"/>
        <item m="1" x="6784"/>
        <item m="1" x="6785"/>
        <item m="1" x="6786"/>
        <item m="1" x="6787"/>
        <item m="1" x="6788"/>
        <item m="1" x="6789"/>
        <item m="1" x="6790"/>
        <item m="1" x="6791"/>
        <item m="1" x="6792"/>
        <item m="1" x="6793"/>
        <item m="1" x="6794"/>
        <item m="1" x="6795"/>
        <item m="1" x="6796"/>
        <item m="1" x="6797"/>
        <item m="1" x="6798"/>
        <item m="1" x="6799"/>
        <item m="1" x="6800"/>
        <item m="1" x="6801"/>
        <item m="1" x="6802"/>
        <item m="1" x="6803"/>
        <item m="1" x="6804"/>
        <item m="1" x="6805"/>
        <item m="1" x="6806"/>
        <item m="1" x="6807"/>
        <item m="1" x="6808"/>
        <item m="1" x="6809"/>
        <item m="1" x="6810"/>
        <item m="1" x="6811"/>
        <item m="1" x="6812"/>
        <item m="1" x="6813"/>
        <item m="1" x="6814"/>
        <item m="1" x="6815"/>
        <item m="1" x="6816"/>
        <item m="1" x="6817"/>
        <item m="1" x="6818"/>
        <item m="1" x="6819"/>
        <item m="1" x="6820"/>
        <item m="1" x="6821"/>
        <item m="1" x="6822"/>
        <item m="1" x="6823"/>
        <item m="1" x="6824"/>
        <item m="1" x="6825"/>
        <item m="1" x="6826"/>
        <item m="1" x="6827"/>
        <item m="1" x="6828"/>
        <item m="1" x="6829"/>
        <item m="1" x="6830"/>
        <item m="1" x="6831"/>
        <item m="1" x="6832"/>
        <item m="1" x="6833"/>
        <item m="1" x="6834"/>
        <item m="1" x="6835"/>
        <item m="1" x="6836"/>
        <item m="1" x="6837"/>
        <item m="1" x="6838"/>
        <item m="1" x="6839"/>
        <item m="1" x="6840"/>
        <item m="1" x="6841"/>
        <item m="1" x="6842"/>
        <item m="1" x="6843"/>
        <item m="1" x="6844"/>
        <item m="1" x="6845"/>
        <item m="1" x="6846"/>
        <item m="1" x="6847"/>
        <item m="1" x="6848"/>
        <item m="1" x="6849"/>
        <item m="1" x="6850"/>
        <item m="1" x="6851"/>
        <item m="1" x="6852"/>
        <item m="1" x="6853"/>
        <item m="1" x="6854"/>
        <item m="1" x="6855"/>
        <item m="1" x="6856"/>
        <item m="1" x="6857"/>
        <item m="1" x="6858"/>
        <item m="1" x="6859"/>
        <item m="1" x="6860"/>
        <item m="1" x="6861"/>
        <item m="1" x="6862"/>
        <item m="1" x="6863"/>
        <item m="1" x="6864"/>
        <item m="1" x="6865"/>
        <item m="1" x="6866"/>
        <item m="1" x="6867"/>
        <item m="1" x="6868"/>
        <item m="1" x="6869"/>
        <item m="1" x="6870"/>
        <item m="1" x="6871"/>
        <item m="1" x="6872"/>
        <item m="1" x="6873"/>
        <item m="1" x="68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884"/>
        <item m="1" x="6885"/>
        <item m="1" x="6886"/>
        <item m="1" x="6887"/>
        <item m="1" x="6888"/>
        <item m="1" x="6889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6921"/>
        <item m="1" x="6922"/>
        <item m="1" x="6923"/>
        <item m="1" x="6924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934"/>
        <item m="1" x="6935"/>
        <item m="1" x="6936"/>
        <item m="1" x="6937"/>
        <item m="1" x="6938"/>
        <item m="1" x="6939"/>
        <item m="1" x="6940"/>
        <item m="1" x="6941"/>
        <item m="1" x="6942"/>
        <item m="1" x="6943"/>
        <item m="1" x="6944"/>
        <item m="1" x="6945"/>
        <item m="1" x="6946"/>
        <item m="1" x="6947"/>
        <item m="1" x="6948"/>
        <item m="1" x="6949"/>
        <item m="1" x="6950"/>
        <item m="1" x="6951"/>
        <item m="1" x="6952"/>
        <item m="1" x="6953"/>
        <item m="1" x="6954"/>
        <item m="1" x="6955"/>
        <item m="1" x="6956"/>
        <item m="1" x="6957"/>
        <item m="1" x="6958"/>
        <item m="1" x="6959"/>
        <item m="1" x="6960"/>
        <item m="1" x="6961"/>
        <item m="1" x="6962"/>
        <item m="1" x="6963"/>
        <item m="1" x="6964"/>
        <item m="1" x="6965"/>
        <item m="1" x="6966"/>
        <item m="1" x="6967"/>
        <item m="1" x="6968"/>
        <item m="1" x="6969"/>
        <item m="1" x="6970"/>
        <item m="1" x="6971"/>
        <item m="1" x="6972"/>
        <item m="1" x="6973"/>
        <item m="1" x="6974"/>
        <item m="1" x="6975"/>
        <item m="1" x="6976"/>
        <item m="1" x="6977"/>
        <item m="1" x="6978"/>
        <item m="1" x="6979"/>
        <item m="1" x="6980"/>
        <item m="1" x="6981"/>
        <item m="1" x="6982"/>
        <item m="1" x="6983"/>
        <item m="1" x="6984"/>
        <item m="1" x="6985"/>
        <item m="1" x="6986"/>
        <item m="1" x="6987"/>
        <item m="1" x="6988"/>
        <item m="1" x="6989"/>
        <item m="1" x="6990"/>
        <item m="1" x="6991"/>
        <item m="1" x="6992"/>
        <item m="1" x="6993"/>
        <item m="1" x="6994"/>
        <item m="1" x="6995"/>
        <item m="1" x="6996"/>
        <item m="1" x="6997"/>
        <item m="1" x="6998"/>
        <item m="1" x="6999"/>
        <item m="1" x="7000"/>
        <item m="1" x="7001"/>
        <item m="1" x="7002"/>
        <item m="1" x="7003"/>
        <item m="1" x="7004"/>
        <item m="1" x="7005"/>
        <item m="1" x="7006"/>
        <item m="1" x="7007"/>
        <item m="1" x="7008"/>
        <item m="1" x="7009"/>
        <item m="1" x="7010"/>
        <item m="1" x="7011"/>
        <item m="1" x="7012"/>
        <item m="1" x="7013"/>
        <item m="1" x="7014"/>
        <item m="1" x="7015"/>
        <item m="1" x="7016"/>
        <item m="1" x="7017"/>
        <item m="1" x="7018"/>
        <item m="1" x="7019"/>
        <item m="1" x="7020"/>
        <item m="1" x="7021"/>
        <item m="1" x="7022"/>
        <item m="1" x="7023"/>
        <item m="1" x="7024"/>
        <item m="1" x="7025"/>
        <item m="1" x="7026"/>
        <item m="1" x="7027"/>
        <item m="1" x="7028"/>
        <item m="1" x="7029"/>
        <item m="1" x="7030"/>
        <item m="1" x="7031"/>
        <item m="1" x="7032"/>
        <item m="1" x="7033"/>
        <item m="1" x="7034"/>
        <item m="1" x="7035"/>
        <item m="1" x="7036"/>
        <item m="1" x="7037"/>
        <item m="1" x="7038"/>
        <item m="1" x="7039"/>
        <item m="1" x="7040"/>
        <item m="1" x="7041"/>
        <item m="1" x="7042"/>
        <item m="1" x="7043"/>
        <item m="1" x="7044"/>
        <item m="1" x="7045"/>
        <item m="1" x="7046"/>
        <item m="1" x="7047"/>
        <item m="1" x="7048"/>
        <item m="1" x="7049"/>
        <item m="1" x="7050"/>
        <item m="1" x="7051"/>
        <item m="1" x="7052"/>
        <item m="1" x="7053"/>
        <item m="1" x="7054"/>
        <item m="1" x="7055"/>
        <item m="1" x="7056"/>
        <item m="1" x="7057"/>
        <item m="1" x="7058"/>
        <item m="1" x="7059"/>
        <item m="1" x="7060"/>
        <item m="1" x="7061"/>
        <item m="1" x="7062"/>
        <item m="1" x="7063"/>
        <item m="1" x="7064"/>
        <item m="1" x="7065"/>
        <item m="1" x="7066"/>
        <item m="1" x="7067"/>
        <item m="1" x="7068"/>
        <item m="1" x="7069"/>
        <item m="1" x="7070"/>
        <item m="1" x="7071"/>
        <item m="1" x="7072"/>
        <item m="1" x="7073"/>
        <item m="1" x="7074"/>
        <item m="1" x="7075"/>
        <item m="1" x="7076"/>
        <item m="1" x="7077"/>
        <item m="1" x="7078"/>
        <item m="1" x="7079"/>
        <item m="1" x="7080"/>
        <item m="1" x="7081"/>
        <item m="1" x="7082"/>
        <item m="1" x="7083"/>
        <item m="1" x="7084"/>
        <item m="1" x="7085"/>
        <item m="1" x="7086"/>
        <item m="1" x="7087"/>
        <item m="1" x="7088"/>
        <item m="1" x="7089"/>
        <item m="1" x="7090"/>
        <item m="1" x="7091"/>
        <item m="1" x="7092"/>
        <item m="1" x="7093"/>
        <item m="1" x="7094"/>
        <item m="1" x="7095"/>
        <item m="1" x="7096"/>
        <item m="1" x="7097"/>
        <item m="1" x="7098"/>
        <item m="1" x="7099"/>
        <item m="1" x="7100"/>
        <item m="1" x="7101"/>
        <item m="1" x="7102"/>
        <item m="1" x="7103"/>
        <item m="1" x="7104"/>
        <item m="1" x="7105"/>
        <item m="1" x="7106"/>
        <item m="1" x="7107"/>
        <item m="1" x="7108"/>
        <item m="1" x="7109"/>
        <item m="1" x="7110"/>
        <item m="1" x="7111"/>
        <item m="1" x="7112"/>
        <item m="1" x="7113"/>
        <item m="1" x="7114"/>
        <item m="1" x="7115"/>
        <item m="1" x="7116"/>
        <item m="1" x="7117"/>
        <item m="1" x="7118"/>
        <item m="1" x="7119"/>
        <item m="1" x="7120"/>
        <item m="1" x="7121"/>
        <item m="1" x="7122"/>
        <item m="1" x="7123"/>
        <item m="1" x="7124"/>
        <item m="1" x="7125"/>
        <item m="1" x="7126"/>
        <item m="1" x="7127"/>
        <item m="1" x="7128"/>
        <item m="1" x="7129"/>
        <item m="1" x="7130"/>
        <item m="1" x="7131"/>
        <item m="1" x="7132"/>
        <item m="1" x="7133"/>
        <item m="1" x="7134"/>
        <item m="1" x="7135"/>
        <item m="1" x="7136"/>
        <item m="1" x="7137"/>
        <item m="1" x="7138"/>
        <item m="1" x="7139"/>
        <item m="1" x="7140"/>
        <item m="1" x="7141"/>
        <item m="1" x="7142"/>
        <item m="1" x="7143"/>
        <item m="1" x="7144"/>
        <item m="1" x="7145"/>
        <item m="1" x="7146"/>
        <item m="1" x="7147"/>
        <item m="1" x="7148"/>
        <item m="1" x="7149"/>
        <item m="1" x="7150"/>
        <item m="1" x="7151"/>
        <item m="1" x="7152"/>
        <item m="1" x="7153"/>
        <item m="1" x="7154"/>
        <item m="1" x="7155"/>
        <item m="1" x="7156"/>
        <item m="1" x="7157"/>
        <item m="1" x="7158"/>
        <item m="1" x="7159"/>
        <item m="1" x="7160"/>
        <item m="1" x="7161"/>
        <item m="1" x="7162"/>
        <item m="1" x="7163"/>
        <item m="1" x="7164"/>
        <item m="1" x="7165"/>
        <item m="1" x="7166"/>
        <item m="1" x="7167"/>
        <item m="1" x="7168"/>
        <item m="1" x="7169"/>
        <item m="1" x="7170"/>
        <item m="1" x="7171"/>
        <item m="1" x="7172"/>
        <item m="1" x="7173"/>
        <item m="1" x="7174"/>
        <item m="1" x="7175"/>
        <item m="1" x="7176"/>
        <item m="1" x="7177"/>
        <item m="1" x="7178"/>
        <item m="1" x="7179"/>
        <item m="1" x="7180"/>
        <item m="1" x="7181"/>
        <item m="1" x="7182"/>
        <item m="1" x="7183"/>
        <item m="1" x="7184"/>
        <item m="1" x="7185"/>
        <item m="1" x="7186"/>
        <item m="1" x="7187"/>
        <item m="1" x="7188"/>
        <item m="1" x="7189"/>
        <item m="1" x="7190"/>
        <item m="1" x="7191"/>
        <item m="1" x="7192"/>
        <item m="1" x="7193"/>
        <item m="1" x="7194"/>
        <item m="1" x="7195"/>
        <item m="1" x="7196"/>
        <item m="1" x="7197"/>
        <item m="1" x="7198"/>
        <item m="1" x="7199"/>
        <item m="1" x="7200"/>
        <item m="1" x="7201"/>
        <item m="1" x="7202"/>
        <item m="1" x="7203"/>
        <item m="1" x="7204"/>
        <item m="1" x="7205"/>
        <item m="1" x="7206"/>
        <item m="1" x="7207"/>
        <item m="1" x="7208"/>
        <item m="1" x="7209"/>
        <item m="1" x="7210"/>
        <item m="1" x="7211"/>
        <item m="1" x="7212"/>
        <item m="1" x="7213"/>
        <item m="1" x="7214"/>
        <item m="1" x="7215"/>
        <item m="1" x="7216"/>
        <item m="1" x="7217"/>
        <item m="1" x="7218"/>
        <item m="1" x="7219"/>
        <item m="1" x="7220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233"/>
        <item m="1" x="7234"/>
        <item m="1" x="7235"/>
        <item m="1" x="7236"/>
        <item m="1" x="7237"/>
        <item m="1" x="7238"/>
        <item m="1" x="7239"/>
        <item m="1" x="7240"/>
        <item m="1" x="7241"/>
        <item m="1" x="7242"/>
        <item m="1" x="7243"/>
        <item m="1" x="5836"/>
        <item m="1" x="7244"/>
        <item m="1" x="7245"/>
        <item m="1" x="7246"/>
        <item m="1" x="7247"/>
        <item m="1" x="7248"/>
        <item m="1" x="7249"/>
        <item m="1" x="7250"/>
        <item m="1" x="7251"/>
        <item m="1" x="7252"/>
        <item m="1" x="7253"/>
        <item m="1" x="7254"/>
        <item m="1" x="7255"/>
        <item m="1" x="7256"/>
        <item m="1" x="7257"/>
        <item m="1" x="7258"/>
        <item m="1" x="7259"/>
        <item m="1" x="7260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271"/>
        <item m="1" x="7272"/>
        <item m="1" x="7273"/>
        <item m="1" x="7274"/>
        <item m="1" x="7275"/>
        <item m="1" x="7276"/>
        <item m="1" x="7277"/>
        <item m="1" x="7278"/>
        <item m="1" x="7279"/>
        <item m="1" x="7280"/>
        <item m="1" x="7281"/>
        <item m="1" x="7282"/>
        <item m="1" x="7283"/>
        <item m="1" x="7284"/>
        <item m="1" x="7285"/>
        <item m="1" x="7286"/>
        <item m="1" x="7287"/>
        <item m="1" x="7288"/>
        <item m="1" x="7289"/>
        <item m="1" x="7290"/>
        <item m="1" x="7291"/>
        <item m="1" x="7292"/>
        <item m="1" x="7293"/>
        <item m="1" x="7294"/>
        <item m="1" x="7295"/>
        <item m="1" x="7296"/>
        <item m="1" x="7297"/>
        <item m="1" x="7298"/>
        <item m="1" x="7299"/>
        <item m="1" x="7300"/>
        <item m="1" x="7301"/>
        <item m="1" x="7302"/>
        <item m="1" x="7303"/>
        <item m="1" x="7304"/>
        <item m="1" x="7305"/>
        <item m="1" x="7306"/>
        <item m="1" x="7307"/>
        <item m="1" x="7308"/>
        <item m="1" x="7309"/>
        <item m="1" x="7310"/>
        <item m="1" x="7311"/>
        <item m="1" x="7312"/>
        <item m="1" x="7313"/>
        <item m="1" x="7314"/>
        <item m="1" x="7315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326"/>
        <item m="1" x="7327"/>
        <item m="1" x="7328"/>
        <item m="1" x="7329"/>
        <item m="1" x="7330"/>
        <item m="1" x="7331"/>
        <item m="1" x="7332"/>
        <item m="1" x="7333"/>
        <item m="1" x="7334"/>
        <item m="1" x="7335"/>
        <item m="1" x="7336"/>
        <item m="1" x="7337"/>
        <item m="1" x="7338"/>
        <item m="1" x="7339"/>
        <item m="1" x="7340"/>
        <item m="1" x="7341"/>
        <item m="1" x="7342"/>
        <item m="1" x="7343"/>
        <item m="1" x="7344"/>
        <item m="1" x="7345"/>
        <item m="1" x="7346"/>
        <item m="1" x="7347"/>
        <item m="1" x="7348"/>
        <item m="1" x="7349"/>
        <item m="1" x="7350"/>
        <item m="1" x="7351"/>
        <item m="1" x="7352"/>
        <item m="1" x="7353"/>
        <item m="1" x="7354"/>
        <item m="1" x="7355"/>
        <item m="1" x="7356"/>
        <item m="1" x="7357"/>
        <item m="1" x="7358"/>
        <item m="1" x="7359"/>
        <item m="1" x="7360"/>
        <item m="1" x="7361"/>
        <item m="1" x="7362"/>
        <item m="1" x="7363"/>
        <item m="1" x="7364"/>
        <item m="1" x="7365"/>
        <item m="1" x="7366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377"/>
        <item m="1" x="7378"/>
        <item m="1" x="7379"/>
        <item m="1" x="7380"/>
        <item m="1" x="7381"/>
        <item m="1" x="7382"/>
        <item m="1" x="7383"/>
        <item m="1" x="7384"/>
        <item m="1" x="7385"/>
        <item m="1" x="7386"/>
        <item m="1" x="7387"/>
        <item m="1" x="7388"/>
        <item m="1" x="7389"/>
        <item m="1" x="7390"/>
        <item m="1" x="7391"/>
        <item m="1" x="7392"/>
        <item m="1" x="7393"/>
        <item m="1" x="7394"/>
        <item m="1" x="7395"/>
        <item m="1" x="7396"/>
        <item m="1" x="7397"/>
        <item m="1" x="7398"/>
        <item m="1" x="7399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421"/>
        <item m="1" x="7422"/>
        <item m="1" x="7423"/>
        <item m="1" x="7424"/>
        <item m="1" x="7425"/>
        <item m="1" x="7426"/>
        <item m="1" x="7427"/>
        <item m="1" x="7428"/>
        <item m="1" x="7429"/>
        <item m="1" x="7430"/>
        <item m="1" x="7431"/>
        <item m="1" x="7432"/>
        <item m="1" x="7433"/>
        <item m="1" x="7434"/>
        <item m="1" x="7435"/>
        <item m="1" x="7436"/>
        <item m="1" x="7437"/>
        <item m="1" x="7438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454"/>
        <item m="1" x="7455"/>
        <item m="1" x="7456"/>
        <item m="1" x="7457"/>
        <item m="1" x="7458"/>
        <item m="1" x="7459"/>
        <item m="1" x="7460"/>
        <item m="1" x="7461"/>
        <item m="1" x="7462"/>
        <item m="1" x="7463"/>
        <item m="1" x="7464"/>
        <item m="1" x="7465"/>
        <item m="1" x="7466"/>
        <item m="1" x="7467"/>
        <item m="1" x="7468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479"/>
        <item m="1" x="7480"/>
        <item m="1" x="7481"/>
        <item m="1" x="7482"/>
        <item m="1" x="7483"/>
        <item m="1" x="7484"/>
        <item m="1" x="7485"/>
        <item m="1" x="7486"/>
        <item m="1" x="7487"/>
        <item m="1" x="7488"/>
        <item m="1" x="7489"/>
        <item m="1" x="7490"/>
        <item m="1" x="7491"/>
        <item m="1" x="7492"/>
        <item m="1" x="7493"/>
        <item m="1" x="7494"/>
        <item m="1" x="7495"/>
        <item m="1" x="7496"/>
        <item m="1" x="7497"/>
        <item m="1" x="7498"/>
        <item m="1" x="7499"/>
        <item m="1" x="7500"/>
        <item m="1" x="7501"/>
        <item m="1" x="7502"/>
        <item m="1" x="7503"/>
        <item m="1" x="7504"/>
        <item m="1" x="7505"/>
        <item m="1" x="7506"/>
        <item m="1" x="7507"/>
        <item m="1" x="7508"/>
        <item m="1" x="7509"/>
        <item m="1" x="7510"/>
        <item m="1" x="7511"/>
        <item m="1" x="7512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548"/>
        <item m="1" x="7549"/>
        <item m="1" x="7550"/>
        <item m="1" x="7551"/>
        <item m="1" x="7552"/>
        <item m="1" x="7553"/>
        <item m="1" x="7554"/>
        <item m="1" x="7555"/>
        <item m="1" x="7556"/>
        <item m="1" x="7557"/>
        <item m="1" x="7558"/>
        <item m="1" x="7559"/>
        <item m="1" x="7560"/>
        <item m="1" x="7561"/>
        <item m="1" x="7562"/>
        <item m="1" x="7563"/>
        <item m="1" x="7564"/>
        <item m="1" x="7565"/>
        <item m="1" x="7566"/>
        <item m="1" x="7567"/>
        <item m="1" x="7568"/>
        <item m="1" x="7569"/>
        <item m="1" x="7570"/>
        <item m="1" x="7571"/>
        <item m="1" x="7572"/>
        <item m="1" x="7573"/>
        <item m="1" x="7574"/>
        <item m="1" x="7575"/>
        <item m="1" x="7576"/>
        <item m="1" x="7577"/>
        <item m="1" x="7578"/>
        <item m="1" x="7579"/>
        <item m="1" x="7580"/>
        <item m="1" x="7581"/>
        <item m="1" x="7582"/>
        <item m="1" x="7583"/>
        <item m="1" x="7584"/>
        <item m="1" x="7585"/>
        <item m="1" x="7586"/>
        <item m="1" x="7587"/>
        <item m="1" x="7588"/>
        <item m="1" x="7589"/>
        <item m="1" x="7590"/>
        <item m="1" x="7591"/>
        <item m="1" x="7592"/>
        <item m="1" x="7593"/>
        <item m="1" x="7594"/>
        <item m="1" x="7595"/>
        <item m="1" x="7596"/>
        <item m="1" x="7597"/>
        <item m="1" x="7598"/>
        <item m="1" x="7599"/>
        <item m="1" x="7600"/>
        <item m="1" x="7601"/>
        <item m="1" x="7602"/>
        <item m="1" x="7603"/>
        <item m="1" x="7604"/>
        <item m="1" x="7605"/>
        <item m="1" x="7606"/>
        <item m="1" x="7607"/>
        <item m="1" x="7608"/>
        <item m="1" x="7609"/>
        <item m="1" x="7610"/>
        <item m="1" x="7611"/>
        <item m="1" x="7612"/>
        <item m="1" x="7613"/>
        <item m="1" x="7614"/>
        <item m="1" x="7615"/>
        <item m="1" x="7616"/>
        <item m="1" x="7617"/>
        <item m="1" x="7618"/>
        <item m="1" x="7619"/>
        <item m="1" x="7620"/>
        <item m="1" x="7621"/>
        <item m="1" x="7622"/>
        <item m="1" x="7623"/>
        <item m="1" x="7624"/>
        <item m="1" x="7625"/>
        <item m="1" x="7626"/>
        <item m="1" x="7627"/>
        <item m="1" x="7628"/>
        <item m="1" x="7629"/>
        <item m="1" x="7630"/>
        <item m="1" x="7631"/>
        <item m="1" x="7632"/>
        <item m="1" x="7633"/>
        <item m="1" x="7634"/>
        <item m="1" x="7635"/>
        <item m="1" x="7636"/>
        <item m="1" x="7637"/>
        <item m="1" x="7638"/>
        <item m="1" x="7639"/>
        <item m="1" x="7640"/>
        <item m="1" x="7641"/>
        <item m="1" x="7642"/>
        <item m="1" x="7643"/>
        <item m="1" x="7644"/>
        <item m="1" x="7645"/>
        <item m="1" x="7646"/>
        <item m="1" x="7647"/>
        <item m="1" x="7648"/>
        <item m="1" x="7649"/>
        <item m="1" x="7650"/>
        <item m="1" x="7651"/>
        <item m="1" x="7652"/>
        <item m="1" x="7653"/>
        <item m="1" x="7654"/>
        <item m="1" x="7655"/>
        <item m="1" x="7656"/>
        <item m="1" x="7657"/>
        <item m="1" x="765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5354"/>
        <item m="1" x="5355"/>
        <item m="1" x="5356"/>
        <item m="1" x="5357"/>
        <item m="1" x="5358"/>
        <item m="1" x="5359"/>
        <item m="1" x="5360"/>
        <item m="1" x="5361"/>
        <item m="1" x="5362"/>
        <item m="1" x="5363"/>
        <item m="1" x="5364"/>
        <item m="1" x="5365"/>
        <item m="1" x="5366"/>
        <item m="1" x="5367"/>
        <item m="1" x="5368"/>
        <item m="1" x="536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5380"/>
        <item m="1" x="5381"/>
        <item m="1" x="5382"/>
        <item m="1" x="5383"/>
        <item m="1" x="5384"/>
        <item m="1" x="5385"/>
        <item m="1" x="5386"/>
        <item m="1" x="5387"/>
        <item m="1" x="5388"/>
        <item m="1" x="5389"/>
        <item m="1" x="5390"/>
        <item m="1" x="5391"/>
        <item m="1" x="5392"/>
        <item m="1" x="5393"/>
        <item m="1" x="5394"/>
        <item m="1" x="5395"/>
        <item m="1" x="5396"/>
        <item m="1" x="5397"/>
        <item m="1" x="5398"/>
        <item m="1" x="5399"/>
        <item m="1" x="5400"/>
        <item m="1" x="5401"/>
        <item m="1" x="5402"/>
        <item m="1" x="5403"/>
        <item m="1" x="5404"/>
        <item m="1" x="5405"/>
        <item m="1" x="5406"/>
        <item m="1" x="5407"/>
        <item m="1" x="5408"/>
        <item m="1" x="5409"/>
        <item m="1" x="5410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5421"/>
        <item m="1" x="5422"/>
        <item m="1" x="5423"/>
        <item m="1" x="5424"/>
        <item m="1" x="5425"/>
        <item m="1" x="5426"/>
        <item m="1" x="5427"/>
        <item m="1" x="5428"/>
        <item m="1" x="5429"/>
        <item m="1" x="5430"/>
        <item m="1" x="5431"/>
        <item m="1" x="5432"/>
        <item m="1" x="5433"/>
        <item m="1" x="5434"/>
        <item m="1" x="5435"/>
        <item m="1" x="5436"/>
        <item m="1" x="5437"/>
        <item m="1" x="5438"/>
        <item m="1" x="5439"/>
        <item m="1" x="5440"/>
        <item m="1" x="5441"/>
        <item m="1" x="5442"/>
        <item m="1" x="5443"/>
        <item m="1" x="5444"/>
        <item m="1" x="5445"/>
        <item m="1" x="5446"/>
        <item m="1" x="5447"/>
        <item m="1" x="5448"/>
        <item m="1" x="5449"/>
        <item m="1" x="5450"/>
        <item m="1" x="5451"/>
        <item m="1" x="5452"/>
        <item m="1" x="5453"/>
        <item m="1" x="5454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5476"/>
        <item m="1" x="5477"/>
        <item m="1" x="5478"/>
        <item m="1" x="5479"/>
        <item m="1" x="5480"/>
        <item m="1" x="5481"/>
        <item m="1" x="5482"/>
        <item m="1" x="5483"/>
        <item m="1" x="5484"/>
        <item m="1" x="5485"/>
        <item m="1" x="5486"/>
        <item m="1" x="5487"/>
        <item m="1" x="5488"/>
        <item m="1" x="5489"/>
        <item m="1" x="5490"/>
        <item m="1" x="5491"/>
        <item m="1" x="5492"/>
        <item m="1" x="5493"/>
        <item m="1" x="5494"/>
        <item m="1" x="5495"/>
        <item m="1" x="5496"/>
        <item m="1" x="5497"/>
        <item m="1" x="5498"/>
        <item m="1" x="5499"/>
        <item m="1" x="5500"/>
        <item m="1" x="5501"/>
        <item m="1" x="5502"/>
        <item m="1" x="5503"/>
        <item m="1" x="5504"/>
        <item m="1" x="5505"/>
        <item m="1" x="5506"/>
        <item m="1" x="5507"/>
        <item m="1" x="5508"/>
        <item m="1" x="5509"/>
        <item m="1" x="5510"/>
        <item m="1" x="5511"/>
        <item m="1" x="5512"/>
        <item m="1" x="5513"/>
        <item m="1" x="5514"/>
        <item m="1" x="5515"/>
        <item m="1" x="5516"/>
        <item m="1" x="5517"/>
        <item m="1" x="5518"/>
        <item m="1" x="5519"/>
        <item m="1" x="5520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5532"/>
        <item m="1" x="5533"/>
        <item m="1" x="5534"/>
        <item m="1" x="5535"/>
        <item m="1" x="5536"/>
        <item m="1" x="5537"/>
        <item m="1" x="5538"/>
        <item m="1" x="5539"/>
        <item m="1" x="5540"/>
        <item m="1" x="5541"/>
        <item m="1" x="5542"/>
        <item m="1" x="5543"/>
        <item m="1" x="5544"/>
        <item m="1" x="5545"/>
        <item m="1" x="5546"/>
        <item m="1" x="5547"/>
        <item m="1" x="5548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2"/>
        <item m="1" x="5563"/>
        <item m="1" x="5564"/>
        <item m="1" x="5565"/>
        <item m="1" x="5566"/>
        <item m="1" x="5567"/>
        <item m="1" x="5568"/>
        <item m="1" x="5569"/>
        <item m="1" x="5570"/>
        <item m="1" x="5571"/>
        <item m="1" x="5572"/>
        <item m="1" x="5573"/>
        <item m="1" x="5574"/>
        <item m="1" x="5575"/>
        <item m="1" x="5576"/>
        <item m="1" x="5577"/>
        <item m="1" x="5578"/>
        <item m="1" x="5579"/>
        <item m="1" x="5580"/>
        <item m="1" x="5581"/>
        <item m="1" x="5582"/>
        <item m="1" x="5583"/>
        <item m="1" x="5584"/>
        <item m="1" x="5585"/>
        <item m="1" x="5586"/>
        <item m="1" x="5587"/>
        <item m="1" x="5588"/>
        <item m="1" x="5589"/>
        <item m="1" x="5590"/>
        <item m="1" x="5591"/>
        <item m="1" x="5592"/>
        <item m="1" x="5593"/>
        <item m="1" x="5594"/>
        <item m="1" x="5595"/>
        <item m="1" x="5596"/>
        <item m="1" x="5597"/>
        <item m="1" x="5598"/>
        <item m="1" x="5599"/>
        <item m="1" x="5600"/>
        <item m="1" x="5601"/>
        <item m="1" x="5602"/>
        <item m="1" x="5603"/>
        <item m="1" x="5604"/>
        <item m="1" x="5605"/>
        <item m="1" x="5606"/>
        <item m="1" x="5607"/>
        <item m="1" x="5608"/>
        <item m="1" x="5609"/>
        <item m="1" x="5610"/>
        <item m="1" x="5611"/>
        <item m="1" x="5612"/>
        <item m="1" x="5613"/>
        <item m="1" x="5614"/>
        <item m="1" x="5615"/>
        <item m="1" x="5616"/>
        <item m="1" x="5617"/>
        <item m="1" x="5618"/>
        <item m="1" x="5619"/>
        <item m="1" x="5620"/>
        <item m="1" x="5621"/>
        <item m="1" x="5622"/>
        <item m="1" x="5623"/>
        <item m="1" x="5624"/>
        <item m="1" x="5625"/>
        <item m="1" x="5626"/>
        <item m="1" x="5627"/>
        <item m="1" x="5628"/>
        <item m="1" x="5629"/>
        <item m="1" x="5630"/>
        <item m="1" x="5631"/>
        <item m="1" x="5632"/>
        <item m="1" x="5633"/>
        <item m="1" x="5634"/>
        <item m="1" x="5635"/>
        <item m="1" x="5636"/>
        <item m="1" x="5637"/>
        <item m="1" x="5638"/>
        <item m="1" x="5639"/>
        <item m="1" x="5640"/>
        <item m="1" x="5641"/>
        <item m="1" x="5642"/>
        <item m="1" x="5643"/>
        <item m="1" x="5644"/>
        <item m="1" x="5645"/>
        <item m="1" x="5646"/>
        <item m="1" x="5647"/>
        <item m="1" x="5648"/>
        <item m="1" x="5649"/>
        <item m="1" x="5650"/>
        <item m="1" x="5651"/>
        <item m="1" x="5652"/>
        <item m="1" x="5653"/>
        <item m="1" x="5654"/>
        <item m="1" x="5655"/>
        <item m="1" x="5656"/>
        <item m="1" x="5657"/>
        <item m="1" x="5658"/>
        <item m="1" x="5659"/>
        <item m="1" x="5660"/>
        <item m="1" x="5661"/>
        <item m="1" x="5662"/>
        <item m="1" x="5663"/>
        <item m="1" x="5664"/>
        <item m="1" x="5665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75"/>
        <item m="1" x="5676"/>
        <item m="1" x="5677"/>
        <item m="1" x="5678"/>
        <item m="1" x="5679"/>
        <item m="1" x="5680"/>
        <item m="1" x="5681"/>
        <item m="1" x="5682"/>
        <item m="1" x="5683"/>
        <item m="1" x="5684"/>
        <item m="1" x="5685"/>
        <item m="1" x="5686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1"/>
        <item m="1" x="5702"/>
        <item m="1" x="5703"/>
        <item m="1" x="5704"/>
        <item m="1" x="5705"/>
        <item m="1" x="5706"/>
        <item m="1" x="5707"/>
        <item m="1" x="5708"/>
        <item m="1" x="5709"/>
        <item m="1" x="5710"/>
        <item m="1" x="5711"/>
        <item m="1" x="5712"/>
        <item m="1" x="5713"/>
        <item m="1" x="5714"/>
        <item m="1" x="5715"/>
        <item m="1" x="5716"/>
        <item m="1" x="5717"/>
        <item m="1" x="5718"/>
        <item m="1" x="5719"/>
        <item m="1" x="5720"/>
        <item m="1" x="5721"/>
        <item m="1" x="5722"/>
        <item m="1" x="5723"/>
        <item m="1" x="5724"/>
        <item m="1" x="5725"/>
        <item m="1" x="5726"/>
        <item m="1" x="5727"/>
        <item m="1" x="5728"/>
        <item m="1" x="5729"/>
        <item m="1" x="5730"/>
        <item m="1" x="5731"/>
        <item m="1" x="5732"/>
        <item m="1" x="5733"/>
        <item m="1" x="5734"/>
        <item m="1" x="5735"/>
        <item m="1" x="5736"/>
        <item m="1" x="5737"/>
        <item m="1" x="5738"/>
        <item m="1" x="5739"/>
        <item m="1" x="5740"/>
        <item m="1" x="5741"/>
        <item m="1" x="5742"/>
        <item m="1" x="5743"/>
        <item m="1" x="5744"/>
        <item m="1" x="5745"/>
        <item m="1" x="5746"/>
        <item m="1" x="5747"/>
        <item m="1" x="5748"/>
        <item m="1" x="5749"/>
        <item m="1" x="5750"/>
        <item m="1" x="5751"/>
        <item m="1" x="5752"/>
        <item m="1" x="5753"/>
        <item m="1" x="5754"/>
        <item m="1" x="5755"/>
        <item m="1" x="5756"/>
        <item m="1" x="5757"/>
        <item m="1" x="5758"/>
        <item m="1" x="5759"/>
        <item m="1" x="5760"/>
        <item m="1" x="5761"/>
        <item m="1" x="5762"/>
        <item m="1" x="5763"/>
        <item m="1" x="5764"/>
        <item m="1" x="5765"/>
        <item m="1" x="5766"/>
        <item m="1" x="5767"/>
        <item m="1" x="5768"/>
        <item m="1" x="5769"/>
        <item m="1" x="5770"/>
        <item m="1" x="5771"/>
        <item m="1" x="5772"/>
        <item m="1" x="5773"/>
        <item m="1" x="5774"/>
        <item m="1" x="5775"/>
        <item m="1" x="5776"/>
        <item m="1" x="5777"/>
        <item m="1" x="5778"/>
        <item m="1" x="5779"/>
        <item m="1" x="5780"/>
        <item m="1" x="5781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1"/>
        <item m="1" x="5792"/>
        <item m="1" x="5793"/>
        <item m="1" x="5794"/>
        <item m="1" x="5795"/>
        <item m="1" x="5796"/>
        <item m="1" x="5797"/>
        <item m="1" x="5798"/>
        <item m="1" x="5799"/>
        <item m="1" x="5800"/>
        <item m="1" x="5801"/>
        <item m="1" x="5802"/>
        <item m="1" x="5803"/>
        <item m="1" x="5804"/>
        <item m="1" x="5805"/>
        <item m="1" x="5806"/>
        <item m="1" x="5807"/>
        <item m="1" x="5808"/>
        <item m="1" x="5809"/>
        <item m="1" x="5810"/>
        <item m="1" x="5811"/>
        <item m="1" x="5812"/>
        <item m="1" x="5813"/>
        <item m="1" x="5814"/>
        <item m="1" x="5815"/>
        <item m="1" x="5816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7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28"/>
        <item m="1" x="5929"/>
        <item m="1" x="5930"/>
        <item m="1" x="5931"/>
        <item m="1" x="5932"/>
        <item m="1" x="5933"/>
        <item m="1" x="5934"/>
        <item m="1" x="5935"/>
        <item m="1" x="5936"/>
        <item m="1" x="5937"/>
        <item m="1" x="5938"/>
        <item m="1" x="5939"/>
        <item m="1" x="5940"/>
        <item m="1" x="5941"/>
        <item m="1" x="5942"/>
        <item m="1" x="5943"/>
        <item m="1" x="5944"/>
        <item m="1" x="5945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9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977"/>
        <item m="1" x="5978"/>
        <item m="1" x="5979"/>
        <item m="1" x="5980"/>
        <item m="1" x="5981"/>
        <item m="1" x="5982"/>
        <item m="1" x="5983"/>
        <item m="1" x="5984"/>
        <item m="1" x="5985"/>
        <item m="1" x="5986"/>
        <item m="1" x="5987"/>
        <item m="1" x="5988"/>
        <item m="1" x="5989"/>
        <item m="1" x="5990"/>
        <item m="1" x="5991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2"/>
        <item m="1" x="6003"/>
        <item m="1" x="6004"/>
        <item m="1" x="6005"/>
        <item m="1" x="6006"/>
        <item m="1" x="6007"/>
        <item m="1" x="6008"/>
        <item m="1" x="6009"/>
        <item m="1" x="6010"/>
        <item m="1" x="6011"/>
        <item m="1" x="6012"/>
        <item m="1" x="6013"/>
        <item m="1" x="6014"/>
        <item m="1" x="6015"/>
        <item m="1" x="6016"/>
        <item m="1" x="6017"/>
        <item m="1" x="6018"/>
        <item m="1" x="6019"/>
        <item m="1" x="6020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6034"/>
        <item m="1" x="6035"/>
        <item m="1" x="6036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6065"/>
        <item m="1" x="6066"/>
        <item m="1" x="6067"/>
        <item m="1" x="6068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m="1" x="6106"/>
        <item m="1" x="6107"/>
        <item m="1" x="6108"/>
        <item m="1" x="6109"/>
        <item m="1" x="6110"/>
        <item m="1" x="6111"/>
        <item m="1" x="6112"/>
        <item m="1" x="6113"/>
        <item m="1" x="6114"/>
        <item m="1" x="6115"/>
        <item m="1" x="6116"/>
        <item m="1" x="6117"/>
        <item m="1" x="6118"/>
        <item m="1" x="6119"/>
        <item m="1" x="6120"/>
        <item m="1" x="6121"/>
        <item m="1" x="6122"/>
        <item m="1" x="6123"/>
        <item m="1" x="6124"/>
        <item m="1" x="6125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m="1" x="6138"/>
        <item m="1" x="6139"/>
        <item m="1" x="6140"/>
        <item m="1" x="6141"/>
        <item m="1" x="6142"/>
        <item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66"/>
        <item m="1" x="6167"/>
        <item m="1" x="6168"/>
        <item m="1" x="6169"/>
        <item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6189"/>
        <item m="1" x="6190"/>
        <item m="1" x="6191"/>
        <item m="1" x="6192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m="1" x="6247"/>
        <item m="1" x="6248"/>
        <item m="1" x="6249"/>
        <item m="1" x="6250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6264"/>
        <item m="1" x="6265"/>
        <item m="1" x="6266"/>
        <item m="1" x="6267"/>
        <item m="1" x="6268"/>
        <item m="1" x="6269"/>
        <item m="1" x="6270"/>
        <item m="1" x="6271"/>
        <item m="1" x="6272"/>
        <item m="1" x="6273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6289"/>
        <item m="1" x="6290"/>
        <item m="1" x="6291"/>
        <item m="1" x="6292"/>
        <item m="1" x="6293"/>
        <item m="1" x="6294"/>
        <item m="1" x="6295"/>
        <item m="1" x="6296"/>
        <item m="1" x="6297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2"/>
        <item m="1" x="6313"/>
        <item m="1" x="6314"/>
        <item m="1" x="6315"/>
        <item m="1" x="6316"/>
        <item m="1" x="6317"/>
        <item m="1" x="6318"/>
        <item m="1" x="6319"/>
        <item m="1" x="6320"/>
        <item m="1" x="6321"/>
        <item m="1" x="6322"/>
        <item m="1" x="6323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m="1" x="6340"/>
        <item m="1" x="6341"/>
        <item m="1" x="6342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6382"/>
        <item m="1" x="6383"/>
        <item m="1" x="6384"/>
        <item m="1" x="6385"/>
        <item m="1" x="6386"/>
        <item m="1" x="6387"/>
        <item m="1" x="6388"/>
        <item m="1" x="6389"/>
        <item m="1" x="6390"/>
        <item m="1" x="6391"/>
        <item m="1" x="6392"/>
        <item m="1" x="6393"/>
        <item m="1" x="6394"/>
        <item m="1" x="6395"/>
        <item m="1" x="6396"/>
        <item m="1" x="6397"/>
        <item m="1" x="6398"/>
        <item m="1" x="6399"/>
        <item m="1" x="6400"/>
        <item m="1" x="6401"/>
        <item m="1" x="6402"/>
        <item m="1" x="6403"/>
        <item m="1" x="6404"/>
        <item m="1" x="6405"/>
        <item m="1" x="6406"/>
        <item m="1" x="6407"/>
        <item m="1" x="6408"/>
        <item m="1" x="6409"/>
        <item m="1" x="6410"/>
        <item m="1" x="6411"/>
        <item m="1" x="6412"/>
        <item m="1" x="6413"/>
        <item m="1" x="6414"/>
        <item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6546"/>
        <item m="1" x="6547"/>
        <item m="1" x="6548"/>
        <item m="1" x="6549"/>
        <item m="1" x="6550"/>
        <item m="1" x="6551"/>
        <item m="1" x="655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571"/>
        <item m="1" x="6572"/>
        <item m="1" x="6573"/>
        <item m="1" x="6574"/>
        <item m="1" x="6575"/>
        <item m="1" x="6576"/>
        <item m="1" x="6577"/>
        <item m="1" x="6578"/>
        <item m="1" x="6579"/>
        <item m="1" x="6580"/>
        <item m="1" x="6581"/>
        <item m="1" x="6582"/>
        <item m="1" x="6583"/>
        <item m="1" x="6584"/>
        <item m="1" x="6585"/>
        <item m="1" x="6586"/>
        <item m="1" x="6587"/>
        <item m="1" x="6588"/>
        <item m="1" x="6589"/>
        <item m="1" x="6590"/>
        <item m="1" x="6591"/>
        <item m="1" x="4659"/>
        <item m="1" x="4660"/>
        <item m="1" x="4661"/>
        <item m="1" x="4662"/>
        <item m="1" x="4663"/>
        <item m="1" x="4664"/>
        <item m="1" x="4665"/>
        <item m="1" x="4666"/>
        <item m="1" x="4667"/>
        <item m="1" x="4668"/>
        <item m="1" x="4669"/>
        <item m="1" x="4670"/>
        <item m="1" x="4671"/>
        <item m="1" x="4672"/>
        <item m="1" x="4673"/>
        <item m="1" x="4674"/>
        <item m="1" x="4675"/>
        <item m="1" x="4676"/>
        <item m="1" x="4677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90"/>
        <item m="1" x="4691"/>
        <item m="1" x="4692"/>
        <item m="1" x="4693"/>
        <item m="1" x="4694"/>
        <item m="1" x="4695"/>
        <item m="1" x="4696"/>
        <item m="1" x="4697"/>
        <item m="1" x="4698"/>
        <item m="1" x="4699"/>
        <item m="1" x="4700"/>
        <item m="1" x="4701"/>
        <item m="1" x="4702"/>
        <item m="1" x="4703"/>
        <item m="1" x="4704"/>
        <item m="1" x="4705"/>
        <item m="1" x="4706"/>
        <item m="1" x="4707"/>
        <item m="1" x="4708"/>
        <item m="1" x="4709"/>
        <item m="1" x="4710"/>
        <item m="1" x="4711"/>
        <item m="1" x="4712"/>
        <item m="1" x="4713"/>
        <item m="1" x="4714"/>
        <item m="1" x="4715"/>
        <item m="1" x="4716"/>
        <item m="1" x="4717"/>
        <item m="1" x="4718"/>
        <item m="1" x="4719"/>
        <item m="1" x="4720"/>
        <item m="1" x="4721"/>
        <item m="1" x="4722"/>
        <item m="1" x="4723"/>
        <item m="1" x="4724"/>
        <item m="1" x="4725"/>
        <item m="1" x="4726"/>
        <item m="1" x="4727"/>
        <item m="1" x="4728"/>
        <item m="1" x="4729"/>
        <item m="1" x="4730"/>
        <item m="1" x="4731"/>
        <item m="1" x="4732"/>
        <item m="1" x="4733"/>
        <item m="1" x="4734"/>
        <item m="1" x="4735"/>
        <item m="1" x="4736"/>
        <item m="1" x="4737"/>
        <item m="1" x="4738"/>
        <item m="1" x="4739"/>
        <item m="1" x="4740"/>
        <item m="1" x="4741"/>
        <item m="1" x="4742"/>
        <item m="1" x="4743"/>
        <item m="1" x="4744"/>
        <item m="1" x="4745"/>
        <item m="1" x="4746"/>
        <item m="1" x="4747"/>
        <item m="1" x="4748"/>
        <item m="1" x="4749"/>
        <item m="1" x="4750"/>
        <item m="1" x="4751"/>
        <item m="1" x="4752"/>
        <item m="1" x="4753"/>
        <item m="1" x="4754"/>
        <item m="1" x="4755"/>
        <item m="1" x="4756"/>
        <item m="1" x="4757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4778"/>
        <item m="1" x="4779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4795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846"/>
        <item m="1" x="4847"/>
        <item m="1" x="4848"/>
        <item m="1" x="4849"/>
        <item m="1" x="4850"/>
        <item m="1" x="4851"/>
        <item m="1" x="4852"/>
        <item m="1" x="4853"/>
        <item m="1" x="4854"/>
        <item m="1" x="4855"/>
        <item m="1" x="4856"/>
        <item m="1" x="4857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00"/>
        <item m="1" x="4901"/>
        <item m="1" x="4902"/>
        <item m="1" x="4903"/>
        <item m="1" x="4904"/>
        <item m="1" x="4905"/>
        <item m="1" x="4906"/>
        <item m="1" x="4907"/>
        <item m="1" x="4908"/>
        <item m="1" x="4909"/>
        <item m="1" x="4910"/>
        <item m="1" x="4911"/>
        <item m="1" x="4912"/>
        <item m="1" x="4913"/>
        <item m="1" x="4914"/>
        <item m="1" x="4915"/>
        <item m="1" x="4916"/>
        <item m="1" x="4917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4934"/>
        <item m="1" x="4935"/>
        <item m="1" x="4936"/>
        <item m="1" x="4937"/>
        <item m="1" x="4938"/>
        <item m="1" x="4939"/>
        <item m="1" x="4940"/>
        <item m="1" x="4941"/>
        <item m="1" x="4942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m="1" x="4972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4991"/>
        <item m="1" x="4992"/>
        <item m="1" x="4993"/>
        <item m="1" x="4994"/>
        <item m="1" x="4995"/>
        <item m="1" x="4996"/>
        <item m="1" x="4997"/>
        <item m="1" x="4998"/>
        <item m="1" x="4999"/>
        <item m="1" x="5000"/>
        <item m="1" x="5001"/>
        <item m="1" x="5002"/>
        <item m="1" x="5003"/>
        <item m="1" x="5004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20"/>
        <item m="1" x="5021"/>
        <item m="1" x="5022"/>
        <item m="1" x="5023"/>
        <item m="1" x="5024"/>
        <item m="1" x="5025"/>
        <item m="1" x="5026"/>
        <item m="1" x="5027"/>
        <item m="1" x="5028"/>
        <item m="1" x="5029"/>
        <item m="1" x="5030"/>
        <item m="1" x="5031"/>
        <item m="1" x="5032"/>
        <item m="1" x="5033"/>
        <item m="1" x="5034"/>
        <item m="1" x="5035"/>
        <item m="1" x="5036"/>
        <item m="1" x="5037"/>
        <item m="1" x="5038"/>
        <item m="1" x="5039"/>
        <item m="1" x="5040"/>
        <item m="1" x="5041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5052"/>
        <item m="1" x="5053"/>
        <item m="1" x="5054"/>
        <item m="1" x="5055"/>
        <item m="1" x="5056"/>
        <item m="1" x="5057"/>
        <item m="1" x="5058"/>
        <item m="1" x="5059"/>
        <item m="1" x="5060"/>
        <item m="1" x="5061"/>
        <item m="1" x="5062"/>
        <item m="1" x="5063"/>
        <item m="1" x="5064"/>
        <item m="1" x="5065"/>
        <item m="1" x="5066"/>
        <item m="1" x="5067"/>
        <item m="1" x="5068"/>
        <item m="1" x="5069"/>
        <item m="1" x="5070"/>
        <item m="1" x="5071"/>
        <item m="1" x="5072"/>
        <item m="1" x="5073"/>
        <item m="1" x="5074"/>
        <item m="1" x="5075"/>
        <item m="1" x="5076"/>
        <item m="1" x="5077"/>
        <item m="1" x="5078"/>
        <item m="1" x="5079"/>
        <item m="1" x="5080"/>
        <item m="1" x="5081"/>
        <item m="1" x="5082"/>
        <item m="1" x="5083"/>
        <item m="1" x="5084"/>
        <item m="1" x="5085"/>
        <item m="1" x="5086"/>
        <item m="1" x="5087"/>
        <item m="1" x="5088"/>
        <item m="1" x="5089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5102"/>
        <item m="1" x="5103"/>
        <item m="1" x="5104"/>
        <item m="1" x="5105"/>
        <item m="1" x="5106"/>
        <item m="1" x="5107"/>
        <item m="1" x="5108"/>
        <item m="1" x="5109"/>
        <item m="1" x="5110"/>
        <item m="1" x="5111"/>
        <item m="1" x="5112"/>
        <item m="1" x="5113"/>
        <item m="1" x="5114"/>
        <item m="1" x="5115"/>
        <item m="1" x="5116"/>
        <item m="1" x="5117"/>
        <item m="1" x="5118"/>
        <item m="1" x="5119"/>
        <item m="1" x="5120"/>
        <item m="1" x="5121"/>
        <item m="1" x="5122"/>
        <item m="1" x="5123"/>
        <item m="1" x="5124"/>
        <item m="1" x="5125"/>
        <item m="1" x="5126"/>
        <item m="1" x="5127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5141"/>
        <item m="1" x="5142"/>
        <item m="1" x="5143"/>
        <item m="1" x="5144"/>
        <item m="1" x="5145"/>
        <item m="1" x="5146"/>
        <item m="1" x="5147"/>
        <item m="1" x="5148"/>
        <item m="1" x="5149"/>
        <item m="1" x="5150"/>
        <item m="1" x="5151"/>
        <item m="1" x="5152"/>
        <item m="1" x="5153"/>
        <item m="1" x="5154"/>
        <item m="1" x="5155"/>
        <item m="1" x="5156"/>
        <item m="1" x="5157"/>
        <item m="1" x="5158"/>
        <item m="1" x="5159"/>
        <item m="1" x="5160"/>
        <item m="1" x="5161"/>
        <item m="1" x="5162"/>
        <item m="1" x="5163"/>
        <item m="1" x="5164"/>
        <item m="1" x="5165"/>
        <item m="1" x="5166"/>
        <item m="1" x="5167"/>
        <item m="1" x="5168"/>
        <item m="1" x="5169"/>
        <item m="1" x="5170"/>
        <item m="1" x="5171"/>
        <item m="1" x="5172"/>
        <item m="1" x="5173"/>
        <item m="1" x="5174"/>
        <item m="1" x="5175"/>
        <item m="1" x="5176"/>
        <item m="1" x="5177"/>
        <item m="1" x="5178"/>
        <item m="1" x="5179"/>
        <item m="1" x="5180"/>
        <item m="1" x="5181"/>
        <item m="1" x="5182"/>
        <item m="1" x="5183"/>
        <item m="1" x="5184"/>
        <item m="1" x="5185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m="1" x="5202"/>
        <item m="1" x="5203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5262"/>
        <item m="1" x="5263"/>
        <item m="1" x="5264"/>
        <item m="1" x="5265"/>
        <item m="1" x="5266"/>
        <item m="1" x="5267"/>
        <item m="1" x="5268"/>
        <item m="1" x="5269"/>
        <item m="1" x="5270"/>
        <item m="1" x="5271"/>
        <item m="1" x="5272"/>
        <item m="1" x="5273"/>
        <item m="1" x="5274"/>
        <item m="1" x="5275"/>
        <item m="1" x="5276"/>
        <item m="1" x="5277"/>
        <item m="1" x="5278"/>
        <item m="1" x="5279"/>
        <item m="1" x="5280"/>
        <item m="1" x="5281"/>
        <item m="1" x="5282"/>
        <item m="1" x="5283"/>
        <item m="1" x="5284"/>
        <item m="1" x="5285"/>
        <item m="1" x="5286"/>
        <item m="1" x="5287"/>
        <item m="1" x="5288"/>
        <item m="1" x="5289"/>
        <item m="1" x="5290"/>
        <item m="1" x="5291"/>
        <item m="1" x="5292"/>
        <item m="1" x="5293"/>
        <item m="1" x="5294"/>
        <item m="1" x="5295"/>
        <item m="1" x="5296"/>
        <item m="1" x="5297"/>
        <item m="1" x="5298"/>
        <item m="1" x="5299"/>
        <item m="1" x="5300"/>
        <item m="1" x="5301"/>
        <item m="1" x="5302"/>
        <item m="1" x="5303"/>
        <item m="1" x="5304"/>
        <item m="1" x="5305"/>
        <item m="1" x="5306"/>
        <item m="1" x="5307"/>
        <item m="1" x="5308"/>
        <item m="1" x="5309"/>
        <item m="1" x="5310"/>
        <item m="1" x="5311"/>
        <item m="1" x="5312"/>
        <item m="1" x="5313"/>
        <item m="1" x="5314"/>
        <item m="1" x="5315"/>
        <item m="1" x="5316"/>
        <item m="1" x="5317"/>
        <item m="1" x="5318"/>
        <item m="1" x="531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5331"/>
        <item m="1" x="5332"/>
        <item m="1" x="5333"/>
        <item m="1" x="5334"/>
        <item m="1" x="5335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5346"/>
        <item m="1" x="5347"/>
        <item m="1" x="5348"/>
        <item m="1" x="5349"/>
        <item m="1" x="5350"/>
        <item m="1" x="5351"/>
        <item m="1" x="5352"/>
        <item m="1" x="5353"/>
        <item m="1" x="3799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3845"/>
        <item m="1" x="3846"/>
        <item m="1" x="3847"/>
        <item m="1" x="3848"/>
        <item m="1" x="3849"/>
        <item m="1" x="3850"/>
        <item m="1" x="3851"/>
        <item m="1" x="3852"/>
        <item m="1" x="3853"/>
        <item m="1" x="3854"/>
        <item m="1" x="3855"/>
        <item m="1" x="3856"/>
        <item m="1" x="3857"/>
        <item m="1" x="3858"/>
        <item m="1" x="3859"/>
        <item m="1" x="3860"/>
        <item m="1" x="3861"/>
        <item m="1" x="3862"/>
        <item m="1" x="3863"/>
        <item m="1" x="3864"/>
        <item m="1" x="3865"/>
        <item m="1" x="3866"/>
        <item m="1" x="3867"/>
        <item m="1" x="3868"/>
        <item m="1" x="3869"/>
        <item m="1" x="3870"/>
        <item m="1" x="3871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883"/>
        <item m="1" x="3884"/>
        <item m="1" x="3885"/>
        <item m="1" x="3886"/>
        <item m="1" x="3887"/>
        <item m="1" x="3888"/>
        <item m="1" x="3889"/>
        <item m="1" x="3890"/>
        <item m="1" x="3891"/>
        <item m="1" x="3892"/>
        <item m="1" x="3893"/>
        <item m="1" x="3894"/>
        <item m="1" x="3895"/>
        <item m="1" x="3896"/>
        <item m="1" x="3897"/>
        <item m="1" x="3898"/>
        <item m="1" x="3899"/>
        <item m="1" x="3900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11"/>
        <item m="1" x="3912"/>
        <item m="1" x="3913"/>
        <item m="1" x="3914"/>
        <item m="1" x="3915"/>
        <item m="1" x="3916"/>
        <item m="1" x="3917"/>
        <item m="1" x="3918"/>
        <item m="1" x="3919"/>
        <item m="1" x="3920"/>
        <item m="1" x="3921"/>
        <item m="1" x="3922"/>
        <item m="1" x="3923"/>
        <item m="1" x="3924"/>
        <item m="1" x="3925"/>
        <item m="1" x="3926"/>
        <item m="1" x="3927"/>
        <item m="1" x="3928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960"/>
        <item m="1" x="3961"/>
        <item m="1" x="3962"/>
        <item m="1" x="3963"/>
        <item m="1" x="3964"/>
        <item m="1" x="3965"/>
        <item m="1" x="3966"/>
        <item m="1" x="3967"/>
        <item m="1" x="3968"/>
        <item m="1" x="3969"/>
        <item m="1" x="3970"/>
        <item m="1" x="3971"/>
        <item m="1" x="3972"/>
        <item m="1" x="3973"/>
        <item m="1" x="3974"/>
        <item m="1" x="3975"/>
        <item m="1" x="3976"/>
        <item m="1" x="3977"/>
        <item m="1" x="3978"/>
        <item m="1" x="3979"/>
        <item m="1" x="3980"/>
        <item m="1" x="3981"/>
        <item m="1" x="3982"/>
        <item m="1" x="3983"/>
        <item m="1" x="3984"/>
        <item m="1" x="3985"/>
        <item m="1" x="3986"/>
        <item m="1" x="3987"/>
        <item m="1" x="3988"/>
        <item m="1" x="3989"/>
        <item m="1" x="3990"/>
        <item m="1" x="3991"/>
        <item m="1" x="3992"/>
        <item m="1" x="3993"/>
        <item m="1" x="3994"/>
        <item m="1" x="3995"/>
        <item m="1" x="3996"/>
        <item m="1" x="3997"/>
        <item m="1" x="3998"/>
        <item m="1" x="3999"/>
        <item m="1" x="4000"/>
        <item m="1" x="4001"/>
        <item m="1" x="4002"/>
        <item m="1" x="4003"/>
        <item m="1" x="4004"/>
        <item m="1" x="4005"/>
        <item m="1" x="4006"/>
        <item m="1" x="4007"/>
        <item m="1" x="4008"/>
        <item m="1" x="4009"/>
        <item m="1" x="4010"/>
        <item m="1" x="4011"/>
        <item m="1" x="4012"/>
        <item m="1" x="4013"/>
        <item m="1" x="4014"/>
        <item m="1" x="4015"/>
        <item m="1" x="4016"/>
        <item m="1" x="4017"/>
        <item m="1" x="4018"/>
        <item m="1" x="4019"/>
        <item m="1" x="4020"/>
        <item m="1" x="4021"/>
        <item m="1" x="4022"/>
        <item m="1" x="4023"/>
        <item m="1" x="4024"/>
        <item m="1" x="4025"/>
        <item m="1" x="4026"/>
        <item m="1" x="4027"/>
        <item m="1" x="4028"/>
        <item m="1" x="4029"/>
        <item m="1" x="4030"/>
        <item m="1" x="4031"/>
        <item m="1" x="4032"/>
        <item m="1" x="4033"/>
        <item m="1" x="4034"/>
        <item m="1" x="4035"/>
        <item m="1" x="4036"/>
        <item m="1" x="4037"/>
        <item m="1" x="4038"/>
        <item m="1" x="4039"/>
        <item m="1" x="4040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4052"/>
        <item m="1" x="4053"/>
        <item m="1" x="4054"/>
        <item m="1" x="4055"/>
        <item m="1" x="4056"/>
        <item m="1" x="4057"/>
        <item m="1" x="4058"/>
        <item m="1" x="4059"/>
        <item m="1" x="4060"/>
        <item m="1" x="4061"/>
        <item m="1" x="4062"/>
        <item m="1" x="4063"/>
        <item m="1" x="4064"/>
        <item m="1" x="4065"/>
        <item m="1" x="4066"/>
        <item m="1" x="4067"/>
        <item m="1" x="4068"/>
        <item m="1" x="4069"/>
        <item m="1" x="4070"/>
        <item m="1" x="4071"/>
        <item m="1" x="4072"/>
        <item m="1" x="4073"/>
        <item m="1" x="4074"/>
        <item m="1" x="4075"/>
        <item m="1" x="4076"/>
        <item m="1" x="4077"/>
        <item m="1" x="4078"/>
        <item m="1" x="4079"/>
        <item m="1" x="4080"/>
        <item m="1" x="4081"/>
        <item m="1" x="4082"/>
        <item m="1" x="4083"/>
        <item m="1" x="4084"/>
        <item m="1" x="4085"/>
        <item m="1" x="4086"/>
        <item m="1" x="4087"/>
        <item m="1" x="4088"/>
        <item m="1" x="4089"/>
        <item m="1" x="4090"/>
        <item m="1" x="4091"/>
        <item m="1" x="4092"/>
        <item m="1" x="4093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4104"/>
        <item m="1" x="4105"/>
        <item m="1" x="4106"/>
        <item m="1" x="4107"/>
        <item m="1" x="4108"/>
        <item m="1" x="4109"/>
        <item m="1" x="4110"/>
        <item m="1" x="4111"/>
        <item m="1" x="4112"/>
        <item m="1" x="4113"/>
        <item m="1" x="4114"/>
        <item m="1" x="4115"/>
        <item m="1" x="4116"/>
        <item m="1" x="4117"/>
        <item m="1" x="4118"/>
        <item m="1" x="4119"/>
        <item m="1" x="4120"/>
        <item m="1" x="4121"/>
        <item m="1" x="4122"/>
        <item m="1" x="4123"/>
        <item m="1" x="4124"/>
        <item m="1" x="4125"/>
        <item m="1" x="4126"/>
        <item m="1" x="4127"/>
        <item m="1" x="4128"/>
        <item m="1" x="4129"/>
        <item m="1" x="4130"/>
        <item m="1" x="4131"/>
        <item m="1" x="4132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4153"/>
        <item m="1" x="4154"/>
        <item m="1" x="4155"/>
        <item m="1" x="4156"/>
        <item m="1" x="4157"/>
        <item m="1" x="4158"/>
        <item m="1" x="4159"/>
        <item m="1" x="4160"/>
        <item m="1" x="4161"/>
        <item m="1" x="4162"/>
        <item m="1" x="4163"/>
        <item m="1" x="4164"/>
        <item m="1" x="4165"/>
        <item m="1" x="4166"/>
        <item m="1" x="4167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8"/>
        <item m="1" x="4179"/>
        <item m="1" x="4180"/>
        <item m="1" x="4181"/>
        <item m="1" x="4182"/>
        <item m="1" x="4183"/>
        <item m="1" x="4184"/>
        <item m="1" x="4185"/>
        <item m="1" x="4186"/>
        <item m="1" x="4187"/>
        <item m="1" x="4188"/>
        <item m="1" x="4189"/>
        <item m="1" x="4190"/>
        <item m="1" x="4191"/>
        <item m="1" x="4192"/>
        <item m="1" x="4193"/>
        <item m="1" x="4194"/>
        <item m="1" x="4195"/>
        <item m="1" x="4196"/>
        <item m="1" x="4197"/>
        <item m="1" x="4198"/>
        <item m="1" x="4199"/>
        <item m="1" x="4200"/>
        <item m="1" x="4201"/>
        <item m="1" x="4202"/>
        <item m="1" x="4203"/>
        <item m="1" x="4204"/>
        <item m="1" x="4205"/>
        <item m="1" x="4206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16"/>
        <item m="1" x="4217"/>
        <item m="1" x="4218"/>
        <item m="1" x="4219"/>
        <item m="1" x="4220"/>
        <item m="1" x="4221"/>
        <item m="1" x="4222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32"/>
        <item m="1" x="4233"/>
        <item m="1" x="4234"/>
        <item m="1" x="4235"/>
        <item m="1" x="4236"/>
        <item m="1" x="4237"/>
        <item m="1" x="4238"/>
        <item m="1" x="4239"/>
        <item m="1" x="4240"/>
        <item m="1" x="4241"/>
        <item m="1" x="4242"/>
        <item m="1" x="4243"/>
        <item m="1" x="4244"/>
        <item m="1" x="4245"/>
        <item m="1" x="4246"/>
        <item m="1" x="4247"/>
        <item m="1" x="4248"/>
        <item m="1" x="4249"/>
        <item m="1" x="4250"/>
        <item m="1" x="4251"/>
        <item m="1" x="4252"/>
        <item m="1" x="4253"/>
        <item m="1" x="4254"/>
        <item m="1" x="4255"/>
        <item m="1" x="4256"/>
        <item m="1" x="4257"/>
        <item m="1" x="4258"/>
        <item m="1" x="4259"/>
        <item m="1" x="4260"/>
        <item m="1" x="4261"/>
        <item m="1" x="4262"/>
        <item m="1" x="4263"/>
        <item m="1" x="4264"/>
        <item m="1" x="4265"/>
        <item m="1" x="4266"/>
        <item m="1" x="4267"/>
        <item m="1" x="4268"/>
        <item m="1" x="4269"/>
        <item m="1" x="4270"/>
        <item m="1" x="4271"/>
        <item m="1" x="4272"/>
        <item m="1" x="4273"/>
        <item m="1" x="4274"/>
        <item m="1" x="4275"/>
        <item m="1" x="4276"/>
        <item m="1" x="4277"/>
        <item m="1" x="4278"/>
        <item m="1" x="4279"/>
        <item m="1" x="4280"/>
        <item m="1" x="4281"/>
        <item m="1" x="4282"/>
        <item m="1" x="4283"/>
        <item m="1" x="4284"/>
        <item m="1" x="4285"/>
        <item m="1" x="4286"/>
        <item m="1" x="4287"/>
        <item m="1" x="4288"/>
        <item m="1" x="4289"/>
        <item m="1" x="4290"/>
        <item m="1" x="4291"/>
        <item m="1" x="4292"/>
        <item m="1" x="4293"/>
        <item m="1" x="4294"/>
        <item m="1" x="4295"/>
        <item m="1" x="4296"/>
        <item m="1" x="4297"/>
        <item m="1" x="4298"/>
        <item m="1" x="4299"/>
        <item m="1" x="4300"/>
        <item m="1" x="4301"/>
        <item m="1" x="4302"/>
        <item m="1" x="4303"/>
        <item m="1" x="4304"/>
        <item m="1" x="4305"/>
        <item m="1" x="4306"/>
        <item m="1" x="4307"/>
        <item m="1" x="4308"/>
        <item m="1" x="4309"/>
        <item m="1" x="4310"/>
        <item m="1" x="4311"/>
        <item m="1" x="4312"/>
        <item m="1" x="4313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4325"/>
        <item m="1" x="4326"/>
        <item m="1" x="4327"/>
        <item m="1" x="4328"/>
        <item m="1" x="4329"/>
        <item m="1" x="4330"/>
        <item m="1" x="4331"/>
        <item m="1" x="4332"/>
        <item m="1" x="4333"/>
        <item m="1" x="4334"/>
        <item m="1" x="4335"/>
        <item m="1" x="4336"/>
        <item m="1" x="4337"/>
        <item m="1" x="4338"/>
        <item m="1" x="4339"/>
        <item m="1" x="4340"/>
        <item m="1" x="4341"/>
        <item m="1" x="4342"/>
        <item m="1" x="4343"/>
        <item m="1" x="4344"/>
        <item m="1" x="4345"/>
        <item m="1" x="4346"/>
        <item m="1" x="4347"/>
        <item m="1" x="4348"/>
        <item m="1" x="4349"/>
        <item m="1" x="4350"/>
        <item m="1" x="4351"/>
        <item m="1" x="4352"/>
        <item m="1" x="4353"/>
        <item m="1" x="4354"/>
        <item m="1" x="4355"/>
        <item m="1" x="4356"/>
        <item m="1" x="4357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4368"/>
        <item m="1" x="4369"/>
        <item m="1" x="4370"/>
        <item m="1" x="4371"/>
        <item m="1" x="4372"/>
        <item m="1" x="4373"/>
        <item m="1" x="4374"/>
        <item m="1" x="4375"/>
        <item m="1" x="4376"/>
        <item m="1" x="4377"/>
        <item m="1" x="4378"/>
        <item m="1" x="4379"/>
        <item m="1" x="4380"/>
        <item m="1" x="4381"/>
        <item m="1" x="4382"/>
        <item m="1" x="4383"/>
        <item m="1" x="4384"/>
        <item m="1" x="4385"/>
        <item m="1" x="4386"/>
        <item m="1" x="4387"/>
        <item m="1" x="4388"/>
        <item m="1" x="4389"/>
        <item m="1" x="4390"/>
        <item m="1" x="4391"/>
        <item m="1" x="4392"/>
        <item m="1" x="4393"/>
        <item m="1" x="4394"/>
        <item m="1" x="4395"/>
        <item m="1" x="4396"/>
        <item m="1" x="4397"/>
        <item m="1" x="4398"/>
        <item m="1" x="4399"/>
        <item m="1" x="4400"/>
        <item m="1" x="4401"/>
        <item m="1" x="4402"/>
        <item m="1" x="4403"/>
        <item m="1" x="4404"/>
        <item m="1" x="4405"/>
        <item m="1" x="4406"/>
        <item m="1" x="4407"/>
        <item m="1" x="4408"/>
        <item m="1" x="4409"/>
        <item m="1" x="4410"/>
        <item m="1" x="4411"/>
        <item m="1" x="4412"/>
        <item m="1" x="4413"/>
        <item m="1" x="4414"/>
        <item m="1" x="4415"/>
        <item m="1" x="4416"/>
        <item m="1" x="4417"/>
        <item m="1" x="4418"/>
        <item m="1" x="4419"/>
        <item m="1" x="4420"/>
        <item m="1" x="4421"/>
        <item m="1" x="4422"/>
        <item m="1" x="4423"/>
        <item m="1" x="4424"/>
        <item m="1" x="4425"/>
        <item m="1" x="4426"/>
        <item m="1" x="4427"/>
        <item m="1" x="4428"/>
        <item m="1" x="4429"/>
        <item m="1" x="4430"/>
        <item m="1" x="4431"/>
        <item m="1" x="4432"/>
        <item m="1" x="4433"/>
        <item m="1" x="4434"/>
        <item m="1" x="4435"/>
        <item m="1" x="4436"/>
        <item m="1" x="4437"/>
        <item m="1" x="4438"/>
        <item m="1" x="4439"/>
        <item m="1" x="4440"/>
        <item m="1" x="4441"/>
        <item m="1" x="4442"/>
        <item m="1" x="4443"/>
        <item m="1" x="4444"/>
        <item m="1" x="4445"/>
        <item m="1" x="4446"/>
        <item m="1" x="4447"/>
        <item m="1" x="4448"/>
        <item m="1" x="444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4460"/>
        <item m="1" x="4461"/>
        <item m="1" x="4462"/>
        <item m="1" x="4463"/>
        <item m="1" x="4464"/>
        <item m="1" x="4465"/>
        <item m="1" x="4466"/>
        <item m="1" x="4467"/>
        <item m="1" x="4468"/>
        <item m="1" x="4469"/>
        <item m="1" x="4470"/>
        <item m="1" x="4471"/>
        <item m="1" x="4472"/>
        <item m="1" x="4473"/>
        <item m="1" x="4474"/>
        <item m="1" x="4475"/>
        <item m="1" x="4476"/>
        <item m="1" x="4477"/>
        <item m="1" x="4478"/>
        <item m="1" x="4479"/>
        <item m="1" x="4480"/>
        <item m="1" x="4481"/>
        <item m="1" x="4482"/>
        <item m="1" x="4483"/>
        <item m="1" x="4484"/>
        <item m="1" x="4485"/>
        <item m="1" x="4486"/>
        <item m="1" x="4487"/>
        <item m="1" x="4488"/>
        <item m="1" x="4489"/>
        <item m="1" x="4490"/>
        <item m="1" x="4491"/>
        <item m="1" x="4492"/>
        <item m="1" x="4493"/>
        <item m="1" x="4494"/>
        <item m="1" x="4495"/>
        <item m="1" x="4496"/>
        <item m="1" x="4497"/>
        <item m="1" x="4498"/>
        <item m="1" x="4499"/>
        <item m="1" x="4500"/>
        <item m="1" x="4501"/>
        <item m="1" x="4502"/>
        <item m="1" x="4503"/>
        <item m="1" x="4504"/>
        <item m="1" x="4505"/>
        <item m="1" x="4506"/>
        <item m="1" x="4507"/>
        <item m="1" x="4508"/>
        <item m="1" x="4509"/>
        <item m="1" x="4510"/>
        <item m="1" x="4511"/>
        <item m="1" x="4512"/>
        <item m="1" x="4513"/>
        <item m="1" x="4514"/>
        <item m="1" x="4515"/>
        <item m="1" x="4516"/>
        <item m="1" x="4517"/>
        <item m="1" x="4518"/>
        <item m="1" x="4519"/>
        <item m="1" x="4520"/>
        <item m="1" x="4521"/>
        <item m="1" x="4522"/>
        <item m="1" x="4523"/>
        <item m="1" x="4524"/>
        <item m="1" x="4525"/>
        <item m="1" x="4526"/>
        <item m="1" x="4527"/>
        <item m="1" x="4528"/>
        <item m="1" x="4529"/>
        <item m="1" x="4530"/>
        <item m="1" x="4531"/>
        <item m="1" x="4532"/>
        <item m="1" x="4533"/>
        <item m="1" x="4534"/>
        <item m="1" x="4535"/>
        <item m="1" x="4536"/>
        <item m="1" x="4537"/>
        <item m="1" x="4538"/>
        <item m="1" x="4539"/>
        <item m="1" x="4540"/>
        <item m="1" x="4541"/>
        <item m="1" x="4542"/>
        <item m="1" x="4543"/>
        <item m="1" x="4544"/>
        <item m="1" x="4545"/>
        <item m="1" x="4546"/>
        <item m="1" x="4547"/>
        <item m="1" x="4548"/>
        <item m="1" x="4549"/>
        <item m="1" x="4550"/>
        <item m="1" x="4551"/>
        <item m="1" x="4552"/>
        <item m="1" x="4553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563"/>
        <item m="1" x="4564"/>
        <item m="1" x="4565"/>
        <item m="1" x="4566"/>
        <item m="1" x="4567"/>
        <item m="1" x="4568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78"/>
        <item m="1" x="4579"/>
        <item m="1" x="4580"/>
        <item m="1" x="4581"/>
        <item m="1" x="4582"/>
        <item m="1" x="4583"/>
        <item m="1" x="4584"/>
        <item m="1" x="4585"/>
        <item m="1" x="4586"/>
        <item m="1" x="4587"/>
        <item m="1" x="4588"/>
        <item m="1" x="4589"/>
        <item m="1" x="4590"/>
        <item m="1" x="4591"/>
        <item m="1" x="4592"/>
        <item m="1" x="4593"/>
        <item m="1" x="4594"/>
        <item m="1" x="4595"/>
        <item m="1" x="4596"/>
        <item m="1" x="4597"/>
        <item m="1" x="4598"/>
        <item m="1" x="4599"/>
        <item m="1" x="4600"/>
        <item m="1" x="4601"/>
        <item m="1" x="4602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m="1" x="4614"/>
        <item m="1" x="4615"/>
        <item m="1" x="4616"/>
        <item m="1" x="4617"/>
        <item m="1" x="4618"/>
        <item m="1" x="4619"/>
        <item m="1" x="4620"/>
        <item m="1" x="4621"/>
        <item m="1" x="4622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632"/>
        <item m="1" x="4633"/>
        <item m="1" x="4634"/>
        <item m="1" x="4635"/>
        <item m="1" x="4636"/>
        <item m="1" x="4637"/>
        <item m="1" x="4638"/>
        <item m="1" x="4639"/>
        <item m="1" x="4640"/>
        <item m="1" x="4641"/>
        <item m="1" x="4642"/>
        <item m="1" x="4643"/>
        <item m="1" x="4644"/>
        <item m="1" x="4645"/>
        <item m="1" x="4646"/>
        <item m="1" x="4647"/>
        <item m="1" x="4648"/>
        <item m="1" x="4649"/>
        <item m="1" x="4650"/>
        <item m="1" x="4651"/>
        <item m="1" x="4652"/>
        <item m="1" x="4653"/>
        <item m="1" x="4654"/>
        <item m="1" x="4655"/>
        <item m="1" x="4656"/>
        <item m="1" x="4657"/>
        <item m="1" x="4658"/>
        <item m="1" x="2734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68"/>
        <item m="1" x="2769"/>
        <item m="1" x="2770"/>
        <item m="1" x="2771"/>
        <item m="1" x="2772"/>
        <item m="1" x="2773"/>
        <item m="1" x="2774"/>
        <item m="1" x="2775"/>
        <item m="1" x="2776"/>
        <item m="1" x="2777"/>
        <item m="1" x="2778"/>
        <item m="1" x="2779"/>
        <item m="1" x="2780"/>
        <item m="1" x="2781"/>
        <item m="1" x="2782"/>
        <item m="1" x="2783"/>
        <item m="1" x="2784"/>
        <item m="1" x="2785"/>
        <item m="1" x="2786"/>
        <item m="1" x="2787"/>
        <item m="1" x="2788"/>
        <item m="1" x="2789"/>
        <item m="1" x="2790"/>
        <item m="1" x="2791"/>
        <item m="1" x="2792"/>
        <item m="1" x="2793"/>
        <item m="1" x="2794"/>
        <item m="1" x="2795"/>
        <item m="1" x="2796"/>
        <item m="1" x="2797"/>
        <item m="1" x="2798"/>
        <item m="1" x="2799"/>
        <item m="1" x="2800"/>
        <item m="1" x="2801"/>
        <item m="1" x="2802"/>
        <item m="1" x="2803"/>
        <item m="1" x="2804"/>
        <item m="1" x="2805"/>
        <item m="1" x="2806"/>
        <item m="1" x="2807"/>
        <item m="1" x="2808"/>
        <item m="1" x="2809"/>
        <item m="1" x="2810"/>
        <item m="1" x="2811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m="1" x="2828"/>
        <item m="1" x="2829"/>
        <item m="1" x="2830"/>
        <item m="1" x="2831"/>
        <item m="1" x="2832"/>
        <item m="1" x="2833"/>
        <item m="1" x="2834"/>
        <item m="1" x="2835"/>
        <item m="1" x="2836"/>
        <item m="1" x="2837"/>
        <item m="1" x="2838"/>
        <item m="1" x="2839"/>
        <item m="1" x="2840"/>
        <item m="1" x="2841"/>
        <item m="1" x="2842"/>
        <item m="1" x="2843"/>
        <item m="1" x="2844"/>
        <item m="1" x="2845"/>
        <item m="1" x="2846"/>
        <item m="1" x="2847"/>
        <item m="1" x="2848"/>
        <item m="1" x="2849"/>
        <item m="1" x="2850"/>
        <item m="1" x="2851"/>
        <item m="1" x="2852"/>
        <item m="1" x="2853"/>
        <item m="1" x="2854"/>
        <item m="1" x="2855"/>
        <item m="1" x="2856"/>
        <item m="1" x="2857"/>
        <item m="1" x="2858"/>
        <item m="1" x="2859"/>
        <item m="1" x="2860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2882"/>
        <item m="1" x="2883"/>
        <item m="1" x="2884"/>
        <item m="1" x="2885"/>
        <item m="1" x="2886"/>
        <item m="1" x="2887"/>
        <item m="1" x="2888"/>
        <item m="1" x="2889"/>
        <item m="1" x="2890"/>
        <item m="1" x="2891"/>
        <item m="1" x="2892"/>
        <item m="1" x="2893"/>
        <item m="1" x="2894"/>
        <item m="1" x="2895"/>
        <item m="1" x="2896"/>
        <item m="1" x="2897"/>
        <item m="1" x="2898"/>
        <item m="1" x="2899"/>
        <item m="1" x="2900"/>
        <item m="1" x="2901"/>
        <item m="1" x="2902"/>
        <item m="1" x="2903"/>
        <item m="1" x="2904"/>
        <item m="1" x="2905"/>
        <item m="1" x="2906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945"/>
        <item m="1" x="2946"/>
        <item m="1" x="2947"/>
        <item m="1" x="2948"/>
        <item m="1" x="2949"/>
        <item m="1" x="2950"/>
        <item m="1" x="2951"/>
        <item m="1" x="2952"/>
        <item m="1" x="2953"/>
        <item m="1" x="2954"/>
        <item m="1" x="2955"/>
        <item m="1" x="2956"/>
        <item m="1" x="2957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7"/>
        <item m="1" x="2998"/>
        <item m="1" x="2999"/>
        <item m="1" x="3000"/>
        <item m="1" x="3001"/>
        <item m="1" x="3002"/>
        <item m="1" x="3003"/>
        <item m="1" x="3004"/>
        <item m="1" x="3005"/>
        <item m="1" x="3006"/>
        <item m="1" x="3007"/>
        <item m="1" x="3008"/>
        <item m="1" x="3009"/>
        <item m="1" x="3010"/>
        <item m="1" x="3011"/>
        <item m="1" x="3012"/>
        <item m="1" x="3013"/>
        <item m="1" x="3014"/>
        <item m="1" x="3015"/>
        <item m="1" x="3016"/>
        <item m="1" x="3017"/>
        <item m="1" x="3018"/>
        <item m="1" x="3019"/>
        <item m="1" x="3020"/>
        <item m="1" x="3021"/>
        <item m="1" x="3022"/>
        <item m="1" x="3023"/>
        <item m="1" x="3024"/>
        <item m="1" x="3025"/>
        <item m="1" x="3026"/>
        <item m="1" x="3027"/>
        <item m="1" x="3028"/>
        <item m="1" x="3029"/>
        <item m="1" x="3030"/>
        <item m="1" x="3031"/>
        <item m="1" x="3032"/>
        <item m="1" x="3033"/>
        <item m="1" x="3034"/>
        <item m="1" x="3035"/>
        <item m="1" x="3036"/>
        <item m="1" x="3037"/>
        <item m="1" x="3038"/>
        <item m="1" x="3039"/>
        <item m="1" x="3040"/>
        <item m="1" x="3041"/>
        <item m="1" x="3042"/>
        <item m="1" x="3043"/>
        <item m="1" x="3044"/>
        <item m="1" x="3045"/>
        <item m="1" x="3046"/>
        <item m="1" x="3047"/>
        <item m="1" x="3048"/>
        <item m="1" x="3049"/>
        <item m="1" x="3050"/>
        <item m="1" x="3051"/>
        <item m="1" x="3052"/>
        <item m="1" x="3053"/>
        <item m="1" x="3054"/>
        <item m="1" x="3055"/>
        <item m="1" x="3056"/>
        <item m="1" x="3057"/>
        <item m="1" x="3058"/>
        <item m="1" x="3059"/>
        <item m="1" x="3060"/>
        <item m="1" x="3061"/>
        <item m="1" x="3062"/>
        <item m="1" x="3063"/>
        <item m="1" x="3064"/>
        <item m="1" x="3065"/>
        <item m="1" x="3066"/>
        <item m="1" x="3067"/>
        <item m="1" x="3068"/>
        <item m="1" x="3069"/>
        <item m="1" x="3070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m="1" x="3106"/>
        <item m="1" x="3107"/>
        <item m="1" x="3108"/>
        <item m="1" x="3109"/>
        <item m="1" x="3110"/>
        <item m="1" x="3111"/>
        <item m="1" x="3112"/>
        <item m="1" x="3113"/>
        <item m="1" x="3114"/>
        <item m="1" x="3115"/>
        <item m="1" x="3116"/>
        <item m="1" x="3117"/>
        <item m="1" x="3118"/>
        <item m="1" x="3119"/>
        <item m="1" x="3120"/>
        <item m="1" x="3121"/>
        <item m="1" x="3122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3134"/>
        <item m="1" x="3135"/>
        <item m="1" x="3136"/>
        <item m="1" x="3137"/>
        <item m="1" x="3138"/>
        <item m="1" x="3139"/>
        <item m="1" x="3140"/>
        <item m="1" x="3141"/>
        <item m="1" x="3142"/>
        <item m="1" x="3143"/>
        <item m="1" x="3144"/>
        <item m="1" x="3145"/>
        <item m="1" x="3146"/>
        <item m="1" x="3147"/>
        <item m="1" x="3148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3158"/>
        <item m="1" x="3159"/>
        <item m="1" x="3160"/>
        <item m="1" x="3161"/>
        <item m="1" x="3162"/>
        <item m="1" x="3163"/>
        <item m="1" x="3164"/>
        <item m="1" x="3165"/>
        <item m="1" x="3166"/>
        <item m="1" x="3167"/>
        <item m="1" x="3168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78"/>
        <item m="1" x="3179"/>
        <item m="1" x="3180"/>
        <item m="1" x="3181"/>
        <item m="1" x="3182"/>
        <item m="1" x="3183"/>
        <item m="1" x="3184"/>
        <item m="1" x="3185"/>
        <item m="1" x="3186"/>
        <item m="1" x="3187"/>
        <item m="1" x="3188"/>
        <item m="1" x="3189"/>
        <item m="1" x="3190"/>
        <item m="1" x="3191"/>
        <item m="1" x="3192"/>
        <item m="1" x="3193"/>
        <item m="1" x="3194"/>
        <item m="1" x="3195"/>
        <item m="1" x="3196"/>
        <item m="1" x="3197"/>
        <item m="1" x="3198"/>
        <item m="1" x="3199"/>
        <item m="1" x="3200"/>
        <item m="1" x="3201"/>
        <item m="1" x="3202"/>
        <item m="1" x="3203"/>
        <item m="1" x="3204"/>
        <item m="1" x="3205"/>
        <item m="1" x="3206"/>
        <item m="1" x="3207"/>
        <item m="1" x="3208"/>
        <item m="1" x="3209"/>
        <item m="1" x="3210"/>
        <item m="1" x="3211"/>
        <item m="1" x="3212"/>
        <item m="1" x="3213"/>
        <item m="1" x="3214"/>
        <item m="1" x="3215"/>
        <item m="1" x="3216"/>
        <item m="1" x="3217"/>
        <item m="1" x="3218"/>
        <item m="1" x="3219"/>
        <item m="1" x="3220"/>
        <item m="1" x="3221"/>
        <item m="1" x="3222"/>
        <item m="1" x="3223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3235"/>
        <item m="1" x="3236"/>
        <item m="1" x="3237"/>
        <item m="1" x="3238"/>
        <item m="1" x="3239"/>
        <item m="1" x="3240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3300"/>
        <item m="1" x="3301"/>
        <item m="1" x="3302"/>
        <item m="1" x="3303"/>
        <item m="1" x="3304"/>
        <item m="1" x="3305"/>
        <item m="1" x="3306"/>
        <item m="1" x="3307"/>
        <item m="1" x="3308"/>
        <item m="1" x="3309"/>
        <item m="1" x="3310"/>
        <item m="1" x="3311"/>
        <item m="1" x="3312"/>
        <item m="1" x="3313"/>
        <item m="1" x="3314"/>
        <item m="1" x="3315"/>
        <item m="1" x="3316"/>
        <item m="1" x="3317"/>
        <item m="1" x="3318"/>
        <item m="1" x="3319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361"/>
        <item m="1" x="3362"/>
        <item m="1" x="3363"/>
        <item m="1" x="3364"/>
        <item m="1" x="3365"/>
        <item m="1" x="3366"/>
        <item m="1" x="3367"/>
        <item m="1" x="3368"/>
        <item m="1" x="3369"/>
        <item m="1" x="3370"/>
        <item m="1" x="3371"/>
        <item m="1" x="3372"/>
        <item m="1" x="3373"/>
        <item m="1" x="3374"/>
        <item m="1" x="3375"/>
        <item m="1" x="3376"/>
        <item m="1" x="3377"/>
        <item m="1" x="3378"/>
        <item m="1" x="3379"/>
        <item m="1" x="3380"/>
        <item m="1" x="3381"/>
        <item m="1" x="3382"/>
        <item m="1" x="3383"/>
        <item m="1" x="3384"/>
        <item m="1" x="3385"/>
        <item m="1" x="3386"/>
        <item m="1" x="3387"/>
        <item m="1" x="3388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8"/>
        <item m="1" x="3409"/>
        <item m="1" x="3410"/>
        <item m="1" x="3411"/>
        <item m="1" x="3412"/>
        <item m="1" x="3413"/>
        <item m="1" x="3414"/>
        <item m="1" x="3415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68"/>
        <item m="1" x="3469"/>
        <item m="1" x="3470"/>
        <item m="1" x="3471"/>
        <item m="1" x="3472"/>
        <item m="1" x="3473"/>
        <item m="1" x="3474"/>
        <item m="1" x="3475"/>
        <item m="1" x="3476"/>
        <item m="1" x="3477"/>
        <item m="1" x="3478"/>
        <item m="1" x="3479"/>
        <item m="1" x="3480"/>
        <item m="1" x="3481"/>
        <item m="1" x="3482"/>
        <item m="1" x="3483"/>
        <item m="1" x="3484"/>
        <item m="1" x="3485"/>
        <item m="1" x="3486"/>
        <item m="1" x="3487"/>
        <item m="1" x="3488"/>
        <item m="1" x="3489"/>
        <item m="1" x="349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2"/>
        <item m="1" x="3503"/>
        <item m="1" x="3504"/>
        <item m="1" x="3505"/>
        <item m="1" x="3506"/>
        <item m="1" x="3507"/>
        <item m="1" x="3508"/>
        <item m="1" x="3509"/>
        <item m="1" x="3510"/>
        <item m="1" x="3511"/>
        <item m="1" x="3512"/>
        <item m="1" x="3513"/>
        <item m="1" x="3514"/>
        <item m="1" x="3515"/>
        <item m="1" x="3516"/>
        <item m="1" x="3517"/>
        <item m="1" x="3518"/>
        <item m="1" x="3519"/>
        <item m="1" x="3520"/>
        <item m="1" x="3521"/>
        <item m="1" x="3522"/>
        <item m="1" x="3523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35"/>
        <item m="1" x="3536"/>
        <item m="1" x="3537"/>
        <item m="1" x="3538"/>
        <item m="1" x="3539"/>
        <item m="1" x="3540"/>
        <item m="1" x="3541"/>
        <item m="1" x="3542"/>
        <item m="1" x="3543"/>
        <item m="1" x="3544"/>
        <item m="1" x="3545"/>
        <item m="1" x="3546"/>
        <item m="1" x="3547"/>
        <item m="1" x="3548"/>
        <item m="1" x="3549"/>
        <item m="1" x="3550"/>
        <item m="1" x="3551"/>
        <item m="1" x="3552"/>
        <item m="1" x="3553"/>
        <item m="1" x="3554"/>
        <item m="1" x="3555"/>
        <item m="1" x="3556"/>
        <item m="1" x="3557"/>
        <item m="1" x="3558"/>
        <item m="1" x="3559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603"/>
        <item m="1" x="3604"/>
        <item m="1" x="3605"/>
        <item m="1" x="3606"/>
        <item m="1" x="3607"/>
        <item m="1" x="3608"/>
        <item m="1" x="3609"/>
        <item m="1" x="3610"/>
        <item m="1" x="3611"/>
        <item m="1" x="3612"/>
        <item m="1" x="3613"/>
        <item m="1" x="3614"/>
        <item m="1" x="3615"/>
        <item m="1" x="3616"/>
        <item m="1" x="3617"/>
        <item m="1" x="3618"/>
        <item m="1" x="3619"/>
        <item m="1" x="3620"/>
        <item m="1" x="3621"/>
        <item m="1" x="3622"/>
        <item m="1" x="3623"/>
        <item m="1" x="3624"/>
        <item m="1" x="3625"/>
        <item m="1" x="3626"/>
        <item m="1" x="3627"/>
        <item m="1" x="3628"/>
        <item m="1" x="3629"/>
        <item m="1" x="3630"/>
        <item m="1" x="3631"/>
        <item m="1" x="3632"/>
        <item m="1" x="3633"/>
        <item m="1" x="3634"/>
        <item m="1" x="3635"/>
        <item m="1" x="3636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648"/>
        <item m="1" x="3649"/>
        <item m="1" x="3650"/>
        <item m="1" x="3651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3"/>
        <item m="1" x="3664"/>
        <item m="1" x="3665"/>
        <item m="1" x="366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3684"/>
        <item m="1" x="3685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3702"/>
        <item m="1" x="3703"/>
        <item m="1" x="3704"/>
        <item m="1" x="3705"/>
        <item m="1" x="3706"/>
        <item m="1" x="370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18"/>
        <item m="1" x="3719"/>
        <item m="1" x="3720"/>
        <item m="1" x="3721"/>
        <item m="1" x="3722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4"/>
        <item m="1" x="3735"/>
        <item m="1" x="3736"/>
        <item m="1" x="3737"/>
        <item m="1" x="3738"/>
        <item m="1" x="3739"/>
        <item m="1" x="3740"/>
        <item m="1" x="3741"/>
        <item m="1" x="3742"/>
        <item m="1" x="3743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5"/>
        <item m="1" x="3756"/>
        <item m="1" x="3757"/>
        <item m="1" x="3758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2268"/>
        <item m="1" x="2269"/>
        <item m="1" x="2270"/>
        <item m="1" x="2271"/>
        <item m="1" x="2272"/>
        <item m="1" x="2273"/>
        <item m="1" x="2274"/>
        <item m="1" x="2275"/>
        <item m="1" x="2276"/>
        <item m="1" x="2277"/>
        <item m="1" x="2278"/>
        <item m="1" x="2279"/>
        <item m="1" x="2280"/>
        <item m="1" x="2281"/>
        <item m="1" x="2282"/>
        <item m="1" x="2283"/>
        <item m="1" x="2284"/>
        <item m="1" x="2285"/>
        <item m="1" x="2286"/>
        <item m="1" x="2287"/>
        <item m="1" x="2288"/>
        <item m="1" x="2289"/>
        <item m="1" x="2290"/>
        <item m="1" x="2291"/>
        <item m="1" x="2292"/>
        <item m="1" x="2293"/>
        <item m="1" x="2294"/>
        <item m="1" x="2295"/>
        <item m="1" x="2296"/>
        <item m="1" x="2297"/>
        <item m="1" x="2298"/>
        <item m="1" x="2299"/>
        <item m="1" x="2300"/>
        <item m="1" x="2301"/>
        <item m="1" x="2302"/>
        <item m="1" x="2303"/>
        <item m="1" x="2304"/>
        <item m="1" x="2305"/>
        <item m="1" x="2306"/>
        <item m="1" x="2307"/>
        <item m="1" x="2308"/>
        <item m="1" x="2309"/>
        <item m="1" x="2310"/>
        <item m="1" x="2311"/>
        <item m="1" x="2312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2352"/>
        <item m="1" x="2353"/>
        <item m="1" x="2354"/>
        <item m="1" x="2355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5"/>
        <item m="1" x="2366"/>
        <item m="1" x="2367"/>
        <item m="1" x="2368"/>
        <item m="1" x="2369"/>
        <item m="1" x="2370"/>
        <item m="1" x="2371"/>
        <item m="1" x="2372"/>
        <item m="1" x="2373"/>
        <item m="1" x="2374"/>
        <item m="1" x="2375"/>
        <item m="1" x="2376"/>
        <item m="1" x="2377"/>
        <item m="1" x="2378"/>
        <item m="1" x="2379"/>
        <item m="1" x="2380"/>
        <item m="1" x="2381"/>
        <item m="1" x="2382"/>
        <item m="1" x="2383"/>
        <item m="1" x="2384"/>
        <item m="1" x="2385"/>
        <item m="1" x="2386"/>
        <item m="1" x="2387"/>
        <item m="1" x="2388"/>
        <item m="1" x="2389"/>
        <item m="1" x="2390"/>
        <item m="1" x="2391"/>
        <item m="1" x="2392"/>
        <item m="1" x="2393"/>
        <item m="1" x="2394"/>
        <item m="1" x="2395"/>
        <item m="1" x="2396"/>
        <item m="1" x="2397"/>
        <item m="1" x="2398"/>
        <item m="1" x="2399"/>
        <item m="1" x="2400"/>
        <item m="1" x="2401"/>
        <item m="1" x="2402"/>
        <item m="1" x="2403"/>
        <item m="1" x="2404"/>
        <item m="1" x="2405"/>
        <item m="1" x="2406"/>
        <item m="1" x="2407"/>
        <item m="1" x="2408"/>
        <item m="1" x="2409"/>
        <item m="1" x="2410"/>
        <item m="1" x="2411"/>
        <item m="1" x="2412"/>
        <item m="1" x="2413"/>
        <item m="1" x="2414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5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445"/>
        <item m="1" x="2446"/>
        <item m="1" x="2447"/>
        <item m="1" x="2448"/>
        <item m="1" x="2449"/>
        <item m="1" x="2450"/>
        <item m="1" x="2451"/>
        <item m="1" x="2452"/>
        <item m="1" x="2453"/>
        <item m="1" x="2454"/>
        <item m="1" x="2455"/>
        <item m="1" x="2456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2528"/>
        <item m="1" x="2529"/>
        <item m="1" x="2530"/>
        <item m="1" x="2531"/>
        <item m="1" x="2532"/>
        <item m="1" x="2533"/>
        <item m="1" x="2534"/>
        <item m="1" x="2535"/>
        <item m="1" x="2536"/>
        <item m="1" x="2537"/>
        <item m="1" x="2538"/>
        <item m="1" x="2539"/>
        <item m="1" x="2540"/>
        <item m="1" x="2541"/>
        <item m="1" x="2542"/>
        <item m="1" x="2543"/>
        <item m="1" x="2544"/>
        <item m="1" x="2545"/>
        <item m="1" x="2546"/>
        <item m="1" x="2547"/>
        <item m="1" x="2548"/>
        <item m="1" x="2549"/>
        <item m="1" x="2550"/>
        <item m="1" x="2551"/>
        <item m="1" x="2552"/>
        <item m="1" x="2553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7"/>
        <item m="1" x="2568"/>
        <item m="1" x="2569"/>
        <item m="1" x="2570"/>
        <item m="1" x="2571"/>
        <item m="1" x="2572"/>
        <item m="1" x="2573"/>
        <item m="1" x="2574"/>
        <item m="1" x="2575"/>
        <item m="1" x="2576"/>
        <item m="1" x="2577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622"/>
        <item m="1" x="2623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2661"/>
        <item m="1" x="2662"/>
        <item m="1" x="2663"/>
        <item m="1" x="2664"/>
        <item m="1" x="2665"/>
        <item m="1" x="2666"/>
        <item m="1" x="2667"/>
        <item m="1" x="2668"/>
        <item m="1" x="2669"/>
        <item m="1" x="2670"/>
        <item m="1" x="2671"/>
        <item m="1" x="2672"/>
        <item m="1" x="2673"/>
        <item m="1" x="2674"/>
        <item m="1" x="2675"/>
        <item m="1" x="2676"/>
        <item m="1" x="2677"/>
        <item m="1" x="2678"/>
        <item m="1" x="2679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m="1" x="2691"/>
        <item m="1" x="2692"/>
        <item m="1" x="2693"/>
        <item m="1" x="2694"/>
        <item m="1" x="2695"/>
        <item m="1" x="2696"/>
        <item m="1" x="2697"/>
        <item m="1" x="2698"/>
        <item m="1" x="2699"/>
        <item m="1" x="2700"/>
        <item m="1" x="2701"/>
        <item m="1" x="2702"/>
        <item m="1" x="2703"/>
        <item m="1" x="2704"/>
        <item m="1" x="2705"/>
        <item m="1" x="2706"/>
        <item m="1" x="2707"/>
        <item m="1" x="2708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723"/>
        <item m="1" x="2724"/>
        <item m="1" x="2725"/>
        <item m="1" x="2726"/>
        <item m="1" x="2727"/>
        <item m="1" x="2728"/>
        <item m="1" x="2729"/>
        <item m="1" x="2730"/>
        <item m="1" x="2731"/>
        <item m="1" x="2732"/>
        <item m="1" x="2733"/>
        <item m="1" x="1015"/>
        <item m="1" x="1016"/>
        <item m="1" x="1017"/>
        <item m="1" x="1018"/>
        <item m="1" x="1019"/>
        <item m="1" x="1020"/>
        <item m="1" x="1021"/>
        <item m="1" x="1022"/>
        <item m="1" x="1023"/>
        <item m="1" x="1024"/>
        <item m="1" x="1025"/>
        <item m="1" x="1026"/>
        <item m="1" x="1027"/>
        <item m="1" x="1028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8"/>
        <item m="1" x="1059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1"/>
        <item m="1" x="1072"/>
        <item m="1" x="1073"/>
        <item m="1" x="1074"/>
        <item m="1" x="1075"/>
        <item m="1" x="1076"/>
        <item m="1" x="1077"/>
        <item m="1" x="1078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1097"/>
        <item m="1" x="1098"/>
        <item m="1" x="1099"/>
        <item m="1" x="1100"/>
        <item m="1" x="1101"/>
        <item m="1" x="1102"/>
        <item m="1" x="1103"/>
        <item m="1" x="1104"/>
        <item m="1" x="1105"/>
        <item m="1" x="1106"/>
        <item m="1" x="1107"/>
        <item m="1" x="1108"/>
        <item m="1" x="1109"/>
        <item m="1" x="1110"/>
        <item m="1" x="1111"/>
        <item m="1" x="1112"/>
        <item m="1" x="1113"/>
        <item m="1" x="1114"/>
        <item m="1" x="1115"/>
        <item m="1" x="1116"/>
        <item m="1" x="1117"/>
        <item m="1" x="1118"/>
        <item m="1" x="1119"/>
        <item m="1" x="1120"/>
        <item m="1" x="1121"/>
        <item m="1" x="1122"/>
        <item m="1" x="1123"/>
        <item m="1" x="1124"/>
        <item m="1" x="1125"/>
        <item m="1" x="1126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m="1" x="1147"/>
        <item m="1" x="1148"/>
        <item m="1" x="1149"/>
        <item m="1" x="1150"/>
        <item m="1" x="1151"/>
        <item m="1" x="1152"/>
        <item m="1" x="1153"/>
        <item m="1" x="1154"/>
        <item m="1" x="1155"/>
        <item m="1" x="1156"/>
        <item m="1" x="1157"/>
        <item m="1" x="1158"/>
        <item m="1" x="1159"/>
        <item m="1" x="1160"/>
        <item m="1" x="1161"/>
        <item m="1" x="1162"/>
        <item m="1" x="1163"/>
        <item m="1" x="1164"/>
        <item m="1" x="1165"/>
        <item m="1" x="1166"/>
        <item m="1" x="1167"/>
        <item m="1" x="1168"/>
        <item m="1" x="1169"/>
        <item m="1" x="1170"/>
        <item m="1" x="1171"/>
        <item m="1" x="1172"/>
        <item m="1" x="1173"/>
        <item m="1" x="1174"/>
        <item m="1" x="1175"/>
        <item m="1" x="1176"/>
        <item m="1" x="1177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1187"/>
        <item m="1" x="1188"/>
        <item m="1" x="1189"/>
        <item m="1" x="1190"/>
        <item m="1" x="1191"/>
        <item m="1" x="1192"/>
        <item m="1" x="1193"/>
        <item m="1" x="1194"/>
        <item m="1" x="1195"/>
        <item m="1" x="1196"/>
        <item m="1" x="1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0"/>
        <item m="1" x="1211"/>
        <item m="1" x="1212"/>
        <item m="1" x="1213"/>
        <item m="1" x="1214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1232"/>
        <item m="1" x="1233"/>
        <item m="1" x="1234"/>
        <item m="1" x="1235"/>
        <item m="1" x="1236"/>
        <item m="1" x="1237"/>
        <item m="1" x="1238"/>
        <item m="1" x="1239"/>
        <item m="1" x="1240"/>
        <item m="1" x="1241"/>
        <item m="1" x="1242"/>
        <item m="1" x="1243"/>
        <item m="1" x="1244"/>
        <item m="1" x="1245"/>
        <item m="1" x="1246"/>
        <item m="1" x="1247"/>
        <item m="1" x="1248"/>
        <item m="1" x="1249"/>
        <item m="1" x="1250"/>
        <item m="1" x="1251"/>
        <item m="1" x="1252"/>
        <item m="1" x="1253"/>
        <item m="1" x="1254"/>
        <item m="1" x="1255"/>
        <item m="1" x="1256"/>
        <item m="1" x="1257"/>
        <item m="1" x="1258"/>
        <item m="1" x="1259"/>
        <item m="1" x="1260"/>
        <item m="1" x="1261"/>
        <item m="1" x="1262"/>
        <item m="1" x="1263"/>
        <item m="1" x="1264"/>
        <item m="1" x="1265"/>
        <item m="1" x="1266"/>
        <item m="1" x="1267"/>
        <item m="1" x="1268"/>
        <item m="1" x="1269"/>
        <item m="1" x="1270"/>
        <item m="1" x="1271"/>
        <item m="1" x="1272"/>
        <item m="1" x="1273"/>
        <item m="1" x="1274"/>
        <item m="1" x="1275"/>
        <item m="1" x="1276"/>
        <item m="1" x="1277"/>
        <item m="1" x="1278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4"/>
        <item m="1" x="1295"/>
        <item m="1" x="1296"/>
        <item m="1" x="1297"/>
        <item m="1" x="1298"/>
        <item m="1" x="1299"/>
        <item m="1" x="1300"/>
        <item m="1" x="1301"/>
        <item m="1" x="1302"/>
        <item m="1" x="1303"/>
        <item m="1" x="1304"/>
        <item m="1" x="1305"/>
        <item m="1" x="1306"/>
        <item m="1" x="1307"/>
        <item m="1" x="1308"/>
        <item m="1" x="1309"/>
        <item m="1" x="1310"/>
        <item m="1" x="1311"/>
        <item m="1" x="1312"/>
        <item m="1" x="1313"/>
        <item m="1" x="1314"/>
        <item m="1" x="1315"/>
        <item m="1" x="1316"/>
        <item m="1" x="1317"/>
        <item m="1" x="1318"/>
        <item m="1" x="1319"/>
        <item m="1" x="1320"/>
        <item m="1" x="1321"/>
        <item m="1" x="1322"/>
        <item m="1" x="1323"/>
        <item m="1" x="1324"/>
        <item m="1" x="1325"/>
        <item m="1" x="1326"/>
        <item m="1" x="1327"/>
        <item m="1" x="1328"/>
        <item m="1" x="1329"/>
        <item m="1" x="1330"/>
        <item m="1" x="1331"/>
        <item m="1" x="1332"/>
        <item m="1" x="1333"/>
        <item m="1" x="1334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347"/>
        <item m="1" x="1348"/>
        <item m="1" x="1349"/>
        <item m="1" x="1350"/>
        <item m="1" x="1351"/>
        <item m="1" x="1352"/>
        <item m="1" x="1353"/>
        <item m="1" x="1354"/>
        <item m="1" x="1355"/>
        <item m="1" x="1356"/>
        <item m="1" x="1357"/>
        <item m="1" x="1358"/>
        <item m="1" x="1359"/>
        <item m="1" x="1360"/>
        <item m="1" x="1361"/>
        <item m="1" x="1362"/>
        <item m="1" x="1363"/>
        <item m="1" x="1364"/>
        <item m="1" x="1365"/>
        <item m="1" x="1366"/>
        <item m="1" x="1367"/>
        <item m="1" x="1368"/>
        <item m="1" x="1369"/>
        <item m="1" x="1370"/>
        <item m="1" x="1371"/>
        <item m="1" x="1372"/>
        <item m="1" x="1373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m="1" x="1406"/>
        <item m="1" x="1407"/>
        <item m="1" x="1408"/>
        <item m="1" x="1409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1"/>
        <item m="1" x="1422"/>
        <item m="1" x="1423"/>
        <item m="1" x="1424"/>
        <item m="1" x="1425"/>
        <item m="1" x="1426"/>
        <item m="1" x="1427"/>
        <item m="1" x="1428"/>
        <item m="1" x="1429"/>
        <item m="1" x="1430"/>
        <item m="1" x="1431"/>
        <item m="1" x="1432"/>
        <item m="1" x="1433"/>
        <item m="1" x="1434"/>
        <item m="1" x="1435"/>
        <item m="1" x="1436"/>
        <item m="1" x="1437"/>
        <item m="1" x="1438"/>
        <item m="1" x="1439"/>
        <item m="1" x="1440"/>
        <item m="1" x="1441"/>
        <item m="1" x="1442"/>
        <item m="1" x="1443"/>
        <item m="1" x="1444"/>
        <item m="1" x="1445"/>
        <item m="1" x="1446"/>
        <item m="1" x="1447"/>
        <item m="1" x="1448"/>
        <item m="1" x="1449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461"/>
        <item m="1" x="1462"/>
        <item m="1" x="1463"/>
        <item m="1" x="1464"/>
        <item m="1" x="1465"/>
        <item m="1" x="1466"/>
        <item m="1" x="1467"/>
        <item m="1" x="1468"/>
        <item m="1" x="1469"/>
        <item m="1" x="1470"/>
        <item m="1" x="1471"/>
        <item m="1" x="1472"/>
        <item m="1" x="1473"/>
        <item m="1" x="1474"/>
        <item m="1" x="1475"/>
        <item m="1" x="1476"/>
        <item m="1" x="1477"/>
        <item m="1" x="1478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3"/>
        <item m="1" x="1494"/>
        <item m="1" x="1495"/>
        <item m="1" x="1496"/>
        <item m="1" x="1497"/>
        <item m="1" x="1498"/>
        <item m="1" x="1499"/>
        <item m="1" x="1500"/>
        <item m="1" x="1501"/>
        <item m="1" x="1502"/>
        <item m="1" x="1503"/>
        <item m="1" x="1504"/>
        <item m="1" x="1505"/>
        <item m="1" x="1506"/>
        <item m="1" x="1507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m="1" x="1529"/>
        <item m="1" x="1530"/>
        <item m="1" x="1531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4"/>
        <item m="1" x="1555"/>
        <item m="1" x="15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591"/>
        <item m="1" x="1592"/>
        <item m="1" x="1593"/>
        <item m="1" x="1594"/>
        <item m="1" x="1595"/>
        <item m="1" x="1596"/>
        <item m="1" x="1597"/>
        <item m="1" x="1598"/>
        <item m="1" x="1599"/>
        <item m="1" x="1600"/>
        <item m="1" x="1601"/>
        <item m="1" x="1602"/>
        <item m="1" x="1603"/>
        <item m="1" x="1604"/>
        <item m="1" x="1605"/>
        <item m="1" x="1606"/>
        <item m="1" x="1607"/>
        <item m="1" x="1608"/>
        <item m="1" x="1609"/>
        <item m="1" x="1610"/>
        <item m="1" x="1611"/>
        <item m="1" x="1612"/>
        <item m="1" x="1613"/>
        <item m="1" x="1614"/>
        <item m="1" x="1615"/>
        <item m="1" x="1616"/>
        <item m="1" x="1617"/>
        <item m="1" x="1618"/>
        <item m="1" x="1619"/>
        <item m="1" x="1620"/>
        <item m="1" x="1621"/>
        <item m="1" x="1622"/>
        <item m="1" x="1623"/>
        <item m="1" x="1624"/>
        <item m="1" x="1625"/>
        <item m="1" x="1626"/>
        <item m="1" x="1627"/>
        <item m="1" x="1628"/>
        <item m="1" x="1629"/>
        <item m="1" x="1630"/>
        <item m="1" x="1631"/>
        <item m="1" x="1632"/>
        <item m="1" x="1633"/>
        <item m="1" x="1634"/>
        <item m="1" x="1635"/>
        <item m="1" x="1636"/>
        <item m="1" x="1637"/>
        <item m="1" x="1638"/>
        <item m="1" x="1639"/>
        <item m="1" x="1640"/>
        <item m="1" x="1641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660"/>
        <item m="1" x="1661"/>
        <item m="1" x="1662"/>
        <item m="1" x="1663"/>
        <item m="1" x="1664"/>
        <item m="1" x="1665"/>
        <item m="1" x="1666"/>
        <item m="1" x="1667"/>
        <item m="1" x="1668"/>
        <item m="1" x="1669"/>
        <item m="1" x="1670"/>
        <item m="1" x="1671"/>
        <item m="1" x="1672"/>
        <item m="1" x="1673"/>
        <item m="1" x="1674"/>
        <item m="1" x="1675"/>
        <item m="1" x="1676"/>
        <item m="1" x="1677"/>
        <item m="1" x="1678"/>
        <item m="1" x="1679"/>
        <item m="1" x="1680"/>
        <item m="1" x="1681"/>
        <item m="1" x="1682"/>
        <item m="1" x="1683"/>
        <item m="1" x="1684"/>
        <item m="1" x="1685"/>
        <item m="1" x="1686"/>
        <item m="1" x="1687"/>
        <item m="1" x="1688"/>
        <item m="1" x="1689"/>
        <item m="1" x="1690"/>
        <item m="1" x="1691"/>
        <item m="1" x="1692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1719"/>
        <item m="1" x="1720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1747"/>
        <item m="1" x="1748"/>
        <item m="1" x="1749"/>
        <item m="1" x="1750"/>
        <item m="1" x="1751"/>
        <item m="1" x="1752"/>
        <item m="1" x="1753"/>
        <item m="1" x="1754"/>
        <item m="1" x="1755"/>
        <item m="1" x="1756"/>
        <item m="1" x="1757"/>
        <item m="1" x="1758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789"/>
        <item m="1" x="1790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1850"/>
        <item m="1" x="1851"/>
        <item m="1" x="1852"/>
        <item m="1" x="1853"/>
        <item m="1" x="1854"/>
        <item m="1" x="1855"/>
        <item m="1" x="1856"/>
        <item m="1" x="1857"/>
        <item m="1" x="1858"/>
        <item m="1" x="1859"/>
        <item m="1" x="1860"/>
        <item m="1" x="1861"/>
        <item m="1" x="1862"/>
        <item m="1" x="1863"/>
        <item m="1" x="1864"/>
        <item m="1" x="1865"/>
        <item m="1" x="1866"/>
        <item m="1" x="1867"/>
        <item m="1" x="1868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899"/>
        <item m="1" x="1900"/>
        <item m="1" x="1901"/>
        <item m="1" x="1902"/>
        <item m="1" x="1903"/>
        <item m="1" x="1904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4"/>
        <item m="1" x="1915"/>
        <item m="1" x="1916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1926"/>
        <item m="1" x="1927"/>
        <item m="1" x="1928"/>
        <item m="1" x="1929"/>
        <item m="1" x="1930"/>
        <item m="1" x="1931"/>
        <item m="1" x="1932"/>
        <item m="1" x="1933"/>
        <item m="1" x="1934"/>
        <item m="1" x="1935"/>
        <item m="1" x="193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1949"/>
        <item m="1" x="1950"/>
        <item m="1" x="1951"/>
        <item m="1" x="1952"/>
        <item m="1" x="1953"/>
        <item m="1" x="1954"/>
        <item m="1" x="1955"/>
        <item m="1" x="1956"/>
        <item m="1" x="1957"/>
        <item m="1" x="1958"/>
        <item m="1" x="1959"/>
        <item m="1" x="1960"/>
        <item m="1" x="1961"/>
        <item m="1" x="1962"/>
        <item m="1" x="1963"/>
        <item m="1" x="1964"/>
        <item m="1" x="1965"/>
        <item m="1" x="1966"/>
        <item m="1" x="1967"/>
        <item m="1" x="1968"/>
        <item m="1" x="1969"/>
        <item m="1" x="1970"/>
        <item m="1" x="1971"/>
        <item m="1" x="1972"/>
        <item m="1" x="1973"/>
        <item m="1" x="1974"/>
        <item m="1" x="1975"/>
        <item m="1" x="1976"/>
        <item m="1" x="1977"/>
        <item m="1" x="1978"/>
        <item m="1" x="1979"/>
        <item m="1" x="1980"/>
        <item m="1" x="1981"/>
        <item m="1" x="1982"/>
        <item m="1" x="1983"/>
        <item m="1" x="1984"/>
        <item m="1" x="1985"/>
        <item m="1" x="1986"/>
        <item m="1" x="1987"/>
        <item m="1" x="1988"/>
        <item m="1" x="1989"/>
        <item m="1" x="1990"/>
        <item m="1" x="1991"/>
        <item m="1" x="1992"/>
        <item m="1" x="1993"/>
        <item m="1" x="1994"/>
        <item m="1" x="1995"/>
        <item m="1" x="1996"/>
        <item m="1" x="1997"/>
        <item m="1" x="1998"/>
        <item m="1" x="1999"/>
        <item m="1" x="2000"/>
        <item m="1" x="2001"/>
        <item m="1" x="2002"/>
        <item m="1" x="2003"/>
        <item m="1" x="2004"/>
        <item m="1" x="2005"/>
        <item m="1" x="2006"/>
        <item m="1" x="2007"/>
        <item m="1" x="2008"/>
        <item m="1" x="2009"/>
        <item m="1" x="2010"/>
        <item m="1" x="2011"/>
        <item m="1" x="2012"/>
        <item m="1" x="2013"/>
        <item m="1" x="2014"/>
        <item m="1" x="2015"/>
        <item m="1" x="2016"/>
        <item m="1" x="2017"/>
        <item m="1" x="2018"/>
        <item m="1" x="2019"/>
        <item m="1" x="2020"/>
        <item m="1" x="2021"/>
        <item m="1" x="2022"/>
        <item m="1" x="2023"/>
        <item m="1" x="2024"/>
        <item m="1" x="2025"/>
        <item m="1" x="2026"/>
        <item m="1" x="2027"/>
        <item m="1" x="2028"/>
        <item m="1" x="2029"/>
        <item m="1" x="2030"/>
        <item m="1" x="2031"/>
        <item m="1" x="2032"/>
        <item m="1" x="2033"/>
        <item m="1" x="2034"/>
        <item m="1" x="2035"/>
        <item m="1" x="2036"/>
        <item m="1" x="2037"/>
        <item m="1" x="2038"/>
        <item m="1" x="2039"/>
        <item m="1" x="2040"/>
        <item m="1" x="2041"/>
        <item m="1" x="2042"/>
        <item m="1" x="2043"/>
        <item m="1" x="2044"/>
        <item m="1" x="2045"/>
        <item m="1" x="2046"/>
        <item m="1" x="2047"/>
        <item m="1" x="2048"/>
        <item m="1" x="2049"/>
        <item m="1" x="2050"/>
        <item m="1" x="2051"/>
        <item m="1" x="2052"/>
        <item m="1" x="2053"/>
        <item m="1" x="2054"/>
        <item m="1" x="2055"/>
        <item m="1" x="2056"/>
        <item m="1" x="2057"/>
        <item m="1" x="2058"/>
        <item m="1" x="2059"/>
        <item m="1" x="2060"/>
        <item m="1" x="2061"/>
        <item m="1" x="2062"/>
        <item m="1" x="2063"/>
        <item m="1" x="2064"/>
        <item m="1" x="2065"/>
        <item m="1" x="2066"/>
        <item m="1" x="2067"/>
        <item m="1" x="2068"/>
        <item m="1" x="2069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3"/>
        <item m="1" x="2084"/>
        <item m="1" x="2085"/>
        <item m="1" x="2086"/>
        <item m="1" x="2087"/>
        <item m="1" x="2088"/>
        <item m="1" x="2089"/>
        <item m="1" x="2090"/>
        <item m="1" x="2091"/>
        <item m="1" x="2092"/>
        <item m="1" x="2093"/>
        <item m="1" x="2094"/>
        <item m="1" x="2095"/>
        <item m="1" x="2096"/>
        <item m="1" x="2097"/>
        <item m="1" x="2098"/>
        <item m="1" x="2099"/>
        <item m="1" x="2100"/>
        <item m="1" x="2101"/>
        <item m="1" x="2102"/>
        <item m="1" x="2103"/>
        <item m="1" x="2104"/>
        <item m="1" x="2105"/>
        <item m="1" x="2106"/>
        <item m="1" x="2107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2117"/>
        <item m="1" x="2118"/>
        <item m="1" x="2119"/>
        <item m="1" x="2120"/>
        <item m="1" x="2121"/>
        <item m="1" x="2122"/>
        <item m="1" x="2123"/>
        <item m="1" x="2124"/>
        <item m="1" x="2125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138"/>
        <item m="1" x="2139"/>
        <item m="1" x="2140"/>
        <item m="1" x="2141"/>
        <item m="1" x="2142"/>
        <item m="1" x="2143"/>
        <item m="1" x="2144"/>
        <item m="1" x="2145"/>
        <item m="1" x="2146"/>
        <item m="1" x="2147"/>
        <item m="1" x="2148"/>
        <item m="1" x="2149"/>
        <item m="1" x="2150"/>
        <item m="1" x="2151"/>
        <item m="1" x="2152"/>
        <item m="1" x="2153"/>
        <item m="1" x="2154"/>
        <item m="1" x="2155"/>
        <item m="1" x="2156"/>
        <item m="1" x="2157"/>
        <item m="1" x="2158"/>
        <item m="1" x="2159"/>
        <item m="1" x="2160"/>
        <item m="1" x="2161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6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8"/>
        <item m="1" x="2189"/>
        <item m="1" x="2190"/>
        <item m="1" x="2191"/>
        <item m="1" x="2192"/>
        <item m="1" x="2193"/>
        <item x="1014"/>
        <item x="0"/>
        <item x="1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t="default"/>
      </items>
    </pivotField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115">
    <i>
      <x v="22"/>
    </i>
    <i>
      <x v="42"/>
    </i>
    <i>
      <x v="45"/>
    </i>
    <i>
      <x v="50"/>
    </i>
    <i>
      <x v="51"/>
    </i>
    <i>
      <x v="55"/>
    </i>
    <i>
      <x v="62"/>
    </i>
    <i>
      <x v="65"/>
    </i>
    <i>
      <x v="67"/>
    </i>
    <i>
      <x v="81"/>
    </i>
    <i>
      <x v="93"/>
    </i>
    <i>
      <x v="97"/>
    </i>
    <i>
      <x v="170"/>
    </i>
    <i>
      <x v="173"/>
    </i>
    <i>
      <x v="181"/>
    </i>
    <i>
      <x v="215"/>
    </i>
    <i>
      <x v="228"/>
    </i>
    <i>
      <x v="229"/>
    </i>
    <i>
      <x v="231"/>
    </i>
    <i>
      <x v="233"/>
    </i>
    <i>
      <x v="234"/>
    </i>
    <i>
      <x v="245"/>
    </i>
    <i>
      <x v="248"/>
    </i>
    <i>
      <x v="251"/>
    </i>
    <i>
      <x v="253"/>
    </i>
    <i>
      <x v="255"/>
    </i>
    <i>
      <x v="256"/>
    </i>
    <i>
      <x v="259"/>
    </i>
    <i>
      <x v="261"/>
    </i>
    <i>
      <x v="263"/>
    </i>
    <i>
      <x v="265"/>
    </i>
    <i>
      <x v="266"/>
    </i>
    <i>
      <x v="270"/>
    </i>
    <i>
      <x v="272"/>
    </i>
    <i>
      <x v="274"/>
    </i>
    <i>
      <x v="276"/>
    </i>
    <i>
      <x v="277"/>
    </i>
    <i>
      <x v="279"/>
    </i>
    <i>
      <x v="292"/>
    </i>
    <i>
      <x v="293"/>
    </i>
    <i>
      <x v="295"/>
    </i>
    <i>
      <x v="298"/>
    </i>
    <i>
      <x v="299"/>
    </i>
    <i>
      <x v="300"/>
    </i>
    <i>
      <x v="303"/>
    </i>
    <i>
      <x v="306"/>
    </i>
    <i>
      <x v="310"/>
    </i>
    <i>
      <x v="312"/>
    </i>
    <i>
      <x v="317"/>
    </i>
    <i>
      <x v="321"/>
    </i>
    <i>
      <x v="324"/>
    </i>
    <i>
      <x v="332"/>
    </i>
    <i>
      <x v="338"/>
    </i>
    <i>
      <x v="343"/>
    </i>
    <i>
      <x v="352"/>
    </i>
    <i>
      <x v="355"/>
    </i>
    <i>
      <x v="357"/>
    </i>
    <i>
      <x v="361"/>
    </i>
    <i>
      <x v="364"/>
    </i>
    <i>
      <x v="368"/>
    </i>
    <i>
      <x v="369"/>
    </i>
    <i>
      <x v="376"/>
    </i>
    <i>
      <x v="381"/>
    </i>
    <i>
      <x v="391"/>
    </i>
    <i>
      <x v="392"/>
    </i>
    <i>
      <x v="393"/>
    </i>
    <i>
      <x v="394"/>
    </i>
    <i>
      <x v="395"/>
    </i>
    <i>
      <x v="400"/>
    </i>
    <i>
      <x v="406"/>
    </i>
    <i>
      <x v="407"/>
    </i>
    <i>
      <x v="412"/>
    </i>
    <i>
      <x v="416"/>
    </i>
    <i>
      <x v="429"/>
    </i>
    <i>
      <x v="430"/>
    </i>
    <i>
      <x v="431"/>
    </i>
    <i>
      <x v="438"/>
    </i>
    <i>
      <x v="439"/>
    </i>
    <i>
      <x v="444"/>
    </i>
    <i>
      <x v="447"/>
    </i>
    <i>
      <x v="451"/>
    </i>
    <i>
      <x v="452"/>
    </i>
    <i>
      <x v="455"/>
    </i>
    <i>
      <x v="457"/>
    </i>
    <i>
      <x v="474"/>
    </i>
    <i>
      <x v="479"/>
    </i>
    <i>
      <x v="480"/>
    </i>
    <i>
      <x v="483"/>
    </i>
    <i>
      <x v="484"/>
    </i>
    <i>
      <x v="485"/>
    </i>
    <i>
      <x v="487"/>
    </i>
    <i>
      <x v="492"/>
    </i>
    <i>
      <x v="493"/>
    </i>
    <i>
      <x v="496"/>
    </i>
    <i>
      <x v="501"/>
    </i>
    <i>
      <x v="502"/>
    </i>
    <i>
      <x v="505"/>
    </i>
    <i>
      <x v="507"/>
    </i>
    <i>
      <x v="509"/>
    </i>
    <i>
      <x v="511"/>
    </i>
    <i>
      <x v="512"/>
    </i>
    <i>
      <x v="513"/>
    </i>
    <i>
      <x v="520"/>
    </i>
    <i>
      <x v="527"/>
    </i>
    <i>
      <x v="530"/>
    </i>
    <i>
      <x v="532"/>
    </i>
    <i>
      <x v="533"/>
    </i>
    <i>
      <x v="534"/>
    </i>
    <i>
      <x v="537"/>
    </i>
    <i>
      <x v="544"/>
    </i>
    <i>
      <x v="545"/>
    </i>
    <i>
      <x v="546"/>
    </i>
    <i>
      <x v="550"/>
    </i>
    <i>
      <x v="556"/>
    </i>
    <i t="grand">
      <x/>
    </i>
  </rowItems>
  <colItems count="1">
    <i/>
  </colItems>
  <pageFields count="3">
    <pageField fld="2" item="0" hier="-1"/>
    <pageField fld="3" item="5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49E98-1CE7-4D79-9DDE-7DFE8950661F}" name="TablaDinámica10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U5:V25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20">
    <i>
      <x v="8"/>
    </i>
    <i>
      <x v="21"/>
    </i>
    <i>
      <x v="75"/>
    </i>
    <i>
      <x v="83"/>
    </i>
    <i>
      <x v="91"/>
    </i>
    <i>
      <x v="116"/>
    </i>
    <i>
      <x v="125"/>
    </i>
    <i>
      <x v="127"/>
    </i>
    <i>
      <x v="147"/>
    </i>
    <i>
      <x v="148"/>
    </i>
    <i>
      <x v="149"/>
    </i>
    <i>
      <x v="167"/>
    </i>
    <i>
      <x v="169"/>
    </i>
    <i>
      <x v="226"/>
    </i>
    <i>
      <x v="288"/>
    </i>
    <i>
      <x v="329"/>
    </i>
    <i>
      <x v="378"/>
    </i>
    <i>
      <x v="399"/>
    </i>
    <i>
      <x v="403"/>
    </i>
    <i t="grand">
      <x/>
    </i>
  </rowItems>
  <colItems count="1">
    <i/>
  </colItems>
  <pageFields count="2">
    <pageField fld="3" item="1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B7694-6627-45DA-A5ED-FD9E30D9DD5E}" name="TablaDinámica9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Q5:R11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6">
    <i>
      <x v="41"/>
    </i>
    <i>
      <x v="71"/>
    </i>
    <i>
      <x v="173"/>
    </i>
    <i>
      <x v="317"/>
    </i>
    <i>
      <x v="364"/>
    </i>
    <i t="grand">
      <x/>
    </i>
  </rowItems>
  <colItems count="1">
    <i/>
  </colItems>
  <pageFields count="2">
    <pageField fld="3" item="1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2E5CE-D3C5-4640-97F5-ED889D820290}" name="TablaDinámica8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M5:N63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58">
    <i>
      <x v="1"/>
    </i>
    <i>
      <x v="8"/>
    </i>
    <i>
      <x v="10"/>
    </i>
    <i>
      <x v="11"/>
    </i>
    <i>
      <x v="13"/>
    </i>
    <i>
      <x v="17"/>
    </i>
    <i>
      <x v="20"/>
    </i>
    <i>
      <x v="25"/>
    </i>
    <i>
      <x v="28"/>
    </i>
    <i>
      <x v="29"/>
    </i>
    <i>
      <x v="33"/>
    </i>
    <i>
      <x v="35"/>
    </i>
    <i>
      <x v="75"/>
    </i>
    <i>
      <x v="83"/>
    </i>
    <i>
      <x v="85"/>
    </i>
    <i>
      <x v="90"/>
    </i>
    <i>
      <x v="94"/>
    </i>
    <i>
      <x v="104"/>
    </i>
    <i>
      <x v="122"/>
    </i>
    <i>
      <x v="124"/>
    </i>
    <i>
      <x v="126"/>
    </i>
    <i>
      <x v="136"/>
    </i>
    <i>
      <x v="138"/>
    </i>
    <i>
      <x v="139"/>
    </i>
    <i>
      <x v="146"/>
    </i>
    <i>
      <x v="163"/>
    </i>
    <i>
      <x v="175"/>
    </i>
    <i>
      <x v="176"/>
    </i>
    <i>
      <x v="179"/>
    </i>
    <i>
      <x v="180"/>
    </i>
    <i>
      <x v="188"/>
    </i>
    <i>
      <x v="200"/>
    </i>
    <i>
      <x v="202"/>
    </i>
    <i>
      <x v="203"/>
    </i>
    <i>
      <x v="206"/>
    </i>
    <i>
      <x v="208"/>
    </i>
    <i>
      <x v="210"/>
    </i>
    <i>
      <x v="218"/>
    </i>
    <i>
      <x v="221"/>
    </i>
    <i>
      <x v="222"/>
    </i>
    <i>
      <x v="223"/>
    </i>
    <i>
      <x v="269"/>
    </i>
    <i>
      <x v="288"/>
    </i>
    <i>
      <x v="329"/>
    </i>
    <i>
      <x v="365"/>
    </i>
    <i>
      <x v="370"/>
    </i>
    <i>
      <x v="379"/>
    </i>
    <i>
      <x v="384"/>
    </i>
    <i>
      <x v="388"/>
    </i>
    <i>
      <x v="402"/>
    </i>
    <i>
      <x v="468"/>
    </i>
    <i>
      <x v="517"/>
    </i>
    <i>
      <x v="518"/>
    </i>
    <i>
      <x v="523"/>
    </i>
    <i>
      <x v="528"/>
    </i>
    <i>
      <x v="552"/>
    </i>
    <i>
      <x v="558"/>
    </i>
    <i t="grand">
      <x/>
    </i>
  </rowItems>
  <colItems count="1">
    <i/>
  </colItems>
  <pageFields count="2">
    <pageField fld="3" item="0" hier="-1"/>
    <pageField fld="4" item="0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822DAA-646B-4E2E-817C-0B6FA0C5CE89}" name="TablaDinámica7" cacheId="11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rowHeaderCaption="Movil">
  <location ref="I5:J44" firstHeaderRow="1" firstDataRow="1" firstDataCol="1" rowPageCount="2" colPageCount="1"/>
  <pivotFields count="9">
    <pivotField showAll="0"/>
    <pivotField axis="axisRow" showAll="0">
      <items count="562">
        <item m="1" x="537"/>
        <item x="1"/>
        <item x="2"/>
        <item x="3"/>
        <item x="4"/>
        <item x="5"/>
        <item m="1" x="502"/>
        <item x="6"/>
        <item x="7"/>
        <item x="9"/>
        <item x="10"/>
        <item x="11"/>
        <item x="12"/>
        <item x="13"/>
        <item m="1" x="343"/>
        <item x="15"/>
        <item x="16"/>
        <item x="17"/>
        <item x="18"/>
        <item x="19"/>
        <item x="21"/>
        <item x="22"/>
        <item x="23"/>
        <item m="1" x="442"/>
        <item m="1" x="345"/>
        <item x="24"/>
        <item x="25"/>
        <item x="26"/>
        <item x="27"/>
        <item x="28"/>
        <item m="1" x="462"/>
        <item m="1" x="414"/>
        <item m="1" x="517"/>
        <item x="32"/>
        <item m="1" x="509"/>
        <item x="34"/>
        <item x="35"/>
        <item x="36"/>
        <item m="1" x="473"/>
        <item x="37"/>
        <item m="1" x="461"/>
        <item x="38"/>
        <item x="40"/>
        <item m="1" x="550"/>
        <item m="1" x="427"/>
        <item x="41"/>
        <item m="1" x="538"/>
        <item x="44"/>
        <item x="45"/>
        <item x="46"/>
        <item x="47"/>
        <item x="48"/>
        <item m="1" x="474"/>
        <item x="49"/>
        <item m="1" x="443"/>
        <item x="50"/>
        <item x="51"/>
        <item x="53"/>
        <item x="55"/>
        <item m="1" x="444"/>
        <item x="56"/>
        <item m="1" x="475"/>
        <item x="57"/>
        <item x="58"/>
        <item x="59"/>
        <item x="61"/>
        <item m="1" x="445"/>
        <item x="62"/>
        <item m="1" x="544"/>
        <item x="63"/>
        <item x="64"/>
        <item x="65"/>
        <item x="66"/>
        <item m="1" x="551"/>
        <item m="1" x="446"/>
        <item x="67"/>
        <item m="1" x="349"/>
        <item x="68"/>
        <item x="69"/>
        <item m="1" x="351"/>
        <item x="70"/>
        <item x="71"/>
        <item m="1" x="352"/>
        <item x="72"/>
        <item x="73"/>
        <item x="75"/>
        <item x="76"/>
        <item x="77"/>
        <item m="1" x="447"/>
        <item x="78"/>
        <item x="79"/>
        <item x="80"/>
        <item m="1" x="354"/>
        <item x="81"/>
        <item x="82"/>
        <item x="83"/>
        <item m="1" x="356"/>
        <item x="84"/>
        <item m="1" x="545"/>
        <item x="85"/>
        <item m="1" x="357"/>
        <item x="86"/>
        <item x="87"/>
        <item m="1" x="358"/>
        <item x="88"/>
        <item m="1" x="552"/>
        <item x="89"/>
        <item m="1" x="464"/>
        <item x="90"/>
        <item x="91"/>
        <item x="92"/>
        <item x="93"/>
        <item m="1" x="503"/>
        <item x="94"/>
        <item m="1" x="360"/>
        <item x="95"/>
        <item x="96"/>
        <item x="97"/>
        <item m="1" x="361"/>
        <item x="98"/>
        <item m="1" x="465"/>
        <item x="99"/>
        <item x="100"/>
        <item x="101"/>
        <item x="102"/>
        <item x="103"/>
        <item x="105"/>
        <item x="106"/>
        <item x="107"/>
        <item x="108"/>
        <item x="109"/>
        <item x="110"/>
        <item m="1" x="362"/>
        <item x="111"/>
        <item x="112"/>
        <item x="113"/>
        <item x="114"/>
        <item x="115"/>
        <item x="116"/>
        <item x="117"/>
        <item x="118"/>
        <item x="119"/>
        <item m="1" x="363"/>
        <item m="1" x="428"/>
        <item x="120"/>
        <item x="121"/>
        <item x="122"/>
        <item x="123"/>
        <item x="124"/>
        <item x="125"/>
        <item x="127"/>
        <item x="128"/>
        <item m="1" x="520"/>
        <item m="1" x="416"/>
        <item m="1" x="450"/>
        <item m="1" x="504"/>
        <item x="129"/>
        <item x="130"/>
        <item m="1" x="498"/>
        <item m="1" x="511"/>
        <item m="1" x="505"/>
        <item x="131"/>
        <item x="133"/>
        <item x="134"/>
        <item m="1" x="476"/>
        <item m="1" x="365"/>
        <item m="1" x="451"/>
        <item x="135"/>
        <item x="136"/>
        <item x="137"/>
        <item x="138"/>
        <item x="139"/>
        <item x="140"/>
        <item x="141"/>
        <item m="1" x="367"/>
        <item x="143"/>
        <item x="144"/>
        <item x="145"/>
        <item x="146"/>
        <item x="147"/>
        <item x="148"/>
        <item x="149"/>
        <item x="150"/>
        <item x="152"/>
        <item x="153"/>
        <item m="1" x="477"/>
        <item x="154"/>
        <item x="155"/>
        <item x="156"/>
        <item m="1" x="512"/>
        <item x="157"/>
        <item x="158"/>
        <item x="159"/>
        <item m="1" x="553"/>
        <item m="1" x="452"/>
        <item m="1" x="539"/>
        <item x="161"/>
        <item m="1" x="453"/>
        <item x="162"/>
        <item x="163"/>
        <item x="164"/>
        <item x="165"/>
        <item x="166"/>
        <item x="167"/>
        <item m="1" x="540"/>
        <item x="168"/>
        <item x="169"/>
        <item x="170"/>
        <item x="171"/>
        <item m="1" x="513"/>
        <item x="172"/>
        <item x="173"/>
        <item x="174"/>
        <item m="1" x="369"/>
        <item x="175"/>
        <item x="176"/>
        <item x="177"/>
        <item m="1" x="371"/>
        <item x="179"/>
        <item m="1" x="454"/>
        <item x="180"/>
        <item x="181"/>
        <item x="182"/>
        <item x="183"/>
        <item m="1" x="514"/>
        <item x="184"/>
        <item x="185"/>
        <item x="186"/>
        <item x="187"/>
        <item x="188"/>
        <item m="1" x="372"/>
        <item x="189"/>
        <item x="190"/>
        <item x="193"/>
        <item x="194"/>
        <item m="1" x="374"/>
        <item m="1" x="554"/>
        <item m="1" x="375"/>
        <item m="1" x="376"/>
        <item m="1" x="429"/>
        <item m="1" x="478"/>
        <item m="1" x="480"/>
        <item x="198"/>
        <item x="199"/>
        <item m="1" x="430"/>
        <item x="200"/>
        <item m="1" x="523"/>
        <item x="201"/>
        <item x="203"/>
        <item x="204"/>
        <item m="1" x="380"/>
        <item x="205"/>
        <item x="206"/>
        <item x="207"/>
        <item x="210"/>
        <item x="211"/>
        <item x="212"/>
        <item m="1" x="555"/>
        <item m="1" x="455"/>
        <item x="213"/>
        <item m="1" x="481"/>
        <item x="214"/>
        <item x="215"/>
        <item x="216"/>
        <item m="1" x="382"/>
        <item x="220"/>
        <item x="222"/>
        <item m="1" x="431"/>
        <item x="225"/>
        <item x="226"/>
        <item x="228"/>
        <item m="1" x="556"/>
        <item x="229"/>
        <item x="230"/>
        <item x="231"/>
        <item m="1" x="524"/>
        <item x="232"/>
        <item x="233"/>
        <item m="1" x="546"/>
        <item x="235"/>
        <item x="237"/>
        <item x="239"/>
        <item m="1" x="547"/>
        <item m="1" x="525"/>
        <item x="243"/>
        <item m="1" x="548"/>
        <item x="244"/>
        <item m="1" x="526"/>
        <item x="245"/>
        <item m="1" x="486"/>
        <item m="1" x="432"/>
        <item x="246"/>
        <item x="267"/>
        <item x="268"/>
        <item x="269"/>
        <item x="270"/>
        <item m="1" x="392"/>
        <item x="271"/>
        <item x="272"/>
        <item x="273"/>
        <item x="274"/>
        <item m="1" x="435"/>
        <item x="275"/>
        <item x="276"/>
        <item x="277"/>
        <item x="279"/>
        <item x="280"/>
        <item m="1" x="467"/>
        <item x="281"/>
        <item x="282"/>
        <item x="283"/>
        <item m="1" x="393"/>
        <item x="284"/>
        <item m="1" x="394"/>
        <item x="286"/>
        <item m="1" x="395"/>
        <item x="287"/>
        <item x="288"/>
        <item m="1" x="396"/>
        <item m="1" x="557"/>
        <item x="289"/>
        <item x="290"/>
        <item m="1" x="397"/>
        <item x="292"/>
        <item x="293"/>
        <item m="1" x="542"/>
        <item m="1" x="468"/>
        <item m="1" x="398"/>
        <item x="295"/>
        <item x="297"/>
        <item m="1" x="469"/>
        <item m="1" x="491"/>
        <item x="298"/>
        <item m="1" x="558"/>
        <item m="1" x="559"/>
        <item m="1" x="492"/>
        <item x="299"/>
        <item m="1" x="399"/>
        <item x="300"/>
        <item x="302"/>
        <item m="1" x="530"/>
        <item m="1" x="438"/>
        <item x="303"/>
        <item x="311"/>
        <item m="1" x="531"/>
        <item x="315"/>
        <item m="1" x="421"/>
        <item m="1" x="532"/>
        <item m="1" x="402"/>
        <item m="1" x="403"/>
        <item m="1" x="404"/>
        <item m="1" x="406"/>
        <item x="316"/>
        <item m="1" x="407"/>
        <item x="317"/>
        <item x="318"/>
        <item m="1" x="494"/>
        <item x="321"/>
        <item m="1" x="460"/>
        <item m="1" x="408"/>
        <item x="326"/>
        <item x="327"/>
        <item m="1" x="409"/>
        <item x="329"/>
        <item x="330"/>
        <item x="331"/>
        <item m="1" x="533"/>
        <item x="338"/>
        <item x="339"/>
        <item x="340"/>
        <item x="341"/>
        <item m="1" x="471"/>
        <item m="1" x="412"/>
        <item m="1" x="472"/>
        <item m="1" x="535"/>
        <item x="296"/>
        <item x="42"/>
        <item m="1" x="560"/>
        <item x="0"/>
        <item x="14"/>
        <item x="29"/>
        <item x="39"/>
        <item m="1" x="415"/>
        <item x="60"/>
        <item x="104"/>
        <item x="126"/>
        <item x="142"/>
        <item m="1" x="521"/>
        <item x="160"/>
        <item m="1" x="370"/>
        <item m="1" x="499"/>
        <item x="192"/>
        <item x="197"/>
        <item x="219"/>
        <item x="221"/>
        <item x="224"/>
        <item m="1" x="383"/>
        <item m="1" x="483"/>
        <item m="1" x="485"/>
        <item x="248"/>
        <item x="250"/>
        <item m="1" x="541"/>
        <item x="253"/>
        <item x="258"/>
        <item m="1" x="458"/>
        <item m="1" x="436"/>
        <item x="285"/>
        <item x="291"/>
        <item x="294"/>
        <item m="1" x="516"/>
        <item m="1" x="529"/>
        <item m="1" x="400"/>
        <item x="307"/>
        <item m="1" x="543"/>
        <item x="308"/>
        <item m="1" x="426"/>
        <item x="319"/>
        <item m="1" x="536"/>
        <item m="1" x="413"/>
        <item m="1" x="549"/>
        <item m="1" x="496"/>
        <item m="1" x="344"/>
        <item m="1" x="508"/>
        <item m="1" x="510"/>
        <item m="1" x="518"/>
        <item m="1" x="347"/>
        <item m="1" x="497"/>
        <item m="1" x="364"/>
        <item m="1" x="515"/>
        <item x="208"/>
        <item x="238"/>
        <item x="240"/>
        <item x="242"/>
        <item m="1" x="457"/>
        <item m="1" x="385"/>
        <item m="1" x="489"/>
        <item x="278"/>
        <item m="1" x="528"/>
        <item x="304"/>
        <item x="306"/>
        <item m="1" x="493"/>
        <item m="1" x="405"/>
        <item m="1" x="470"/>
        <item m="1" x="519"/>
        <item x="74"/>
        <item x="132"/>
        <item m="1" x="522"/>
        <item x="195"/>
        <item m="1" x="381"/>
        <item m="1" x="466"/>
        <item m="1" x="527"/>
        <item x="252"/>
        <item x="254"/>
        <item m="1" x="401"/>
        <item m="1" x="507"/>
        <item x="309"/>
        <item m="1" x="534"/>
        <item x="8"/>
        <item x="33"/>
        <item x="52"/>
        <item m="1" x="463"/>
        <item m="1" x="348"/>
        <item m="1" x="350"/>
        <item m="1" x="353"/>
        <item m="1" x="448"/>
        <item m="1" x="449"/>
        <item x="151"/>
        <item m="1" x="506"/>
        <item x="196"/>
        <item m="1" x="417"/>
        <item m="1" x="479"/>
        <item m="1" x="378"/>
        <item m="1" x="379"/>
        <item x="209"/>
        <item x="223"/>
        <item m="1" x="484"/>
        <item m="1" x="500"/>
        <item x="251"/>
        <item m="1" x="487"/>
        <item x="255"/>
        <item x="256"/>
        <item m="1" x="488"/>
        <item m="1" x="433"/>
        <item x="259"/>
        <item x="320"/>
        <item x="325"/>
        <item m="1" x="495"/>
        <item x="333"/>
        <item m="1" x="482"/>
        <item m="1" x="388"/>
        <item m="1" x="490"/>
        <item m="1" x="437"/>
        <item x="305"/>
        <item x="324"/>
        <item m="1" x="359"/>
        <item m="1" x="373"/>
        <item x="328"/>
        <item m="1" x="384"/>
        <item m="1" x="456"/>
        <item x="301"/>
        <item m="1" x="501"/>
        <item x="312"/>
        <item x="260"/>
        <item m="1" x="441"/>
        <item x="31"/>
        <item x="54"/>
        <item m="1" x="368"/>
        <item x="241"/>
        <item m="1" x="386"/>
        <item x="257"/>
        <item m="1" x="390"/>
        <item x="310"/>
        <item x="322"/>
        <item x="323"/>
        <item x="336"/>
        <item m="1" x="355"/>
        <item m="1" x="366"/>
        <item x="247"/>
        <item x="249"/>
        <item x="262"/>
        <item x="264"/>
        <item m="1" x="391"/>
        <item m="1" x="459"/>
        <item x="334"/>
        <item m="1" x="410"/>
        <item m="1" x="422"/>
        <item m="1" x="440"/>
        <item x="261"/>
        <item x="20"/>
        <item m="1" x="346"/>
        <item x="43"/>
        <item m="1" x="434"/>
        <item x="265"/>
        <item x="313"/>
        <item x="332"/>
        <item m="1" x="439"/>
        <item m="1" x="423"/>
        <item x="236"/>
        <item m="1" x="377"/>
        <item m="1" x="424"/>
        <item m="1" x="418"/>
        <item m="1" x="419"/>
        <item m="1" x="420"/>
        <item m="1" x="425"/>
        <item x="30"/>
        <item x="202"/>
        <item x="217"/>
        <item m="1" x="387"/>
        <item m="1" x="389"/>
        <item x="263"/>
        <item x="314"/>
        <item m="1" x="411"/>
        <item x="178"/>
        <item x="191"/>
        <item x="218"/>
        <item x="227"/>
        <item x="234"/>
        <item x="266"/>
        <item x="335"/>
        <item x="337"/>
        <item x="342"/>
        <item t="default"/>
      </items>
    </pivotField>
    <pivotField showAll="0"/>
    <pivotField axis="axisPage" showAll="0">
      <items count="7">
        <item x="3"/>
        <item x="0"/>
        <item m="1" x="4"/>
        <item x="1"/>
        <item m="1" x="5"/>
        <item x="2"/>
        <item t="default"/>
      </items>
    </pivotField>
    <pivotField axis="axisPage" showAll="0">
      <items count="4">
        <item x="0"/>
        <item x="1"/>
        <item x="2"/>
        <item t="default"/>
      </items>
    </pivotField>
    <pivotField showAll="0"/>
    <pivotField numFmtId="14" showAll="0"/>
    <pivotField numFmtId="165" showAll="0"/>
    <pivotField dataField="1" showAll="0"/>
  </pivotFields>
  <rowFields count="1">
    <field x="1"/>
  </rowFields>
  <rowItems count="39">
    <i>
      <x v="48"/>
    </i>
    <i>
      <x v="49"/>
    </i>
    <i>
      <x v="53"/>
    </i>
    <i>
      <x v="56"/>
    </i>
    <i>
      <x v="72"/>
    </i>
    <i>
      <x v="211"/>
    </i>
    <i>
      <x v="232"/>
    </i>
    <i>
      <x v="242"/>
    </i>
    <i>
      <x v="243"/>
    </i>
    <i>
      <x v="262"/>
    </i>
    <i>
      <x v="293"/>
    </i>
    <i>
      <x v="294"/>
    </i>
    <i>
      <x v="295"/>
    </i>
    <i>
      <x v="297"/>
    </i>
    <i>
      <x v="305"/>
    </i>
    <i>
      <x v="308"/>
    </i>
    <i>
      <x v="316"/>
    </i>
    <i>
      <x v="317"/>
    </i>
    <i>
      <x v="321"/>
    </i>
    <i>
      <x v="324"/>
    </i>
    <i>
      <x v="328"/>
    </i>
    <i>
      <x v="338"/>
    </i>
    <i>
      <x v="343"/>
    </i>
    <i>
      <x v="361"/>
    </i>
    <i>
      <x v="363"/>
    </i>
    <i>
      <x v="369"/>
    </i>
    <i>
      <x v="412"/>
    </i>
    <i>
      <x v="416"/>
    </i>
    <i>
      <x v="436"/>
    </i>
    <i>
      <x v="438"/>
    </i>
    <i>
      <x v="452"/>
    </i>
    <i>
      <x v="479"/>
    </i>
    <i>
      <x v="496"/>
    </i>
    <i>
      <x v="499"/>
    </i>
    <i>
      <x v="519"/>
    </i>
    <i>
      <x v="537"/>
    </i>
    <i>
      <x v="549"/>
    </i>
    <i>
      <x v="556"/>
    </i>
    <i t="grand">
      <x/>
    </i>
  </rowItems>
  <colItems count="1">
    <i/>
  </colItems>
  <pageFields count="2">
    <pageField fld="3" item="0" hier="-1"/>
    <pageField fld="4" item="1" hier="-1"/>
  </pageFields>
  <dataFields count="1">
    <dataField name="Suma de Monto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A3DE16-9767-4BBD-9811-B63ECF7A32ED}" name="Tabla43" displayName="Tabla43" ref="A1:J73" totalsRowShown="0" headerRowDxfId="524" headerRowBorderDxfId="523" tableBorderDxfId="522" totalsRowBorderDxfId="521">
  <autoFilter ref="A1:J73" xr:uid="{735D3412-10A4-4580-8905-5CCDC7AEEB75}"/>
  <tableColumns count="10">
    <tableColumn id="1" xr3:uid="{27E89D9F-7597-4098-ABC6-89235FA66D53}" name="IdServicio" dataDxfId="520"/>
    <tableColumn id="2" xr3:uid="{240AD37B-F7D6-44C3-949F-E36B3A40F477}" name="PlacaAuto" dataDxfId="519"/>
    <tableColumn id="3" xr3:uid="{6FC4FAAB-FEE2-45E9-B6E4-5A65D9EF715D}" name="IdMovil" dataDxfId="518"/>
    <tableColumn id="4" xr3:uid="{86AF94CE-01DC-4559-B719-F7EFAC472E14}" name="FLOTA" dataDxfId="517">
      <calculatedColumnFormula>+VLOOKUP(Tabla43[[#This Row],[IdMovil]],#REF!,2,FALSE)</calculatedColumnFormula>
    </tableColumn>
    <tableColumn id="16" xr3:uid="{8F0D0B3A-7A1E-44F5-A2A2-304A7A32AC6D}" name="REEMBOLSO" dataDxfId="516"/>
    <tableColumn id="5" xr3:uid="{2BDDFE83-5C2A-4C6F-BDF9-82A37F0E5CFE}" name="Fecha_Servicio" dataDxfId="515"/>
    <tableColumn id="6" xr3:uid="{7FA5AD9A-9B02-4C4F-AF14-60843373B322}" name="Fecha_Inicio" dataDxfId="514"/>
    <tableColumn id="7" xr3:uid="{D82072DC-AC71-462D-8B70-4815D9899E20}" name="Fecha_Termino" dataDxfId="513"/>
    <tableColumn id="8" xr3:uid="{4D6E837F-CEF9-4C48-AD19-A4967D2B57DF}" name="Total_Peaje" dataDxfId="512"/>
    <tableColumn id="12" xr3:uid="{3ACD2D56-B4A0-452B-A79D-D30618105BAB}" name="DescTipoPago" dataDxfId="5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00ADC4-4BD2-4E39-A3F9-C27DD6450BAE}" name="Tabla16" displayName="Tabla16" ref="A1:I5607" totalsRowShown="0" headerRowDxfId="510" dataDxfId="509" dataCellStyle="Normal 2">
  <autoFilter ref="A1:I5607" xr:uid="{B300ADC4-4BD2-4E39-A3F9-C27DD6450BAE}"/>
  <sortState xmlns:xlrd2="http://schemas.microsoft.com/office/spreadsheetml/2017/richdata2" ref="A2:I4400">
    <sortCondition ref="B2:B4400"/>
    <sortCondition ref="E2:E4400"/>
    <sortCondition ref="F2:F4400"/>
  </sortState>
  <tableColumns count="9">
    <tableColumn id="7" xr3:uid="{DB2A42E2-704B-4D6A-BD41-48FAA0EFD449}" name="Placa" dataDxfId="508" dataCellStyle="Normal 2"/>
    <tableColumn id="20" xr3:uid="{A7934243-C315-4FEA-84A7-02C66D392440}" name="MOVIL" dataDxfId="507"/>
    <tableColumn id="19" xr3:uid="{00BE01C0-EB17-42D8-8E17-5B7F913B184A}" name="DETALLE" dataDxfId="506"/>
    <tableColumn id="21" xr3:uid="{D2FE451A-9508-4DE1-92A7-0CFF1477A437}" name="OBSV" dataDxfId="505"/>
    <tableColumn id="1" xr3:uid="{43E5612F-8E71-4543-A164-D4B67C2209D9}" name="Fecha Inicio" dataDxfId="504" dataCellStyle="Normal 2"/>
    <tableColumn id="4" xr3:uid="{D8F33EC8-0013-4A03-8681-9C7EFF7BBBB2}" name="Hora Inicio" dataDxfId="503" dataCellStyle="Normal 2"/>
    <tableColumn id="3" xr3:uid="{4ED638A1-F122-4913-8124-1A64E1BA0F22}" name="Importe" dataDxfId="502" dataCellStyle="Normal 2"/>
    <tableColumn id="13" xr3:uid="{D85BFD49-7BA0-432A-87A9-761FE2ABD13A}" name="Plaza" dataDxfId="501" dataCellStyle="Normal 2"/>
    <tableColumn id="17" xr3:uid="{681DB140-B954-46CE-9346-27550B0D3E60}" name="Nro Comprobante" dataDxfId="500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E7F404F-B98E-4E96-9C50-8BF345D2660B}" name="Tabla38" displayName="Tabla38" ref="A1:H466" totalsRowCount="1" headerRowDxfId="535" dataDxfId="533" headerRowBorderDxfId="534" tableBorderDxfId="532" headerRowCellStyle="Moneda 2 2">
  <autoFilter ref="A1:H465" xr:uid="{3E7F404F-B98E-4E96-9C50-8BF345D2660B}"/>
  <sortState xmlns:xlrd2="http://schemas.microsoft.com/office/spreadsheetml/2017/richdata2" ref="A2:F300">
    <sortCondition ref="A1:A300"/>
  </sortState>
  <tableColumns count="8">
    <tableColumn id="1" xr3:uid="{6FFD56B6-8EC0-4FD2-A11C-2CEE6211CDFE}" name="MOVIL" dataDxfId="531"/>
    <tableColumn id="2" xr3:uid="{0C053BE1-7FE7-46A0-9CE9-395D2BDAFB4F}" name="DESCUENTO POR USO PERSONAL PEX" totalsRowFunction="custom" dataDxfId="530" totalsRowDxfId="5">
      <calculatedColumnFormula>+SUMIFS(Tabla16[Importe],Tabla16[MOVIL],Tabla38[[#This Row],[MOVIL]],Tabla16[OBSV],"DESCONTAR POR USO PERSONAL")</calculatedColumnFormula>
      <totalsRowFormula>SUM(B2:B465)</totalsRowFormula>
    </tableColumn>
    <tableColumn id="3" xr3:uid="{7D2ECD55-F9BA-469C-9CC5-3DC86F483ABE}" name="DESCUENTO POR INCIDENCIAS PEX" totalsRowFunction="custom" dataDxfId="529" totalsRowDxfId="4">
      <calculatedColumnFormula>+SUMIFS(Tabla16[Importe],Tabla16[MOVIL],Tabla38[[#This Row],[MOVIL]],Tabla16[OBSV],"DESCONTAR POR INCIDENCIA")</calculatedColumnFormula>
      <totalsRowFormula>SUM(C2:C465)</totalsRowFormula>
    </tableColumn>
    <tableColumn id="4" xr3:uid="{D97A479A-B2DF-4E8B-ABE9-EF41B8DA1C26}" name="DESCUENTO POR SERVICIOS EN EFECTIVO" totalsRowFunction="custom" dataDxfId="528" totalsRowDxfId="3">
      <calculatedColumnFormula>+SUMIFS(Tabla16[Importe],Tabla16[MOVIL],Tabla38[[#This Row],[MOVIL]],Tabla16[OBSV],"DESCONTAR SERVICIO EN EFECTIVO")</calculatedColumnFormula>
      <totalsRowFormula>SUM(D2:D465)</totalsRowFormula>
    </tableColumn>
    <tableColumn id="8" xr3:uid="{63A022FF-13F8-4241-94E0-008D2074FB53}" name="DESCUENTO POR NUEVA INCLUSION" totalsRowFunction="custom" dataDxfId="527" totalsRowDxfId="2">
      <calculatedColumnFormula>+IFERROR(VLOOKUP(Tabla38[[#This Row],[MOVIL]],Tabla1[[#All],[MOVIL]:[COBRO POR NUEVA INCLUSIÓN]],4,FALSE),0)</calculatedColumnFormula>
      <totalsRowFormula>SUM(E2:E465)</totalsRowFormula>
    </tableColumn>
    <tableColumn id="6" xr3:uid="{FE3E48BA-37B5-4000-9607-0618225CFA4E}" name="TOTAL" totalsRowFunction="custom" dataDxfId="526" totalsRowDxfId="1">
      <calculatedColumnFormula>(Tabla38[[#This Row],[DESCUENTO POR USO PERSONAL PEX]]+Tabla38[[#This Row],[DESCUENTO POR INCIDENCIAS PEX]]+Tabla38[[#This Row],[DESCUENTO POR SERVICIOS EN EFECTIVO]]+Tabla38[[#This Row],[DESCUENTO POR NUEVA INCLUSION]])</calculatedColumnFormula>
      <totalsRowFormula>SUM(F2:F465)</totalsRowFormula>
    </tableColumn>
    <tableColumn id="7" xr3:uid="{2122660B-C3C2-4634-BDEB-6012B38C96A1}" name="Columna1" dataDxfId="6" totalsRowDxfId="0"/>
    <tableColumn id="5" xr3:uid="{9F27E446-F0FE-4B12-9EEE-119A82889265}" name="flota" dataDxfId="525">
      <calculatedColumnFormula>_xlfn.XLOOKUP(Tabla38[[#This Row],[MOVIL]],[1]LIQUIDACION!$B:$B,[1]LIQUIDACION!$A:$A,"-",0)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7A2583B-454A-4315-A850-8376CEAF2C64}" name="Tabla1" displayName="Tabla1" ref="A1:E460" totalsRowShown="0" headerRowDxfId="499" headerRowBorderDxfId="498" tableBorderDxfId="497">
  <autoFilter ref="A1:E460" xr:uid="{77A2583B-454A-4315-A850-8376CEAF2C64}"/>
  <sortState xmlns:xlrd2="http://schemas.microsoft.com/office/spreadsheetml/2017/richdata2" ref="A2:E2">
    <sortCondition ref="C2" customList="PEX ACTIVO,PEX INSTALADO,PEX BLOQUEADO,PEX DESAFILIADO"/>
    <sortCondition ref="B2"/>
  </sortState>
  <tableColumns count="5">
    <tableColumn id="1" xr3:uid="{F5157B4C-A6A2-4CE5-A053-EFD0038B2A95}" name="PLACA" dataDxfId="496" dataCellStyle="Normal 2"/>
    <tableColumn id="2" xr3:uid="{7244207D-5FE0-4928-966B-B46445AC9C44}" name="MOVIL" dataDxfId="495" dataCellStyle="Normal 2"/>
    <tableColumn id="4" xr3:uid="{418C1210-EDE3-4E0E-A54A-7B06F30D07CD}" name="ESTADO DE PEX" dataDxfId="494"/>
    <tableColumn id="5" xr3:uid="{7B329CBC-EC47-4BB3-89E9-037D514E685D}" name="CONEXIÓN SEM 20" dataDxfId="493" dataCellStyle="Normal 2"/>
    <tableColumn id="8" xr3:uid="{9A84AAC0-EF34-4208-8FDB-5C562CFBBA07}" name="COBRO POR NUEVA INCLUSIÓN" dataDxfId="492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pivotTable" Target="../pivotTables/pivotTable9.xml"/><Relationship Id="rId5" Type="http://schemas.openxmlformats.org/officeDocument/2006/relationships/pivotTable" Target="../pivotTables/pivotTable8.xml"/><Relationship Id="rId4" Type="http://schemas.openxmlformats.org/officeDocument/2006/relationships/pivotTable" Target="../pivotTables/pivotTable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399F-2075-45AC-9872-369C2A7BCEE8}">
  <sheetPr>
    <tabColor theme="4" tint="-0.249977111117893"/>
  </sheetPr>
  <dimension ref="A1:J73"/>
  <sheetViews>
    <sheetView workbookViewId="0"/>
  </sheetViews>
  <sheetFormatPr baseColWidth="10" defaultColWidth="11.44140625" defaultRowHeight="14.4" x14ac:dyDescent="0.3"/>
  <cols>
    <col min="1" max="1" width="14.5546875" bestFit="1" customWidth="1"/>
    <col min="2" max="2" width="14.5546875" customWidth="1"/>
    <col min="3" max="3" width="11.88671875" bestFit="1" customWidth="1"/>
    <col min="4" max="4" width="23.33203125" customWidth="1"/>
    <col min="5" max="5" width="16" bestFit="1" customWidth="1"/>
    <col min="6" max="8" width="22.33203125" customWidth="1"/>
    <col min="9" max="9" width="18.88671875" customWidth="1"/>
    <col min="10" max="10" width="15.6640625" customWidth="1"/>
  </cols>
  <sheetData>
    <row r="1" spans="1:10" x14ac:dyDescent="0.3">
      <c r="A1" s="20" t="s">
        <v>0</v>
      </c>
      <c r="B1" s="20" t="s">
        <v>1</v>
      </c>
      <c r="C1" s="21" t="s">
        <v>2</v>
      </c>
      <c r="D1" s="21" t="s">
        <v>3</v>
      </c>
      <c r="E1" s="21" t="s">
        <v>4</v>
      </c>
      <c r="F1" s="22" t="s">
        <v>5</v>
      </c>
      <c r="G1" s="22" t="s">
        <v>6</v>
      </c>
      <c r="H1" s="22" t="s">
        <v>7</v>
      </c>
      <c r="I1" s="16" t="s">
        <v>8</v>
      </c>
      <c r="J1" s="23" t="s">
        <v>9</v>
      </c>
    </row>
    <row r="2" spans="1:10" x14ac:dyDescent="0.3">
      <c r="A2" s="13"/>
      <c r="B2" s="13"/>
      <c r="C2" s="24">
        <v>1981</v>
      </c>
      <c r="D2" s="19" t="e">
        <f>+VLOOKUP(Tabla43[[#This Row],[IdMovil]],#REF!,2,FALSE)</f>
        <v>#REF!</v>
      </c>
      <c r="E2" s="18"/>
      <c r="F2" s="15"/>
      <c r="G2" s="15"/>
      <c r="H2" s="15"/>
      <c r="I2" s="6"/>
      <c r="J2" s="6"/>
    </row>
    <row r="3" spans="1:10" x14ac:dyDescent="0.3">
      <c r="A3" s="13"/>
      <c r="B3" s="13"/>
      <c r="C3" s="24">
        <v>521</v>
      </c>
      <c r="D3" s="19" t="e">
        <f>+VLOOKUP(Tabla43[[#This Row],[IdMovil]],#REF!,2,FALSE)</f>
        <v>#REF!</v>
      </c>
      <c r="E3" s="18"/>
      <c r="F3" s="15"/>
      <c r="G3" s="15"/>
      <c r="H3" s="15"/>
      <c r="I3" s="6"/>
      <c r="J3" s="6"/>
    </row>
    <row r="4" spans="1:10" x14ac:dyDescent="0.3">
      <c r="A4" s="13"/>
      <c r="B4" s="13"/>
      <c r="C4" s="24">
        <v>420</v>
      </c>
      <c r="D4" s="19" t="e">
        <f>+VLOOKUP(Tabla43[[#This Row],[IdMovil]],#REF!,2,FALSE)</f>
        <v>#REF!</v>
      </c>
      <c r="E4" s="18"/>
      <c r="F4" s="15"/>
      <c r="G4" s="15"/>
      <c r="H4" s="15"/>
      <c r="I4" s="6"/>
      <c r="J4" s="6"/>
    </row>
    <row r="5" spans="1:10" x14ac:dyDescent="0.3">
      <c r="A5" s="13"/>
      <c r="B5" s="13"/>
      <c r="C5" s="24">
        <v>2647</v>
      </c>
      <c r="D5" s="19" t="e">
        <f>+VLOOKUP(Tabla43[[#This Row],[IdMovil]],#REF!,2,FALSE)</f>
        <v>#REF!</v>
      </c>
      <c r="E5" s="18"/>
      <c r="F5" s="15"/>
      <c r="G5" s="15"/>
      <c r="H5" s="15"/>
      <c r="I5" s="6"/>
      <c r="J5" s="6"/>
    </row>
    <row r="6" spans="1:10" x14ac:dyDescent="0.3">
      <c r="A6" s="13"/>
      <c r="B6" s="13"/>
      <c r="C6" s="24">
        <v>2220</v>
      </c>
      <c r="D6" s="19" t="e">
        <f>+VLOOKUP(Tabla43[[#This Row],[IdMovil]],#REF!,2,FALSE)</f>
        <v>#REF!</v>
      </c>
      <c r="E6" s="18"/>
      <c r="F6" s="15"/>
      <c r="G6" s="15"/>
      <c r="H6" s="15"/>
      <c r="I6" s="6"/>
      <c r="J6" s="6"/>
    </row>
    <row r="7" spans="1:10" x14ac:dyDescent="0.3">
      <c r="A7" s="13"/>
      <c r="B7" s="13"/>
      <c r="C7" s="24">
        <v>412</v>
      </c>
      <c r="D7" s="19" t="e">
        <f>+VLOOKUP(Tabla43[[#This Row],[IdMovil]],#REF!,2,FALSE)</f>
        <v>#REF!</v>
      </c>
      <c r="E7" s="18"/>
      <c r="F7" s="15"/>
      <c r="G7" s="15"/>
      <c r="H7" s="15"/>
      <c r="I7" s="6"/>
      <c r="J7" s="6"/>
    </row>
    <row r="8" spans="1:10" x14ac:dyDescent="0.3">
      <c r="A8" s="13"/>
      <c r="B8" s="13"/>
      <c r="C8" s="24">
        <v>722</v>
      </c>
      <c r="D8" s="19" t="e">
        <f>+VLOOKUP(Tabla43[[#This Row],[IdMovil]],#REF!,2,FALSE)</f>
        <v>#REF!</v>
      </c>
      <c r="E8" s="18"/>
      <c r="F8" s="15"/>
      <c r="G8" s="15"/>
      <c r="H8" s="15"/>
      <c r="I8" s="6"/>
      <c r="J8" s="6"/>
    </row>
    <row r="9" spans="1:10" x14ac:dyDescent="0.3">
      <c r="A9" s="13"/>
      <c r="B9" s="13"/>
      <c r="C9" s="24">
        <v>5032</v>
      </c>
      <c r="D9" s="19" t="e">
        <f>+VLOOKUP(Tabla43[[#This Row],[IdMovil]],#REF!,2,FALSE)</f>
        <v>#REF!</v>
      </c>
      <c r="E9" s="18"/>
      <c r="F9" s="15"/>
      <c r="G9" s="15"/>
      <c r="H9" s="15"/>
      <c r="I9" s="6"/>
      <c r="J9" s="6"/>
    </row>
    <row r="10" spans="1:10" x14ac:dyDescent="0.3">
      <c r="A10" s="13"/>
      <c r="B10" s="13"/>
      <c r="C10" s="24">
        <v>5032</v>
      </c>
      <c r="D10" s="19" t="e">
        <f>+VLOOKUP(Tabla43[[#This Row],[IdMovil]],#REF!,2,FALSE)</f>
        <v>#REF!</v>
      </c>
      <c r="E10" s="18"/>
      <c r="F10" s="15"/>
      <c r="G10" s="15"/>
      <c r="H10" s="15"/>
      <c r="I10" s="6"/>
      <c r="J10" s="6"/>
    </row>
    <row r="11" spans="1:10" x14ac:dyDescent="0.3">
      <c r="A11" s="13"/>
      <c r="B11" s="13"/>
      <c r="C11" s="24">
        <v>2035</v>
      </c>
      <c r="D11" s="19" t="e">
        <f>+VLOOKUP(Tabla43[[#This Row],[IdMovil]],#REF!,2,FALSE)</f>
        <v>#REF!</v>
      </c>
      <c r="E11" s="18"/>
      <c r="F11" s="15"/>
      <c r="G11" s="15"/>
      <c r="H11" s="15"/>
      <c r="I11" s="6"/>
      <c r="J11" s="6"/>
    </row>
    <row r="12" spans="1:10" x14ac:dyDescent="0.3">
      <c r="A12" s="13"/>
      <c r="B12" s="13"/>
      <c r="C12" s="24">
        <v>769</v>
      </c>
      <c r="D12" s="19" t="e">
        <f>+VLOOKUP(Tabla43[[#This Row],[IdMovil]],#REF!,2,FALSE)</f>
        <v>#REF!</v>
      </c>
      <c r="E12" s="18"/>
      <c r="F12" s="15"/>
      <c r="G12" s="15"/>
      <c r="H12" s="15"/>
      <c r="I12" s="6"/>
      <c r="J12" s="6"/>
    </row>
    <row r="13" spans="1:10" x14ac:dyDescent="0.3">
      <c r="A13" s="13"/>
      <c r="B13" s="13"/>
      <c r="C13" s="24">
        <v>5130</v>
      </c>
      <c r="D13" s="19" t="e">
        <f>+VLOOKUP(Tabla43[[#This Row],[IdMovil]],#REF!,2,FALSE)</f>
        <v>#REF!</v>
      </c>
      <c r="E13" s="18"/>
      <c r="F13" s="15"/>
      <c r="G13" s="15"/>
      <c r="H13" s="15"/>
      <c r="I13" s="6"/>
      <c r="J13" s="6"/>
    </row>
    <row r="14" spans="1:10" x14ac:dyDescent="0.3">
      <c r="A14" s="13"/>
      <c r="B14" s="13"/>
      <c r="C14" s="24">
        <v>404</v>
      </c>
      <c r="D14" s="19" t="e">
        <f>+VLOOKUP(Tabla43[[#This Row],[IdMovil]],#REF!,2,FALSE)</f>
        <v>#REF!</v>
      </c>
      <c r="E14" s="18"/>
      <c r="F14" s="15"/>
      <c r="G14" s="15"/>
      <c r="H14" s="15"/>
      <c r="I14" s="6"/>
      <c r="J14" s="6"/>
    </row>
    <row r="15" spans="1:10" x14ac:dyDescent="0.3">
      <c r="A15" s="13"/>
      <c r="B15" s="13"/>
      <c r="C15" s="24">
        <v>902</v>
      </c>
      <c r="D15" s="19" t="e">
        <f>+VLOOKUP(Tabla43[[#This Row],[IdMovil]],#REF!,2,FALSE)</f>
        <v>#REF!</v>
      </c>
      <c r="E15" s="18"/>
      <c r="F15" s="15"/>
      <c r="G15" s="15"/>
      <c r="H15" s="15"/>
      <c r="I15" s="6"/>
      <c r="J15" s="6"/>
    </row>
    <row r="16" spans="1:10" x14ac:dyDescent="0.3">
      <c r="A16" s="13"/>
      <c r="B16" s="13"/>
      <c r="C16" s="24">
        <v>828</v>
      </c>
      <c r="D16" s="19" t="e">
        <f>+VLOOKUP(Tabla43[[#This Row],[IdMovil]],#REF!,2,FALSE)</f>
        <v>#REF!</v>
      </c>
      <c r="E16" s="18"/>
      <c r="F16" s="15"/>
      <c r="G16" s="15"/>
      <c r="H16" s="15"/>
      <c r="I16" s="6"/>
      <c r="J16" s="6"/>
    </row>
    <row r="17" spans="1:10" x14ac:dyDescent="0.3">
      <c r="A17" s="13"/>
      <c r="B17" s="13"/>
      <c r="C17" s="24">
        <v>3386</v>
      </c>
      <c r="D17" s="19" t="e">
        <f>+VLOOKUP(Tabla43[[#This Row],[IdMovil]],#REF!,2,FALSE)</f>
        <v>#REF!</v>
      </c>
      <c r="E17" s="18"/>
      <c r="F17" s="15"/>
      <c r="G17" s="15"/>
      <c r="H17" s="15"/>
      <c r="I17" s="6"/>
      <c r="J17" s="6"/>
    </row>
    <row r="18" spans="1:10" x14ac:dyDescent="0.3">
      <c r="A18" s="13"/>
      <c r="B18" s="13"/>
      <c r="C18" s="24">
        <v>2220</v>
      </c>
      <c r="D18" s="19" t="e">
        <f>+VLOOKUP(Tabla43[[#This Row],[IdMovil]],#REF!,2,FALSE)</f>
        <v>#REF!</v>
      </c>
      <c r="E18" s="18"/>
      <c r="F18" s="15"/>
      <c r="G18" s="15"/>
      <c r="H18" s="15"/>
      <c r="I18" s="6"/>
      <c r="J18" s="6"/>
    </row>
    <row r="19" spans="1:10" x14ac:dyDescent="0.3">
      <c r="A19" s="13"/>
      <c r="B19" s="13"/>
      <c r="C19" s="24">
        <v>1413</v>
      </c>
      <c r="D19" s="19" t="e">
        <f>+VLOOKUP(Tabla43[[#This Row],[IdMovil]],#REF!,2,FALSE)</f>
        <v>#REF!</v>
      </c>
      <c r="E19" s="18"/>
      <c r="F19" s="15"/>
      <c r="G19" s="15"/>
      <c r="H19" s="15"/>
      <c r="I19" s="6"/>
      <c r="J19" s="6"/>
    </row>
    <row r="20" spans="1:10" x14ac:dyDescent="0.3">
      <c r="A20" s="13"/>
      <c r="B20" s="13"/>
      <c r="C20" s="24">
        <v>561</v>
      </c>
      <c r="D20" s="19" t="e">
        <f>+VLOOKUP(Tabla43[[#This Row],[IdMovil]],#REF!,2,FALSE)</f>
        <v>#REF!</v>
      </c>
      <c r="E20" s="18"/>
      <c r="F20" s="15"/>
      <c r="G20" s="15"/>
      <c r="H20" s="15"/>
      <c r="I20" s="6"/>
      <c r="J20" s="6"/>
    </row>
    <row r="21" spans="1:10" x14ac:dyDescent="0.3">
      <c r="A21" s="13"/>
      <c r="B21" s="13"/>
      <c r="C21" s="24">
        <v>1698</v>
      </c>
      <c r="D21" s="19" t="e">
        <f>+VLOOKUP(Tabla43[[#This Row],[IdMovil]],#REF!,2,FALSE)</f>
        <v>#REF!</v>
      </c>
      <c r="E21" s="18"/>
      <c r="F21" s="15"/>
      <c r="G21" s="15"/>
      <c r="H21" s="15"/>
      <c r="I21" s="6"/>
      <c r="J21" s="6"/>
    </row>
    <row r="22" spans="1:10" x14ac:dyDescent="0.3">
      <c r="A22" s="13"/>
      <c r="B22" s="13"/>
      <c r="C22" s="24">
        <v>1615</v>
      </c>
      <c r="D22" s="19" t="e">
        <f>+VLOOKUP(Tabla43[[#This Row],[IdMovil]],#REF!,2,FALSE)</f>
        <v>#REF!</v>
      </c>
      <c r="E22" s="18"/>
      <c r="F22" s="15"/>
      <c r="G22" s="15"/>
      <c r="H22" s="15"/>
      <c r="I22" s="6"/>
      <c r="J22" s="6"/>
    </row>
    <row r="23" spans="1:10" x14ac:dyDescent="0.3">
      <c r="A23" s="13"/>
      <c r="B23" s="13"/>
      <c r="C23" s="24">
        <v>2039</v>
      </c>
      <c r="D23" s="19" t="e">
        <f>+VLOOKUP(Tabla43[[#This Row],[IdMovil]],#REF!,2,FALSE)</f>
        <v>#REF!</v>
      </c>
      <c r="E23" s="18"/>
      <c r="F23" s="15"/>
      <c r="G23" s="15"/>
      <c r="H23" s="15"/>
      <c r="I23" s="6"/>
      <c r="J23" s="6"/>
    </row>
    <row r="24" spans="1:10" x14ac:dyDescent="0.3">
      <c r="A24" s="13"/>
      <c r="B24" s="13"/>
      <c r="C24" s="24">
        <v>2631</v>
      </c>
      <c r="D24" s="19" t="e">
        <f>+VLOOKUP(Tabla43[[#This Row],[IdMovil]],#REF!,2,FALSE)</f>
        <v>#REF!</v>
      </c>
      <c r="E24" s="18"/>
      <c r="F24" s="15"/>
      <c r="G24" s="15"/>
      <c r="H24" s="15"/>
      <c r="I24" s="6"/>
      <c r="J24" s="6"/>
    </row>
    <row r="25" spans="1:10" x14ac:dyDescent="0.3">
      <c r="A25" s="13"/>
      <c r="B25" s="13"/>
      <c r="C25" s="24">
        <v>1698</v>
      </c>
      <c r="D25" s="19" t="e">
        <f>+VLOOKUP(Tabla43[[#This Row],[IdMovil]],#REF!,2,FALSE)</f>
        <v>#REF!</v>
      </c>
      <c r="E25" s="18"/>
      <c r="F25" s="15"/>
      <c r="G25" s="15"/>
      <c r="H25" s="15"/>
      <c r="I25" s="6"/>
      <c r="J25" s="6"/>
    </row>
    <row r="26" spans="1:10" x14ac:dyDescent="0.3">
      <c r="A26" s="13"/>
      <c r="B26" s="13"/>
      <c r="C26" s="24">
        <v>2220</v>
      </c>
      <c r="D26" s="19" t="e">
        <f>+VLOOKUP(Tabla43[[#This Row],[IdMovil]],#REF!,2,FALSE)</f>
        <v>#REF!</v>
      </c>
      <c r="E26" s="18"/>
      <c r="F26" s="15"/>
      <c r="G26" s="15"/>
      <c r="H26" s="15"/>
      <c r="I26" s="6"/>
      <c r="J26" s="6"/>
    </row>
    <row r="27" spans="1:10" x14ac:dyDescent="0.3">
      <c r="A27" s="13"/>
      <c r="B27" s="13"/>
      <c r="C27" s="24">
        <v>722</v>
      </c>
      <c r="D27" s="19" t="e">
        <f>+VLOOKUP(Tabla43[[#This Row],[IdMovil]],#REF!,2,FALSE)</f>
        <v>#REF!</v>
      </c>
      <c r="E27" s="18"/>
      <c r="F27" s="15"/>
      <c r="G27" s="15"/>
      <c r="H27" s="15"/>
      <c r="I27" s="6"/>
      <c r="J27" s="6"/>
    </row>
    <row r="28" spans="1:10" x14ac:dyDescent="0.3">
      <c r="A28" s="13"/>
      <c r="B28" s="13"/>
      <c r="C28" s="24">
        <v>722</v>
      </c>
      <c r="D28" s="19" t="e">
        <f>+VLOOKUP(Tabla43[[#This Row],[IdMovil]],#REF!,2,FALSE)</f>
        <v>#REF!</v>
      </c>
      <c r="E28" s="18"/>
      <c r="F28" s="15"/>
      <c r="G28" s="15"/>
      <c r="H28" s="15"/>
      <c r="I28" s="6"/>
      <c r="J28" s="6"/>
    </row>
    <row r="29" spans="1:10" x14ac:dyDescent="0.3">
      <c r="A29" s="13"/>
      <c r="B29" s="13"/>
      <c r="C29" s="24">
        <v>2627</v>
      </c>
      <c r="D29" s="19" t="e">
        <f>+VLOOKUP(Tabla43[[#This Row],[IdMovil]],#REF!,2,FALSE)</f>
        <v>#REF!</v>
      </c>
      <c r="E29" s="18"/>
      <c r="F29" s="15"/>
      <c r="G29" s="15"/>
      <c r="H29" s="15"/>
      <c r="I29" s="6"/>
      <c r="J29" s="6"/>
    </row>
    <row r="30" spans="1:10" x14ac:dyDescent="0.3">
      <c r="A30" s="13"/>
      <c r="B30" s="13"/>
      <c r="C30" s="24">
        <v>3173</v>
      </c>
      <c r="D30" s="19" t="e">
        <f>+VLOOKUP(Tabla43[[#This Row],[IdMovil]],#REF!,2,FALSE)</f>
        <v>#REF!</v>
      </c>
      <c r="E30" s="18"/>
      <c r="F30" s="15"/>
      <c r="G30" s="15"/>
      <c r="H30" s="15"/>
      <c r="I30" s="6"/>
      <c r="J30" s="6"/>
    </row>
    <row r="31" spans="1:10" x14ac:dyDescent="0.3">
      <c r="A31" s="13"/>
      <c r="B31" s="13"/>
      <c r="C31" s="24">
        <v>404</v>
      </c>
      <c r="D31" s="19" t="e">
        <f>+VLOOKUP(Tabla43[[#This Row],[IdMovil]],#REF!,2,FALSE)</f>
        <v>#REF!</v>
      </c>
      <c r="E31" s="18"/>
      <c r="F31" s="15"/>
      <c r="G31" s="15"/>
      <c r="H31" s="15"/>
      <c r="I31" s="6"/>
      <c r="J31" s="6"/>
    </row>
    <row r="32" spans="1:10" x14ac:dyDescent="0.3">
      <c r="A32" s="13"/>
      <c r="B32" s="13"/>
      <c r="C32" s="24">
        <v>2246</v>
      </c>
      <c r="D32" s="19" t="e">
        <f>+VLOOKUP(Tabla43[[#This Row],[IdMovil]],#REF!,2,FALSE)</f>
        <v>#REF!</v>
      </c>
      <c r="E32" s="18"/>
      <c r="F32" s="15"/>
      <c r="G32" s="15"/>
      <c r="H32" s="15"/>
      <c r="I32" s="6"/>
      <c r="J32" s="6"/>
    </row>
    <row r="33" spans="1:10" x14ac:dyDescent="0.3">
      <c r="A33" s="13"/>
      <c r="B33" s="13"/>
      <c r="C33" s="24">
        <v>2703</v>
      </c>
      <c r="D33" s="19" t="e">
        <f>+VLOOKUP(Tabla43[[#This Row],[IdMovil]],#REF!,2,FALSE)</f>
        <v>#REF!</v>
      </c>
      <c r="E33" s="18"/>
      <c r="F33" s="15"/>
      <c r="G33" s="15"/>
      <c r="H33" s="15"/>
      <c r="I33" s="6"/>
      <c r="J33" s="6"/>
    </row>
    <row r="34" spans="1:10" x14ac:dyDescent="0.3">
      <c r="A34" s="13"/>
      <c r="B34" s="13"/>
      <c r="C34" s="24">
        <v>3173</v>
      </c>
      <c r="D34" s="19" t="e">
        <f>+VLOOKUP(Tabla43[[#This Row],[IdMovil]],#REF!,2,FALSE)</f>
        <v>#REF!</v>
      </c>
      <c r="E34" s="18"/>
      <c r="F34" s="15"/>
      <c r="G34" s="15"/>
      <c r="H34" s="15"/>
      <c r="I34" s="6"/>
      <c r="J34" s="6"/>
    </row>
    <row r="35" spans="1:10" x14ac:dyDescent="0.3">
      <c r="A35" s="13"/>
      <c r="B35" s="13"/>
      <c r="C35" s="24">
        <v>2703</v>
      </c>
      <c r="D35" s="19" t="e">
        <f>+VLOOKUP(Tabla43[[#This Row],[IdMovil]],#REF!,2,FALSE)</f>
        <v>#REF!</v>
      </c>
      <c r="E35" s="18"/>
      <c r="F35" s="15"/>
      <c r="G35" s="15"/>
      <c r="H35" s="15"/>
      <c r="I35" s="6"/>
      <c r="J35" s="6"/>
    </row>
    <row r="36" spans="1:10" x14ac:dyDescent="0.3">
      <c r="A36" s="13"/>
      <c r="B36" s="13"/>
      <c r="C36" s="24">
        <v>1675</v>
      </c>
      <c r="D36" s="19" t="e">
        <f>+VLOOKUP(Tabla43[[#This Row],[IdMovil]],#REF!,2,FALSE)</f>
        <v>#REF!</v>
      </c>
      <c r="E36" s="18"/>
      <c r="F36" s="15"/>
      <c r="G36" s="15"/>
      <c r="H36" s="15"/>
      <c r="I36" s="6"/>
      <c r="J36" s="6"/>
    </row>
    <row r="37" spans="1:10" x14ac:dyDescent="0.3">
      <c r="A37" s="13"/>
      <c r="B37" s="13"/>
      <c r="C37" s="24">
        <v>3456</v>
      </c>
      <c r="D37" s="19" t="e">
        <f>+VLOOKUP(Tabla43[[#This Row],[IdMovil]],#REF!,2,FALSE)</f>
        <v>#REF!</v>
      </c>
      <c r="E37" s="18"/>
      <c r="F37" s="15"/>
      <c r="G37" s="15"/>
      <c r="H37" s="15"/>
      <c r="I37" s="6"/>
      <c r="J37" s="6"/>
    </row>
    <row r="38" spans="1:10" x14ac:dyDescent="0.3">
      <c r="A38" s="13"/>
      <c r="B38" s="13"/>
      <c r="C38" s="24">
        <v>223</v>
      </c>
      <c r="D38" s="19" t="e">
        <f>+VLOOKUP(Tabla43[[#This Row],[IdMovil]],#REF!,2,FALSE)</f>
        <v>#REF!</v>
      </c>
      <c r="E38" s="18"/>
      <c r="F38" s="15"/>
      <c r="G38" s="15"/>
      <c r="H38" s="15"/>
      <c r="I38" s="6"/>
      <c r="J38" s="6"/>
    </row>
    <row r="39" spans="1:10" x14ac:dyDescent="0.3">
      <c r="A39" s="13"/>
      <c r="B39" s="13"/>
      <c r="C39" s="24">
        <v>229</v>
      </c>
      <c r="D39" s="19" t="e">
        <f>+VLOOKUP(Tabla43[[#This Row],[IdMovil]],#REF!,2,FALSE)</f>
        <v>#REF!</v>
      </c>
      <c r="E39" s="18"/>
      <c r="F39" s="15"/>
      <c r="G39" s="15"/>
      <c r="H39" s="15"/>
      <c r="I39" s="6"/>
      <c r="J39" s="6"/>
    </row>
    <row r="40" spans="1:10" x14ac:dyDescent="0.3">
      <c r="A40" s="13"/>
      <c r="B40" s="13"/>
      <c r="C40" s="24">
        <v>688</v>
      </c>
      <c r="D40" s="19" t="e">
        <f>+VLOOKUP(Tabla43[[#This Row],[IdMovil]],#REF!,2,FALSE)</f>
        <v>#REF!</v>
      </c>
      <c r="E40" s="18"/>
      <c r="F40" s="15"/>
      <c r="G40" s="15"/>
      <c r="H40" s="15"/>
      <c r="I40" s="6"/>
      <c r="J40" s="6"/>
    </row>
    <row r="41" spans="1:10" x14ac:dyDescent="0.3">
      <c r="A41" s="13"/>
      <c r="B41" s="13"/>
      <c r="C41" s="24">
        <v>2701</v>
      </c>
      <c r="D41" s="19" t="e">
        <f>+VLOOKUP(Tabla43[[#This Row],[IdMovil]],#REF!,2,FALSE)</f>
        <v>#REF!</v>
      </c>
      <c r="E41" s="18"/>
      <c r="F41" s="15"/>
      <c r="G41" s="15"/>
      <c r="H41" s="15"/>
      <c r="I41" s="6"/>
      <c r="J41" s="6"/>
    </row>
    <row r="42" spans="1:10" x14ac:dyDescent="0.3">
      <c r="A42" s="13"/>
      <c r="B42" s="13"/>
      <c r="C42" s="24">
        <v>529</v>
      </c>
      <c r="D42" s="19" t="e">
        <f>+VLOOKUP(Tabla43[[#This Row],[IdMovil]],#REF!,2,FALSE)</f>
        <v>#REF!</v>
      </c>
      <c r="E42" s="18"/>
      <c r="F42" s="15"/>
      <c r="G42" s="15"/>
      <c r="H42" s="15"/>
      <c r="I42" s="6"/>
      <c r="J42" s="6"/>
    </row>
    <row r="43" spans="1:10" x14ac:dyDescent="0.3">
      <c r="A43" s="13"/>
      <c r="B43" s="13"/>
      <c r="C43" s="24">
        <v>2220</v>
      </c>
      <c r="D43" s="19" t="e">
        <f>+VLOOKUP(Tabla43[[#This Row],[IdMovil]],#REF!,2,FALSE)</f>
        <v>#REF!</v>
      </c>
      <c r="E43" s="18"/>
      <c r="F43" s="15"/>
      <c r="G43" s="15"/>
      <c r="H43" s="15"/>
      <c r="I43" s="6"/>
      <c r="J43" s="6"/>
    </row>
    <row r="44" spans="1:10" x14ac:dyDescent="0.3">
      <c r="A44" s="13"/>
      <c r="B44" s="13"/>
      <c r="C44" s="24">
        <v>1567</v>
      </c>
      <c r="D44" s="19" t="e">
        <f>+VLOOKUP(Tabla43[[#This Row],[IdMovil]],#REF!,2,FALSE)</f>
        <v>#REF!</v>
      </c>
      <c r="E44" s="18"/>
      <c r="F44" s="15"/>
      <c r="G44" s="15"/>
      <c r="H44" s="15"/>
      <c r="I44" s="6"/>
      <c r="J44" s="6"/>
    </row>
    <row r="45" spans="1:10" x14ac:dyDescent="0.3">
      <c r="A45" s="13"/>
      <c r="B45" s="13"/>
      <c r="C45" s="24">
        <v>626</v>
      </c>
      <c r="D45" s="19" t="e">
        <f>+VLOOKUP(Tabla43[[#This Row],[IdMovil]],#REF!,2,FALSE)</f>
        <v>#REF!</v>
      </c>
      <c r="E45" s="18"/>
      <c r="F45" s="15"/>
      <c r="G45" s="15"/>
      <c r="H45" s="15"/>
      <c r="I45" s="6"/>
      <c r="J45" s="6"/>
    </row>
    <row r="46" spans="1:10" x14ac:dyDescent="0.3">
      <c r="A46" s="13"/>
      <c r="B46" s="13"/>
      <c r="C46" s="24">
        <v>2220</v>
      </c>
      <c r="D46" s="19" t="e">
        <f>+VLOOKUP(Tabla43[[#This Row],[IdMovil]],#REF!,2,FALSE)</f>
        <v>#REF!</v>
      </c>
      <c r="E46" s="18"/>
      <c r="F46" s="15"/>
      <c r="G46" s="15"/>
      <c r="H46" s="15"/>
      <c r="I46" s="6"/>
      <c r="J46" s="6"/>
    </row>
    <row r="47" spans="1:10" x14ac:dyDescent="0.3">
      <c r="A47" s="13"/>
      <c r="B47" s="13"/>
      <c r="C47" s="24">
        <v>466</v>
      </c>
      <c r="D47" s="19" t="e">
        <f>+VLOOKUP(Tabla43[[#This Row],[IdMovil]],#REF!,2,FALSE)</f>
        <v>#REF!</v>
      </c>
      <c r="E47" s="18"/>
      <c r="F47" s="15"/>
      <c r="G47" s="15"/>
      <c r="H47" s="15"/>
      <c r="I47" s="6"/>
      <c r="J47" s="6"/>
    </row>
    <row r="48" spans="1:10" x14ac:dyDescent="0.3">
      <c r="A48" s="13"/>
      <c r="B48" s="13"/>
      <c r="C48" s="24">
        <v>3173</v>
      </c>
      <c r="D48" s="19" t="e">
        <f>+VLOOKUP(Tabla43[[#This Row],[IdMovil]],#REF!,2,FALSE)</f>
        <v>#REF!</v>
      </c>
      <c r="E48" s="18"/>
      <c r="F48" s="15"/>
      <c r="G48" s="15"/>
      <c r="H48" s="15"/>
      <c r="I48" s="6"/>
      <c r="J48" s="6"/>
    </row>
    <row r="49" spans="1:10" x14ac:dyDescent="0.3">
      <c r="A49" s="13"/>
      <c r="B49" s="13"/>
      <c r="C49" s="24">
        <v>208</v>
      </c>
      <c r="D49" s="19" t="e">
        <f>+VLOOKUP(Tabla43[[#This Row],[IdMovil]],#REF!,2,FALSE)</f>
        <v>#REF!</v>
      </c>
      <c r="E49" s="18"/>
      <c r="F49" s="15"/>
      <c r="G49" s="15"/>
      <c r="H49" s="15"/>
      <c r="I49" s="6"/>
      <c r="J49" s="6"/>
    </row>
    <row r="50" spans="1:10" x14ac:dyDescent="0.3">
      <c r="A50" s="13"/>
      <c r="B50" s="13"/>
      <c r="C50" s="24">
        <v>2253</v>
      </c>
      <c r="D50" s="19" t="e">
        <f>+VLOOKUP(Tabla43[[#This Row],[IdMovil]],#REF!,2,FALSE)</f>
        <v>#REF!</v>
      </c>
      <c r="E50" s="18"/>
      <c r="F50" s="15"/>
      <c r="G50" s="15"/>
      <c r="H50" s="15"/>
      <c r="I50" s="6"/>
      <c r="J50" s="6"/>
    </row>
    <row r="51" spans="1:10" x14ac:dyDescent="0.3">
      <c r="A51" s="13"/>
      <c r="B51" s="13"/>
      <c r="C51" s="24">
        <v>722</v>
      </c>
      <c r="D51" s="19" t="e">
        <f>+VLOOKUP(Tabla43[[#This Row],[IdMovil]],#REF!,2,FALSE)</f>
        <v>#REF!</v>
      </c>
      <c r="E51" s="18"/>
      <c r="F51" s="15"/>
      <c r="G51" s="15"/>
      <c r="H51" s="15"/>
      <c r="I51" s="6"/>
      <c r="J51" s="6"/>
    </row>
    <row r="52" spans="1:10" x14ac:dyDescent="0.3">
      <c r="A52" s="13"/>
      <c r="B52" s="13"/>
      <c r="C52" s="24">
        <v>2135</v>
      </c>
      <c r="D52" s="19" t="e">
        <f>+VLOOKUP(Tabla43[[#This Row],[IdMovil]],#REF!,2,FALSE)</f>
        <v>#REF!</v>
      </c>
      <c r="E52" s="18"/>
      <c r="F52" s="15"/>
      <c r="G52" s="15"/>
      <c r="H52" s="15"/>
      <c r="I52" s="6"/>
      <c r="J52" s="6"/>
    </row>
    <row r="53" spans="1:10" x14ac:dyDescent="0.3">
      <c r="A53" s="13"/>
      <c r="B53" s="13"/>
      <c r="C53" s="24">
        <v>2254</v>
      </c>
      <c r="D53" s="19" t="e">
        <f>+VLOOKUP(Tabla43[[#This Row],[IdMovil]],#REF!,2,FALSE)</f>
        <v>#REF!</v>
      </c>
      <c r="E53" s="18"/>
      <c r="F53" s="15"/>
      <c r="G53" s="15"/>
      <c r="H53" s="15"/>
      <c r="I53" s="6"/>
      <c r="J53" s="6"/>
    </row>
    <row r="54" spans="1:10" x14ac:dyDescent="0.3">
      <c r="A54" s="13"/>
      <c r="B54" s="13"/>
      <c r="C54" s="24">
        <v>7609</v>
      </c>
      <c r="D54" s="19" t="e">
        <f>+VLOOKUP(Tabla43[[#This Row],[IdMovil]],#REF!,2,FALSE)</f>
        <v>#REF!</v>
      </c>
      <c r="E54" s="18"/>
      <c r="F54" s="15"/>
      <c r="G54" s="15"/>
      <c r="H54" s="15"/>
      <c r="I54" s="6"/>
      <c r="J54" s="6"/>
    </row>
    <row r="55" spans="1:10" x14ac:dyDescent="0.3">
      <c r="A55" s="13"/>
      <c r="B55" s="13"/>
      <c r="C55" s="24">
        <v>923</v>
      </c>
      <c r="D55" s="19" t="e">
        <f>+VLOOKUP(Tabla43[[#This Row],[IdMovil]],#REF!,2,FALSE)</f>
        <v>#REF!</v>
      </c>
      <c r="E55" s="18"/>
      <c r="F55" s="15"/>
      <c r="G55" s="15"/>
      <c r="H55" s="15"/>
      <c r="I55" s="6"/>
      <c r="J55" s="6"/>
    </row>
    <row r="56" spans="1:10" x14ac:dyDescent="0.3">
      <c r="A56" s="13"/>
      <c r="B56" s="13"/>
      <c r="C56" s="24">
        <v>2220</v>
      </c>
      <c r="D56" s="19" t="e">
        <f>+VLOOKUP(Tabla43[[#This Row],[IdMovil]],#REF!,2,FALSE)</f>
        <v>#REF!</v>
      </c>
      <c r="E56" s="18"/>
      <c r="F56" s="15"/>
      <c r="G56" s="15"/>
      <c r="H56" s="15"/>
      <c r="I56" s="6"/>
      <c r="J56" s="6"/>
    </row>
    <row r="57" spans="1:10" x14ac:dyDescent="0.3">
      <c r="A57" s="13"/>
      <c r="B57" s="13"/>
      <c r="C57" s="24">
        <v>420</v>
      </c>
      <c r="D57" s="19" t="e">
        <f>+VLOOKUP(Tabla43[[#This Row],[IdMovil]],#REF!,2,FALSE)</f>
        <v>#REF!</v>
      </c>
      <c r="E57" s="18"/>
      <c r="F57" s="15"/>
      <c r="G57" s="15"/>
      <c r="H57" s="15"/>
      <c r="I57" s="6"/>
      <c r="J57" s="6"/>
    </row>
    <row r="58" spans="1:10" x14ac:dyDescent="0.3">
      <c r="A58" s="13"/>
      <c r="B58" s="13"/>
      <c r="C58" s="24">
        <v>923</v>
      </c>
      <c r="D58" s="19" t="e">
        <f>+VLOOKUP(Tabla43[[#This Row],[IdMovil]],#REF!,2,FALSE)</f>
        <v>#REF!</v>
      </c>
      <c r="E58" s="18"/>
      <c r="F58" s="15"/>
      <c r="G58" s="15"/>
      <c r="H58" s="15"/>
      <c r="I58" s="6"/>
      <c r="J58" s="6"/>
    </row>
    <row r="59" spans="1:10" x14ac:dyDescent="0.3">
      <c r="A59" s="13"/>
      <c r="B59" s="13"/>
      <c r="C59" s="24">
        <v>2501</v>
      </c>
      <c r="D59" s="19" t="e">
        <f>+VLOOKUP(Tabla43[[#This Row],[IdMovil]],#REF!,2,FALSE)</f>
        <v>#REF!</v>
      </c>
      <c r="E59" s="18"/>
      <c r="F59" s="15"/>
      <c r="G59" s="15"/>
      <c r="H59" s="15"/>
      <c r="I59" s="6"/>
      <c r="J59" s="6"/>
    </row>
    <row r="60" spans="1:10" x14ac:dyDescent="0.3">
      <c r="A60" s="13"/>
      <c r="B60" s="13"/>
      <c r="C60" s="24">
        <v>2220</v>
      </c>
      <c r="D60" s="19" t="e">
        <f>+VLOOKUP(Tabla43[[#This Row],[IdMovil]],#REF!,2,FALSE)</f>
        <v>#REF!</v>
      </c>
      <c r="E60" s="18"/>
      <c r="F60" s="15"/>
      <c r="G60" s="15"/>
      <c r="H60" s="15"/>
      <c r="I60" s="6"/>
      <c r="J60" s="6"/>
    </row>
    <row r="61" spans="1:10" x14ac:dyDescent="0.3">
      <c r="A61" s="13"/>
      <c r="B61" s="13"/>
      <c r="C61" s="24">
        <v>398</v>
      </c>
      <c r="D61" s="19" t="e">
        <f>+VLOOKUP(Tabla43[[#This Row],[IdMovil]],#REF!,2,FALSE)</f>
        <v>#REF!</v>
      </c>
      <c r="E61" s="18"/>
      <c r="F61" s="15"/>
      <c r="G61" s="15"/>
      <c r="H61" s="15"/>
      <c r="I61" s="6"/>
      <c r="J61" s="6"/>
    </row>
    <row r="62" spans="1:10" x14ac:dyDescent="0.3">
      <c r="A62" s="13"/>
      <c r="B62" s="13"/>
      <c r="C62" s="24">
        <v>1440</v>
      </c>
      <c r="D62" s="19" t="e">
        <f>+VLOOKUP(Tabla43[[#This Row],[IdMovil]],#REF!,2,FALSE)</f>
        <v>#REF!</v>
      </c>
      <c r="E62" s="18"/>
      <c r="F62" s="15"/>
      <c r="G62" s="15"/>
      <c r="H62" s="15"/>
      <c r="I62" s="6"/>
      <c r="J62" s="6"/>
    </row>
    <row r="63" spans="1:10" x14ac:dyDescent="0.3">
      <c r="A63" s="13"/>
      <c r="B63" s="13"/>
      <c r="C63" s="24">
        <v>627</v>
      </c>
      <c r="D63" s="19" t="e">
        <f>+VLOOKUP(Tabla43[[#This Row],[IdMovil]],#REF!,2,FALSE)</f>
        <v>#REF!</v>
      </c>
      <c r="E63" s="18"/>
      <c r="F63" s="15"/>
      <c r="G63" s="15"/>
      <c r="H63" s="15"/>
      <c r="I63" s="6"/>
      <c r="J63" s="6"/>
    </row>
    <row r="64" spans="1:10" x14ac:dyDescent="0.3">
      <c r="A64" s="13"/>
      <c r="B64" s="13"/>
      <c r="C64" s="24">
        <v>1698</v>
      </c>
      <c r="D64" s="19" t="e">
        <f>+VLOOKUP(Tabla43[[#This Row],[IdMovil]],#REF!,2,FALSE)</f>
        <v>#REF!</v>
      </c>
      <c r="E64" s="18"/>
      <c r="F64" s="15"/>
      <c r="G64" s="15"/>
      <c r="H64" s="15"/>
      <c r="I64" s="6"/>
      <c r="J64" s="6"/>
    </row>
    <row r="65" spans="1:10" x14ac:dyDescent="0.3">
      <c r="A65" s="13"/>
      <c r="B65" s="13"/>
      <c r="C65" s="24">
        <v>2246</v>
      </c>
      <c r="D65" s="19" t="e">
        <f>+VLOOKUP(Tabla43[[#This Row],[IdMovil]],#REF!,2,FALSE)</f>
        <v>#REF!</v>
      </c>
      <c r="E65" s="18"/>
      <c r="F65" s="15"/>
      <c r="G65" s="15"/>
      <c r="H65" s="15"/>
      <c r="I65" s="6"/>
      <c r="J65" s="6"/>
    </row>
    <row r="66" spans="1:10" x14ac:dyDescent="0.3">
      <c r="A66" s="13"/>
      <c r="B66" s="14"/>
      <c r="C66" s="25">
        <v>423</v>
      </c>
      <c r="D66" s="19" t="e">
        <f>+VLOOKUP(Tabla43[[#This Row],[IdMovil]],#REF!,2,FALSE)</f>
        <v>#REF!</v>
      </c>
      <c r="E66" s="17"/>
      <c r="F66" s="15"/>
      <c r="G66" s="15"/>
      <c r="H66" s="15"/>
      <c r="I66" s="6"/>
      <c r="J66" s="6"/>
    </row>
    <row r="67" spans="1:10" x14ac:dyDescent="0.3">
      <c r="A67" s="13"/>
      <c r="B67" s="14"/>
      <c r="C67" s="25">
        <v>331</v>
      </c>
      <c r="D67" s="19" t="e">
        <f>+VLOOKUP(Tabla43[[#This Row],[IdMovil]],#REF!,2,FALSE)</f>
        <v>#REF!</v>
      </c>
      <c r="E67" s="17"/>
      <c r="F67" s="15"/>
      <c r="G67" s="15"/>
      <c r="H67" s="15"/>
      <c r="I67" s="6"/>
      <c r="J67" s="6"/>
    </row>
    <row r="68" spans="1:10" x14ac:dyDescent="0.3">
      <c r="A68" s="14"/>
      <c r="B68" s="14"/>
      <c r="C68" s="25">
        <v>2253</v>
      </c>
      <c r="D68" s="19" t="e">
        <f>+VLOOKUP(Tabla43[[#This Row],[IdMovil]],#REF!,2,FALSE)</f>
        <v>#REF!</v>
      </c>
      <c r="E68" s="17"/>
      <c r="F68" s="15"/>
      <c r="G68" s="15"/>
      <c r="H68" s="15"/>
      <c r="I68" s="6"/>
      <c r="J68" s="6"/>
    </row>
    <row r="69" spans="1:10" x14ac:dyDescent="0.3">
      <c r="A69" s="14"/>
      <c r="B69" s="14"/>
      <c r="C69" s="25">
        <v>2254</v>
      </c>
      <c r="D69" s="19" t="e">
        <f>+VLOOKUP(Tabla43[[#This Row],[IdMovil]],#REF!,2,FALSE)</f>
        <v>#REF!</v>
      </c>
      <c r="E69" s="17"/>
      <c r="F69" s="15"/>
      <c r="G69" s="15"/>
      <c r="H69" s="15"/>
      <c r="I69" s="6"/>
      <c r="J69" s="6"/>
    </row>
    <row r="70" spans="1:10" x14ac:dyDescent="0.3">
      <c r="A70" s="14"/>
      <c r="B70" s="14"/>
      <c r="C70" s="25">
        <v>3173</v>
      </c>
      <c r="D70" s="19" t="e">
        <f>+VLOOKUP(Tabla43[[#This Row],[IdMovil]],#REF!,2,FALSE)</f>
        <v>#REF!</v>
      </c>
      <c r="E70" s="17"/>
      <c r="F70" s="15"/>
      <c r="G70" s="15"/>
      <c r="H70" s="15"/>
      <c r="I70" s="6"/>
      <c r="J70" s="6"/>
    </row>
    <row r="71" spans="1:10" x14ac:dyDescent="0.3">
      <c r="A71" s="14"/>
      <c r="B71" s="14"/>
      <c r="C71" s="25">
        <v>7092</v>
      </c>
      <c r="D71" s="19" t="e">
        <f>+VLOOKUP(Tabla43[[#This Row],[IdMovil]],#REF!,2,FALSE)</f>
        <v>#REF!</v>
      </c>
      <c r="E71" s="17"/>
      <c r="F71" s="15"/>
      <c r="G71" s="15"/>
      <c r="H71" s="15"/>
      <c r="I71" s="6"/>
      <c r="J71" s="6"/>
    </row>
    <row r="72" spans="1:10" x14ac:dyDescent="0.3">
      <c r="A72" s="14"/>
      <c r="B72" s="14"/>
      <c r="C72" s="25">
        <v>713</v>
      </c>
      <c r="D72" s="19" t="e">
        <f>+VLOOKUP(Tabla43[[#This Row],[IdMovil]],#REF!,2,FALSE)</f>
        <v>#REF!</v>
      </c>
      <c r="E72" s="17"/>
      <c r="F72" s="15"/>
      <c r="G72" s="15"/>
      <c r="H72" s="15"/>
      <c r="I72" s="6"/>
      <c r="J72" s="6"/>
    </row>
    <row r="73" spans="1:10" x14ac:dyDescent="0.3">
      <c r="A73" s="14"/>
      <c r="B73" s="14"/>
      <c r="C73" s="25">
        <v>2278</v>
      </c>
      <c r="D73" s="19" t="e">
        <f>+VLOOKUP(Tabla43[[#This Row],[IdMovil]],#REF!,2,FALSE)</f>
        <v>#REF!</v>
      </c>
      <c r="E73" s="17"/>
      <c r="F73" s="15"/>
      <c r="G73" s="15"/>
      <c r="H73" s="15"/>
      <c r="I73" s="6"/>
      <c r="J73" s="6"/>
    </row>
  </sheetData>
  <conditionalFormatting sqref="A2:A73">
    <cfRule type="duplicateValues" dxfId="491" priority="449"/>
    <cfRule type="duplicateValues" dxfId="490" priority="45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0E838-1699-4E65-9341-F8099E268E79}">
  <sheetPr>
    <tabColor theme="7" tint="-0.249977111117893"/>
  </sheetPr>
  <dimension ref="A1:I5607"/>
  <sheetViews>
    <sheetView workbookViewId="0">
      <selection activeCell="A2" sqref="A2"/>
    </sheetView>
  </sheetViews>
  <sheetFormatPr baseColWidth="10" defaultColWidth="14.6640625" defaultRowHeight="12" x14ac:dyDescent="0.25"/>
  <cols>
    <col min="1" max="1" width="8.6640625" style="29" bestFit="1" customWidth="1"/>
    <col min="2" max="2" width="9.88671875" style="29" bestFit="1" customWidth="1"/>
    <col min="3" max="3" width="11.44140625" style="29" bestFit="1" customWidth="1"/>
    <col min="4" max="4" width="28.44140625" style="29" bestFit="1" customWidth="1"/>
    <col min="5" max="5" width="13.33203125" style="40" bestFit="1" customWidth="1"/>
    <col min="6" max="6" width="12.5546875" style="40" bestFit="1" customWidth="1"/>
    <col min="7" max="7" width="12.5546875" style="40" customWidth="1"/>
    <col min="8" max="8" width="23.44140625" style="40" bestFit="1" customWidth="1"/>
    <col min="9" max="9" width="17.5546875" style="40" bestFit="1" customWidth="1"/>
    <col min="10" max="16384" width="14.6640625" style="40"/>
  </cols>
  <sheetData>
    <row r="1" spans="1:9" x14ac:dyDescent="0.25">
      <c r="A1" s="39" t="s">
        <v>10</v>
      </c>
      <c r="B1" s="27" t="s">
        <v>11</v>
      </c>
      <c r="C1" s="27" t="s">
        <v>12</v>
      </c>
      <c r="D1" s="27" t="s">
        <v>13</v>
      </c>
      <c r="E1" s="39" t="s">
        <v>14</v>
      </c>
      <c r="F1" s="39" t="s">
        <v>15</v>
      </c>
      <c r="G1" s="39" t="s">
        <v>17</v>
      </c>
      <c r="H1" s="39" t="s">
        <v>16</v>
      </c>
      <c r="I1" s="39" t="s">
        <v>18</v>
      </c>
    </row>
    <row r="2" spans="1:9" x14ac:dyDescent="0.25">
      <c r="A2" s="40" t="s">
        <v>373</v>
      </c>
      <c r="B2" s="28">
        <v>127</v>
      </c>
      <c r="C2" s="28" t="s">
        <v>505</v>
      </c>
      <c r="D2" s="28"/>
      <c r="E2" s="41">
        <v>46156</v>
      </c>
      <c r="F2" s="47">
        <v>0.71480324074074075</v>
      </c>
      <c r="G2" s="42">
        <v>6.3</v>
      </c>
      <c r="H2" s="40" t="s">
        <v>1360</v>
      </c>
      <c r="I2" s="40" t="s">
        <v>1361</v>
      </c>
    </row>
    <row r="3" spans="1:9" x14ac:dyDescent="0.25">
      <c r="A3" s="40" t="s">
        <v>373</v>
      </c>
      <c r="B3" s="28">
        <v>127</v>
      </c>
      <c r="C3" s="28" t="s">
        <v>505</v>
      </c>
      <c r="D3" s="28"/>
      <c r="E3" s="41">
        <v>46156</v>
      </c>
      <c r="F3" s="47">
        <v>0.73356481481481484</v>
      </c>
      <c r="G3" s="42">
        <v>6.3</v>
      </c>
      <c r="H3" s="40" t="s">
        <v>1362</v>
      </c>
      <c r="I3" s="40" t="s">
        <v>1361</v>
      </c>
    </row>
    <row r="4" spans="1:9" x14ac:dyDescent="0.25">
      <c r="A4" s="40" t="s">
        <v>373</v>
      </c>
      <c r="B4" s="28">
        <v>127</v>
      </c>
      <c r="C4" s="28" t="s">
        <v>506</v>
      </c>
      <c r="D4" s="28"/>
      <c r="E4" s="41">
        <v>46156</v>
      </c>
      <c r="F4" s="47">
        <v>0.81865740740740744</v>
      </c>
      <c r="G4" s="42">
        <v>6.3</v>
      </c>
      <c r="H4" s="40" t="s">
        <v>1363</v>
      </c>
      <c r="I4" s="40" t="s">
        <v>1361</v>
      </c>
    </row>
    <row r="5" spans="1:9" x14ac:dyDescent="0.25">
      <c r="A5" s="40" t="s">
        <v>373</v>
      </c>
      <c r="B5" s="28">
        <v>127</v>
      </c>
      <c r="C5" s="28" t="s">
        <v>506</v>
      </c>
      <c r="D5" s="28"/>
      <c r="E5" s="41">
        <v>46156</v>
      </c>
      <c r="F5" s="47">
        <v>0.83637731481481481</v>
      </c>
      <c r="G5" s="42">
        <v>6.3</v>
      </c>
      <c r="H5" s="40" t="s">
        <v>1364</v>
      </c>
      <c r="I5" s="40" t="s">
        <v>1361</v>
      </c>
    </row>
    <row r="6" spans="1:9" x14ac:dyDescent="0.25">
      <c r="A6" s="40" t="s">
        <v>373</v>
      </c>
      <c r="B6" s="28">
        <v>127</v>
      </c>
      <c r="C6" s="28" t="s">
        <v>507</v>
      </c>
      <c r="D6" s="28"/>
      <c r="E6" s="41">
        <v>46158</v>
      </c>
      <c r="F6" s="47">
        <v>0.86072916666666666</v>
      </c>
      <c r="G6" s="44">
        <v>6.3</v>
      </c>
      <c r="H6" s="43" t="s">
        <v>1360</v>
      </c>
      <c r="I6" s="40" t="s">
        <v>1365</v>
      </c>
    </row>
    <row r="7" spans="1:9" x14ac:dyDescent="0.25">
      <c r="A7" s="40" t="s">
        <v>373</v>
      </c>
      <c r="B7" s="28">
        <v>127</v>
      </c>
      <c r="C7" s="28" t="s">
        <v>507</v>
      </c>
      <c r="D7" s="28"/>
      <c r="E7" s="41">
        <v>46158</v>
      </c>
      <c r="F7" s="47">
        <v>0.86888888888888893</v>
      </c>
      <c r="G7" s="44">
        <v>6.3</v>
      </c>
      <c r="H7" s="43" t="s">
        <v>1362</v>
      </c>
      <c r="I7" s="40" t="s">
        <v>1365</v>
      </c>
    </row>
    <row r="8" spans="1:9" x14ac:dyDescent="0.25">
      <c r="A8" s="40" t="s">
        <v>373</v>
      </c>
      <c r="B8" s="28">
        <v>127</v>
      </c>
      <c r="C8" s="28" t="s">
        <v>508</v>
      </c>
      <c r="D8" s="28"/>
      <c r="E8" s="45">
        <v>46159</v>
      </c>
      <c r="F8" s="48">
        <v>0.69685185185185183</v>
      </c>
      <c r="G8" s="44">
        <v>6.3</v>
      </c>
      <c r="H8" s="43" t="s">
        <v>1363</v>
      </c>
      <c r="I8" s="40" t="s">
        <v>1365</v>
      </c>
    </row>
    <row r="9" spans="1:9" x14ac:dyDescent="0.25">
      <c r="A9" s="40" t="s">
        <v>373</v>
      </c>
      <c r="B9" s="28">
        <v>127</v>
      </c>
      <c r="C9" s="28" t="s">
        <v>508</v>
      </c>
      <c r="D9" s="28"/>
      <c r="E9" s="41">
        <v>46159</v>
      </c>
      <c r="F9" s="47">
        <v>0.70225694444444442</v>
      </c>
      <c r="G9" s="44">
        <v>6.3</v>
      </c>
      <c r="H9" s="43" t="s">
        <v>1364</v>
      </c>
      <c r="I9" s="40" t="s">
        <v>1365</v>
      </c>
    </row>
    <row r="10" spans="1:9" x14ac:dyDescent="0.25">
      <c r="A10" s="40" t="s">
        <v>275</v>
      </c>
      <c r="B10" s="28">
        <v>205</v>
      </c>
      <c r="C10" s="28">
        <v>5661721</v>
      </c>
      <c r="D10" s="28" t="s">
        <v>37</v>
      </c>
      <c r="E10" s="41">
        <v>46153</v>
      </c>
      <c r="F10" s="47">
        <v>0.37170138888888887</v>
      </c>
      <c r="G10" s="44">
        <v>6.3</v>
      </c>
      <c r="H10" s="43" t="s">
        <v>1363</v>
      </c>
      <c r="I10" s="40" t="s">
        <v>1361</v>
      </c>
    </row>
    <row r="11" spans="1:9" x14ac:dyDescent="0.25">
      <c r="A11" s="40" t="s">
        <v>275</v>
      </c>
      <c r="B11" s="28">
        <v>205</v>
      </c>
      <c r="C11" s="28">
        <v>5661721</v>
      </c>
      <c r="D11" s="28" t="s">
        <v>37</v>
      </c>
      <c r="E11" s="41">
        <v>46153</v>
      </c>
      <c r="F11" s="47">
        <v>0.38732638888888887</v>
      </c>
      <c r="G11" s="44">
        <v>6.3</v>
      </c>
      <c r="H11" s="43" t="s">
        <v>1364</v>
      </c>
      <c r="I11" s="40" t="s">
        <v>1361</v>
      </c>
    </row>
    <row r="12" spans="1:9" x14ac:dyDescent="0.25">
      <c r="A12" s="40" t="s">
        <v>275</v>
      </c>
      <c r="B12" s="28">
        <v>205</v>
      </c>
      <c r="C12" s="28" t="s">
        <v>509</v>
      </c>
      <c r="D12" s="28"/>
      <c r="E12" s="41">
        <v>46154</v>
      </c>
      <c r="F12" s="47">
        <v>0.81649305555555551</v>
      </c>
      <c r="G12" s="44">
        <v>6.3</v>
      </c>
      <c r="H12" s="43" t="s">
        <v>1360</v>
      </c>
      <c r="I12" s="40" t="s">
        <v>1361</v>
      </c>
    </row>
    <row r="13" spans="1:9" x14ac:dyDescent="0.25">
      <c r="A13" s="40" t="s">
        <v>275</v>
      </c>
      <c r="B13" s="28">
        <v>205</v>
      </c>
      <c r="C13" s="28" t="s">
        <v>35</v>
      </c>
      <c r="D13" s="28" t="s">
        <v>38</v>
      </c>
      <c r="E13" s="41">
        <v>46154</v>
      </c>
      <c r="F13" s="47">
        <v>0.8492939814814815</v>
      </c>
      <c r="G13" s="44">
        <v>6.3</v>
      </c>
      <c r="H13" s="43" t="s">
        <v>1363</v>
      </c>
      <c r="I13" s="40" t="s">
        <v>1361</v>
      </c>
    </row>
    <row r="14" spans="1:9" x14ac:dyDescent="0.25">
      <c r="A14" s="40" t="s">
        <v>275</v>
      </c>
      <c r="B14" s="28">
        <v>205</v>
      </c>
      <c r="C14" s="28" t="s">
        <v>35</v>
      </c>
      <c r="D14" s="28" t="s">
        <v>38</v>
      </c>
      <c r="E14" s="41">
        <v>46154</v>
      </c>
      <c r="F14" s="47">
        <v>0.86409722222222218</v>
      </c>
      <c r="G14" s="44">
        <v>6.3</v>
      </c>
      <c r="H14" s="43" t="s">
        <v>1364</v>
      </c>
      <c r="I14" s="40" t="s">
        <v>1361</v>
      </c>
    </row>
    <row r="15" spans="1:9" x14ac:dyDescent="0.25">
      <c r="A15" s="40" t="s">
        <v>275</v>
      </c>
      <c r="B15" s="28">
        <v>205</v>
      </c>
      <c r="C15" s="28" t="s">
        <v>510</v>
      </c>
      <c r="D15" s="28"/>
      <c r="E15" s="41">
        <v>46155</v>
      </c>
      <c r="F15" s="47">
        <v>0.56081018518518522</v>
      </c>
      <c r="G15" s="44">
        <v>6.3</v>
      </c>
      <c r="H15" s="43" t="s">
        <v>1360</v>
      </c>
      <c r="I15" s="40" t="s">
        <v>1361</v>
      </c>
    </row>
    <row r="16" spans="1:9" x14ac:dyDescent="0.25">
      <c r="A16" s="40" t="s">
        <v>275</v>
      </c>
      <c r="B16" s="28">
        <v>205</v>
      </c>
      <c r="C16" s="28" t="s">
        <v>510</v>
      </c>
      <c r="D16" s="28"/>
      <c r="E16" s="41">
        <v>46155</v>
      </c>
      <c r="F16" s="47">
        <v>0.56975694444444447</v>
      </c>
      <c r="G16" s="44">
        <v>6.3</v>
      </c>
      <c r="H16" s="43" t="s">
        <v>1362</v>
      </c>
      <c r="I16" s="40" t="s">
        <v>1361</v>
      </c>
    </row>
    <row r="17" spans="1:9" x14ac:dyDescent="0.25">
      <c r="A17" s="40" t="s">
        <v>275</v>
      </c>
      <c r="B17" s="28">
        <v>205</v>
      </c>
      <c r="C17" s="28" t="s">
        <v>35</v>
      </c>
      <c r="D17" s="28" t="s">
        <v>38</v>
      </c>
      <c r="E17" s="41">
        <v>46155</v>
      </c>
      <c r="F17" s="47">
        <v>0.60675925925925922</v>
      </c>
      <c r="G17" s="44">
        <v>6.3</v>
      </c>
      <c r="H17" s="43" t="s">
        <v>1364</v>
      </c>
      <c r="I17" s="40" t="s">
        <v>1361</v>
      </c>
    </row>
    <row r="18" spans="1:9" x14ac:dyDescent="0.25">
      <c r="A18" s="40" t="s">
        <v>275</v>
      </c>
      <c r="B18" s="28">
        <v>205</v>
      </c>
      <c r="C18" s="28" t="s">
        <v>35</v>
      </c>
      <c r="D18" s="28" t="s">
        <v>38</v>
      </c>
      <c r="E18" s="41">
        <v>46157</v>
      </c>
      <c r="F18" s="47">
        <v>0.44733796296296297</v>
      </c>
      <c r="G18" s="44">
        <v>6.3</v>
      </c>
      <c r="H18" s="43" t="s">
        <v>1364</v>
      </c>
      <c r="I18" s="40" t="s">
        <v>1361</v>
      </c>
    </row>
    <row r="19" spans="1:9" x14ac:dyDescent="0.25">
      <c r="A19" s="40" t="s">
        <v>275</v>
      </c>
      <c r="B19" s="28">
        <v>205</v>
      </c>
      <c r="C19" s="28">
        <v>5671743</v>
      </c>
      <c r="D19" s="28"/>
      <c r="E19" s="41">
        <v>46158</v>
      </c>
      <c r="F19" s="47">
        <v>0.72761574074074076</v>
      </c>
      <c r="G19" s="44">
        <v>6.3</v>
      </c>
      <c r="H19" s="43" t="s">
        <v>1360</v>
      </c>
      <c r="I19" s="40" t="s">
        <v>1365</v>
      </c>
    </row>
    <row r="20" spans="1:9" x14ac:dyDescent="0.25">
      <c r="A20" s="40" t="s">
        <v>275</v>
      </c>
      <c r="B20" s="28">
        <v>205</v>
      </c>
      <c r="C20" s="28">
        <v>5671743</v>
      </c>
      <c r="D20" s="28"/>
      <c r="E20" s="41">
        <v>46158</v>
      </c>
      <c r="F20" s="47">
        <v>0.73474537037037035</v>
      </c>
      <c r="G20" s="44">
        <v>6.3</v>
      </c>
      <c r="H20" s="43" t="s">
        <v>1362</v>
      </c>
      <c r="I20" s="40" t="s">
        <v>1365</v>
      </c>
    </row>
    <row r="21" spans="1:9" x14ac:dyDescent="0.25">
      <c r="A21" s="40" t="s">
        <v>275</v>
      </c>
      <c r="B21" s="28">
        <v>205</v>
      </c>
      <c r="C21" s="28" t="s">
        <v>511</v>
      </c>
      <c r="D21" s="28"/>
      <c r="E21" s="41">
        <v>46159</v>
      </c>
      <c r="F21" s="47">
        <v>0.55770833333333336</v>
      </c>
      <c r="G21" s="44">
        <v>6.3</v>
      </c>
      <c r="H21" s="43" t="s">
        <v>1360</v>
      </c>
      <c r="I21" s="40" t="s">
        <v>1365</v>
      </c>
    </row>
    <row r="22" spans="1:9" x14ac:dyDescent="0.25">
      <c r="A22" s="40" t="s">
        <v>275</v>
      </c>
      <c r="B22" s="28">
        <v>205</v>
      </c>
      <c r="C22" s="28" t="s">
        <v>511</v>
      </c>
      <c r="D22" s="28"/>
      <c r="E22" s="41">
        <v>46159</v>
      </c>
      <c r="F22" s="47">
        <v>0.56376157407407412</v>
      </c>
      <c r="G22" s="44">
        <v>6.3</v>
      </c>
      <c r="H22" s="43" t="s">
        <v>1362</v>
      </c>
      <c r="I22" s="40" t="s">
        <v>1365</v>
      </c>
    </row>
    <row r="23" spans="1:9" x14ac:dyDescent="0.25">
      <c r="A23" s="40" t="s">
        <v>275</v>
      </c>
      <c r="B23" s="28">
        <v>205</v>
      </c>
      <c r="C23" s="28">
        <v>5673136</v>
      </c>
      <c r="D23" s="28"/>
      <c r="E23" s="41">
        <v>46159</v>
      </c>
      <c r="F23" s="47">
        <v>0.74273148148148149</v>
      </c>
      <c r="G23" s="44">
        <v>6.3</v>
      </c>
      <c r="H23" s="43" t="s">
        <v>1360</v>
      </c>
      <c r="I23" s="40" t="s">
        <v>1365</v>
      </c>
    </row>
    <row r="24" spans="1:9" x14ac:dyDescent="0.25">
      <c r="A24" s="40" t="s">
        <v>275</v>
      </c>
      <c r="B24" s="28">
        <v>205</v>
      </c>
      <c r="C24" s="28">
        <v>5673136</v>
      </c>
      <c r="D24" s="28"/>
      <c r="E24" s="41">
        <v>46159</v>
      </c>
      <c r="F24" s="47">
        <v>0.74917824074074069</v>
      </c>
      <c r="G24" s="44">
        <v>6.3</v>
      </c>
      <c r="H24" s="43" t="s">
        <v>1362</v>
      </c>
      <c r="I24" s="40" t="s">
        <v>1365</v>
      </c>
    </row>
    <row r="25" spans="1:9" x14ac:dyDescent="0.25">
      <c r="A25" s="40" t="s">
        <v>275</v>
      </c>
      <c r="B25" s="28">
        <v>205</v>
      </c>
      <c r="C25" s="28" t="s">
        <v>35</v>
      </c>
      <c r="D25" s="28" t="s">
        <v>38</v>
      </c>
      <c r="E25" s="41">
        <v>46159</v>
      </c>
      <c r="F25" s="47">
        <v>0.76616898148148149</v>
      </c>
      <c r="G25" s="42">
        <v>6.3</v>
      </c>
      <c r="H25" s="40" t="s">
        <v>1363</v>
      </c>
      <c r="I25" s="40" t="s">
        <v>1365</v>
      </c>
    </row>
    <row r="26" spans="1:9" x14ac:dyDescent="0.25">
      <c r="A26" s="40" t="s">
        <v>348</v>
      </c>
      <c r="B26" s="28">
        <v>207</v>
      </c>
      <c r="C26" s="28">
        <v>5662516</v>
      </c>
      <c r="D26" s="28"/>
      <c r="E26" s="41">
        <v>46153</v>
      </c>
      <c r="F26" s="47">
        <v>0.39777777777777779</v>
      </c>
      <c r="G26" s="42">
        <v>6.3</v>
      </c>
      <c r="H26" s="40" t="s">
        <v>1360</v>
      </c>
      <c r="I26" s="40" t="s">
        <v>1361</v>
      </c>
    </row>
    <row r="27" spans="1:9" x14ac:dyDescent="0.25">
      <c r="A27" s="40" t="s">
        <v>348</v>
      </c>
      <c r="B27" s="28">
        <v>207</v>
      </c>
      <c r="C27" s="28">
        <v>5662516</v>
      </c>
      <c r="D27" s="28"/>
      <c r="E27" s="41">
        <v>46153</v>
      </c>
      <c r="F27" s="47">
        <v>0.41171296296296295</v>
      </c>
      <c r="G27" s="42">
        <v>6.3</v>
      </c>
      <c r="H27" s="40" t="s">
        <v>1362</v>
      </c>
      <c r="I27" s="40" t="s">
        <v>1361</v>
      </c>
    </row>
    <row r="28" spans="1:9" x14ac:dyDescent="0.25">
      <c r="A28" s="40" t="s">
        <v>348</v>
      </c>
      <c r="B28" s="28">
        <v>207</v>
      </c>
      <c r="C28" s="28" t="s">
        <v>35</v>
      </c>
      <c r="D28" s="28" t="s">
        <v>38</v>
      </c>
      <c r="E28" s="41">
        <v>46153</v>
      </c>
      <c r="F28" s="47">
        <v>0.44496527777777778</v>
      </c>
      <c r="G28" s="42">
        <v>6.3</v>
      </c>
      <c r="H28" s="40" t="s">
        <v>1363</v>
      </c>
      <c r="I28" s="40" t="s">
        <v>1361</v>
      </c>
    </row>
    <row r="29" spans="1:9" x14ac:dyDescent="0.25">
      <c r="A29" s="40" t="s">
        <v>348</v>
      </c>
      <c r="B29" s="28">
        <v>207</v>
      </c>
      <c r="C29" s="28" t="s">
        <v>35</v>
      </c>
      <c r="D29" s="28" t="s">
        <v>38</v>
      </c>
      <c r="E29" s="41">
        <v>46153</v>
      </c>
      <c r="F29" s="47">
        <v>0.45068287037037036</v>
      </c>
      <c r="G29" s="44">
        <v>6.3</v>
      </c>
      <c r="H29" s="43" t="s">
        <v>1364</v>
      </c>
      <c r="I29" s="40" t="s">
        <v>1361</v>
      </c>
    </row>
    <row r="30" spans="1:9" x14ac:dyDescent="0.25">
      <c r="A30" s="40" t="s">
        <v>348</v>
      </c>
      <c r="B30" s="28">
        <v>207</v>
      </c>
      <c r="C30" s="28">
        <v>5664719</v>
      </c>
      <c r="D30" s="28"/>
      <c r="E30" s="41">
        <v>46155</v>
      </c>
      <c r="F30" s="47">
        <v>0.41741898148148149</v>
      </c>
      <c r="G30" s="44">
        <v>6.3</v>
      </c>
      <c r="H30" s="43" t="s">
        <v>1366</v>
      </c>
      <c r="I30" s="40" t="s">
        <v>1361</v>
      </c>
    </row>
    <row r="31" spans="1:9" x14ac:dyDescent="0.25">
      <c r="A31" s="40" t="s">
        <v>348</v>
      </c>
      <c r="B31" s="28">
        <v>207</v>
      </c>
      <c r="C31" s="28" t="s">
        <v>35</v>
      </c>
      <c r="D31" s="28" t="s">
        <v>38</v>
      </c>
      <c r="E31" s="41">
        <v>46155</v>
      </c>
      <c r="F31" s="47">
        <v>0.46968749999999998</v>
      </c>
      <c r="G31" s="44">
        <v>6.3</v>
      </c>
      <c r="H31" s="43" t="s">
        <v>1367</v>
      </c>
      <c r="I31" s="40" t="s">
        <v>1361</v>
      </c>
    </row>
    <row r="32" spans="1:9" x14ac:dyDescent="0.25">
      <c r="A32" s="40" t="s">
        <v>348</v>
      </c>
      <c r="B32" s="28">
        <v>207</v>
      </c>
      <c r="C32" s="28" t="s">
        <v>35</v>
      </c>
      <c r="D32" s="28" t="s">
        <v>38</v>
      </c>
      <c r="E32" s="41">
        <v>46155</v>
      </c>
      <c r="F32" s="47">
        <v>0.47259259259259262</v>
      </c>
      <c r="G32" s="44">
        <v>6.3</v>
      </c>
      <c r="H32" s="43" t="s">
        <v>1364</v>
      </c>
      <c r="I32" s="40" t="s">
        <v>1361</v>
      </c>
    </row>
    <row r="33" spans="1:9" x14ac:dyDescent="0.25">
      <c r="A33" s="40" t="s">
        <v>348</v>
      </c>
      <c r="B33" s="28">
        <v>207</v>
      </c>
      <c r="C33" s="28" t="s">
        <v>35</v>
      </c>
      <c r="D33" s="28" t="s">
        <v>38</v>
      </c>
      <c r="E33" s="41">
        <v>46157</v>
      </c>
      <c r="F33" s="47">
        <v>1.3078703703703703E-2</v>
      </c>
      <c r="G33" s="44">
        <v>6.3</v>
      </c>
      <c r="H33" s="43" t="s">
        <v>1363</v>
      </c>
      <c r="I33" s="40" t="s">
        <v>1361</v>
      </c>
    </row>
    <row r="34" spans="1:9" x14ac:dyDescent="0.25">
      <c r="A34" s="40" t="s">
        <v>348</v>
      </c>
      <c r="B34" s="28">
        <v>207</v>
      </c>
      <c r="C34" s="28" t="s">
        <v>35</v>
      </c>
      <c r="D34" s="28" t="s">
        <v>38</v>
      </c>
      <c r="E34" s="41">
        <v>46157</v>
      </c>
      <c r="F34" s="47">
        <v>1.8553240740740742E-2</v>
      </c>
      <c r="G34" s="44">
        <v>6.3</v>
      </c>
      <c r="H34" s="43" t="s">
        <v>1364</v>
      </c>
      <c r="I34" s="40" t="s">
        <v>1361</v>
      </c>
    </row>
    <row r="35" spans="1:9" x14ac:dyDescent="0.25">
      <c r="A35" s="40" t="s">
        <v>348</v>
      </c>
      <c r="B35" s="28">
        <v>207</v>
      </c>
      <c r="C35" s="28" t="s">
        <v>512</v>
      </c>
      <c r="D35" s="28"/>
      <c r="E35" s="45">
        <v>46158</v>
      </c>
      <c r="F35" s="48">
        <v>0.33894675925925927</v>
      </c>
      <c r="G35" s="44">
        <v>6.3</v>
      </c>
      <c r="H35" s="43" t="s">
        <v>1360</v>
      </c>
      <c r="I35" s="40" t="s">
        <v>1365</v>
      </c>
    </row>
    <row r="36" spans="1:9" x14ac:dyDescent="0.25">
      <c r="A36" s="40" t="s">
        <v>348</v>
      </c>
      <c r="B36" s="28">
        <v>207</v>
      </c>
      <c r="C36" s="28" t="s">
        <v>512</v>
      </c>
      <c r="D36" s="28"/>
      <c r="E36" s="41">
        <v>46158</v>
      </c>
      <c r="F36" s="47">
        <v>0.36351851851851852</v>
      </c>
      <c r="G36" s="44">
        <v>6.3</v>
      </c>
      <c r="H36" s="43" t="s">
        <v>1364</v>
      </c>
      <c r="I36" s="40" t="s">
        <v>1365</v>
      </c>
    </row>
    <row r="37" spans="1:9" x14ac:dyDescent="0.25">
      <c r="A37" s="40" t="s">
        <v>51</v>
      </c>
      <c r="B37" s="28">
        <v>210</v>
      </c>
      <c r="C37" s="28">
        <v>5662253</v>
      </c>
      <c r="D37" s="28"/>
      <c r="E37" s="41">
        <v>46153</v>
      </c>
      <c r="F37" s="47">
        <v>0.4142939814814815</v>
      </c>
      <c r="G37" s="42">
        <v>6.3</v>
      </c>
      <c r="H37" s="40" t="s">
        <v>1360</v>
      </c>
      <c r="I37" s="40" t="s">
        <v>1361</v>
      </c>
    </row>
    <row r="38" spans="1:9" x14ac:dyDescent="0.25">
      <c r="A38" s="40" t="s">
        <v>51</v>
      </c>
      <c r="B38" s="28">
        <v>210</v>
      </c>
      <c r="C38" s="28">
        <v>5662253</v>
      </c>
      <c r="D38" s="28"/>
      <c r="E38" s="41">
        <v>46153</v>
      </c>
      <c r="F38" s="47">
        <v>0.4216435185185185</v>
      </c>
      <c r="G38" s="42">
        <v>6.3</v>
      </c>
      <c r="H38" s="40" t="s">
        <v>1366</v>
      </c>
      <c r="I38" s="40" t="s">
        <v>1361</v>
      </c>
    </row>
    <row r="39" spans="1:9" x14ac:dyDescent="0.25">
      <c r="A39" s="40" t="s">
        <v>51</v>
      </c>
      <c r="B39" s="28">
        <v>210</v>
      </c>
      <c r="C39" s="28">
        <v>5661035</v>
      </c>
      <c r="D39" s="28"/>
      <c r="E39" s="41">
        <v>46153</v>
      </c>
      <c r="F39" s="47">
        <v>0.55989583333333337</v>
      </c>
      <c r="G39" s="42">
        <v>6.3</v>
      </c>
      <c r="H39" s="40" t="s">
        <v>1367</v>
      </c>
      <c r="I39" s="40" t="s">
        <v>1361</v>
      </c>
    </row>
    <row r="40" spans="1:9" x14ac:dyDescent="0.25">
      <c r="A40" s="40" t="s">
        <v>51</v>
      </c>
      <c r="B40" s="28">
        <v>210</v>
      </c>
      <c r="C40" s="28">
        <v>5661035</v>
      </c>
      <c r="D40" s="28"/>
      <c r="E40" s="41">
        <v>46153</v>
      </c>
      <c r="F40" s="47">
        <v>0.56366898148148148</v>
      </c>
      <c r="G40" s="42">
        <v>6.3</v>
      </c>
      <c r="H40" s="40" t="s">
        <v>1364</v>
      </c>
      <c r="I40" s="40" t="s">
        <v>1361</v>
      </c>
    </row>
    <row r="41" spans="1:9" x14ac:dyDescent="0.25">
      <c r="A41" s="40" t="s">
        <v>51</v>
      </c>
      <c r="B41" s="28">
        <v>210</v>
      </c>
      <c r="C41" s="28">
        <v>5666640</v>
      </c>
      <c r="D41" s="28"/>
      <c r="E41" s="45">
        <v>46155</v>
      </c>
      <c r="F41" s="48">
        <v>0.63785879629629627</v>
      </c>
      <c r="G41" s="42">
        <v>6.3</v>
      </c>
      <c r="H41" s="40" t="s">
        <v>1364</v>
      </c>
      <c r="I41" s="40" t="s">
        <v>1361</v>
      </c>
    </row>
    <row r="42" spans="1:9" x14ac:dyDescent="0.25">
      <c r="A42" s="40" t="s">
        <v>51</v>
      </c>
      <c r="B42" s="28">
        <v>210</v>
      </c>
      <c r="C42" s="28" t="s">
        <v>513</v>
      </c>
      <c r="D42" s="28"/>
      <c r="E42" s="41">
        <v>46156</v>
      </c>
      <c r="F42" s="47">
        <v>0.85879629629629628</v>
      </c>
      <c r="G42" s="42">
        <v>6.3</v>
      </c>
      <c r="H42" s="40" t="s">
        <v>1360</v>
      </c>
      <c r="I42" s="40" t="s">
        <v>1361</v>
      </c>
    </row>
    <row r="43" spans="1:9" x14ac:dyDescent="0.25">
      <c r="A43" s="40" t="s">
        <v>51</v>
      </c>
      <c r="B43" s="28">
        <v>210</v>
      </c>
      <c r="C43" s="28" t="s">
        <v>513</v>
      </c>
      <c r="D43" s="28"/>
      <c r="E43" s="41">
        <v>46156</v>
      </c>
      <c r="F43" s="47">
        <v>0.86709490740740736</v>
      </c>
      <c r="G43" s="44">
        <v>6.3</v>
      </c>
      <c r="H43" s="43" t="s">
        <v>1362</v>
      </c>
      <c r="I43" s="40" t="s">
        <v>1361</v>
      </c>
    </row>
    <row r="44" spans="1:9" x14ac:dyDescent="0.25">
      <c r="A44" s="40" t="s">
        <v>51</v>
      </c>
      <c r="B44" s="28">
        <v>210</v>
      </c>
      <c r="C44" s="28">
        <v>5669586</v>
      </c>
      <c r="D44" s="28" t="s">
        <v>36</v>
      </c>
      <c r="E44" s="41">
        <v>46157</v>
      </c>
      <c r="F44" s="47">
        <v>0.39997685185185183</v>
      </c>
      <c r="G44" s="44">
        <v>6.3</v>
      </c>
      <c r="H44" s="43" t="s">
        <v>1360</v>
      </c>
      <c r="I44" s="40" t="s">
        <v>1361</v>
      </c>
    </row>
    <row r="45" spans="1:9" x14ac:dyDescent="0.25">
      <c r="A45" s="40" t="s">
        <v>51</v>
      </c>
      <c r="B45" s="28">
        <v>210</v>
      </c>
      <c r="C45" s="28">
        <v>5669586</v>
      </c>
      <c r="D45" s="28" t="s">
        <v>36</v>
      </c>
      <c r="E45" s="45">
        <v>46157</v>
      </c>
      <c r="F45" s="48">
        <v>0.41167824074074072</v>
      </c>
      <c r="G45" s="44">
        <v>6.3</v>
      </c>
      <c r="H45" s="43" t="s">
        <v>1368</v>
      </c>
      <c r="I45" s="40" t="s">
        <v>1361</v>
      </c>
    </row>
    <row r="46" spans="1:9" x14ac:dyDescent="0.25">
      <c r="A46" s="40" t="s">
        <v>51</v>
      </c>
      <c r="B46" s="28">
        <v>210</v>
      </c>
      <c r="C46" s="28" t="s">
        <v>35</v>
      </c>
      <c r="D46" s="28" t="s">
        <v>38</v>
      </c>
      <c r="E46" s="41">
        <v>46157</v>
      </c>
      <c r="F46" s="47">
        <v>0.47747685185185185</v>
      </c>
      <c r="G46" s="44">
        <v>6.3</v>
      </c>
      <c r="H46" s="43" t="s">
        <v>1369</v>
      </c>
      <c r="I46" s="40" t="s">
        <v>1361</v>
      </c>
    </row>
    <row r="47" spans="1:9" x14ac:dyDescent="0.25">
      <c r="A47" s="40" t="s">
        <v>51</v>
      </c>
      <c r="B47" s="28">
        <v>210</v>
      </c>
      <c r="C47" s="28" t="s">
        <v>35</v>
      </c>
      <c r="D47" s="28" t="s">
        <v>38</v>
      </c>
      <c r="E47" s="41">
        <v>46157</v>
      </c>
      <c r="F47" s="47">
        <v>0.48347222222222225</v>
      </c>
      <c r="G47" s="44">
        <v>6.3</v>
      </c>
      <c r="H47" s="43" t="s">
        <v>1364</v>
      </c>
      <c r="I47" s="40" t="s">
        <v>1361</v>
      </c>
    </row>
    <row r="48" spans="1:9" x14ac:dyDescent="0.25">
      <c r="A48" s="40" t="s">
        <v>51</v>
      </c>
      <c r="B48" s="28">
        <v>210</v>
      </c>
      <c r="C48" s="28" t="s">
        <v>35</v>
      </c>
      <c r="D48" s="28" t="s">
        <v>38</v>
      </c>
      <c r="E48" s="41">
        <v>46157</v>
      </c>
      <c r="F48" s="47">
        <v>0.89148148148148143</v>
      </c>
      <c r="G48" s="44">
        <v>6.3</v>
      </c>
      <c r="H48" s="43" t="s">
        <v>1364</v>
      </c>
      <c r="I48" s="40" t="s">
        <v>1361</v>
      </c>
    </row>
    <row r="49" spans="1:9" x14ac:dyDescent="0.25">
      <c r="A49" s="40" t="s">
        <v>51</v>
      </c>
      <c r="B49" s="28">
        <v>210</v>
      </c>
      <c r="C49" s="28" t="s">
        <v>514</v>
      </c>
      <c r="D49" s="28"/>
      <c r="E49" s="41">
        <v>46159</v>
      </c>
      <c r="F49" s="47">
        <v>0.73663194444444446</v>
      </c>
      <c r="G49" s="44">
        <v>6.3</v>
      </c>
      <c r="H49" s="43" t="s">
        <v>1360</v>
      </c>
      <c r="I49" s="40" t="s">
        <v>1365</v>
      </c>
    </row>
    <row r="50" spans="1:9" x14ac:dyDescent="0.25">
      <c r="A50" s="40" t="s">
        <v>51</v>
      </c>
      <c r="B50" s="28">
        <v>210</v>
      </c>
      <c r="C50" s="28" t="s">
        <v>514</v>
      </c>
      <c r="D50" s="28"/>
      <c r="E50" s="41">
        <v>46159</v>
      </c>
      <c r="F50" s="47">
        <v>0.7439351851851852</v>
      </c>
      <c r="G50" s="44">
        <v>6.3</v>
      </c>
      <c r="H50" s="43" t="s">
        <v>1362</v>
      </c>
      <c r="I50" s="40" t="s">
        <v>1365</v>
      </c>
    </row>
    <row r="51" spans="1:9" x14ac:dyDescent="0.25">
      <c r="A51" s="40" t="s">
        <v>53</v>
      </c>
      <c r="B51" s="28">
        <v>213</v>
      </c>
      <c r="C51" s="28">
        <v>5664925</v>
      </c>
      <c r="D51" s="28"/>
      <c r="E51" s="41">
        <v>46155</v>
      </c>
      <c r="F51" s="47">
        <v>0.20799768518518519</v>
      </c>
      <c r="G51" s="44">
        <v>6.3</v>
      </c>
      <c r="H51" s="43" t="s">
        <v>1364</v>
      </c>
      <c r="I51" s="40" t="s">
        <v>1361</v>
      </c>
    </row>
    <row r="52" spans="1:9" x14ac:dyDescent="0.25">
      <c r="A52" s="40" t="s">
        <v>53</v>
      </c>
      <c r="B52" s="28">
        <v>213</v>
      </c>
      <c r="C52" s="28" t="s">
        <v>515</v>
      </c>
      <c r="D52" s="28"/>
      <c r="E52" s="41">
        <v>46155</v>
      </c>
      <c r="F52" s="47">
        <v>0.34717592592592594</v>
      </c>
      <c r="G52" s="44">
        <v>6.3</v>
      </c>
      <c r="H52" s="43" t="s">
        <v>1360</v>
      </c>
      <c r="I52" s="40" t="s">
        <v>1361</v>
      </c>
    </row>
    <row r="53" spans="1:9" x14ac:dyDescent="0.25">
      <c r="A53" s="40" t="s">
        <v>53</v>
      </c>
      <c r="B53" s="28">
        <v>213</v>
      </c>
      <c r="C53" s="28" t="s">
        <v>35</v>
      </c>
      <c r="D53" s="28" t="s">
        <v>38</v>
      </c>
      <c r="E53" s="41">
        <v>46155</v>
      </c>
      <c r="F53" s="47">
        <v>0.38015046296296295</v>
      </c>
      <c r="G53" s="44">
        <v>6.3</v>
      </c>
      <c r="H53" s="43" t="s">
        <v>1362</v>
      </c>
      <c r="I53" s="40" t="s">
        <v>1361</v>
      </c>
    </row>
    <row r="54" spans="1:9" x14ac:dyDescent="0.25">
      <c r="A54" s="40" t="s">
        <v>53</v>
      </c>
      <c r="B54" s="28">
        <v>213</v>
      </c>
      <c r="C54" s="28" t="s">
        <v>35</v>
      </c>
      <c r="D54" s="28" t="s">
        <v>38</v>
      </c>
      <c r="E54" s="41">
        <v>46155</v>
      </c>
      <c r="F54" s="47">
        <v>0.40795138888888888</v>
      </c>
      <c r="G54" s="44">
        <v>6.3</v>
      </c>
      <c r="H54" s="43" t="s">
        <v>1363</v>
      </c>
      <c r="I54" s="40" t="s">
        <v>1361</v>
      </c>
    </row>
    <row r="55" spans="1:9" x14ac:dyDescent="0.25">
      <c r="A55" s="40" t="s">
        <v>53</v>
      </c>
      <c r="B55" s="28">
        <v>213</v>
      </c>
      <c r="C55" s="28" t="s">
        <v>516</v>
      </c>
      <c r="D55" s="28"/>
      <c r="E55" s="41">
        <v>46156</v>
      </c>
      <c r="F55" s="47">
        <v>0.2827662037037037</v>
      </c>
      <c r="G55" s="42">
        <v>6.3</v>
      </c>
      <c r="H55" s="40" t="s">
        <v>1360</v>
      </c>
      <c r="I55" s="40" t="s">
        <v>1361</v>
      </c>
    </row>
    <row r="56" spans="1:9" x14ac:dyDescent="0.25">
      <c r="A56" s="40" t="s">
        <v>53</v>
      </c>
      <c r="B56" s="28">
        <v>213</v>
      </c>
      <c r="C56" s="28" t="s">
        <v>35</v>
      </c>
      <c r="D56" s="28" t="s">
        <v>38</v>
      </c>
      <c r="E56" s="41">
        <v>46156</v>
      </c>
      <c r="F56" s="47">
        <v>0.35826388888888888</v>
      </c>
      <c r="G56" s="42">
        <v>6.3</v>
      </c>
      <c r="H56" s="40" t="s">
        <v>1363</v>
      </c>
      <c r="I56" s="40" t="s">
        <v>1361</v>
      </c>
    </row>
    <row r="57" spans="1:9" x14ac:dyDescent="0.25">
      <c r="A57" s="40" t="s">
        <v>53</v>
      </c>
      <c r="B57" s="28">
        <v>213</v>
      </c>
      <c r="C57" s="28" t="s">
        <v>35</v>
      </c>
      <c r="D57" s="28" t="s">
        <v>38</v>
      </c>
      <c r="E57" s="45">
        <v>46156</v>
      </c>
      <c r="F57" s="48">
        <v>0.92148148148148146</v>
      </c>
      <c r="G57" s="42">
        <v>6.3</v>
      </c>
      <c r="H57" s="40" t="s">
        <v>1364</v>
      </c>
      <c r="I57" s="40" t="s">
        <v>1361</v>
      </c>
    </row>
    <row r="58" spans="1:9" x14ac:dyDescent="0.25">
      <c r="A58" s="40" t="s">
        <v>53</v>
      </c>
      <c r="B58" s="28">
        <v>213</v>
      </c>
      <c r="C58" s="28">
        <v>5658165</v>
      </c>
      <c r="D58" s="28"/>
      <c r="E58" s="41">
        <v>46157</v>
      </c>
      <c r="F58" s="47">
        <v>1.8090277777777778E-2</v>
      </c>
      <c r="G58" s="42">
        <v>6.3</v>
      </c>
      <c r="H58" s="40" t="s">
        <v>1360</v>
      </c>
      <c r="I58" s="40" t="s">
        <v>1361</v>
      </c>
    </row>
    <row r="59" spans="1:9" x14ac:dyDescent="0.25">
      <c r="A59" s="40" t="s">
        <v>53</v>
      </c>
      <c r="B59" s="28">
        <v>213</v>
      </c>
      <c r="C59" s="28">
        <v>5658165</v>
      </c>
      <c r="D59" s="28"/>
      <c r="E59" s="41">
        <v>46157</v>
      </c>
      <c r="F59" s="47">
        <v>2.9259259259259259E-2</v>
      </c>
      <c r="G59" s="44">
        <v>6.3</v>
      </c>
      <c r="H59" s="43" t="s">
        <v>1362</v>
      </c>
      <c r="I59" s="40" t="s">
        <v>1361</v>
      </c>
    </row>
    <row r="60" spans="1:9" x14ac:dyDescent="0.25">
      <c r="A60" s="40" t="s">
        <v>53</v>
      </c>
      <c r="B60" s="28">
        <v>213</v>
      </c>
      <c r="C60" s="28" t="s">
        <v>35</v>
      </c>
      <c r="D60" s="28" t="s">
        <v>38</v>
      </c>
      <c r="E60" s="45">
        <v>46159</v>
      </c>
      <c r="F60" s="48">
        <v>0.93618055555555557</v>
      </c>
      <c r="G60" s="44">
        <v>6.3</v>
      </c>
      <c r="H60" s="43" t="s">
        <v>1364</v>
      </c>
      <c r="I60" s="40" t="s">
        <v>1365</v>
      </c>
    </row>
    <row r="61" spans="1:9" x14ac:dyDescent="0.25">
      <c r="A61" s="40" t="s">
        <v>310</v>
      </c>
      <c r="B61" s="28">
        <v>217</v>
      </c>
      <c r="C61" s="28">
        <v>10632203</v>
      </c>
      <c r="D61" s="28"/>
      <c r="E61" s="41">
        <v>46153</v>
      </c>
      <c r="F61" s="47">
        <v>2.9629629629629628E-3</v>
      </c>
      <c r="G61" s="44">
        <v>6.3</v>
      </c>
      <c r="H61" s="43" t="s">
        <v>1360</v>
      </c>
      <c r="I61" s="40" t="s">
        <v>1361</v>
      </c>
    </row>
    <row r="62" spans="1:9" x14ac:dyDescent="0.25">
      <c r="A62" s="40" t="s">
        <v>310</v>
      </c>
      <c r="B62" s="28">
        <v>217</v>
      </c>
      <c r="C62" s="28">
        <v>10632203</v>
      </c>
      <c r="D62" s="28"/>
      <c r="E62" s="41">
        <v>46153</v>
      </c>
      <c r="F62" s="47">
        <v>1.0462962962962962E-2</v>
      </c>
      <c r="G62" s="44">
        <v>6.3</v>
      </c>
      <c r="H62" s="43" t="s">
        <v>1368</v>
      </c>
      <c r="I62" s="40" t="s">
        <v>1361</v>
      </c>
    </row>
    <row r="63" spans="1:9" x14ac:dyDescent="0.25">
      <c r="A63" s="40" t="s">
        <v>310</v>
      </c>
      <c r="B63" s="28">
        <v>217</v>
      </c>
      <c r="C63" s="28" t="s">
        <v>35</v>
      </c>
      <c r="D63" s="28" t="s">
        <v>38</v>
      </c>
      <c r="E63" s="45">
        <v>46153</v>
      </c>
      <c r="F63" s="48">
        <v>2.2037037037037036E-2</v>
      </c>
      <c r="G63" s="44">
        <v>6.3</v>
      </c>
      <c r="H63" s="43" t="s">
        <v>1370</v>
      </c>
      <c r="I63" s="40" t="s">
        <v>1361</v>
      </c>
    </row>
    <row r="64" spans="1:9" x14ac:dyDescent="0.25">
      <c r="A64" s="40" t="s">
        <v>310</v>
      </c>
      <c r="B64" s="28">
        <v>217</v>
      </c>
      <c r="C64" s="28">
        <v>10644663</v>
      </c>
      <c r="D64" s="28"/>
      <c r="E64" s="45">
        <v>46155</v>
      </c>
      <c r="F64" s="48">
        <v>7.2685185185185188E-3</v>
      </c>
      <c r="G64" s="44">
        <v>6.3</v>
      </c>
      <c r="H64" s="43" t="s">
        <v>1360</v>
      </c>
      <c r="I64" s="40" t="s">
        <v>1361</v>
      </c>
    </row>
    <row r="65" spans="1:9" x14ac:dyDescent="0.25">
      <c r="A65" s="40" t="s">
        <v>310</v>
      </c>
      <c r="B65" s="28">
        <v>217</v>
      </c>
      <c r="C65" s="28">
        <v>10644663</v>
      </c>
      <c r="D65" s="28"/>
      <c r="E65" s="41">
        <v>46155</v>
      </c>
      <c r="F65" s="47">
        <v>1.4699074074074074E-2</v>
      </c>
      <c r="G65" s="44">
        <v>6.3</v>
      </c>
      <c r="H65" s="43" t="s">
        <v>1362</v>
      </c>
      <c r="I65" s="40" t="s">
        <v>1361</v>
      </c>
    </row>
    <row r="66" spans="1:9" x14ac:dyDescent="0.25">
      <c r="A66" s="40" t="s">
        <v>310</v>
      </c>
      <c r="B66" s="28">
        <v>217</v>
      </c>
      <c r="C66" s="28">
        <v>5665775</v>
      </c>
      <c r="D66" s="28" t="s">
        <v>37</v>
      </c>
      <c r="E66" s="41">
        <v>46155</v>
      </c>
      <c r="F66" s="47">
        <v>0.36574074074074076</v>
      </c>
      <c r="G66" s="44">
        <v>6.3</v>
      </c>
      <c r="H66" s="43" t="s">
        <v>1363</v>
      </c>
      <c r="I66" s="40" t="s">
        <v>1361</v>
      </c>
    </row>
    <row r="67" spans="1:9" x14ac:dyDescent="0.25">
      <c r="A67" s="40" t="s">
        <v>310</v>
      </c>
      <c r="B67" s="28">
        <v>217</v>
      </c>
      <c r="C67" s="28">
        <v>5665775</v>
      </c>
      <c r="D67" s="28" t="s">
        <v>37</v>
      </c>
      <c r="E67" s="41">
        <v>46155</v>
      </c>
      <c r="F67" s="47">
        <v>0.38302083333333331</v>
      </c>
      <c r="G67" s="44">
        <v>6.3</v>
      </c>
      <c r="H67" s="43" t="s">
        <v>1364</v>
      </c>
      <c r="I67" s="40" t="s">
        <v>1361</v>
      </c>
    </row>
    <row r="68" spans="1:9" x14ac:dyDescent="0.25">
      <c r="A68" s="40" t="s">
        <v>310</v>
      </c>
      <c r="B68" s="28">
        <v>217</v>
      </c>
      <c r="C68" s="28" t="s">
        <v>517</v>
      </c>
      <c r="D68" s="28"/>
      <c r="E68" s="41">
        <v>46156</v>
      </c>
      <c r="F68" s="47">
        <v>0.31943287037037038</v>
      </c>
      <c r="G68" s="44">
        <v>6.3</v>
      </c>
      <c r="H68" s="43" t="s">
        <v>1360</v>
      </c>
      <c r="I68" s="40" t="s">
        <v>1361</v>
      </c>
    </row>
    <row r="69" spans="1:9" x14ac:dyDescent="0.25">
      <c r="A69" s="40" t="s">
        <v>310</v>
      </c>
      <c r="B69" s="28">
        <v>217</v>
      </c>
      <c r="C69" s="28" t="s">
        <v>517</v>
      </c>
      <c r="D69" s="28"/>
      <c r="E69" s="45">
        <v>46156</v>
      </c>
      <c r="F69" s="48">
        <v>0.33534722222222224</v>
      </c>
      <c r="G69" s="44">
        <v>6.3</v>
      </c>
      <c r="H69" s="43" t="s">
        <v>1362</v>
      </c>
      <c r="I69" s="40" t="s">
        <v>1361</v>
      </c>
    </row>
    <row r="70" spans="1:9" x14ac:dyDescent="0.25">
      <c r="A70" s="40" t="s">
        <v>310</v>
      </c>
      <c r="B70" s="28">
        <v>217</v>
      </c>
      <c r="C70" s="28">
        <v>10683566</v>
      </c>
      <c r="D70" s="28" t="s">
        <v>36</v>
      </c>
      <c r="E70" s="41">
        <v>46159</v>
      </c>
      <c r="F70" s="47">
        <v>3.0173611111111109E-2</v>
      </c>
      <c r="G70" s="44">
        <v>6.3</v>
      </c>
      <c r="H70" s="43" t="s">
        <v>1360</v>
      </c>
      <c r="I70" s="40" t="s">
        <v>1365</v>
      </c>
    </row>
    <row r="71" spans="1:9" x14ac:dyDescent="0.25">
      <c r="A71" s="40" t="s">
        <v>310</v>
      </c>
      <c r="B71" s="28">
        <v>217</v>
      </c>
      <c r="C71" s="28">
        <v>10683566</v>
      </c>
      <c r="D71" s="28" t="s">
        <v>36</v>
      </c>
      <c r="E71" s="41">
        <v>46159</v>
      </c>
      <c r="F71" s="47">
        <v>3.6770833333333336E-2</v>
      </c>
      <c r="G71" s="44">
        <v>6.3</v>
      </c>
      <c r="H71" s="43" t="s">
        <v>1362</v>
      </c>
      <c r="I71" s="40" t="s">
        <v>1365</v>
      </c>
    </row>
    <row r="72" spans="1:9" x14ac:dyDescent="0.25">
      <c r="A72" s="40" t="s">
        <v>310</v>
      </c>
      <c r="B72" s="28">
        <v>217</v>
      </c>
      <c r="C72" s="28">
        <v>10682748</v>
      </c>
      <c r="D72" s="28"/>
      <c r="E72" s="41">
        <v>46159</v>
      </c>
      <c r="F72" s="47">
        <v>0.95415509259259257</v>
      </c>
      <c r="G72" s="44">
        <v>6.3</v>
      </c>
      <c r="H72" s="43" t="s">
        <v>1360</v>
      </c>
      <c r="I72" s="40" t="s">
        <v>1365</v>
      </c>
    </row>
    <row r="73" spans="1:9" x14ac:dyDescent="0.25">
      <c r="A73" s="40" t="s">
        <v>310</v>
      </c>
      <c r="B73" s="28">
        <v>217</v>
      </c>
      <c r="C73" s="28">
        <v>10682748</v>
      </c>
      <c r="D73" s="28"/>
      <c r="E73" s="41">
        <v>46159</v>
      </c>
      <c r="F73" s="47">
        <v>0.96084490740740736</v>
      </c>
      <c r="G73" s="44">
        <v>6.3</v>
      </c>
      <c r="H73" s="43" t="s">
        <v>1362</v>
      </c>
      <c r="I73" s="40" t="s">
        <v>1365</v>
      </c>
    </row>
    <row r="74" spans="1:9" x14ac:dyDescent="0.25">
      <c r="A74" s="40" t="s">
        <v>310</v>
      </c>
      <c r="B74" s="28">
        <v>217</v>
      </c>
      <c r="C74" s="28" t="s">
        <v>35</v>
      </c>
      <c r="D74" s="28" t="s">
        <v>38</v>
      </c>
      <c r="E74" s="41">
        <v>46159</v>
      </c>
      <c r="F74" s="47">
        <v>0.97788194444444443</v>
      </c>
      <c r="G74" s="44">
        <v>6.3</v>
      </c>
      <c r="H74" s="43" t="s">
        <v>1363</v>
      </c>
      <c r="I74" s="40" t="s">
        <v>1365</v>
      </c>
    </row>
    <row r="75" spans="1:9" x14ac:dyDescent="0.25">
      <c r="A75" s="40" t="s">
        <v>310</v>
      </c>
      <c r="B75" s="28">
        <v>217</v>
      </c>
      <c r="C75" s="28" t="s">
        <v>35</v>
      </c>
      <c r="D75" s="28" t="s">
        <v>38</v>
      </c>
      <c r="E75" s="41">
        <v>46159</v>
      </c>
      <c r="F75" s="47">
        <v>0.98709490740740746</v>
      </c>
      <c r="G75" s="44">
        <v>6.3</v>
      </c>
      <c r="H75" s="43" t="s">
        <v>1364</v>
      </c>
      <c r="I75" s="40" t="s">
        <v>1365</v>
      </c>
    </row>
    <row r="76" spans="1:9" x14ac:dyDescent="0.25">
      <c r="A76" s="40" t="s">
        <v>346</v>
      </c>
      <c r="B76" s="28">
        <v>219</v>
      </c>
      <c r="C76" s="28">
        <v>5661926</v>
      </c>
      <c r="D76" s="28"/>
      <c r="E76" s="41">
        <v>46153</v>
      </c>
      <c r="F76" s="47">
        <v>3.546296296296296E-2</v>
      </c>
      <c r="G76" s="44">
        <v>6.3</v>
      </c>
      <c r="H76" s="43" t="s">
        <v>1360</v>
      </c>
      <c r="I76" s="40" t="s">
        <v>1361</v>
      </c>
    </row>
    <row r="77" spans="1:9" x14ac:dyDescent="0.25">
      <c r="A77" s="40" t="s">
        <v>346</v>
      </c>
      <c r="B77" s="28">
        <v>219</v>
      </c>
      <c r="C77" s="28">
        <v>5661926</v>
      </c>
      <c r="D77" s="28"/>
      <c r="E77" s="41">
        <v>46153</v>
      </c>
      <c r="F77" s="47">
        <v>4.2129629629629628E-2</v>
      </c>
      <c r="G77" s="44">
        <v>6.3</v>
      </c>
      <c r="H77" s="43" t="s">
        <v>1362</v>
      </c>
      <c r="I77" s="40" t="s">
        <v>1361</v>
      </c>
    </row>
    <row r="78" spans="1:9" x14ac:dyDescent="0.25">
      <c r="A78" s="40" t="s">
        <v>346</v>
      </c>
      <c r="B78" s="28">
        <v>219</v>
      </c>
      <c r="C78" s="28">
        <v>5662015</v>
      </c>
      <c r="D78" s="28"/>
      <c r="E78" s="41">
        <v>46153</v>
      </c>
      <c r="F78" s="47">
        <v>0.22968749999999999</v>
      </c>
      <c r="G78" s="44">
        <v>6.3</v>
      </c>
      <c r="H78" s="43" t="s">
        <v>1363</v>
      </c>
      <c r="I78" s="40" t="s">
        <v>1361</v>
      </c>
    </row>
    <row r="79" spans="1:9" x14ac:dyDescent="0.25">
      <c r="A79" s="40" t="s">
        <v>346</v>
      </c>
      <c r="B79" s="28">
        <v>219</v>
      </c>
      <c r="C79" s="28">
        <v>5662015</v>
      </c>
      <c r="D79" s="28"/>
      <c r="E79" s="41">
        <v>46153</v>
      </c>
      <c r="F79" s="47">
        <v>0.23461805555555557</v>
      </c>
      <c r="G79" s="44">
        <v>6.3</v>
      </c>
      <c r="H79" s="43" t="s">
        <v>1364</v>
      </c>
      <c r="I79" s="40" t="s">
        <v>1361</v>
      </c>
    </row>
    <row r="80" spans="1:9" x14ac:dyDescent="0.25">
      <c r="A80" s="40" t="s">
        <v>346</v>
      </c>
      <c r="B80" s="28">
        <v>219</v>
      </c>
      <c r="C80" s="28">
        <v>5664646</v>
      </c>
      <c r="D80" s="28"/>
      <c r="E80" s="41">
        <v>46155</v>
      </c>
      <c r="F80" s="47">
        <v>0.18156249999999999</v>
      </c>
      <c r="G80" s="44">
        <v>6.3</v>
      </c>
      <c r="H80" s="43" t="s">
        <v>1369</v>
      </c>
      <c r="I80" s="40" t="s">
        <v>1361</v>
      </c>
    </row>
    <row r="81" spans="1:9" x14ac:dyDescent="0.25">
      <c r="A81" s="40" t="s">
        <v>346</v>
      </c>
      <c r="B81" s="28">
        <v>219</v>
      </c>
      <c r="C81" s="28">
        <v>5664646</v>
      </c>
      <c r="D81" s="28"/>
      <c r="E81" s="45">
        <v>46155</v>
      </c>
      <c r="F81" s="48">
        <v>0.18625</v>
      </c>
      <c r="G81" s="44">
        <v>6.3</v>
      </c>
      <c r="H81" s="43" t="s">
        <v>1364</v>
      </c>
      <c r="I81" s="40" t="s">
        <v>1361</v>
      </c>
    </row>
    <row r="82" spans="1:9" x14ac:dyDescent="0.25">
      <c r="A82" s="40" t="s">
        <v>346</v>
      </c>
      <c r="B82" s="28">
        <v>219</v>
      </c>
      <c r="C82" s="28" t="s">
        <v>518</v>
      </c>
      <c r="D82" s="28"/>
      <c r="E82" s="41">
        <v>46155</v>
      </c>
      <c r="F82" s="47">
        <v>0.98266203703703703</v>
      </c>
      <c r="G82" s="44">
        <v>6.3</v>
      </c>
      <c r="H82" s="43" t="s">
        <v>1360</v>
      </c>
      <c r="I82" s="40" t="s">
        <v>1361</v>
      </c>
    </row>
    <row r="83" spans="1:9" x14ac:dyDescent="0.25">
      <c r="A83" s="40" t="s">
        <v>346</v>
      </c>
      <c r="B83" s="28">
        <v>219</v>
      </c>
      <c r="C83" s="28" t="s">
        <v>518</v>
      </c>
      <c r="D83" s="28"/>
      <c r="E83" s="45">
        <v>46155</v>
      </c>
      <c r="F83" s="48">
        <v>0.98995370370370372</v>
      </c>
      <c r="G83" s="44">
        <v>6.3</v>
      </c>
      <c r="H83" s="43" t="s">
        <v>1362</v>
      </c>
      <c r="I83" s="40" t="s">
        <v>1361</v>
      </c>
    </row>
    <row r="84" spans="1:9" x14ac:dyDescent="0.25">
      <c r="A84" s="40" t="s">
        <v>346</v>
      </c>
      <c r="B84" s="28">
        <v>219</v>
      </c>
      <c r="C84" s="28" t="s">
        <v>519</v>
      </c>
      <c r="D84" s="28"/>
      <c r="E84" s="41">
        <v>46159</v>
      </c>
      <c r="F84" s="47">
        <v>8.9004629629629625E-3</v>
      </c>
      <c r="G84" s="44">
        <v>6.3</v>
      </c>
      <c r="H84" s="43" t="s">
        <v>1360</v>
      </c>
      <c r="I84" s="40" t="s">
        <v>1365</v>
      </c>
    </row>
    <row r="85" spans="1:9" x14ac:dyDescent="0.25">
      <c r="A85" s="40" t="s">
        <v>346</v>
      </c>
      <c r="B85" s="28">
        <v>219</v>
      </c>
      <c r="C85" s="28" t="s">
        <v>519</v>
      </c>
      <c r="D85" s="28"/>
      <c r="E85" s="41">
        <v>46159</v>
      </c>
      <c r="F85" s="47">
        <v>1.6006944444444445E-2</v>
      </c>
      <c r="G85" s="44">
        <v>6.3</v>
      </c>
      <c r="H85" s="43" t="s">
        <v>1362</v>
      </c>
      <c r="I85" s="40" t="s">
        <v>1365</v>
      </c>
    </row>
    <row r="86" spans="1:9" x14ac:dyDescent="0.25">
      <c r="A86" s="40" t="s">
        <v>149</v>
      </c>
      <c r="B86" s="28">
        <v>220</v>
      </c>
      <c r="C86" s="28" t="s">
        <v>520</v>
      </c>
      <c r="D86" s="28"/>
      <c r="E86" s="41">
        <v>46156</v>
      </c>
      <c r="F86" s="47">
        <v>4.1319444444444442E-3</v>
      </c>
      <c r="G86" s="44">
        <v>6.3</v>
      </c>
      <c r="H86" s="43" t="s">
        <v>1360</v>
      </c>
      <c r="I86" s="40" t="s">
        <v>1361</v>
      </c>
    </row>
    <row r="87" spans="1:9" x14ac:dyDescent="0.25">
      <c r="A87" s="40" t="s">
        <v>149</v>
      </c>
      <c r="B87" s="28">
        <v>220</v>
      </c>
      <c r="C87" s="28" t="s">
        <v>520</v>
      </c>
      <c r="D87" s="28"/>
      <c r="E87" s="41">
        <v>46156</v>
      </c>
      <c r="F87" s="47">
        <v>1.1516203703703704E-2</v>
      </c>
      <c r="G87" s="44">
        <v>6.3</v>
      </c>
      <c r="H87" s="43" t="s">
        <v>1362</v>
      </c>
      <c r="I87" s="40" t="s">
        <v>1361</v>
      </c>
    </row>
    <row r="88" spans="1:9" x14ac:dyDescent="0.25">
      <c r="A88" s="40" t="s">
        <v>149</v>
      </c>
      <c r="B88" s="28">
        <v>220</v>
      </c>
      <c r="C88" s="28">
        <v>5670053</v>
      </c>
      <c r="D88" s="28"/>
      <c r="E88" s="41">
        <v>46158</v>
      </c>
      <c r="F88" s="47">
        <v>2.2002314814814815E-2</v>
      </c>
      <c r="G88" s="44">
        <v>6.3</v>
      </c>
      <c r="H88" s="43" t="s">
        <v>1360</v>
      </c>
      <c r="I88" s="40" t="s">
        <v>1365</v>
      </c>
    </row>
    <row r="89" spans="1:9" x14ac:dyDescent="0.25">
      <c r="A89" s="40" t="s">
        <v>149</v>
      </c>
      <c r="B89" s="28">
        <v>220</v>
      </c>
      <c r="C89" s="28">
        <v>5670053</v>
      </c>
      <c r="D89" s="28"/>
      <c r="E89" s="41">
        <v>46158</v>
      </c>
      <c r="F89" s="47">
        <v>2.9733796296296296E-2</v>
      </c>
      <c r="G89" s="44">
        <v>6.3</v>
      </c>
      <c r="H89" s="43" t="s">
        <v>1362</v>
      </c>
      <c r="I89" s="40" t="s">
        <v>1365</v>
      </c>
    </row>
    <row r="90" spans="1:9" x14ac:dyDescent="0.25">
      <c r="A90" s="40" t="s">
        <v>149</v>
      </c>
      <c r="B90" s="28">
        <v>220</v>
      </c>
      <c r="C90" s="28" t="s">
        <v>35</v>
      </c>
      <c r="D90" s="28" t="s">
        <v>38</v>
      </c>
      <c r="E90" s="41">
        <v>46158</v>
      </c>
      <c r="F90" s="47">
        <v>0.93533564814814818</v>
      </c>
      <c r="G90" s="44">
        <v>6.3</v>
      </c>
      <c r="H90" s="43" t="s">
        <v>1360</v>
      </c>
      <c r="I90" s="40" t="s">
        <v>1365</v>
      </c>
    </row>
    <row r="91" spans="1:9" x14ac:dyDescent="0.25">
      <c r="A91" s="40" t="s">
        <v>149</v>
      </c>
      <c r="B91" s="28">
        <v>220</v>
      </c>
      <c r="C91" s="28" t="s">
        <v>521</v>
      </c>
      <c r="D91" s="28"/>
      <c r="E91" s="45">
        <v>46159</v>
      </c>
      <c r="F91" s="48">
        <v>0.9626851851851852</v>
      </c>
      <c r="G91" s="44">
        <v>6.3</v>
      </c>
      <c r="H91" s="43" t="s">
        <v>1360</v>
      </c>
      <c r="I91" s="40" t="s">
        <v>1365</v>
      </c>
    </row>
    <row r="92" spans="1:9" x14ac:dyDescent="0.25">
      <c r="A92" s="40" t="s">
        <v>149</v>
      </c>
      <c r="B92" s="28">
        <v>220</v>
      </c>
      <c r="C92" s="28" t="s">
        <v>521</v>
      </c>
      <c r="D92" s="28"/>
      <c r="E92" s="41">
        <v>46159</v>
      </c>
      <c r="F92" s="47">
        <v>0.97056712962962965</v>
      </c>
      <c r="G92" s="44">
        <v>6.3</v>
      </c>
      <c r="H92" s="43" t="s">
        <v>1362</v>
      </c>
      <c r="I92" s="40" t="s">
        <v>1365</v>
      </c>
    </row>
    <row r="93" spans="1:9" x14ac:dyDescent="0.25">
      <c r="A93" s="40" t="s">
        <v>168</v>
      </c>
      <c r="B93" s="28">
        <v>221</v>
      </c>
      <c r="C93" s="28" t="s">
        <v>522</v>
      </c>
      <c r="D93" s="28"/>
      <c r="E93" s="41">
        <v>46153</v>
      </c>
      <c r="F93" s="47">
        <v>0.88033564814814813</v>
      </c>
      <c r="G93" s="44">
        <v>6.3</v>
      </c>
      <c r="H93" s="43" t="s">
        <v>1360</v>
      </c>
      <c r="I93" s="40" t="s">
        <v>1361</v>
      </c>
    </row>
    <row r="94" spans="1:9" x14ac:dyDescent="0.25">
      <c r="A94" s="40" t="s">
        <v>168</v>
      </c>
      <c r="B94" s="28">
        <v>221</v>
      </c>
      <c r="C94" s="28" t="s">
        <v>522</v>
      </c>
      <c r="D94" s="28"/>
      <c r="E94" s="41">
        <v>46153</v>
      </c>
      <c r="F94" s="47">
        <v>0.88803240740740741</v>
      </c>
      <c r="G94" s="44">
        <v>6.3</v>
      </c>
      <c r="H94" s="43" t="s">
        <v>1362</v>
      </c>
      <c r="I94" s="40" t="s">
        <v>1361</v>
      </c>
    </row>
    <row r="95" spans="1:9" x14ac:dyDescent="0.25">
      <c r="A95" s="40" t="s">
        <v>168</v>
      </c>
      <c r="B95" s="28">
        <v>221</v>
      </c>
      <c r="C95" s="28" t="s">
        <v>35</v>
      </c>
      <c r="D95" s="28" t="s">
        <v>38</v>
      </c>
      <c r="E95" s="41">
        <v>46153</v>
      </c>
      <c r="F95" s="47">
        <v>0.91456018518518523</v>
      </c>
      <c r="G95" s="44">
        <v>6.3</v>
      </c>
      <c r="H95" s="43" t="s">
        <v>1363</v>
      </c>
      <c r="I95" s="40" t="s">
        <v>1361</v>
      </c>
    </row>
    <row r="96" spans="1:9" x14ac:dyDescent="0.25">
      <c r="A96" s="40" t="s">
        <v>168</v>
      </c>
      <c r="B96" s="28">
        <v>221</v>
      </c>
      <c r="C96" s="28" t="s">
        <v>35</v>
      </c>
      <c r="D96" s="28" t="s">
        <v>38</v>
      </c>
      <c r="E96" s="41">
        <v>46153</v>
      </c>
      <c r="F96" s="47">
        <v>0.92099537037037038</v>
      </c>
      <c r="G96" s="44">
        <v>6.3</v>
      </c>
      <c r="H96" s="43" t="s">
        <v>1364</v>
      </c>
      <c r="I96" s="40" t="s">
        <v>1361</v>
      </c>
    </row>
    <row r="97" spans="1:9" x14ac:dyDescent="0.25">
      <c r="A97" s="40" t="s">
        <v>168</v>
      </c>
      <c r="B97" s="28">
        <v>221</v>
      </c>
      <c r="C97" s="28" t="s">
        <v>523</v>
      </c>
      <c r="D97" s="28"/>
      <c r="E97" s="41">
        <v>46154</v>
      </c>
      <c r="F97" s="47">
        <v>0.51350694444444445</v>
      </c>
      <c r="G97" s="44">
        <v>6.3</v>
      </c>
      <c r="H97" s="43" t="s">
        <v>1360</v>
      </c>
      <c r="I97" s="40" t="s">
        <v>1361</v>
      </c>
    </row>
    <row r="98" spans="1:9" x14ac:dyDescent="0.25">
      <c r="A98" s="40" t="s">
        <v>168</v>
      </c>
      <c r="B98" s="28">
        <v>221</v>
      </c>
      <c r="C98" s="28" t="s">
        <v>523</v>
      </c>
      <c r="D98" s="28"/>
      <c r="E98" s="45">
        <v>46154</v>
      </c>
      <c r="F98" s="48">
        <v>0.52545138888888887</v>
      </c>
      <c r="G98" s="44">
        <v>6.3</v>
      </c>
      <c r="H98" s="43" t="s">
        <v>1362</v>
      </c>
      <c r="I98" s="40" t="s">
        <v>1361</v>
      </c>
    </row>
    <row r="99" spans="1:9" x14ac:dyDescent="0.25">
      <c r="A99" s="40" t="s">
        <v>168</v>
      </c>
      <c r="B99" s="28">
        <v>221</v>
      </c>
      <c r="C99" s="28" t="s">
        <v>524</v>
      </c>
      <c r="D99" s="28"/>
      <c r="E99" s="41">
        <v>46154</v>
      </c>
      <c r="F99" s="47">
        <v>0.77983796296296293</v>
      </c>
      <c r="G99" s="44">
        <v>6.3</v>
      </c>
      <c r="H99" s="43" t="s">
        <v>1360</v>
      </c>
      <c r="I99" s="40" t="s">
        <v>1361</v>
      </c>
    </row>
    <row r="100" spans="1:9" x14ac:dyDescent="0.25">
      <c r="A100" s="40" t="s">
        <v>168</v>
      </c>
      <c r="B100" s="28">
        <v>221</v>
      </c>
      <c r="C100" s="28" t="s">
        <v>524</v>
      </c>
      <c r="D100" s="28"/>
      <c r="E100" s="41">
        <v>46154</v>
      </c>
      <c r="F100" s="47">
        <v>0.79829861111111111</v>
      </c>
      <c r="G100" s="44">
        <v>6.3</v>
      </c>
      <c r="H100" s="43" t="s">
        <v>1362</v>
      </c>
      <c r="I100" s="40" t="s">
        <v>1361</v>
      </c>
    </row>
    <row r="101" spans="1:9" x14ac:dyDescent="0.25">
      <c r="A101" s="40" t="s">
        <v>168</v>
      </c>
      <c r="B101" s="28">
        <v>221</v>
      </c>
      <c r="C101" s="28" t="s">
        <v>35</v>
      </c>
      <c r="D101" s="28" t="s">
        <v>38</v>
      </c>
      <c r="E101" s="41">
        <v>46154</v>
      </c>
      <c r="F101" s="47">
        <v>0.83072916666666663</v>
      </c>
      <c r="G101" s="44">
        <v>6.3</v>
      </c>
      <c r="H101" s="43" t="s">
        <v>1369</v>
      </c>
      <c r="I101" s="40" t="s">
        <v>1361</v>
      </c>
    </row>
    <row r="102" spans="1:9" x14ac:dyDescent="0.25">
      <c r="A102" s="40" t="s">
        <v>168</v>
      </c>
      <c r="B102" s="28">
        <v>221</v>
      </c>
      <c r="C102" s="28" t="s">
        <v>35</v>
      </c>
      <c r="D102" s="28" t="s">
        <v>38</v>
      </c>
      <c r="E102" s="41">
        <v>46154</v>
      </c>
      <c r="F102" s="47">
        <v>0.84946759259259264</v>
      </c>
      <c r="G102" s="44">
        <v>6.3</v>
      </c>
      <c r="H102" s="43" t="s">
        <v>1364</v>
      </c>
      <c r="I102" s="40" t="s">
        <v>1361</v>
      </c>
    </row>
    <row r="103" spans="1:9" x14ac:dyDescent="0.25">
      <c r="A103" s="40" t="s">
        <v>168</v>
      </c>
      <c r="B103" s="28">
        <v>221</v>
      </c>
      <c r="C103" s="28" t="s">
        <v>525</v>
      </c>
      <c r="D103" s="28"/>
      <c r="E103" s="41">
        <v>46154</v>
      </c>
      <c r="F103" s="47">
        <v>0.90179398148148149</v>
      </c>
      <c r="G103" s="44">
        <v>6.3</v>
      </c>
      <c r="H103" s="43" t="s">
        <v>1360</v>
      </c>
      <c r="I103" s="40" t="s">
        <v>1361</v>
      </c>
    </row>
    <row r="104" spans="1:9" x14ac:dyDescent="0.25">
      <c r="A104" s="40" t="s">
        <v>168</v>
      </c>
      <c r="B104" s="28">
        <v>221</v>
      </c>
      <c r="C104" s="28" t="s">
        <v>525</v>
      </c>
      <c r="D104" s="28"/>
      <c r="E104" s="41">
        <v>46154</v>
      </c>
      <c r="F104" s="47">
        <v>0.9094444444444445</v>
      </c>
      <c r="G104" s="44">
        <v>6.3</v>
      </c>
      <c r="H104" s="43" t="s">
        <v>1362</v>
      </c>
      <c r="I104" s="40" t="s">
        <v>1361</v>
      </c>
    </row>
    <row r="105" spans="1:9" x14ac:dyDescent="0.25">
      <c r="A105" s="40" t="s">
        <v>168</v>
      </c>
      <c r="B105" s="28">
        <v>221</v>
      </c>
      <c r="C105" s="28" t="s">
        <v>35</v>
      </c>
      <c r="D105" s="28" t="s">
        <v>38</v>
      </c>
      <c r="E105" s="41">
        <v>46154</v>
      </c>
      <c r="F105" s="47">
        <v>0.93133101851851852</v>
      </c>
      <c r="G105" s="44">
        <v>6.3</v>
      </c>
      <c r="H105" s="43" t="s">
        <v>1364</v>
      </c>
      <c r="I105" s="40" t="s">
        <v>1361</v>
      </c>
    </row>
    <row r="106" spans="1:9" x14ac:dyDescent="0.25">
      <c r="A106" s="40" t="s">
        <v>168</v>
      </c>
      <c r="B106" s="28">
        <v>221</v>
      </c>
      <c r="C106" s="28" t="s">
        <v>35</v>
      </c>
      <c r="D106" s="28" t="s">
        <v>38</v>
      </c>
      <c r="E106" s="41">
        <v>46155</v>
      </c>
      <c r="F106" s="47">
        <v>0.92674768518518513</v>
      </c>
      <c r="G106" s="44">
        <v>6.3</v>
      </c>
      <c r="H106" s="43" t="s">
        <v>1369</v>
      </c>
      <c r="I106" s="40" t="s">
        <v>1361</v>
      </c>
    </row>
    <row r="107" spans="1:9" x14ac:dyDescent="0.25">
      <c r="A107" s="40" t="s">
        <v>168</v>
      </c>
      <c r="B107" s="28">
        <v>221</v>
      </c>
      <c r="C107" s="28" t="s">
        <v>35</v>
      </c>
      <c r="D107" s="28" t="s">
        <v>38</v>
      </c>
      <c r="E107" s="41">
        <v>46155</v>
      </c>
      <c r="F107" s="47">
        <v>0.93216435185185187</v>
      </c>
      <c r="G107" s="44">
        <v>6.3</v>
      </c>
      <c r="H107" s="43" t="s">
        <v>1364</v>
      </c>
      <c r="I107" s="40" t="s">
        <v>1361</v>
      </c>
    </row>
    <row r="108" spans="1:9" x14ac:dyDescent="0.25">
      <c r="A108" s="40" t="s">
        <v>168</v>
      </c>
      <c r="B108" s="28">
        <v>221</v>
      </c>
      <c r="C108" s="28" t="s">
        <v>526</v>
      </c>
      <c r="D108" s="28"/>
      <c r="E108" s="41">
        <v>46156</v>
      </c>
      <c r="F108" s="47">
        <v>0.61804398148148143</v>
      </c>
      <c r="G108" s="44">
        <v>6.3</v>
      </c>
      <c r="H108" s="43" t="s">
        <v>1360</v>
      </c>
      <c r="I108" s="40" t="s">
        <v>1361</v>
      </c>
    </row>
    <row r="109" spans="1:9" x14ac:dyDescent="0.25">
      <c r="A109" s="40" t="s">
        <v>168</v>
      </c>
      <c r="B109" s="28">
        <v>221</v>
      </c>
      <c r="C109" s="28" t="s">
        <v>526</v>
      </c>
      <c r="D109" s="28"/>
      <c r="E109" s="41">
        <v>46156</v>
      </c>
      <c r="F109" s="47">
        <v>0.62807870370370367</v>
      </c>
      <c r="G109" s="44">
        <v>6.3</v>
      </c>
      <c r="H109" s="43" t="s">
        <v>1362</v>
      </c>
      <c r="I109" s="40" t="s">
        <v>1361</v>
      </c>
    </row>
    <row r="110" spans="1:9" x14ac:dyDescent="0.25">
      <c r="A110" s="40" t="s">
        <v>168</v>
      </c>
      <c r="B110" s="28">
        <v>221</v>
      </c>
      <c r="C110" s="28" t="s">
        <v>527</v>
      </c>
      <c r="D110" s="28"/>
      <c r="E110" s="41">
        <v>46157</v>
      </c>
      <c r="F110" s="47">
        <v>0.80530092592592595</v>
      </c>
      <c r="G110" s="42">
        <v>6.3</v>
      </c>
      <c r="H110" s="40" t="s">
        <v>1360</v>
      </c>
      <c r="I110" s="40" t="s">
        <v>1361</v>
      </c>
    </row>
    <row r="111" spans="1:9" x14ac:dyDescent="0.25">
      <c r="A111" s="40" t="s">
        <v>168</v>
      </c>
      <c r="B111" s="28">
        <v>221</v>
      </c>
      <c r="C111" s="28" t="s">
        <v>527</v>
      </c>
      <c r="D111" s="28"/>
      <c r="E111" s="41">
        <v>46157</v>
      </c>
      <c r="F111" s="47">
        <v>0.8268402777777778</v>
      </c>
      <c r="G111" s="42">
        <v>6.3</v>
      </c>
      <c r="H111" s="40" t="s">
        <v>1362</v>
      </c>
      <c r="I111" s="40" t="s">
        <v>1361</v>
      </c>
    </row>
    <row r="112" spans="1:9" x14ac:dyDescent="0.25">
      <c r="A112" s="40" t="s">
        <v>168</v>
      </c>
      <c r="B112" s="28">
        <v>221</v>
      </c>
      <c r="C112" s="28">
        <v>5671397</v>
      </c>
      <c r="D112" s="28"/>
      <c r="E112" s="41">
        <v>46158</v>
      </c>
      <c r="F112" s="47">
        <v>0.52201388888888889</v>
      </c>
      <c r="G112" s="44">
        <v>6.3</v>
      </c>
      <c r="H112" s="43" t="s">
        <v>1360</v>
      </c>
      <c r="I112" s="40" t="s">
        <v>1365</v>
      </c>
    </row>
    <row r="113" spans="1:9" x14ac:dyDescent="0.25">
      <c r="A113" s="40" t="s">
        <v>168</v>
      </c>
      <c r="B113" s="28">
        <v>221</v>
      </c>
      <c r="C113" s="28" t="s">
        <v>35</v>
      </c>
      <c r="D113" s="28" t="s">
        <v>38</v>
      </c>
      <c r="E113" s="41">
        <v>46158</v>
      </c>
      <c r="F113" s="47">
        <v>0.58754629629629629</v>
      </c>
      <c r="G113" s="44">
        <v>6.3</v>
      </c>
      <c r="H113" s="43" t="s">
        <v>1364</v>
      </c>
      <c r="I113" s="40" t="s">
        <v>1365</v>
      </c>
    </row>
    <row r="114" spans="1:9" x14ac:dyDescent="0.25">
      <c r="A114" s="40" t="s">
        <v>168</v>
      </c>
      <c r="B114" s="28">
        <v>221</v>
      </c>
      <c r="C114" s="28" t="s">
        <v>528</v>
      </c>
      <c r="D114" s="28"/>
      <c r="E114" s="45">
        <v>46159</v>
      </c>
      <c r="F114" s="48">
        <v>0.79070601851851852</v>
      </c>
      <c r="G114" s="44">
        <v>6.3</v>
      </c>
      <c r="H114" s="43" t="s">
        <v>1360</v>
      </c>
      <c r="I114" s="40" t="s">
        <v>1365</v>
      </c>
    </row>
    <row r="115" spans="1:9" x14ac:dyDescent="0.25">
      <c r="A115" s="40" t="s">
        <v>168</v>
      </c>
      <c r="B115" s="28">
        <v>221</v>
      </c>
      <c r="C115" s="28" t="s">
        <v>528</v>
      </c>
      <c r="D115" s="28"/>
      <c r="E115" s="41">
        <v>46159</v>
      </c>
      <c r="F115" s="47">
        <v>0.79842592592592587</v>
      </c>
      <c r="G115" s="44">
        <v>6.3</v>
      </c>
      <c r="H115" s="43" t="s">
        <v>1362</v>
      </c>
      <c r="I115" s="40" t="s">
        <v>1365</v>
      </c>
    </row>
    <row r="116" spans="1:9" x14ac:dyDescent="0.25">
      <c r="A116" s="40" t="s">
        <v>168</v>
      </c>
      <c r="B116" s="28">
        <v>221</v>
      </c>
      <c r="C116" s="28" t="s">
        <v>35</v>
      </c>
      <c r="D116" s="28" t="s">
        <v>38</v>
      </c>
      <c r="E116" s="41">
        <v>46159</v>
      </c>
      <c r="F116" s="47">
        <v>0.82738425925925929</v>
      </c>
      <c r="G116" s="44">
        <v>6.3</v>
      </c>
      <c r="H116" s="43" t="s">
        <v>1363</v>
      </c>
      <c r="I116" s="40" t="s">
        <v>1365</v>
      </c>
    </row>
    <row r="117" spans="1:9" x14ac:dyDescent="0.25">
      <c r="A117" s="40" t="s">
        <v>168</v>
      </c>
      <c r="B117" s="28">
        <v>221</v>
      </c>
      <c r="C117" s="28" t="s">
        <v>35</v>
      </c>
      <c r="D117" s="28" t="s">
        <v>38</v>
      </c>
      <c r="E117" s="41">
        <v>46159</v>
      </c>
      <c r="F117" s="47">
        <v>0.83269675925925923</v>
      </c>
      <c r="G117" s="44">
        <v>6.3</v>
      </c>
      <c r="H117" s="43" t="s">
        <v>1364</v>
      </c>
      <c r="I117" s="40" t="s">
        <v>1365</v>
      </c>
    </row>
    <row r="118" spans="1:9" x14ac:dyDescent="0.25">
      <c r="A118" s="40" t="s">
        <v>150</v>
      </c>
      <c r="B118" s="28">
        <v>222</v>
      </c>
      <c r="C118" s="28">
        <v>5671091</v>
      </c>
      <c r="D118" s="28"/>
      <c r="E118" s="41">
        <v>46157</v>
      </c>
      <c r="F118" s="47">
        <v>0.9768634259259259</v>
      </c>
      <c r="G118" s="44">
        <v>6.3</v>
      </c>
      <c r="H118" s="43" t="s">
        <v>1360</v>
      </c>
      <c r="I118" s="40" t="s">
        <v>1361</v>
      </c>
    </row>
    <row r="119" spans="1:9" x14ac:dyDescent="0.25">
      <c r="A119" s="40" t="s">
        <v>150</v>
      </c>
      <c r="B119" s="28">
        <v>222</v>
      </c>
      <c r="C119" s="28">
        <v>5671091</v>
      </c>
      <c r="D119" s="28"/>
      <c r="E119" s="41">
        <v>46157</v>
      </c>
      <c r="F119" s="47">
        <v>0.98660879629629628</v>
      </c>
      <c r="G119" s="44">
        <v>6.3</v>
      </c>
      <c r="H119" s="43" t="s">
        <v>1362</v>
      </c>
      <c r="I119" s="40" t="s">
        <v>1361</v>
      </c>
    </row>
    <row r="120" spans="1:9" x14ac:dyDescent="0.25">
      <c r="A120" s="40" t="s">
        <v>150</v>
      </c>
      <c r="B120" s="28">
        <v>222</v>
      </c>
      <c r="C120" s="28">
        <v>5672518</v>
      </c>
      <c r="D120" s="28"/>
      <c r="E120" s="45">
        <v>46159</v>
      </c>
      <c r="F120" s="48">
        <v>0.53255787037037039</v>
      </c>
      <c r="G120" s="44">
        <v>6.3</v>
      </c>
      <c r="H120" s="43" t="s">
        <v>1360</v>
      </c>
      <c r="I120" s="40" t="s">
        <v>1365</v>
      </c>
    </row>
    <row r="121" spans="1:9" x14ac:dyDescent="0.25">
      <c r="A121" s="40" t="s">
        <v>150</v>
      </c>
      <c r="B121" s="28">
        <v>222</v>
      </c>
      <c r="C121" s="28">
        <v>5672518</v>
      </c>
      <c r="D121" s="28"/>
      <c r="E121" s="41">
        <v>46159</v>
      </c>
      <c r="F121" s="47">
        <v>0.53937500000000005</v>
      </c>
      <c r="G121" s="44">
        <v>6.3</v>
      </c>
      <c r="H121" s="43" t="s">
        <v>1362</v>
      </c>
      <c r="I121" s="40" t="s">
        <v>1365</v>
      </c>
    </row>
    <row r="122" spans="1:9" x14ac:dyDescent="0.25">
      <c r="A122" s="40" t="s">
        <v>150</v>
      </c>
      <c r="B122" s="28">
        <v>222</v>
      </c>
      <c r="C122" s="28">
        <v>5672276</v>
      </c>
      <c r="D122" s="28" t="s">
        <v>37</v>
      </c>
      <c r="E122" s="41">
        <v>46159</v>
      </c>
      <c r="F122" s="47">
        <v>0.71862268518518524</v>
      </c>
      <c r="G122" s="44">
        <v>6.3</v>
      </c>
      <c r="H122" s="43" t="s">
        <v>1360</v>
      </c>
      <c r="I122" s="40" t="s">
        <v>1365</v>
      </c>
    </row>
    <row r="123" spans="1:9" x14ac:dyDescent="0.25">
      <c r="A123" s="40" t="s">
        <v>150</v>
      </c>
      <c r="B123" s="28">
        <v>222</v>
      </c>
      <c r="C123" s="28">
        <v>5672276</v>
      </c>
      <c r="D123" s="28" t="s">
        <v>37</v>
      </c>
      <c r="E123" s="41">
        <v>46159</v>
      </c>
      <c r="F123" s="47">
        <v>0.72581018518518514</v>
      </c>
      <c r="G123" s="44">
        <v>6.3</v>
      </c>
      <c r="H123" s="43" t="s">
        <v>1362</v>
      </c>
      <c r="I123" s="40" t="s">
        <v>1365</v>
      </c>
    </row>
    <row r="124" spans="1:9" x14ac:dyDescent="0.25">
      <c r="A124" s="40" t="s">
        <v>150</v>
      </c>
      <c r="B124" s="28">
        <v>222</v>
      </c>
      <c r="C124" s="28" t="s">
        <v>35</v>
      </c>
      <c r="D124" s="28" t="s">
        <v>38</v>
      </c>
      <c r="E124" s="41">
        <v>46159</v>
      </c>
      <c r="F124" s="47">
        <v>0.74847222222222221</v>
      </c>
      <c r="G124" s="44">
        <v>6.3</v>
      </c>
      <c r="H124" s="43" t="s">
        <v>1363</v>
      </c>
      <c r="I124" s="40" t="s">
        <v>1365</v>
      </c>
    </row>
    <row r="125" spans="1:9" x14ac:dyDescent="0.25">
      <c r="A125" s="40" t="s">
        <v>150</v>
      </c>
      <c r="B125" s="28">
        <v>222</v>
      </c>
      <c r="C125" s="28" t="s">
        <v>35</v>
      </c>
      <c r="D125" s="28" t="s">
        <v>38</v>
      </c>
      <c r="E125" s="45">
        <v>46159</v>
      </c>
      <c r="F125" s="48">
        <v>0.7537152777777778</v>
      </c>
      <c r="G125" s="44">
        <v>6.3</v>
      </c>
      <c r="H125" s="43" t="s">
        <v>1364</v>
      </c>
      <c r="I125" s="40" t="s">
        <v>1365</v>
      </c>
    </row>
    <row r="126" spans="1:9" x14ac:dyDescent="0.25">
      <c r="A126" s="40" t="s">
        <v>216</v>
      </c>
      <c r="B126" s="28">
        <v>223</v>
      </c>
      <c r="C126" s="28">
        <v>5667699</v>
      </c>
      <c r="D126" s="28"/>
      <c r="E126" s="41">
        <v>46156</v>
      </c>
      <c r="F126" s="47">
        <v>5.4479166666666669E-2</v>
      </c>
      <c r="G126" s="44">
        <v>6.3</v>
      </c>
      <c r="H126" s="43" t="s">
        <v>1360</v>
      </c>
      <c r="I126" s="40" t="s">
        <v>1361</v>
      </c>
    </row>
    <row r="127" spans="1:9" x14ac:dyDescent="0.25">
      <c r="A127" s="40" t="s">
        <v>216</v>
      </c>
      <c r="B127" s="28">
        <v>223</v>
      </c>
      <c r="C127" s="28">
        <v>5667699</v>
      </c>
      <c r="D127" s="28"/>
      <c r="E127" s="41">
        <v>46156</v>
      </c>
      <c r="F127" s="47">
        <v>6.1874999999999999E-2</v>
      </c>
      <c r="G127" s="44">
        <v>6.3</v>
      </c>
      <c r="H127" s="43" t="s">
        <v>1362</v>
      </c>
      <c r="I127" s="40" t="s">
        <v>1361</v>
      </c>
    </row>
    <row r="128" spans="1:9" x14ac:dyDescent="0.25">
      <c r="A128" s="40" t="s">
        <v>216</v>
      </c>
      <c r="B128" s="28">
        <v>223</v>
      </c>
      <c r="C128" s="28">
        <v>5671085</v>
      </c>
      <c r="D128" s="28"/>
      <c r="E128" s="41">
        <v>46157</v>
      </c>
      <c r="F128" s="47">
        <v>0.96868055555555554</v>
      </c>
      <c r="G128" s="44">
        <v>6.3</v>
      </c>
      <c r="H128" s="43" t="s">
        <v>1360</v>
      </c>
      <c r="I128" s="40" t="s">
        <v>1361</v>
      </c>
    </row>
    <row r="129" spans="1:9" x14ac:dyDescent="0.25">
      <c r="A129" s="40" t="s">
        <v>216</v>
      </c>
      <c r="B129" s="28">
        <v>223</v>
      </c>
      <c r="C129" s="28">
        <v>5671085</v>
      </c>
      <c r="D129" s="28"/>
      <c r="E129" s="41">
        <v>46157</v>
      </c>
      <c r="F129" s="47">
        <v>0.97681712962962963</v>
      </c>
      <c r="G129" s="44">
        <v>6.3</v>
      </c>
      <c r="H129" s="43" t="s">
        <v>1362</v>
      </c>
      <c r="I129" s="40" t="s">
        <v>1361</v>
      </c>
    </row>
    <row r="130" spans="1:9" x14ac:dyDescent="0.25">
      <c r="A130" s="40" t="s">
        <v>216</v>
      </c>
      <c r="B130" s="28">
        <v>223</v>
      </c>
      <c r="C130" s="28">
        <v>5673130</v>
      </c>
      <c r="D130" s="28"/>
      <c r="E130" s="41">
        <v>46159</v>
      </c>
      <c r="F130" s="47">
        <v>0.94336805555555558</v>
      </c>
      <c r="G130" s="44">
        <v>6.3</v>
      </c>
      <c r="H130" s="43" t="s">
        <v>1360</v>
      </c>
      <c r="I130" s="40" t="s">
        <v>1365</v>
      </c>
    </row>
    <row r="131" spans="1:9" x14ac:dyDescent="0.25">
      <c r="A131" s="40" t="s">
        <v>216</v>
      </c>
      <c r="B131" s="28">
        <v>223</v>
      </c>
      <c r="C131" s="28">
        <v>5673130</v>
      </c>
      <c r="D131" s="28"/>
      <c r="E131" s="41">
        <v>46159</v>
      </c>
      <c r="F131" s="47">
        <v>0.94980324074074074</v>
      </c>
      <c r="G131" s="44">
        <v>6.3</v>
      </c>
      <c r="H131" s="43" t="s">
        <v>1362</v>
      </c>
      <c r="I131" s="40" t="s">
        <v>1365</v>
      </c>
    </row>
    <row r="132" spans="1:9" x14ac:dyDescent="0.25">
      <c r="A132" s="40" t="s">
        <v>216</v>
      </c>
      <c r="B132" s="28">
        <v>223</v>
      </c>
      <c r="C132" s="28" t="s">
        <v>35</v>
      </c>
      <c r="D132" s="28" t="s">
        <v>38</v>
      </c>
      <c r="E132" s="41">
        <v>46159</v>
      </c>
      <c r="F132" s="47">
        <v>0.95947916666666666</v>
      </c>
      <c r="G132" s="44">
        <v>6.3</v>
      </c>
      <c r="H132" s="43" t="s">
        <v>1363</v>
      </c>
      <c r="I132" s="40" t="s">
        <v>1365</v>
      </c>
    </row>
    <row r="133" spans="1:9" x14ac:dyDescent="0.25">
      <c r="A133" s="40" t="s">
        <v>90</v>
      </c>
      <c r="B133" s="28">
        <v>224</v>
      </c>
      <c r="C133" s="28" t="s">
        <v>35</v>
      </c>
      <c r="D133" s="28" t="s">
        <v>38</v>
      </c>
      <c r="E133" s="45">
        <v>46154</v>
      </c>
      <c r="F133" s="48">
        <v>0.29041666666666666</v>
      </c>
      <c r="G133" s="44">
        <v>6.3</v>
      </c>
      <c r="H133" s="43" t="s">
        <v>1360</v>
      </c>
      <c r="I133" s="40" t="s">
        <v>1361</v>
      </c>
    </row>
    <row r="134" spans="1:9" x14ac:dyDescent="0.25">
      <c r="A134" s="40" t="s">
        <v>90</v>
      </c>
      <c r="B134" s="28">
        <v>224</v>
      </c>
      <c r="C134" s="28" t="s">
        <v>35</v>
      </c>
      <c r="D134" s="28" t="s">
        <v>38</v>
      </c>
      <c r="E134" s="45">
        <v>46154</v>
      </c>
      <c r="F134" s="48">
        <v>0.3043865740740741</v>
      </c>
      <c r="G134" s="44">
        <v>6.3</v>
      </c>
      <c r="H134" s="43" t="s">
        <v>1362</v>
      </c>
      <c r="I134" s="40" t="s">
        <v>1361</v>
      </c>
    </row>
    <row r="135" spans="1:9" x14ac:dyDescent="0.25">
      <c r="A135" s="40" t="s">
        <v>90</v>
      </c>
      <c r="B135" s="28">
        <v>224</v>
      </c>
      <c r="C135" s="28" t="s">
        <v>35</v>
      </c>
      <c r="D135" s="28" t="s">
        <v>38</v>
      </c>
      <c r="E135" s="41">
        <v>46157</v>
      </c>
      <c r="F135" s="47">
        <v>0.58781249999999996</v>
      </c>
      <c r="G135" s="44">
        <v>6.3</v>
      </c>
      <c r="H135" s="43" t="s">
        <v>1360</v>
      </c>
      <c r="I135" s="40" t="s">
        <v>1361</v>
      </c>
    </row>
    <row r="136" spans="1:9" x14ac:dyDescent="0.25">
      <c r="A136" s="40" t="s">
        <v>90</v>
      </c>
      <c r="B136" s="28">
        <v>224</v>
      </c>
      <c r="C136" s="28" t="s">
        <v>35</v>
      </c>
      <c r="D136" s="28" t="s">
        <v>38</v>
      </c>
      <c r="E136" s="41">
        <v>46157</v>
      </c>
      <c r="F136" s="47">
        <v>0.6049768518518519</v>
      </c>
      <c r="G136" s="44">
        <v>6.3</v>
      </c>
      <c r="H136" s="43" t="s">
        <v>1362</v>
      </c>
      <c r="I136" s="40" t="s">
        <v>1361</v>
      </c>
    </row>
    <row r="137" spans="1:9" x14ac:dyDescent="0.25">
      <c r="A137" s="40" t="s">
        <v>90</v>
      </c>
      <c r="B137" s="28">
        <v>224</v>
      </c>
      <c r="C137" s="28" t="s">
        <v>529</v>
      </c>
      <c r="D137" s="28"/>
      <c r="E137" s="41">
        <v>46157</v>
      </c>
      <c r="F137" s="47">
        <v>0.90120370370370373</v>
      </c>
      <c r="G137" s="44">
        <v>6.3</v>
      </c>
      <c r="H137" s="43" t="s">
        <v>1360</v>
      </c>
      <c r="I137" s="40" t="s">
        <v>1361</v>
      </c>
    </row>
    <row r="138" spans="1:9" x14ac:dyDescent="0.25">
      <c r="A138" s="40" t="s">
        <v>90</v>
      </c>
      <c r="B138" s="28">
        <v>224</v>
      </c>
      <c r="C138" s="28" t="s">
        <v>529</v>
      </c>
      <c r="D138" s="28"/>
      <c r="E138" s="41">
        <v>46157</v>
      </c>
      <c r="F138" s="47">
        <v>0.90932870370370367</v>
      </c>
      <c r="G138" s="42">
        <v>6.3</v>
      </c>
      <c r="H138" s="40" t="s">
        <v>1362</v>
      </c>
      <c r="I138" s="40" t="s">
        <v>1361</v>
      </c>
    </row>
    <row r="139" spans="1:9" x14ac:dyDescent="0.25">
      <c r="A139" s="40" t="s">
        <v>353</v>
      </c>
      <c r="B139" s="28">
        <v>226</v>
      </c>
      <c r="C139" s="28">
        <v>5661374</v>
      </c>
      <c r="D139" s="28" t="s">
        <v>36</v>
      </c>
      <c r="E139" s="41">
        <v>46153</v>
      </c>
      <c r="F139" s="47">
        <v>0.57810185185185181</v>
      </c>
      <c r="G139" s="42">
        <v>6.3</v>
      </c>
      <c r="H139" s="40" t="s">
        <v>1364</v>
      </c>
      <c r="I139" s="40" t="s">
        <v>1361</v>
      </c>
    </row>
    <row r="140" spans="1:9" x14ac:dyDescent="0.25">
      <c r="A140" s="40" t="s">
        <v>353</v>
      </c>
      <c r="B140" s="28">
        <v>226</v>
      </c>
      <c r="C140" s="28" t="s">
        <v>530</v>
      </c>
      <c r="D140" s="28"/>
      <c r="E140" s="41">
        <v>46153</v>
      </c>
      <c r="F140" s="47">
        <v>0.80907407407407406</v>
      </c>
      <c r="G140" s="42">
        <v>6.3</v>
      </c>
      <c r="H140" s="40" t="s">
        <v>1360</v>
      </c>
      <c r="I140" s="40" t="s">
        <v>1361</v>
      </c>
    </row>
    <row r="141" spans="1:9" x14ac:dyDescent="0.25">
      <c r="A141" s="40" t="s">
        <v>353</v>
      </c>
      <c r="B141" s="28">
        <v>226</v>
      </c>
      <c r="C141" s="28" t="s">
        <v>530</v>
      </c>
      <c r="D141" s="28"/>
      <c r="E141" s="41">
        <v>46153</v>
      </c>
      <c r="F141" s="47">
        <v>0.81930555555555551</v>
      </c>
      <c r="G141" s="42">
        <v>6.3</v>
      </c>
      <c r="H141" s="40" t="s">
        <v>1362</v>
      </c>
      <c r="I141" s="40" t="s">
        <v>1361</v>
      </c>
    </row>
    <row r="142" spans="1:9" x14ac:dyDescent="0.25">
      <c r="A142" s="40" t="s">
        <v>353</v>
      </c>
      <c r="B142" s="28">
        <v>226</v>
      </c>
      <c r="C142" s="28">
        <v>5654024</v>
      </c>
      <c r="D142" s="28"/>
      <c r="E142" s="41">
        <v>46155</v>
      </c>
      <c r="F142" s="47">
        <v>0.24320601851851853</v>
      </c>
      <c r="G142" s="42">
        <v>6.3</v>
      </c>
      <c r="H142" s="40" t="s">
        <v>1363</v>
      </c>
      <c r="I142" s="40" t="s">
        <v>1361</v>
      </c>
    </row>
    <row r="143" spans="1:9" x14ac:dyDescent="0.25">
      <c r="A143" s="40" t="s">
        <v>353</v>
      </c>
      <c r="B143" s="28">
        <v>226</v>
      </c>
      <c r="C143" s="28">
        <v>5654024</v>
      </c>
      <c r="D143" s="28"/>
      <c r="E143" s="41">
        <v>46155</v>
      </c>
      <c r="F143" s="47">
        <v>0.25028935185185186</v>
      </c>
      <c r="G143" s="42">
        <v>6.3</v>
      </c>
      <c r="H143" s="40" t="s">
        <v>1364</v>
      </c>
      <c r="I143" s="40" t="s">
        <v>1361</v>
      </c>
    </row>
    <row r="144" spans="1:9" x14ac:dyDescent="0.25">
      <c r="A144" s="40" t="s">
        <v>353</v>
      </c>
      <c r="B144" s="28">
        <v>226</v>
      </c>
      <c r="C144" s="28">
        <v>5668596</v>
      </c>
      <c r="D144" s="28"/>
      <c r="E144" s="41">
        <v>46156</v>
      </c>
      <c r="F144" s="47">
        <v>0.65392361111111108</v>
      </c>
      <c r="G144" s="44">
        <v>6.3</v>
      </c>
      <c r="H144" s="43" t="s">
        <v>1360</v>
      </c>
      <c r="I144" s="40" t="s">
        <v>1361</v>
      </c>
    </row>
    <row r="145" spans="1:9" x14ac:dyDescent="0.25">
      <c r="A145" s="40" t="s">
        <v>353</v>
      </c>
      <c r="B145" s="28">
        <v>226</v>
      </c>
      <c r="C145" s="28">
        <v>5668596</v>
      </c>
      <c r="D145" s="28"/>
      <c r="E145" s="45">
        <v>46156</v>
      </c>
      <c r="F145" s="48">
        <v>0.67090277777777774</v>
      </c>
      <c r="G145" s="44">
        <v>6.3</v>
      </c>
      <c r="H145" s="43" t="s">
        <v>1362</v>
      </c>
      <c r="I145" s="40" t="s">
        <v>1361</v>
      </c>
    </row>
    <row r="146" spans="1:9" x14ac:dyDescent="0.25">
      <c r="A146" s="40" t="s">
        <v>353</v>
      </c>
      <c r="B146" s="28">
        <v>226</v>
      </c>
      <c r="C146" s="28" t="s">
        <v>35</v>
      </c>
      <c r="D146" s="28" t="s">
        <v>38</v>
      </c>
      <c r="E146" s="41">
        <v>46156</v>
      </c>
      <c r="F146" s="47">
        <v>0.69219907407407411</v>
      </c>
      <c r="G146" s="44">
        <v>6.3</v>
      </c>
      <c r="H146" s="43" t="s">
        <v>1364</v>
      </c>
      <c r="I146" s="40" t="s">
        <v>1361</v>
      </c>
    </row>
    <row r="147" spans="1:9" x14ac:dyDescent="0.25">
      <c r="A147" s="40" t="s">
        <v>353</v>
      </c>
      <c r="B147" s="28">
        <v>226</v>
      </c>
      <c r="C147" s="28" t="s">
        <v>531</v>
      </c>
      <c r="D147" s="28"/>
      <c r="E147" s="41">
        <v>46158</v>
      </c>
      <c r="F147" s="47">
        <v>0.82297453703703705</v>
      </c>
      <c r="G147" s="44">
        <v>6.3</v>
      </c>
      <c r="H147" s="43" t="s">
        <v>1360</v>
      </c>
      <c r="I147" s="40" t="s">
        <v>1365</v>
      </c>
    </row>
    <row r="148" spans="1:9" x14ac:dyDescent="0.25">
      <c r="A148" s="40" t="s">
        <v>353</v>
      </c>
      <c r="B148" s="28">
        <v>226</v>
      </c>
      <c r="C148" s="28" t="s">
        <v>531</v>
      </c>
      <c r="D148" s="28"/>
      <c r="E148" s="41">
        <v>46158</v>
      </c>
      <c r="F148" s="47">
        <v>0.83168981481481485</v>
      </c>
      <c r="G148" s="44">
        <v>6.3</v>
      </c>
      <c r="H148" s="43" t="s">
        <v>1362</v>
      </c>
      <c r="I148" s="40" t="s">
        <v>1365</v>
      </c>
    </row>
    <row r="149" spans="1:9" x14ac:dyDescent="0.25">
      <c r="A149" s="40" t="s">
        <v>54</v>
      </c>
      <c r="B149" s="28">
        <v>227</v>
      </c>
      <c r="C149" s="28" t="s">
        <v>35</v>
      </c>
      <c r="D149" s="28" t="s">
        <v>38</v>
      </c>
      <c r="E149" s="41">
        <v>46155</v>
      </c>
      <c r="F149" s="47">
        <v>0.68759259259259264</v>
      </c>
      <c r="G149" s="44">
        <v>6.3</v>
      </c>
      <c r="H149" s="43" t="s">
        <v>1363</v>
      </c>
      <c r="I149" s="40" t="s">
        <v>1361</v>
      </c>
    </row>
    <row r="150" spans="1:9" x14ac:dyDescent="0.25">
      <c r="A150" s="40" t="s">
        <v>54</v>
      </c>
      <c r="B150" s="28">
        <v>227</v>
      </c>
      <c r="C150" s="28" t="s">
        <v>35</v>
      </c>
      <c r="D150" s="28" t="s">
        <v>38</v>
      </c>
      <c r="E150" s="41">
        <v>46155</v>
      </c>
      <c r="F150" s="47">
        <v>0.69453703703703706</v>
      </c>
      <c r="G150" s="44">
        <v>6.3</v>
      </c>
      <c r="H150" s="43" t="s">
        <v>1364</v>
      </c>
      <c r="I150" s="40" t="s">
        <v>1361</v>
      </c>
    </row>
    <row r="151" spans="1:9" x14ac:dyDescent="0.25">
      <c r="A151" s="40" t="s">
        <v>54</v>
      </c>
      <c r="B151" s="28">
        <v>227</v>
      </c>
      <c r="C151" s="28" t="s">
        <v>35</v>
      </c>
      <c r="D151" s="28" t="s">
        <v>38</v>
      </c>
      <c r="E151" s="41">
        <v>46155</v>
      </c>
      <c r="F151" s="47">
        <v>0.77094907407407409</v>
      </c>
      <c r="G151" s="44">
        <v>6.3</v>
      </c>
      <c r="H151" s="43" t="s">
        <v>1360</v>
      </c>
      <c r="I151" s="40" t="s">
        <v>1361</v>
      </c>
    </row>
    <row r="152" spans="1:9" x14ac:dyDescent="0.25">
      <c r="A152" s="40" t="s">
        <v>54</v>
      </c>
      <c r="B152" s="28">
        <v>227</v>
      </c>
      <c r="C152" s="28" t="s">
        <v>35</v>
      </c>
      <c r="D152" s="28" t="s">
        <v>38</v>
      </c>
      <c r="E152" s="41">
        <v>46155</v>
      </c>
      <c r="F152" s="47">
        <v>0.81503472222222217</v>
      </c>
      <c r="G152" s="44">
        <v>6.3</v>
      </c>
      <c r="H152" s="43" t="s">
        <v>1362</v>
      </c>
      <c r="I152" s="40" t="s">
        <v>1361</v>
      </c>
    </row>
    <row r="153" spans="1:9" x14ac:dyDescent="0.25">
      <c r="A153" s="40" t="s">
        <v>54</v>
      </c>
      <c r="B153" s="28">
        <v>227</v>
      </c>
      <c r="C153" s="28">
        <v>5667847</v>
      </c>
      <c r="D153" s="28"/>
      <c r="E153" s="41">
        <v>46156</v>
      </c>
      <c r="F153" s="47">
        <v>0.3860763888888889</v>
      </c>
      <c r="G153" s="44">
        <v>6.3</v>
      </c>
      <c r="H153" s="43" t="s">
        <v>1360</v>
      </c>
      <c r="I153" s="40" t="s">
        <v>1361</v>
      </c>
    </row>
    <row r="154" spans="1:9" x14ac:dyDescent="0.25">
      <c r="A154" s="40" t="s">
        <v>54</v>
      </c>
      <c r="B154" s="28">
        <v>227</v>
      </c>
      <c r="C154" s="28">
        <v>5667847</v>
      </c>
      <c r="D154" s="28"/>
      <c r="E154" s="45">
        <v>46156</v>
      </c>
      <c r="F154" s="48">
        <v>0.39923611111111112</v>
      </c>
      <c r="G154" s="44">
        <v>6.3</v>
      </c>
      <c r="H154" s="43" t="s">
        <v>1362</v>
      </c>
      <c r="I154" s="40" t="s">
        <v>1361</v>
      </c>
    </row>
    <row r="155" spans="1:9" x14ac:dyDescent="0.25">
      <c r="A155" s="40" t="s">
        <v>54</v>
      </c>
      <c r="B155" s="28">
        <v>227</v>
      </c>
      <c r="C155" s="28">
        <v>5668694</v>
      </c>
      <c r="D155" s="28"/>
      <c r="E155" s="41">
        <v>46156</v>
      </c>
      <c r="F155" s="47">
        <v>0.82030092592592596</v>
      </c>
      <c r="G155" s="44">
        <v>6.3</v>
      </c>
      <c r="H155" s="43" t="s">
        <v>1360</v>
      </c>
      <c r="I155" s="40" t="s">
        <v>1361</v>
      </c>
    </row>
    <row r="156" spans="1:9" x14ac:dyDescent="0.25">
      <c r="A156" s="40" t="s">
        <v>54</v>
      </c>
      <c r="B156" s="28">
        <v>227</v>
      </c>
      <c r="C156" s="28">
        <v>5668694</v>
      </c>
      <c r="D156" s="28"/>
      <c r="E156" s="41">
        <v>46156</v>
      </c>
      <c r="F156" s="47">
        <v>0.83053240740740741</v>
      </c>
      <c r="G156" s="44">
        <v>6.3</v>
      </c>
      <c r="H156" s="43" t="s">
        <v>1362</v>
      </c>
      <c r="I156" s="40" t="s">
        <v>1361</v>
      </c>
    </row>
    <row r="157" spans="1:9" x14ac:dyDescent="0.25">
      <c r="A157" s="40" t="s">
        <v>55</v>
      </c>
      <c r="B157" s="28">
        <v>230</v>
      </c>
      <c r="C157" s="28" t="s">
        <v>532</v>
      </c>
      <c r="D157" s="28"/>
      <c r="E157" s="41">
        <v>46153</v>
      </c>
      <c r="F157" s="47">
        <v>0.3661921296296296</v>
      </c>
      <c r="G157" s="44">
        <v>6.3</v>
      </c>
      <c r="H157" s="43" t="s">
        <v>1360</v>
      </c>
      <c r="I157" s="40" t="s">
        <v>1361</v>
      </c>
    </row>
    <row r="158" spans="1:9" x14ac:dyDescent="0.25">
      <c r="A158" s="40" t="s">
        <v>55</v>
      </c>
      <c r="B158" s="28">
        <v>230</v>
      </c>
      <c r="C158" s="28" t="s">
        <v>532</v>
      </c>
      <c r="D158" s="28"/>
      <c r="E158" s="41">
        <v>46153</v>
      </c>
      <c r="F158" s="47">
        <v>0.37815972222222222</v>
      </c>
      <c r="G158" s="44">
        <v>6.3</v>
      </c>
      <c r="H158" s="43" t="s">
        <v>1362</v>
      </c>
      <c r="I158" s="40" t="s">
        <v>1361</v>
      </c>
    </row>
    <row r="159" spans="1:9" x14ac:dyDescent="0.25">
      <c r="A159" s="40" t="s">
        <v>55</v>
      </c>
      <c r="B159" s="28">
        <v>230</v>
      </c>
      <c r="C159" s="28">
        <v>5658286</v>
      </c>
      <c r="D159" s="28"/>
      <c r="E159" s="41">
        <v>46153</v>
      </c>
      <c r="F159" s="47">
        <v>0.43025462962962963</v>
      </c>
      <c r="G159" s="44">
        <v>6.3</v>
      </c>
      <c r="H159" s="43" t="s">
        <v>1369</v>
      </c>
      <c r="I159" s="40" t="s">
        <v>1361</v>
      </c>
    </row>
    <row r="160" spans="1:9" x14ac:dyDescent="0.25">
      <c r="A160" s="40" t="s">
        <v>55</v>
      </c>
      <c r="B160" s="28">
        <v>230</v>
      </c>
      <c r="C160" s="28">
        <v>5658286</v>
      </c>
      <c r="D160" s="28"/>
      <c r="E160" s="41">
        <v>46153</v>
      </c>
      <c r="F160" s="47">
        <v>0.43533564814814812</v>
      </c>
      <c r="G160" s="44">
        <v>6.3</v>
      </c>
      <c r="H160" s="43" t="s">
        <v>1364</v>
      </c>
      <c r="I160" s="40" t="s">
        <v>1361</v>
      </c>
    </row>
    <row r="161" spans="1:9" x14ac:dyDescent="0.25">
      <c r="A161" s="40" t="s">
        <v>55</v>
      </c>
      <c r="B161" s="28">
        <v>230</v>
      </c>
      <c r="C161" s="28">
        <v>5663138</v>
      </c>
      <c r="D161" s="28"/>
      <c r="E161" s="41">
        <v>46153</v>
      </c>
      <c r="F161" s="47">
        <v>0.65231481481481479</v>
      </c>
      <c r="G161" s="44">
        <v>6.3</v>
      </c>
      <c r="H161" s="43" t="s">
        <v>1360</v>
      </c>
      <c r="I161" s="40" t="s">
        <v>1361</v>
      </c>
    </row>
    <row r="162" spans="1:9" x14ac:dyDescent="0.25">
      <c r="A162" s="40" t="s">
        <v>55</v>
      </c>
      <c r="B162" s="28">
        <v>230</v>
      </c>
      <c r="C162" s="28">
        <v>5663138</v>
      </c>
      <c r="D162" s="28"/>
      <c r="E162" s="45">
        <v>46153</v>
      </c>
      <c r="F162" s="48">
        <v>0.65981481481481485</v>
      </c>
      <c r="G162" s="44">
        <v>6.3</v>
      </c>
      <c r="H162" s="43" t="s">
        <v>1362</v>
      </c>
      <c r="I162" s="40" t="s">
        <v>1361</v>
      </c>
    </row>
    <row r="163" spans="1:9" x14ac:dyDescent="0.25">
      <c r="A163" s="40" t="s">
        <v>55</v>
      </c>
      <c r="B163" s="28">
        <v>230</v>
      </c>
      <c r="C163" s="28">
        <v>5664003</v>
      </c>
      <c r="D163" s="28"/>
      <c r="E163" s="41">
        <v>46154</v>
      </c>
      <c r="F163" s="47">
        <v>0.26299768518518518</v>
      </c>
      <c r="G163" s="44">
        <v>6.3</v>
      </c>
      <c r="H163" s="43" t="s">
        <v>1363</v>
      </c>
      <c r="I163" s="40" t="s">
        <v>1361</v>
      </c>
    </row>
    <row r="164" spans="1:9" x14ac:dyDescent="0.25">
      <c r="A164" s="40" t="s">
        <v>55</v>
      </c>
      <c r="B164" s="28">
        <v>230</v>
      </c>
      <c r="C164" s="28">
        <v>5664003</v>
      </c>
      <c r="D164" s="28"/>
      <c r="E164" s="41">
        <v>46154</v>
      </c>
      <c r="F164" s="47">
        <v>0.27030092592592592</v>
      </c>
      <c r="G164" s="44">
        <v>6.3</v>
      </c>
      <c r="H164" s="43" t="s">
        <v>1364</v>
      </c>
      <c r="I164" s="40" t="s">
        <v>1361</v>
      </c>
    </row>
    <row r="165" spans="1:9" x14ac:dyDescent="0.25">
      <c r="A165" s="40" t="s">
        <v>55</v>
      </c>
      <c r="B165" s="28">
        <v>230</v>
      </c>
      <c r="C165" s="28">
        <v>5663716</v>
      </c>
      <c r="D165" s="28"/>
      <c r="E165" s="41">
        <v>46154</v>
      </c>
      <c r="F165" s="47">
        <v>0.37890046296296298</v>
      </c>
      <c r="G165" s="44">
        <v>6.3</v>
      </c>
      <c r="H165" s="43" t="s">
        <v>1360</v>
      </c>
      <c r="I165" s="40" t="s">
        <v>1361</v>
      </c>
    </row>
    <row r="166" spans="1:9" x14ac:dyDescent="0.25">
      <c r="A166" s="40" t="s">
        <v>55</v>
      </c>
      <c r="B166" s="28">
        <v>230</v>
      </c>
      <c r="C166" s="28">
        <v>5663716</v>
      </c>
      <c r="D166" s="28"/>
      <c r="E166" s="41">
        <v>46154</v>
      </c>
      <c r="F166" s="47">
        <v>0.39447916666666666</v>
      </c>
      <c r="G166" s="44">
        <v>6.3</v>
      </c>
      <c r="H166" s="43" t="s">
        <v>1362</v>
      </c>
      <c r="I166" s="40" t="s">
        <v>1361</v>
      </c>
    </row>
    <row r="167" spans="1:9" x14ac:dyDescent="0.25">
      <c r="A167" s="40" t="s">
        <v>393</v>
      </c>
      <c r="B167" s="28">
        <v>233</v>
      </c>
      <c r="C167" s="28" t="s">
        <v>35</v>
      </c>
      <c r="D167" s="28" t="s">
        <v>38</v>
      </c>
      <c r="E167" s="41">
        <v>46153</v>
      </c>
      <c r="F167" s="47">
        <v>0.60024305555555557</v>
      </c>
      <c r="G167" s="44">
        <v>6.3</v>
      </c>
      <c r="H167" s="43" t="s">
        <v>1360</v>
      </c>
      <c r="I167" s="40" t="s">
        <v>1361</v>
      </c>
    </row>
    <row r="168" spans="1:9" x14ac:dyDescent="0.25">
      <c r="A168" s="40" t="s">
        <v>393</v>
      </c>
      <c r="B168" s="28">
        <v>233</v>
      </c>
      <c r="C168" s="28" t="s">
        <v>35</v>
      </c>
      <c r="D168" s="28" t="s">
        <v>38</v>
      </c>
      <c r="E168" s="41">
        <v>46153</v>
      </c>
      <c r="F168" s="47">
        <v>0.62457175925925923</v>
      </c>
      <c r="G168" s="44">
        <v>6.3</v>
      </c>
      <c r="H168" s="43" t="s">
        <v>1364</v>
      </c>
      <c r="I168" s="40" t="s">
        <v>1361</v>
      </c>
    </row>
    <row r="169" spans="1:9" x14ac:dyDescent="0.25">
      <c r="A169" s="40" t="s">
        <v>393</v>
      </c>
      <c r="B169" s="28">
        <v>233</v>
      </c>
      <c r="C169" s="28">
        <v>5671294</v>
      </c>
      <c r="D169" s="28"/>
      <c r="E169" s="41">
        <v>46158</v>
      </c>
      <c r="F169" s="47">
        <v>0.38471064814814815</v>
      </c>
      <c r="G169" s="44">
        <v>6.3</v>
      </c>
      <c r="H169" s="43" t="s">
        <v>1360</v>
      </c>
      <c r="I169" s="40" t="s">
        <v>1365</v>
      </c>
    </row>
    <row r="170" spans="1:9" x14ac:dyDescent="0.25">
      <c r="A170" s="40" t="s">
        <v>393</v>
      </c>
      <c r="B170" s="28">
        <v>233</v>
      </c>
      <c r="C170" s="28">
        <v>5671294</v>
      </c>
      <c r="D170" s="28"/>
      <c r="E170" s="41">
        <v>46158</v>
      </c>
      <c r="F170" s="47">
        <v>0.39781250000000001</v>
      </c>
      <c r="G170" s="44">
        <v>6.3</v>
      </c>
      <c r="H170" s="43" t="s">
        <v>1362</v>
      </c>
      <c r="I170" s="40" t="s">
        <v>1365</v>
      </c>
    </row>
    <row r="171" spans="1:9" x14ac:dyDescent="0.25">
      <c r="A171" s="40" t="s">
        <v>393</v>
      </c>
      <c r="B171" s="28">
        <v>233</v>
      </c>
      <c r="C171" s="28" t="s">
        <v>35</v>
      </c>
      <c r="D171" s="28" t="s">
        <v>38</v>
      </c>
      <c r="E171" s="41">
        <v>46158</v>
      </c>
      <c r="F171" s="47">
        <v>0.4142824074074074</v>
      </c>
      <c r="G171" s="44">
        <v>6.3</v>
      </c>
      <c r="H171" s="43" t="s">
        <v>1363</v>
      </c>
      <c r="I171" s="40" t="s">
        <v>1365</v>
      </c>
    </row>
    <row r="172" spans="1:9" x14ac:dyDescent="0.25">
      <c r="A172" s="40" t="s">
        <v>141</v>
      </c>
      <c r="B172" s="28">
        <v>243</v>
      </c>
      <c r="C172" s="28">
        <v>5667435</v>
      </c>
      <c r="D172" s="28"/>
      <c r="E172" s="45">
        <v>46156</v>
      </c>
      <c r="F172" s="48">
        <v>0.26244212962962965</v>
      </c>
      <c r="G172" s="44">
        <v>6.3</v>
      </c>
      <c r="H172" s="43" t="s">
        <v>1370</v>
      </c>
      <c r="I172" s="40" t="s">
        <v>1361</v>
      </c>
    </row>
    <row r="173" spans="1:9" x14ac:dyDescent="0.25">
      <c r="A173" s="40" t="s">
        <v>141</v>
      </c>
      <c r="B173" s="28">
        <v>243</v>
      </c>
      <c r="C173" s="28">
        <v>5667435</v>
      </c>
      <c r="D173" s="28"/>
      <c r="E173" s="45">
        <v>46156</v>
      </c>
      <c r="F173" s="48">
        <v>0.26744212962962965</v>
      </c>
      <c r="G173" s="42">
        <v>6.3</v>
      </c>
      <c r="H173" s="40" t="s">
        <v>1364</v>
      </c>
      <c r="I173" s="40" t="s">
        <v>1361</v>
      </c>
    </row>
    <row r="174" spans="1:9" x14ac:dyDescent="0.25">
      <c r="A174" s="40" t="s">
        <v>141</v>
      </c>
      <c r="B174" s="28">
        <v>243</v>
      </c>
      <c r="C174" s="28" t="s">
        <v>533</v>
      </c>
      <c r="D174" s="28"/>
      <c r="E174" s="45">
        <v>46158</v>
      </c>
      <c r="F174" s="48">
        <v>7.2638888888888892E-2</v>
      </c>
      <c r="G174" s="44">
        <v>6.3</v>
      </c>
      <c r="H174" s="43" t="s">
        <v>1360</v>
      </c>
      <c r="I174" s="40" t="s">
        <v>1365</v>
      </c>
    </row>
    <row r="175" spans="1:9" x14ac:dyDescent="0.25">
      <c r="A175" s="40" t="s">
        <v>141</v>
      </c>
      <c r="B175" s="28">
        <v>243</v>
      </c>
      <c r="C175" s="28" t="s">
        <v>533</v>
      </c>
      <c r="D175" s="28"/>
      <c r="E175" s="45">
        <v>46158</v>
      </c>
      <c r="F175" s="48">
        <v>7.9317129629629626E-2</v>
      </c>
      <c r="G175" s="44">
        <v>6.3</v>
      </c>
      <c r="H175" s="43" t="s">
        <v>1362</v>
      </c>
      <c r="I175" s="40" t="s">
        <v>1365</v>
      </c>
    </row>
    <row r="176" spans="1:9" x14ac:dyDescent="0.25">
      <c r="A176" s="40" t="s">
        <v>498</v>
      </c>
      <c r="B176" s="28">
        <v>245</v>
      </c>
      <c r="C176" s="28">
        <v>5664015</v>
      </c>
      <c r="D176" s="28"/>
      <c r="E176" s="41">
        <v>46154</v>
      </c>
      <c r="F176" s="47">
        <v>0.68783564814814813</v>
      </c>
      <c r="G176" s="44">
        <v>6.3</v>
      </c>
      <c r="H176" s="43" t="s">
        <v>1360</v>
      </c>
      <c r="I176" s="40" t="s">
        <v>1361</v>
      </c>
    </row>
    <row r="177" spans="1:9" x14ac:dyDescent="0.25">
      <c r="A177" s="40" t="s">
        <v>498</v>
      </c>
      <c r="B177" s="28">
        <v>245</v>
      </c>
      <c r="C177" s="28">
        <v>5664015</v>
      </c>
      <c r="D177" s="28"/>
      <c r="E177" s="41">
        <v>46154</v>
      </c>
      <c r="F177" s="47">
        <v>0.7</v>
      </c>
      <c r="G177" s="44">
        <v>6.3</v>
      </c>
      <c r="H177" s="43" t="s">
        <v>1362</v>
      </c>
      <c r="I177" s="40" t="s">
        <v>1361</v>
      </c>
    </row>
    <row r="178" spans="1:9" x14ac:dyDescent="0.25">
      <c r="A178" s="40" t="s">
        <v>498</v>
      </c>
      <c r="B178" s="28">
        <v>245</v>
      </c>
      <c r="C178" s="28" t="s">
        <v>534</v>
      </c>
      <c r="D178" s="28"/>
      <c r="E178" s="41">
        <v>46156</v>
      </c>
      <c r="F178" s="47">
        <v>0.39112268518518517</v>
      </c>
      <c r="G178" s="44">
        <v>6.3</v>
      </c>
      <c r="H178" s="43" t="s">
        <v>1360</v>
      </c>
      <c r="I178" s="40" t="s">
        <v>1361</v>
      </c>
    </row>
    <row r="179" spans="1:9" x14ac:dyDescent="0.25">
      <c r="A179" s="40" t="s">
        <v>498</v>
      </c>
      <c r="B179" s="28">
        <v>245</v>
      </c>
      <c r="C179" s="28" t="s">
        <v>534</v>
      </c>
      <c r="D179" s="28"/>
      <c r="E179" s="41">
        <v>46156</v>
      </c>
      <c r="F179" s="47">
        <v>0.40317129629629628</v>
      </c>
      <c r="G179" s="44">
        <v>6.3</v>
      </c>
      <c r="H179" s="43" t="s">
        <v>1362</v>
      </c>
      <c r="I179" s="40" t="s">
        <v>1361</v>
      </c>
    </row>
    <row r="180" spans="1:9" x14ac:dyDescent="0.25">
      <c r="A180" s="40" t="s">
        <v>498</v>
      </c>
      <c r="B180" s="28">
        <v>245</v>
      </c>
      <c r="C180" s="28">
        <v>5669574</v>
      </c>
      <c r="D180" s="28"/>
      <c r="E180" s="41">
        <v>46157</v>
      </c>
      <c r="F180" s="47">
        <v>0.37335648148148148</v>
      </c>
      <c r="G180" s="44">
        <v>6.3</v>
      </c>
      <c r="H180" s="43" t="s">
        <v>1360</v>
      </c>
      <c r="I180" s="40" t="s">
        <v>1361</v>
      </c>
    </row>
    <row r="181" spans="1:9" x14ac:dyDescent="0.25">
      <c r="A181" s="40" t="s">
        <v>498</v>
      </c>
      <c r="B181" s="28">
        <v>245</v>
      </c>
      <c r="C181" s="28">
        <v>5669574</v>
      </c>
      <c r="D181" s="28"/>
      <c r="E181" s="41">
        <v>46157</v>
      </c>
      <c r="F181" s="47">
        <v>0.38638888888888889</v>
      </c>
      <c r="G181" s="44">
        <v>6.3</v>
      </c>
      <c r="H181" s="43" t="s">
        <v>1362</v>
      </c>
      <c r="I181" s="40" t="s">
        <v>1361</v>
      </c>
    </row>
    <row r="182" spans="1:9" x14ac:dyDescent="0.25">
      <c r="A182" s="40" t="s">
        <v>145</v>
      </c>
      <c r="B182" s="28">
        <v>248</v>
      </c>
      <c r="C182" s="28">
        <v>5661799</v>
      </c>
      <c r="D182" s="28"/>
      <c r="E182" s="41">
        <v>46153</v>
      </c>
      <c r="F182" s="47">
        <v>0.20738425925925927</v>
      </c>
      <c r="G182" s="44">
        <v>6.3</v>
      </c>
      <c r="H182" s="43" t="s">
        <v>1363</v>
      </c>
      <c r="I182" s="40" t="s">
        <v>1361</v>
      </c>
    </row>
    <row r="183" spans="1:9" x14ac:dyDescent="0.25">
      <c r="A183" s="40" t="s">
        <v>145</v>
      </c>
      <c r="B183" s="28">
        <v>248</v>
      </c>
      <c r="C183" s="28">
        <v>5661799</v>
      </c>
      <c r="D183" s="28"/>
      <c r="E183" s="41">
        <v>46153</v>
      </c>
      <c r="F183" s="47">
        <v>0.21296296296296297</v>
      </c>
      <c r="G183" s="44">
        <v>6.3</v>
      </c>
      <c r="H183" s="43" t="s">
        <v>1364</v>
      </c>
      <c r="I183" s="40" t="s">
        <v>1361</v>
      </c>
    </row>
    <row r="184" spans="1:9" x14ac:dyDescent="0.25">
      <c r="A184" s="40" t="s">
        <v>145</v>
      </c>
      <c r="B184" s="28">
        <v>248</v>
      </c>
      <c r="C184" s="28">
        <v>5665968</v>
      </c>
      <c r="D184" s="28" t="s">
        <v>37</v>
      </c>
      <c r="E184" s="41">
        <v>46155</v>
      </c>
      <c r="F184" s="47">
        <v>0.16035879629629629</v>
      </c>
      <c r="G184" s="44">
        <v>6.3</v>
      </c>
      <c r="H184" s="43" t="s">
        <v>1364</v>
      </c>
      <c r="I184" s="40" t="s">
        <v>1361</v>
      </c>
    </row>
    <row r="185" spans="1:9" x14ac:dyDescent="0.25">
      <c r="A185" s="40" t="s">
        <v>145</v>
      </c>
      <c r="B185" s="28">
        <v>248</v>
      </c>
      <c r="C185" s="28">
        <v>5667673</v>
      </c>
      <c r="D185" s="28"/>
      <c r="E185" s="41">
        <v>46156</v>
      </c>
      <c r="F185" s="47">
        <v>2.420138888888889E-2</v>
      </c>
      <c r="G185" s="44">
        <v>6.3</v>
      </c>
      <c r="H185" s="43" t="s">
        <v>1360</v>
      </c>
      <c r="I185" s="40" t="s">
        <v>1361</v>
      </c>
    </row>
    <row r="186" spans="1:9" x14ac:dyDescent="0.25">
      <c r="A186" s="40" t="s">
        <v>145</v>
      </c>
      <c r="B186" s="28">
        <v>248</v>
      </c>
      <c r="C186" s="28">
        <v>5667673</v>
      </c>
      <c r="D186" s="28"/>
      <c r="E186" s="41">
        <v>46156</v>
      </c>
      <c r="F186" s="47">
        <v>3.574074074074074E-2</v>
      </c>
      <c r="G186" s="44">
        <v>6.3</v>
      </c>
      <c r="H186" s="43" t="s">
        <v>1362</v>
      </c>
      <c r="I186" s="40" t="s">
        <v>1361</v>
      </c>
    </row>
    <row r="187" spans="1:9" x14ac:dyDescent="0.25">
      <c r="A187" s="40" t="s">
        <v>145</v>
      </c>
      <c r="B187" s="28">
        <v>248</v>
      </c>
      <c r="C187" s="28" t="s">
        <v>35</v>
      </c>
      <c r="D187" s="28" t="s">
        <v>38</v>
      </c>
      <c r="E187" s="41">
        <v>46157</v>
      </c>
      <c r="F187" s="47">
        <v>1.0428240740740741E-2</v>
      </c>
      <c r="G187" s="44">
        <v>6.3</v>
      </c>
      <c r="H187" s="43" t="s">
        <v>1360</v>
      </c>
      <c r="I187" s="40" t="s">
        <v>1361</v>
      </c>
    </row>
    <row r="188" spans="1:9" x14ac:dyDescent="0.25">
      <c r="A188" s="40" t="s">
        <v>145</v>
      </c>
      <c r="B188" s="28">
        <v>248</v>
      </c>
      <c r="C188" s="28">
        <v>5669452</v>
      </c>
      <c r="D188" s="28"/>
      <c r="E188" s="41">
        <v>46157</v>
      </c>
      <c r="F188" s="47">
        <v>0.13030092592592593</v>
      </c>
      <c r="G188" s="44">
        <v>6.3</v>
      </c>
      <c r="H188" s="43" t="s">
        <v>1369</v>
      </c>
      <c r="I188" s="40" t="s">
        <v>1361</v>
      </c>
    </row>
    <row r="189" spans="1:9" x14ac:dyDescent="0.25">
      <c r="A189" s="40" t="s">
        <v>145</v>
      </c>
      <c r="B189" s="28">
        <v>248</v>
      </c>
      <c r="C189" s="28">
        <v>5669452</v>
      </c>
      <c r="D189" s="28"/>
      <c r="E189" s="41">
        <v>46157</v>
      </c>
      <c r="F189" s="47">
        <v>0.13569444444444445</v>
      </c>
      <c r="G189" s="44">
        <v>6.3</v>
      </c>
      <c r="H189" s="43" t="s">
        <v>1364</v>
      </c>
      <c r="I189" s="40" t="s">
        <v>1361</v>
      </c>
    </row>
    <row r="190" spans="1:9" x14ac:dyDescent="0.25">
      <c r="A190" s="40" t="s">
        <v>145</v>
      </c>
      <c r="B190" s="28">
        <v>248</v>
      </c>
      <c r="C190" s="28">
        <v>5669374</v>
      </c>
      <c r="D190" s="28"/>
      <c r="E190" s="41">
        <v>46157</v>
      </c>
      <c r="F190" s="47">
        <v>0.19084490740740739</v>
      </c>
      <c r="G190" s="44">
        <v>6.3</v>
      </c>
      <c r="H190" s="43" t="s">
        <v>1369</v>
      </c>
      <c r="I190" s="40" t="s">
        <v>1361</v>
      </c>
    </row>
    <row r="191" spans="1:9" x14ac:dyDescent="0.25">
      <c r="A191" s="40" t="s">
        <v>145</v>
      </c>
      <c r="B191" s="28">
        <v>248</v>
      </c>
      <c r="C191" s="28">
        <v>5669374</v>
      </c>
      <c r="D191" s="28"/>
      <c r="E191" s="41">
        <v>46157</v>
      </c>
      <c r="F191" s="47">
        <v>0.19633101851851853</v>
      </c>
      <c r="G191" s="42">
        <v>6.3</v>
      </c>
      <c r="H191" s="40" t="s">
        <v>1364</v>
      </c>
      <c r="I191" s="40" t="s">
        <v>1361</v>
      </c>
    </row>
    <row r="192" spans="1:9" x14ac:dyDescent="0.25">
      <c r="A192" s="40" t="s">
        <v>145</v>
      </c>
      <c r="B192" s="28">
        <v>248</v>
      </c>
      <c r="C192" s="28">
        <v>5672153</v>
      </c>
      <c r="D192" s="28"/>
      <c r="E192" s="41">
        <v>46159</v>
      </c>
      <c r="F192" s="47">
        <v>0.22804398148148147</v>
      </c>
      <c r="G192" s="42">
        <v>6.3</v>
      </c>
      <c r="H192" s="40" t="s">
        <v>1364</v>
      </c>
      <c r="I192" s="40" t="s">
        <v>1365</v>
      </c>
    </row>
    <row r="193" spans="1:9" x14ac:dyDescent="0.25">
      <c r="A193" s="40" t="s">
        <v>145</v>
      </c>
      <c r="B193" s="28">
        <v>248</v>
      </c>
      <c r="C193" s="28">
        <v>5672408</v>
      </c>
      <c r="D193" s="28"/>
      <c r="E193" s="41">
        <v>46159</v>
      </c>
      <c r="F193" s="47">
        <v>0.44381944444444443</v>
      </c>
      <c r="G193" s="44">
        <v>6.3</v>
      </c>
      <c r="H193" s="43" t="s">
        <v>1360</v>
      </c>
      <c r="I193" s="40" t="s">
        <v>1365</v>
      </c>
    </row>
    <row r="194" spans="1:9" x14ac:dyDescent="0.25">
      <c r="A194" s="40" t="s">
        <v>145</v>
      </c>
      <c r="B194" s="28">
        <v>248</v>
      </c>
      <c r="C194" s="28">
        <v>5672408</v>
      </c>
      <c r="D194" s="28"/>
      <c r="E194" s="41">
        <v>46159</v>
      </c>
      <c r="F194" s="47">
        <v>0.45142361111111112</v>
      </c>
      <c r="G194" s="44">
        <v>6.3</v>
      </c>
      <c r="H194" s="43" t="s">
        <v>1362</v>
      </c>
      <c r="I194" s="40" t="s">
        <v>1365</v>
      </c>
    </row>
    <row r="195" spans="1:9" x14ac:dyDescent="0.25">
      <c r="A195" s="40" t="s">
        <v>56</v>
      </c>
      <c r="B195" s="28">
        <v>251</v>
      </c>
      <c r="C195" s="28" t="s">
        <v>35</v>
      </c>
      <c r="D195" s="28" t="s">
        <v>38</v>
      </c>
      <c r="E195" s="41">
        <v>46153</v>
      </c>
      <c r="F195" s="47">
        <v>9.4907407407407408E-4</v>
      </c>
      <c r="G195" s="44">
        <v>6.3</v>
      </c>
      <c r="H195" s="43" t="s">
        <v>1364</v>
      </c>
      <c r="I195" s="40" t="s">
        <v>1361</v>
      </c>
    </row>
    <row r="196" spans="1:9" x14ac:dyDescent="0.25">
      <c r="A196" s="40" t="s">
        <v>56</v>
      </c>
      <c r="B196" s="28">
        <v>251</v>
      </c>
      <c r="C196" s="28">
        <v>5661907</v>
      </c>
      <c r="D196" s="28" t="s">
        <v>37</v>
      </c>
      <c r="E196" s="41">
        <v>46153</v>
      </c>
      <c r="F196" s="47">
        <v>0.14146990740740742</v>
      </c>
      <c r="G196" s="44">
        <v>6.3</v>
      </c>
      <c r="H196" s="43" t="s">
        <v>1363</v>
      </c>
      <c r="I196" s="40" t="s">
        <v>1361</v>
      </c>
    </row>
    <row r="197" spans="1:9" x14ac:dyDescent="0.25">
      <c r="A197" s="40" t="s">
        <v>56</v>
      </c>
      <c r="B197" s="28">
        <v>251</v>
      </c>
      <c r="C197" s="28">
        <v>5661907</v>
      </c>
      <c r="D197" s="28" t="s">
        <v>37</v>
      </c>
      <c r="E197" s="41">
        <v>46153</v>
      </c>
      <c r="F197" s="47">
        <v>0.14590277777777777</v>
      </c>
      <c r="G197" s="44">
        <v>6.3</v>
      </c>
      <c r="H197" s="43" t="s">
        <v>1364</v>
      </c>
      <c r="I197" s="40" t="s">
        <v>1361</v>
      </c>
    </row>
    <row r="198" spans="1:9" x14ac:dyDescent="0.25">
      <c r="A198" s="40" t="s">
        <v>56</v>
      </c>
      <c r="B198" s="28">
        <v>251</v>
      </c>
      <c r="C198" s="28">
        <v>5664654</v>
      </c>
      <c r="D198" s="28"/>
      <c r="E198" s="41">
        <v>46154</v>
      </c>
      <c r="F198" s="47">
        <v>0.87795138888888891</v>
      </c>
      <c r="G198" s="44">
        <v>6.3</v>
      </c>
      <c r="H198" s="43" t="s">
        <v>1360</v>
      </c>
      <c r="I198" s="40" t="s">
        <v>1361</v>
      </c>
    </row>
    <row r="199" spans="1:9" x14ac:dyDescent="0.25">
      <c r="A199" s="40" t="s">
        <v>56</v>
      </c>
      <c r="B199" s="28">
        <v>251</v>
      </c>
      <c r="C199" s="28" t="s">
        <v>35</v>
      </c>
      <c r="D199" s="28" t="s">
        <v>38</v>
      </c>
      <c r="E199" s="45">
        <v>46154</v>
      </c>
      <c r="F199" s="48">
        <v>0.89901620370370372</v>
      </c>
      <c r="G199" s="44">
        <v>6.3</v>
      </c>
      <c r="H199" s="43" t="s">
        <v>1364</v>
      </c>
      <c r="I199" s="40" t="s">
        <v>1361</v>
      </c>
    </row>
    <row r="200" spans="1:9" x14ac:dyDescent="0.25">
      <c r="A200" s="40" t="s">
        <v>56</v>
      </c>
      <c r="B200" s="28">
        <v>251</v>
      </c>
      <c r="C200" s="28" t="s">
        <v>535</v>
      </c>
      <c r="D200" s="28"/>
      <c r="E200" s="45">
        <v>46155</v>
      </c>
      <c r="F200" s="48">
        <v>0.93118055555555557</v>
      </c>
      <c r="G200" s="44">
        <v>6.3</v>
      </c>
      <c r="H200" s="43" t="s">
        <v>1360</v>
      </c>
      <c r="I200" s="40" t="s">
        <v>1361</v>
      </c>
    </row>
    <row r="201" spans="1:9" x14ac:dyDescent="0.25">
      <c r="A201" s="40" t="s">
        <v>56</v>
      </c>
      <c r="B201" s="28">
        <v>251</v>
      </c>
      <c r="C201" s="28" t="s">
        <v>535</v>
      </c>
      <c r="D201" s="28"/>
      <c r="E201" s="41">
        <v>46155</v>
      </c>
      <c r="F201" s="47">
        <v>0.93809027777777776</v>
      </c>
      <c r="G201" s="44">
        <v>6.3</v>
      </c>
      <c r="H201" s="43" t="s">
        <v>1362</v>
      </c>
      <c r="I201" s="40" t="s">
        <v>1361</v>
      </c>
    </row>
    <row r="202" spans="1:9" x14ac:dyDescent="0.25">
      <c r="A202" s="40" t="s">
        <v>56</v>
      </c>
      <c r="B202" s="28">
        <v>251</v>
      </c>
      <c r="C202" s="28">
        <v>5669310</v>
      </c>
      <c r="D202" s="28"/>
      <c r="E202" s="41">
        <v>46156</v>
      </c>
      <c r="F202" s="47">
        <v>0.94072916666666662</v>
      </c>
      <c r="G202" s="44">
        <v>6.3</v>
      </c>
      <c r="H202" s="43" t="s">
        <v>1360</v>
      </c>
      <c r="I202" s="40" t="s">
        <v>1361</v>
      </c>
    </row>
    <row r="203" spans="1:9" x14ac:dyDescent="0.25">
      <c r="A203" s="40" t="s">
        <v>56</v>
      </c>
      <c r="B203" s="28">
        <v>251</v>
      </c>
      <c r="C203" s="28">
        <v>5669310</v>
      </c>
      <c r="D203" s="28"/>
      <c r="E203" s="41">
        <v>46156</v>
      </c>
      <c r="F203" s="47">
        <v>0.94670138888888888</v>
      </c>
      <c r="G203" s="44">
        <v>6.3</v>
      </c>
      <c r="H203" s="43" t="s">
        <v>1368</v>
      </c>
      <c r="I203" s="40" t="s">
        <v>1361</v>
      </c>
    </row>
    <row r="204" spans="1:9" x14ac:dyDescent="0.25">
      <c r="A204" s="40" t="s">
        <v>56</v>
      </c>
      <c r="B204" s="28">
        <v>251</v>
      </c>
      <c r="C204" s="28" t="s">
        <v>35</v>
      </c>
      <c r="D204" s="28" t="s">
        <v>38</v>
      </c>
      <c r="E204" s="41">
        <v>46156</v>
      </c>
      <c r="F204" s="47">
        <v>0.9635069444444444</v>
      </c>
      <c r="G204" s="44">
        <v>6.3</v>
      </c>
      <c r="H204" s="43" t="s">
        <v>1369</v>
      </c>
      <c r="I204" s="40" t="s">
        <v>1361</v>
      </c>
    </row>
    <row r="205" spans="1:9" x14ac:dyDescent="0.25">
      <c r="A205" s="40" t="s">
        <v>56</v>
      </c>
      <c r="B205" s="28">
        <v>251</v>
      </c>
      <c r="C205" s="28" t="s">
        <v>35</v>
      </c>
      <c r="D205" s="28" t="s">
        <v>38</v>
      </c>
      <c r="E205" s="41">
        <v>46156</v>
      </c>
      <c r="F205" s="47">
        <v>0.9680671296296296</v>
      </c>
      <c r="G205" s="44">
        <v>6.3</v>
      </c>
      <c r="H205" s="43" t="s">
        <v>1364</v>
      </c>
      <c r="I205" s="40" t="s">
        <v>1361</v>
      </c>
    </row>
    <row r="206" spans="1:9" x14ac:dyDescent="0.25">
      <c r="A206" s="40" t="s">
        <v>56</v>
      </c>
      <c r="B206" s="28">
        <v>251</v>
      </c>
      <c r="C206" s="28" t="s">
        <v>536</v>
      </c>
      <c r="D206" s="28"/>
      <c r="E206" s="45">
        <v>46159</v>
      </c>
      <c r="F206" s="48">
        <v>3.1944444444444446E-3</v>
      </c>
      <c r="G206" s="44">
        <v>6.3</v>
      </c>
      <c r="H206" s="43" t="s">
        <v>1360</v>
      </c>
      <c r="I206" s="40" t="s">
        <v>1365</v>
      </c>
    </row>
    <row r="207" spans="1:9" x14ac:dyDescent="0.25">
      <c r="A207" s="40" t="s">
        <v>56</v>
      </c>
      <c r="B207" s="28">
        <v>251</v>
      </c>
      <c r="C207" s="28" t="s">
        <v>536</v>
      </c>
      <c r="D207" s="28"/>
      <c r="E207" s="41">
        <v>46159</v>
      </c>
      <c r="F207" s="47">
        <v>9.9305555555555553E-3</v>
      </c>
      <c r="G207" s="44">
        <v>6.3</v>
      </c>
      <c r="H207" s="43" t="s">
        <v>1362</v>
      </c>
      <c r="I207" s="40" t="s">
        <v>1365</v>
      </c>
    </row>
    <row r="208" spans="1:9" x14ac:dyDescent="0.25">
      <c r="A208" s="40" t="s">
        <v>56</v>
      </c>
      <c r="B208" s="28">
        <v>251</v>
      </c>
      <c r="C208" s="28" t="s">
        <v>537</v>
      </c>
      <c r="D208" s="28"/>
      <c r="E208" s="41">
        <v>46159</v>
      </c>
      <c r="F208" s="47">
        <v>0.95677083333333335</v>
      </c>
      <c r="G208" s="44">
        <v>6.3</v>
      </c>
      <c r="H208" s="43" t="s">
        <v>1360</v>
      </c>
      <c r="I208" s="40" t="s">
        <v>1365</v>
      </c>
    </row>
    <row r="209" spans="1:9" x14ac:dyDescent="0.25">
      <c r="A209" s="40" t="s">
        <v>56</v>
      </c>
      <c r="B209" s="28">
        <v>251</v>
      </c>
      <c r="C209" s="28" t="s">
        <v>537</v>
      </c>
      <c r="D209" s="28"/>
      <c r="E209" s="41">
        <v>46159</v>
      </c>
      <c r="F209" s="47">
        <v>0.9629861111111111</v>
      </c>
      <c r="G209" s="44">
        <v>6.3</v>
      </c>
      <c r="H209" s="43" t="s">
        <v>1362</v>
      </c>
      <c r="I209" s="40" t="s">
        <v>1365</v>
      </c>
    </row>
    <row r="210" spans="1:9" x14ac:dyDescent="0.25">
      <c r="A210" s="40" t="s">
        <v>56</v>
      </c>
      <c r="B210" s="28">
        <v>251</v>
      </c>
      <c r="C210" s="28" t="s">
        <v>35</v>
      </c>
      <c r="D210" s="28" t="s">
        <v>38</v>
      </c>
      <c r="E210" s="41">
        <v>46159</v>
      </c>
      <c r="F210" s="47">
        <v>0.97607638888888892</v>
      </c>
      <c r="G210" s="44">
        <v>6.3</v>
      </c>
      <c r="H210" s="43" t="s">
        <v>1363</v>
      </c>
      <c r="I210" s="40" t="s">
        <v>1365</v>
      </c>
    </row>
    <row r="211" spans="1:9" x14ac:dyDescent="0.25">
      <c r="A211" s="40" t="s">
        <v>56</v>
      </c>
      <c r="B211" s="28">
        <v>251</v>
      </c>
      <c r="C211" s="28" t="s">
        <v>35</v>
      </c>
      <c r="D211" s="28" t="s">
        <v>38</v>
      </c>
      <c r="E211" s="41">
        <v>46159</v>
      </c>
      <c r="F211" s="47">
        <v>0.98070601851851846</v>
      </c>
      <c r="G211" s="44">
        <v>6.3</v>
      </c>
      <c r="H211" s="43" t="s">
        <v>1364</v>
      </c>
      <c r="I211" s="40" t="s">
        <v>1365</v>
      </c>
    </row>
    <row r="212" spans="1:9" x14ac:dyDescent="0.25">
      <c r="A212" s="40" t="s">
        <v>230</v>
      </c>
      <c r="B212" s="28">
        <v>283</v>
      </c>
      <c r="C212" s="28" t="s">
        <v>538</v>
      </c>
      <c r="D212" s="28"/>
      <c r="E212" s="41">
        <v>46154</v>
      </c>
      <c r="F212" s="47">
        <v>0.81974537037037032</v>
      </c>
      <c r="G212" s="44">
        <v>6.3</v>
      </c>
      <c r="H212" s="43" t="s">
        <v>1360</v>
      </c>
      <c r="I212" s="40" t="s">
        <v>1361</v>
      </c>
    </row>
    <row r="213" spans="1:9" x14ac:dyDescent="0.25">
      <c r="A213" s="40" t="s">
        <v>230</v>
      </c>
      <c r="B213" s="28">
        <v>283</v>
      </c>
      <c r="C213" s="28" t="s">
        <v>538</v>
      </c>
      <c r="D213" s="28"/>
      <c r="E213" s="41">
        <v>46154</v>
      </c>
      <c r="F213" s="47">
        <v>0.83049768518518519</v>
      </c>
      <c r="G213" s="44">
        <v>6.3</v>
      </c>
      <c r="H213" s="43" t="s">
        <v>1362</v>
      </c>
      <c r="I213" s="40" t="s">
        <v>1361</v>
      </c>
    </row>
    <row r="214" spans="1:9" x14ac:dyDescent="0.25">
      <c r="A214" s="40" t="s">
        <v>230</v>
      </c>
      <c r="B214" s="28">
        <v>283</v>
      </c>
      <c r="C214" s="28">
        <v>5666226</v>
      </c>
      <c r="D214" s="28"/>
      <c r="E214" s="41">
        <v>46155</v>
      </c>
      <c r="F214" s="47">
        <v>0.65008101851851852</v>
      </c>
      <c r="G214" s="44">
        <v>6.3</v>
      </c>
      <c r="H214" s="43" t="s">
        <v>1360</v>
      </c>
      <c r="I214" s="40" t="s">
        <v>1361</v>
      </c>
    </row>
    <row r="215" spans="1:9" x14ac:dyDescent="0.25">
      <c r="A215" s="40" t="s">
        <v>230</v>
      </c>
      <c r="B215" s="28">
        <v>283</v>
      </c>
      <c r="C215" s="28">
        <v>5666226</v>
      </c>
      <c r="D215" s="28"/>
      <c r="E215" s="41">
        <v>46155</v>
      </c>
      <c r="F215" s="47">
        <v>0.66065972222222225</v>
      </c>
      <c r="G215" s="44">
        <v>6.3</v>
      </c>
      <c r="H215" s="43" t="s">
        <v>1366</v>
      </c>
      <c r="I215" s="40" t="s">
        <v>1361</v>
      </c>
    </row>
    <row r="216" spans="1:9" x14ac:dyDescent="0.25">
      <c r="A216" s="40" t="s">
        <v>230</v>
      </c>
      <c r="B216" s="28">
        <v>283</v>
      </c>
      <c r="C216" s="28" t="s">
        <v>35</v>
      </c>
      <c r="D216" s="28" t="s">
        <v>38</v>
      </c>
      <c r="E216" s="41">
        <v>46155</v>
      </c>
      <c r="F216" s="47">
        <v>0.74951388888888892</v>
      </c>
      <c r="G216" s="44">
        <v>6.3</v>
      </c>
      <c r="H216" s="43" t="s">
        <v>1364</v>
      </c>
      <c r="I216" s="40" t="s">
        <v>1361</v>
      </c>
    </row>
    <row r="217" spans="1:9" x14ac:dyDescent="0.25">
      <c r="A217" s="40" t="s">
        <v>230</v>
      </c>
      <c r="B217" s="28">
        <v>283</v>
      </c>
      <c r="C217" s="28">
        <v>5667582</v>
      </c>
      <c r="D217" s="28"/>
      <c r="E217" s="41">
        <v>46155</v>
      </c>
      <c r="F217" s="47">
        <v>0.9551736111111111</v>
      </c>
      <c r="G217" s="44">
        <v>6.3</v>
      </c>
      <c r="H217" s="43" t="s">
        <v>1360</v>
      </c>
      <c r="I217" s="40" t="s">
        <v>1361</v>
      </c>
    </row>
    <row r="218" spans="1:9" x14ac:dyDescent="0.25">
      <c r="A218" s="40" t="s">
        <v>230</v>
      </c>
      <c r="B218" s="28">
        <v>283</v>
      </c>
      <c r="C218" s="28">
        <v>5667582</v>
      </c>
      <c r="D218" s="28"/>
      <c r="E218" s="41">
        <v>46155</v>
      </c>
      <c r="F218" s="47">
        <v>0.96180555555555558</v>
      </c>
      <c r="G218" s="44">
        <v>6.3</v>
      </c>
      <c r="H218" s="43" t="s">
        <v>1362</v>
      </c>
      <c r="I218" s="40" t="s">
        <v>1361</v>
      </c>
    </row>
    <row r="219" spans="1:9" x14ac:dyDescent="0.25">
      <c r="A219" s="40" t="s">
        <v>230</v>
      </c>
      <c r="B219" s="28">
        <v>283</v>
      </c>
      <c r="C219" s="28" t="s">
        <v>35</v>
      </c>
      <c r="D219" s="28" t="s">
        <v>38</v>
      </c>
      <c r="E219" s="41">
        <v>46155</v>
      </c>
      <c r="F219" s="47">
        <v>0.9896759259259259</v>
      </c>
      <c r="G219" s="44">
        <v>6.3</v>
      </c>
      <c r="H219" s="43" t="s">
        <v>1363</v>
      </c>
      <c r="I219" s="40" t="s">
        <v>1361</v>
      </c>
    </row>
    <row r="220" spans="1:9" x14ac:dyDescent="0.25">
      <c r="A220" s="40" t="s">
        <v>230</v>
      </c>
      <c r="B220" s="28">
        <v>283</v>
      </c>
      <c r="C220" s="28" t="s">
        <v>35</v>
      </c>
      <c r="D220" s="28" t="s">
        <v>38</v>
      </c>
      <c r="E220" s="41">
        <v>46156</v>
      </c>
      <c r="F220" s="47">
        <v>0.33077546296296295</v>
      </c>
      <c r="G220" s="44">
        <v>6.3</v>
      </c>
      <c r="H220" s="43" t="s">
        <v>1364</v>
      </c>
      <c r="I220" s="40" t="s">
        <v>1361</v>
      </c>
    </row>
    <row r="221" spans="1:9" x14ac:dyDescent="0.25">
      <c r="A221" s="40" t="s">
        <v>230</v>
      </c>
      <c r="B221" s="28">
        <v>283</v>
      </c>
      <c r="C221" s="28">
        <v>5668519</v>
      </c>
      <c r="D221" s="28"/>
      <c r="E221" s="41">
        <v>46156</v>
      </c>
      <c r="F221" s="47">
        <v>0.82060185185185186</v>
      </c>
      <c r="G221" s="44">
        <v>6.3</v>
      </c>
      <c r="H221" s="43" t="s">
        <v>1360</v>
      </c>
      <c r="I221" s="40" t="s">
        <v>1361</v>
      </c>
    </row>
    <row r="222" spans="1:9" x14ac:dyDescent="0.25">
      <c r="A222" s="40" t="s">
        <v>230</v>
      </c>
      <c r="B222" s="28">
        <v>283</v>
      </c>
      <c r="C222" s="28">
        <v>5668519</v>
      </c>
      <c r="D222" s="28"/>
      <c r="E222" s="41">
        <v>46156</v>
      </c>
      <c r="F222" s="47">
        <v>0.82952546296296292</v>
      </c>
      <c r="G222" s="44">
        <v>6.3</v>
      </c>
      <c r="H222" s="43" t="s">
        <v>1362</v>
      </c>
      <c r="I222" s="40" t="s">
        <v>1361</v>
      </c>
    </row>
    <row r="223" spans="1:9" x14ac:dyDescent="0.25">
      <c r="A223" s="40" t="s">
        <v>230</v>
      </c>
      <c r="B223" s="28">
        <v>283</v>
      </c>
      <c r="C223" s="28" t="s">
        <v>35</v>
      </c>
      <c r="D223" s="28" t="s">
        <v>38</v>
      </c>
      <c r="E223" s="41">
        <v>46156</v>
      </c>
      <c r="F223" s="47">
        <v>0.86032407407407407</v>
      </c>
      <c r="G223" s="42">
        <v>6.3</v>
      </c>
      <c r="H223" s="40" t="s">
        <v>1363</v>
      </c>
      <c r="I223" s="40" t="s">
        <v>1361</v>
      </c>
    </row>
    <row r="224" spans="1:9" x14ac:dyDescent="0.25">
      <c r="A224" s="40" t="s">
        <v>230</v>
      </c>
      <c r="B224" s="28">
        <v>283</v>
      </c>
      <c r="C224" s="28" t="s">
        <v>35</v>
      </c>
      <c r="D224" s="28" t="s">
        <v>38</v>
      </c>
      <c r="E224" s="41">
        <v>46156</v>
      </c>
      <c r="F224" s="47">
        <v>0.87587962962962962</v>
      </c>
      <c r="G224" s="42">
        <v>6.3</v>
      </c>
      <c r="H224" s="40" t="s">
        <v>1364</v>
      </c>
      <c r="I224" s="40" t="s">
        <v>1361</v>
      </c>
    </row>
    <row r="225" spans="1:9" x14ac:dyDescent="0.25">
      <c r="A225" s="40" t="s">
        <v>230</v>
      </c>
      <c r="B225" s="28">
        <v>283</v>
      </c>
      <c r="C225" s="28" t="s">
        <v>539</v>
      </c>
      <c r="D225" s="28"/>
      <c r="E225" s="45">
        <v>46156</v>
      </c>
      <c r="F225" s="48">
        <v>0.91556712962962961</v>
      </c>
      <c r="G225" s="42">
        <v>6.3</v>
      </c>
      <c r="H225" s="40" t="s">
        <v>1360</v>
      </c>
      <c r="I225" s="40" t="s">
        <v>1361</v>
      </c>
    </row>
    <row r="226" spans="1:9" x14ac:dyDescent="0.25">
      <c r="A226" s="40" t="s">
        <v>230</v>
      </c>
      <c r="B226" s="28">
        <v>283</v>
      </c>
      <c r="C226" s="28" t="s">
        <v>539</v>
      </c>
      <c r="D226" s="28"/>
      <c r="E226" s="41">
        <v>46156</v>
      </c>
      <c r="F226" s="47">
        <v>0.92215277777777782</v>
      </c>
      <c r="G226" s="42">
        <v>6.3</v>
      </c>
      <c r="H226" s="40" t="s">
        <v>1368</v>
      </c>
      <c r="I226" s="40" t="s">
        <v>1361</v>
      </c>
    </row>
    <row r="227" spans="1:9" x14ac:dyDescent="0.25">
      <c r="A227" s="40" t="s">
        <v>230</v>
      </c>
      <c r="B227" s="28">
        <v>283</v>
      </c>
      <c r="C227" s="28" t="s">
        <v>35</v>
      </c>
      <c r="D227" s="28" t="s">
        <v>38</v>
      </c>
      <c r="E227" s="41">
        <v>46158</v>
      </c>
      <c r="F227" s="47">
        <v>0.38534722222222223</v>
      </c>
      <c r="G227" s="42">
        <v>6.3</v>
      </c>
      <c r="H227" s="40" t="s">
        <v>1364</v>
      </c>
      <c r="I227" s="40" t="s">
        <v>1365</v>
      </c>
    </row>
    <row r="228" spans="1:9" x14ac:dyDescent="0.25">
      <c r="A228" s="40" t="s">
        <v>230</v>
      </c>
      <c r="B228" s="28">
        <v>283</v>
      </c>
      <c r="C228" s="28" t="s">
        <v>35</v>
      </c>
      <c r="D228" s="28" t="s">
        <v>38</v>
      </c>
      <c r="E228" s="41">
        <v>46158</v>
      </c>
      <c r="F228" s="47">
        <v>0.55469907407407404</v>
      </c>
      <c r="G228" s="42">
        <v>6.3</v>
      </c>
      <c r="H228" s="40" t="s">
        <v>1364</v>
      </c>
      <c r="I228" s="40" t="s">
        <v>1365</v>
      </c>
    </row>
    <row r="229" spans="1:9" x14ac:dyDescent="0.25">
      <c r="A229" s="40" t="s">
        <v>230</v>
      </c>
      <c r="B229" s="28">
        <v>283</v>
      </c>
      <c r="C229" s="28" t="s">
        <v>540</v>
      </c>
      <c r="D229" s="28"/>
      <c r="E229" s="45">
        <v>46158</v>
      </c>
      <c r="F229" s="48">
        <v>0.63723379629629628</v>
      </c>
      <c r="G229" s="44">
        <v>6.3</v>
      </c>
      <c r="H229" s="43" t="s">
        <v>1360</v>
      </c>
      <c r="I229" s="40" t="s">
        <v>1365</v>
      </c>
    </row>
    <row r="230" spans="1:9" x14ac:dyDescent="0.25">
      <c r="A230" s="40" t="s">
        <v>230</v>
      </c>
      <c r="B230" s="28">
        <v>283</v>
      </c>
      <c r="C230" s="28" t="s">
        <v>540</v>
      </c>
      <c r="D230" s="28"/>
      <c r="E230" s="45">
        <v>46158</v>
      </c>
      <c r="F230" s="48">
        <v>0.64589120370370368</v>
      </c>
      <c r="G230" s="44">
        <v>6.3</v>
      </c>
      <c r="H230" s="43" t="s">
        <v>1362</v>
      </c>
      <c r="I230" s="40" t="s">
        <v>1365</v>
      </c>
    </row>
    <row r="231" spans="1:9" x14ac:dyDescent="0.25">
      <c r="A231" s="40" t="s">
        <v>230</v>
      </c>
      <c r="B231" s="28">
        <v>283</v>
      </c>
      <c r="C231" s="28" t="s">
        <v>541</v>
      </c>
      <c r="D231" s="28"/>
      <c r="E231" s="41">
        <v>46158</v>
      </c>
      <c r="F231" s="47">
        <v>0.82085648148148149</v>
      </c>
      <c r="G231" s="44">
        <v>6.3</v>
      </c>
      <c r="H231" s="43" t="s">
        <v>1360</v>
      </c>
      <c r="I231" s="40" t="s">
        <v>1365</v>
      </c>
    </row>
    <row r="232" spans="1:9" x14ac:dyDescent="0.25">
      <c r="A232" s="40" t="s">
        <v>230</v>
      </c>
      <c r="B232" s="28">
        <v>283</v>
      </c>
      <c r="C232" s="28" t="s">
        <v>541</v>
      </c>
      <c r="D232" s="28"/>
      <c r="E232" s="41">
        <v>46158</v>
      </c>
      <c r="F232" s="47">
        <v>0.83346064814814813</v>
      </c>
      <c r="G232" s="44">
        <v>6.3</v>
      </c>
      <c r="H232" s="43" t="s">
        <v>1366</v>
      </c>
      <c r="I232" s="40" t="s">
        <v>1365</v>
      </c>
    </row>
    <row r="233" spans="1:9" x14ac:dyDescent="0.25">
      <c r="A233" s="40" t="s">
        <v>230</v>
      </c>
      <c r="B233" s="28">
        <v>283</v>
      </c>
      <c r="C233" s="28" t="s">
        <v>35</v>
      </c>
      <c r="D233" s="28" t="s">
        <v>38</v>
      </c>
      <c r="E233" s="41">
        <v>46158</v>
      </c>
      <c r="F233" s="47">
        <v>0.87880787037037034</v>
      </c>
      <c r="G233" s="44">
        <v>6.3</v>
      </c>
      <c r="H233" s="43" t="s">
        <v>1364</v>
      </c>
      <c r="I233" s="40" t="s">
        <v>1365</v>
      </c>
    </row>
    <row r="234" spans="1:9" x14ac:dyDescent="0.25">
      <c r="A234" s="40" t="s">
        <v>230</v>
      </c>
      <c r="B234" s="28">
        <v>283</v>
      </c>
      <c r="C234" s="28" t="s">
        <v>35</v>
      </c>
      <c r="D234" s="28" t="s">
        <v>38</v>
      </c>
      <c r="E234" s="41">
        <v>46158</v>
      </c>
      <c r="F234" s="47">
        <v>0.99785879629629626</v>
      </c>
      <c r="G234" s="44">
        <v>6.3</v>
      </c>
      <c r="H234" s="43" t="s">
        <v>1363</v>
      </c>
      <c r="I234" s="40" t="s">
        <v>1365</v>
      </c>
    </row>
    <row r="235" spans="1:9" x14ac:dyDescent="0.25">
      <c r="A235" s="40" t="s">
        <v>230</v>
      </c>
      <c r="B235" s="28">
        <v>283</v>
      </c>
      <c r="C235" s="28" t="s">
        <v>35</v>
      </c>
      <c r="D235" s="28" t="s">
        <v>38</v>
      </c>
      <c r="E235" s="45">
        <v>46159</v>
      </c>
      <c r="F235" s="48">
        <v>0.58042824074074073</v>
      </c>
      <c r="G235" s="44">
        <v>6.3</v>
      </c>
      <c r="H235" s="43" t="s">
        <v>1364</v>
      </c>
      <c r="I235" s="40" t="s">
        <v>1365</v>
      </c>
    </row>
    <row r="236" spans="1:9" x14ac:dyDescent="0.25">
      <c r="A236" s="40" t="s">
        <v>230</v>
      </c>
      <c r="B236" s="28">
        <v>283</v>
      </c>
      <c r="C236" s="28" t="s">
        <v>542</v>
      </c>
      <c r="D236" s="28"/>
      <c r="E236" s="41">
        <v>46159</v>
      </c>
      <c r="F236" s="47">
        <v>0.64011574074074074</v>
      </c>
      <c r="G236" s="42">
        <v>6.3</v>
      </c>
      <c r="H236" s="40" t="s">
        <v>1360</v>
      </c>
      <c r="I236" s="40" t="s">
        <v>1365</v>
      </c>
    </row>
    <row r="237" spans="1:9" x14ac:dyDescent="0.25">
      <c r="A237" s="40" t="s">
        <v>230</v>
      </c>
      <c r="B237" s="28">
        <v>283</v>
      </c>
      <c r="C237" s="28" t="s">
        <v>542</v>
      </c>
      <c r="D237" s="28"/>
      <c r="E237" s="41">
        <v>46159</v>
      </c>
      <c r="F237" s="47">
        <v>0.64704861111111112</v>
      </c>
      <c r="G237" s="42">
        <v>6.3</v>
      </c>
      <c r="H237" s="40" t="s">
        <v>1362</v>
      </c>
      <c r="I237" s="40" t="s">
        <v>1365</v>
      </c>
    </row>
    <row r="238" spans="1:9" x14ac:dyDescent="0.25">
      <c r="A238" s="40" t="s">
        <v>230</v>
      </c>
      <c r="B238" s="28">
        <v>283</v>
      </c>
      <c r="C238" s="28" t="s">
        <v>35</v>
      </c>
      <c r="D238" s="28" t="s">
        <v>38</v>
      </c>
      <c r="E238" s="41">
        <v>46159</v>
      </c>
      <c r="F238" s="47">
        <v>0.76900462962962968</v>
      </c>
      <c r="G238" s="42">
        <v>6.3</v>
      </c>
      <c r="H238" s="40" t="s">
        <v>1360</v>
      </c>
      <c r="I238" s="40" t="s">
        <v>1365</v>
      </c>
    </row>
    <row r="239" spans="1:9" x14ac:dyDescent="0.25">
      <c r="A239" s="40" t="s">
        <v>395</v>
      </c>
      <c r="B239" s="28">
        <v>291</v>
      </c>
      <c r="C239" s="28" t="s">
        <v>543</v>
      </c>
      <c r="D239" s="28"/>
      <c r="E239" s="41">
        <v>46157</v>
      </c>
      <c r="F239" s="47">
        <v>0.93815972222222221</v>
      </c>
      <c r="G239" s="42">
        <v>6.3</v>
      </c>
      <c r="H239" s="40" t="s">
        <v>1360</v>
      </c>
      <c r="I239" s="40" t="s">
        <v>1365</v>
      </c>
    </row>
    <row r="240" spans="1:9" x14ac:dyDescent="0.25">
      <c r="A240" s="40" t="s">
        <v>395</v>
      </c>
      <c r="B240" s="28">
        <v>291</v>
      </c>
      <c r="C240" s="28" t="s">
        <v>543</v>
      </c>
      <c r="D240" s="28"/>
      <c r="E240" s="41">
        <v>46157</v>
      </c>
      <c r="F240" s="47">
        <v>0.94497685185185187</v>
      </c>
      <c r="G240" s="42">
        <v>6.3</v>
      </c>
      <c r="H240" s="40" t="s">
        <v>1362</v>
      </c>
      <c r="I240" s="40" t="s">
        <v>1361</v>
      </c>
    </row>
    <row r="241" spans="1:9" x14ac:dyDescent="0.25">
      <c r="A241" s="40" t="s">
        <v>395</v>
      </c>
      <c r="B241" s="28">
        <v>291</v>
      </c>
      <c r="C241" s="28">
        <v>5668838</v>
      </c>
      <c r="D241" s="28"/>
      <c r="E241" s="41">
        <v>46158</v>
      </c>
      <c r="F241" s="47">
        <v>0.21171296296296296</v>
      </c>
      <c r="G241" s="42">
        <v>6.3</v>
      </c>
      <c r="H241" s="40" t="s">
        <v>1360</v>
      </c>
      <c r="I241" s="40" t="s">
        <v>1365</v>
      </c>
    </row>
    <row r="242" spans="1:9" x14ac:dyDescent="0.25">
      <c r="A242" s="40" t="s">
        <v>395</v>
      </c>
      <c r="B242" s="28">
        <v>291</v>
      </c>
      <c r="C242" s="28">
        <v>5668838</v>
      </c>
      <c r="D242" s="28"/>
      <c r="E242" s="41">
        <v>46158</v>
      </c>
      <c r="F242" s="47">
        <v>0.21841435185185185</v>
      </c>
      <c r="G242" s="44">
        <v>6.3</v>
      </c>
      <c r="H242" s="43" t="s">
        <v>1362</v>
      </c>
      <c r="I242" s="40" t="s">
        <v>1365</v>
      </c>
    </row>
    <row r="243" spans="1:9" x14ac:dyDescent="0.25">
      <c r="A243" s="40" t="s">
        <v>395</v>
      </c>
      <c r="B243" s="28">
        <v>291</v>
      </c>
      <c r="C243" s="28" t="s">
        <v>544</v>
      </c>
      <c r="D243" s="28"/>
      <c r="E243" s="41">
        <v>46159</v>
      </c>
      <c r="F243" s="47">
        <v>0.84556712962962965</v>
      </c>
      <c r="G243" s="44">
        <v>6.3</v>
      </c>
      <c r="H243" s="43" t="s">
        <v>1360</v>
      </c>
      <c r="I243" s="40" t="s">
        <v>1365</v>
      </c>
    </row>
    <row r="244" spans="1:9" x14ac:dyDescent="0.25">
      <c r="A244" s="40" t="s">
        <v>395</v>
      </c>
      <c r="B244" s="28">
        <v>291</v>
      </c>
      <c r="C244" s="28" t="s">
        <v>544</v>
      </c>
      <c r="D244" s="28"/>
      <c r="E244" s="41">
        <v>46159</v>
      </c>
      <c r="F244" s="47">
        <v>0.85215277777777776</v>
      </c>
      <c r="G244" s="44">
        <v>6.3</v>
      </c>
      <c r="H244" s="43" t="s">
        <v>1362</v>
      </c>
      <c r="I244" s="40" t="s">
        <v>1365</v>
      </c>
    </row>
    <row r="245" spans="1:9" x14ac:dyDescent="0.25">
      <c r="A245" s="40" t="s">
        <v>184</v>
      </c>
      <c r="B245" s="28">
        <v>292</v>
      </c>
      <c r="C245" s="28" t="s">
        <v>35</v>
      </c>
      <c r="D245" s="28" t="s">
        <v>38</v>
      </c>
      <c r="E245" s="41">
        <v>46153</v>
      </c>
      <c r="F245" s="47">
        <v>4.2546296296296297E-2</v>
      </c>
      <c r="G245" s="44">
        <v>6.3</v>
      </c>
      <c r="H245" s="43" t="s">
        <v>1364</v>
      </c>
      <c r="I245" s="40" t="s">
        <v>1361</v>
      </c>
    </row>
    <row r="246" spans="1:9" x14ac:dyDescent="0.25">
      <c r="A246" s="40" t="s">
        <v>184</v>
      </c>
      <c r="B246" s="28">
        <v>292</v>
      </c>
      <c r="C246" s="28">
        <v>5661957</v>
      </c>
      <c r="D246" s="28" t="s">
        <v>37</v>
      </c>
      <c r="E246" s="41">
        <v>46153</v>
      </c>
      <c r="F246" s="47">
        <v>0.13483796296296297</v>
      </c>
      <c r="G246" s="44">
        <v>6.3</v>
      </c>
      <c r="H246" s="43" t="s">
        <v>1364</v>
      </c>
      <c r="I246" s="40" t="s">
        <v>1361</v>
      </c>
    </row>
    <row r="247" spans="1:9" x14ac:dyDescent="0.25">
      <c r="A247" s="40" t="s">
        <v>184</v>
      </c>
      <c r="B247" s="28">
        <v>292</v>
      </c>
      <c r="C247" s="28">
        <v>5661728</v>
      </c>
      <c r="D247" s="28" t="s">
        <v>36</v>
      </c>
      <c r="E247" s="41">
        <v>46153</v>
      </c>
      <c r="F247" s="47">
        <v>0.25488425925925928</v>
      </c>
      <c r="G247" s="44">
        <v>6.3</v>
      </c>
      <c r="H247" s="43" t="s">
        <v>1369</v>
      </c>
      <c r="I247" s="40" t="s">
        <v>1361</v>
      </c>
    </row>
    <row r="248" spans="1:9" x14ac:dyDescent="0.25">
      <c r="A248" s="40" t="s">
        <v>184</v>
      </c>
      <c r="B248" s="28">
        <v>292</v>
      </c>
      <c r="C248" s="28">
        <v>5661728</v>
      </c>
      <c r="D248" s="28" t="s">
        <v>36</v>
      </c>
      <c r="E248" s="41">
        <v>46153</v>
      </c>
      <c r="F248" s="47">
        <v>0.26005787037037037</v>
      </c>
      <c r="G248" s="44">
        <v>6.3</v>
      </c>
      <c r="H248" s="43" t="s">
        <v>1364</v>
      </c>
      <c r="I248" s="40" t="s">
        <v>1361</v>
      </c>
    </row>
    <row r="249" spans="1:9" x14ac:dyDescent="0.25">
      <c r="A249" s="40" t="s">
        <v>184</v>
      </c>
      <c r="B249" s="28">
        <v>292</v>
      </c>
      <c r="C249" s="28" t="s">
        <v>35</v>
      </c>
      <c r="D249" s="28" t="s">
        <v>38</v>
      </c>
      <c r="E249" s="45">
        <v>46153</v>
      </c>
      <c r="F249" s="48">
        <v>0.97627314814814814</v>
      </c>
      <c r="G249" s="44">
        <v>6.3</v>
      </c>
      <c r="H249" s="43" t="s">
        <v>1364</v>
      </c>
      <c r="I249" s="40" t="s">
        <v>1361</v>
      </c>
    </row>
    <row r="250" spans="1:9" x14ac:dyDescent="0.25">
      <c r="A250" s="40" t="s">
        <v>184</v>
      </c>
      <c r="B250" s="28">
        <v>292</v>
      </c>
      <c r="C250" s="28">
        <v>5663792</v>
      </c>
      <c r="D250" s="28"/>
      <c r="E250" s="41">
        <v>46154</v>
      </c>
      <c r="F250" s="47">
        <v>0.16726851851851851</v>
      </c>
      <c r="G250" s="44">
        <v>6.3</v>
      </c>
      <c r="H250" s="43" t="s">
        <v>1364</v>
      </c>
      <c r="I250" s="40" t="s">
        <v>1361</v>
      </c>
    </row>
    <row r="251" spans="1:9" x14ac:dyDescent="0.25">
      <c r="A251" s="40" t="s">
        <v>184</v>
      </c>
      <c r="B251" s="28">
        <v>292</v>
      </c>
      <c r="C251" s="28" t="s">
        <v>35</v>
      </c>
      <c r="D251" s="28" t="s">
        <v>38</v>
      </c>
      <c r="E251" s="41">
        <v>46155</v>
      </c>
      <c r="F251" s="47">
        <v>0.15850694444444444</v>
      </c>
      <c r="G251" s="44">
        <v>6.3</v>
      </c>
      <c r="H251" s="43" t="s">
        <v>1363</v>
      </c>
      <c r="I251" s="40" t="s">
        <v>1361</v>
      </c>
    </row>
    <row r="252" spans="1:9" x14ac:dyDescent="0.25">
      <c r="A252" s="40" t="s">
        <v>184</v>
      </c>
      <c r="B252" s="28">
        <v>292</v>
      </c>
      <c r="C252" s="28" t="s">
        <v>35</v>
      </c>
      <c r="D252" s="28" t="s">
        <v>38</v>
      </c>
      <c r="E252" s="41">
        <v>46155</v>
      </c>
      <c r="F252" s="47">
        <v>0.19598379629629631</v>
      </c>
      <c r="G252" s="42">
        <v>6.3</v>
      </c>
      <c r="H252" s="40" t="s">
        <v>1360</v>
      </c>
      <c r="I252" s="40" t="s">
        <v>1361</v>
      </c>
    </row>
    <row r="253" spans="1:9" x14ac:dyDescent="0.25">
      <c r="A253" s="40" t="s">
        <v>184</v>
      </c>
      <c r="B253" s="28">
        <v>292</v>
      </c>
      <c r="C253" s="28" t="s">
        <v>35</v>
      </c>
      <c r="D253" s="28" t="s">
        <v>38</v>
      </c>
      <c r="E253" s="45">
        <v>46155</v>
      </c>
      <c r="F253" s="48">
        <v>0.20297453703703705</v>
      </c>
      <c r="G253" s="42">
        <v>6.3</v>
      </c>
      <c r="H253" s="40" t="s">
        <v>1362</v>
      </c>
      <c r="I253" s="40" t="s">
        <v>1361</v>
      </c>
    </row>
    <row r="254" spans="1:9" x14ac:dyDescent="0.25">
      <c r="A254" s="40" t="s">
        <v>184</v>
      </c>
      <c r="B254" s="28">
        <v>292</v>
      </c>
      <c r="C254" s="28">
        <v>5665680</v>
      </c>
      <c r="D254" s="28"/>
      <c r="E254" s="41">
        <v>46155</v>
      </c>
      <c r="F254" s="47">
        <v>0.25831018518518517</v>
      </c>
      <c r="G254" s="44">
        <v>6.3</v>
      </c>
      <c r="H254" s="43" t="s">
        <v>1363</v>
      </c>
      <c r="I254" s="40" t="s">
        <v>1361</v>
      </c>
    </row>
    <row r="255" spans="1:9" x14ac:dyDescent="0.25">
      <c r="A255" s="40" t="s">
        <v>184</v>
      </c>
      <c r="B255" s="28">
        <v>292</v>
      </c>
      <c r="C255" s="28">
        <v>5665680</v>
      </c>
      <c r="D255" s="28"/>
      <c r="E255" s="41">
        <v>46155</v>
      </c>
      <c r="F255" s="47">
        <v>0.26755787037037038</v>
      </c>
      <c r="G255" s="44">
        <v>6.3</v>
      </c>
      <c r="H255" s="43" t="s">
        <v>1364</v>
      </c>
      <c r="I255" s="40" t="s">
        <v>1361</v>
      </c>
    </row>
    <row r="256" spans="1:9" x14ac:dyDescent="0.25">
      <c r="A256" s="40" t="s">
        <v>184</v>
      </c>
      <c r="B256" s="28">
        <v>292</v>
      </c>
      <c r="C256" s="28">
        <v>5669191</v>
      </c>
      <c r="D256" s="28"/>
      <c r="E256" s="41">
        <v>46156</v>
      </c>
      <c r="F256" s="47">
        <v>0.8755208333333333</v>
      </c>
      <c r="G256" s="44">
        <v>6.3</v>
      </c>
      <c r="H256" s="43" t="s">
        <v>1360</v>
      </c>
      <c r="I256" s="40" t="s">
        <v>1361</v>
      </c>
    </row>
    <row r="257" spans="1:9" x14ac:dyDescent="0.25">
      <c r="A257" s="40" t="s">
        <v>184</v>
      </c>
      <c r="B257" s="28">
        <v>292</v>
      </c>
      <c r="C257" s="28">
        <v>5669191</v>
      </c>
      <c r="D257" s="28"/>
      <c r="E257" s="41">
        <v>46156</v>
      </c>
      <c r="F257" s="47">
        <v>0.88217592592592597</v>
      </c>
      <c r="G257" s="44">
        <v>6.3</v>
      </c>
      <c r="H257" s="43" t="s">
        <v>1362</v>
      </c>
      <c r="I257" s="40" t="s">
        <v>1361</v>
      </c>
    </row>
    <row r="258" spans="1:9" x14ac:dyDescent="0.25">
      <c r="A258" s="40" t="s">
        <v>184</v>
      </c>
      <c r="B258" s="28">
        <v>292</v>
      </c>
      <c r="C258" s="28" t="s">
        <v>35</v>
      </c>
      <c r="D258" s="28" t="s">
        <v>38</v>
      </c>
      <c r="E258" s="41">
        <v>46156</v>
      </c>
      <c r="F258" s="47">
        <v>0.89957175925925925</v>
      </c>
      <c r="G258" s="44">
        <v>6.3</v>
      </c>
      <c r="H258" s="43" t="s">
        <v>1363</v>
      </c>
      <c r="I258" s="40" t="s">
        <v>1361</v>
      </c>
    </row>
    <row r="259" spans="1:9" x14ac:dyDescent="0.25">
      <c r="A259" s="40" t="s">
        <v>184</v>
      </c>
      <c r="B259" s="28">
        <v>292</v>
      </c>
      <c r="C259" s="28" t="s">
        <v>35</v>
      </c>
      <c r="D259" s="28" t="s">
        <v>38</v>
      </c>
      <c r="E259" s="41">
        <v>46156</v>
      </c>
      <c r="F259" s="47">
        <v>0.90511574074074075</v>
      </c>
      <c r="G259" s="44">
        <v>6.3</v>
      </c>
      <c r="H259" s="43" t="s">
        <v>1364</v>
      </c>
      <c r="I259" s="40" t="s">
        <v>1361</v>
      </c>
    </row>
    <row r="260" spans="1:9" x14ac:dyDescent="0.25">
      <c r="A260" s="40" t="s">
        <v>184</v>
      </c>
      <c r="B260" s="28">
        <v>292</v>
      </c>
      <c r="C260" s="28">
        <v>5663856</v>
      </c>
      <c r="D260" s="28"/>
      <c r="E260" s="41">
        <v>46156</v>
      </c>
      <c r="F260" s="47">
        <v>0.99873842592592588</v>
      </c>
      <c r="G260" s="44">
        <v>6.3</v>
      </c>
      <c r="H260" s="43" t="s">
        <v>1360</v>
      </c>
      <c r="I260" s="40" t="s">
        <v>1361</v>
      </c>
    </row>
    <row r="261" spans="1:9" x14ac:dyDescent="0.25">
      <c r="A261" s="40" t="s">
        <v>184</v>
      </c>
      <c r="B261" s="28">
        <v>292</v>
      </c>
      <c r="C261" s="28">
        <v>5663856</v>
      </c>
      <c r="D261" s="28"/>
      <c r="E261" s="41">
        <v>46157</v>
      </c>
      <c r="F261" s="47">
        <v>6.7361111111111111E-3</v>
      </c>
      <c r="G261" s="44">
        <v>6.3</v>
      </c>
      <c r="H261" s="43" t="s">
        <v>1362</v>
      </c>
      <c r="I261" s="40" t="s">
        <v>1361</v>
      </c>
    </row>
    <row r="262" spans="1:9" x14ac:dyDescent="0.25">
      <c r="A262" s="40" t="s">
        <v>184</v>
      </c>
      <c r="B262" s="28">
        <v>292</v>
      </c>
      <c r="C262" s="28" t="s">
        <v>35</v>
      </c>
      <c r="D262" s="28" t="s">
        <v>38</v>
      </c>
      <c r="E262" s="41">
        <v>46157</v>
      </c>
      <c r="F262" s="47">
        <v>2.252314814814815E-2</v>
      </c>
      <c r="G262" s="44">
        <v>6.3</v>
      </c>
      <c r="H262" s="43" t="s">
        <v>1363</v>
      </c>
      <c r="I262" s="40" t="s">
        <v>1361</v>
      </c>
    </row>
    <row r="263" spans="1:9" x14ac:dyDescent="0.25">
      <c r="A263" s="40" t="s">
        <v>184</v>
      </c>
      <c r="B263" s="28">
        <v>292</v>
      </c>
      <c r="C263" s="28" t="s">
        <v>35</v>
      </c>
      <c r="D263" s="28" t="s">
        <v>38</v>
      </c>
      <c r="E263" s="41">
        <v>46157</v>
      </c>
      <c r="F263" s="47">
        <v>2.6909722222222224E-2</v>
      </c>
      <c r="G263" s="44">
        <v>6.3</v>
      </c>
      <c r="H263" s="43" t="s">
        <v>1364</v>
      </c>
      <c r="I263" s="40" t="s">
        <v>1361</v>
      </c>
    </row>
    <row r="264" spans="1:9" x14ac:dyDescent="0.25">
      <c r="A264" s="40" t="s">
        <v>184</v>
      </c>
      <c r="B264" s="28">
        <v>292</v>
      </c>
      <c r="C264" s="28" t="s">
        <v>35</v>
      </c>
      <c r="D264" s="28" t="s">
        <v>38</v>
      </c>
      <c r="E264" s="41">
        <v>46157</v>
      </c>
      <c r="F264" s="47">
        <v>0.88699074074074069</v>
      </c>
      <c r="G264" s="42">
        <v>6.3</v>
      </c>
      <c r="H264" s="40" t="s">
        <v>1364</v>
      </c>
      <c r="I264" s="40" t="s">
        <v>1361</v>
      </c>
    </row>
    <row r="265" spans="1:9" x14ac:dyDescent="0.25">
      <c r="A265" s="40" t="s">
        <v>184</v>
      </c>
      <c r="B265" s="28">
        <v>292</v>
      </c>
      <c r="C265" s="28">
        <v>5672237</v>
      </c>
      <c r="D265" s="28"/>
      <c r="E265" s="41">
        <v>46159</v>
      </c>
      <c r="F265" s="47">
        <v>0.50608796296296299</v>
      </c>
      <c r="G265" s="42">
        <v>6.3</v>
      </c>
      <c r="H265" s="40" t="s">
        <v>1360</v>
      </c>
      <c r="I265" s="40" t="s">
        <v>1365</v>
      </c>
    </row>
    <row r="266" spans="1:9" x14ac:dyDescent="0.25">
      <c r="A266" s="40" t="s">
        <v>184</v>
      </c>
      <c r="B266" s="28">
        <v>292</v>
      </c>
      <c r="C266" s="28">
        <v>5672237</v>
      </c>
      <c r="D266" s="28"/>
      <c r="E266" s="41">
        <v>46159</v>
      </c>
      <c r="F266" s="47">
        <v>0.51263888888888887</v>
      </c>
      <c r="G266" s="42">
        <v>6.3</v>
      </c>
      <c r="H266" s="40" t="s">
        <v>1362</v>
      </c>
      <c r="I266" s="40" t="s">
        <v>1365</v>
      </c>
    </row>
    <row r="267" spans="1:9" x14ac:dyDescent="0.25">
      <c r="A267" s="40" t="s">
        <v>108</v>
      </c>
      <c r="B267" s="28">
        <v>301</v>
      </c>
      <c r="C267" s="28">
        <v>5664918</v>
      </c>
      <c r="D267" s="28"/>
      <c r="E267" s="41">
        <v>46154</v>
      </c>
      <c r="F267" s="47">
        <v>0.6184722222222222</v>
      </c>
      <c r="G267" s="42">
        <v>6.3</v>
      </c>
      <c r="H267" s="40" t="s">
        <v>1360</v>
      </c>
      <c r="I267" s="40" t="s">
        <v>1361</v>
      </c>
    </row>
    <row r="268" spans="1:9" x14ac:dyDescent="0.25">
      <c r="A268" s="40" t="s">
        <v>108</v>
      </c>
      <c r="B268" s="28">
        <v>301</v>
      </c>
      <c r="C268" s="28">
        <v>5664918</v>
      </c>
      <c r="D268" s="28"/>
      <c r="E268" s="41">
        <v>46154</v>
      </c>
      <c r="F268" s="47">
        <v>0.62814814814814812</v>
      </c>
      <c r="G268" s="42">
        <v>6.3</v>
      </c>
      <c r="H268" s="40" t="s">
        <v>1362</v>
      </c>
      <c r="I268" s="40" t="s">
        <v>1361</v>
      </c>
    </row>
    <row r="269" spans="1:9" x14ac:dyDescent="0.25">
      <c r="A269" s="40" t="s">
        <v>108</v>
      </c>
      <c r="B269" s="28">
        <v>301</v>
      </c>
      <c r="C269" s="28" t="s">
        <v>545</v>
      </c>
      <c r="D269" s="28"/>
      <c r="E269" s="41">
        <v>46159</v>
      </c>
      <c r="F269" s="47">
        <v>0.48872685185185183</v>
      </c>
      <c r="G269" s="44">
        <v>6.3</v>
      </c>
      <c r="H269" s="43" t="s">
        <v>1363</v>
      </c>
      <c r="I269" s="40" t="s">
        <v>1365</v>
      </c>
    </row>
    <row r="270" spans="1:9" x14ac:dyDescent="0.25">
      <c r="A270" s="40" t="s">
        <v>108</v>
      </c>
      <c r="B270" s="28">
        <v>301</v>
      </c>
      <c r="C270" s="28" t="s">
        <v>545</v>
      </c>
      <c r="D270" s="28"/>
      <c r="E270" s="41">
        <v>46159</v>
      </c>
      <c r="F270" s="47">
        <v>0.49421296296296297</v>
      </c>
      <c r="G270" s="44">
        <v>6.3</v>
      </c>
      <c r="H270" s="43" t="s">
        <v>1364</v>
      </c>
      <c r="I270" s="40" t="s">
        <v>1365</v>
      </c>
    </row>
    <row r="271" spans="1:9" x14ac:dyDescent="0.25">
      <c r="A271" s="40" t="s">
        <v>108</v>
      </c>
      <c r="B271" s="28">
        <v>301</v>
      </c>
      <c r="C271" s="28" t="s">
        <v>546</v>
      </c>
      <c r="D271" s="28"/>
      <c r="E271" s="41">
        <v>46159</v>
      </c>
      <c r="F271" s="47">
        <v>0.67259259259259263</v>
      </c>
      <c r="G271" s="44">
        <v>6.3</v>
      </c>
      <c r="H271" s="43" t="s">
        <v>1363</v>
      </c>
      <c r="I271" s="40" t="s">
        <v>1365</v>
      </c>
    </row>
    <row r="272" spans="1:9" x14ac:dyDescent="0.25">
      <c r="A272" s="40" t="s">
        <v>108</v>
      </c>
      <c r="B272" s="28">
        <v>301</v>
      </c>
      <c r="C272" s="28" t="s">
        <v>546</v>
      </c>
      <c r="D272" s="28"/>
      <c r="E272" s="41">
        <v>46159</v>
      </c>
      <c r="F272" s="47">
        <v>0.67775462962962962</v>
      </c>
      <c r="G272" s="44">
        <v>6.3</v>
      </c>
      <c r="H272" s="43" t="s">
        <v>1364</v>
      </c>
      <c r="I272" s="40" t="s">
        <v>1365</v>
      </c>
    </row>
    <row r="273" spans="1:9" x14ac:dyDescent="0.25">
      <c r="A273" s="40" t="s">
        <v>497</v>
      </c>
      <c r="B273" s="28">
        <v>319</v>
      </c>
      <c r="C273" s="28">
        <v>5666229</v>
      </c>
      <c r="D273" s="28"/>
      <c r="E273" s="41">
        <v>46155</v>
      </c>
      <c r="F273" s="47">
        <v>0.45622685185185186</v>
      </c>
      <c r="G273" s="44">
        <v>6.3</v>
      </c>
      <c r="H273" s="43" t="s">
        <v>1360</v>
      </c>
      <c r="I273" s="40" t="s">
        <v>1361</v>
      </c>
    </row>
    <row r="274" spans="1:9" x14ac:dyDescent="0.25">
      <c r="A274" s="40" t="s">
        <v>497</v>
      </c>
      <c r="B274" s="28">
        <v>319</v>
      </c>
      <c r="C274" s="28">
        <v>5668730</v>
      </c>
      <c r="D274" s="28" t="s">
        <v>36</v>
      </c>
      <c r="E274" s="41">
        <v>46156</v>
      </c>
      <c r="F274" s="47">
        <v>0.72310185185185183</v>
      </c>
      <c r="G274" s="44">
        <v>6.3</v>
      </c>
      <c r="H274" s="43" t="s">
        <v>1360</v>
      </c>
      <c r="I274" s="40" t="s">
        <v>1361</v>
      </c>
    </row>
    <row r="275" spans="1:9" x14ac:dyDescent="0.25">
      <c r="A275" s="40" t="s">
        <v>109</v>
      </c>
      <c r="B275" s="28">
        <v>380</v>
      </c>
      <c r="C275" s="28">
        <v>5661336</v>
      </c>
      <c r="D275" s="28"/>
      <c r="E275" s="41">
        <v>46153</v>
      </c>
      <c r="F275" s="47">
        <v>0.27376157407407409</v>
      </c>
      <c r="G275" s="44">
        <v>6.3</v>
      </c>
      <c r="H275" s="43" t="s">
        <v>1368</v>
      </c>
      <c r="I275" s="40" t="s">
        <v>1361</v>
      </c>
    </row>
    <row r="276" spans="1:9" x14ac:dyDescent="0.25">
      <c r="A276" s="40" t="s">
        <v>109</v>
      </c>
      <c r="B276" s="28">
        <v>380</v>
      </c>
      <c r="C276" s="28" t="s">
        <v>35</v>
      </c>
      <c r="D276" s="28" t="s">
        <v>38</v>
      </c>
      <c r="E276" s="41">
        <v>46153</v>
      </c>
      <c r="F276" s="47">
        <v>0.35553240740740738</v>
      </c>
      <c r="G276" s="44">
        <v>6.3</v>
      </c>
      <c r="H276" s="43" t="s">
        <v>1363</v>
      </c>
      <c r="I276" s="40" t="s">
        <v>1361</v>
      </c>
    </row>
    <row r="277" spans="1:9" x14ac:dyDescent="0.25">
      <c r="A277" s="40" t="s">
        <v>109</v>
      </c>
      <c r="B277" s="28">
        <v>380</v>
      </c>
      <c r="C277" s="28">
        <v>5662455</v>
      </c>
      <c r="D277" s="28"/>
      <c r="E277" s="41">
        <v>46153</v>
      </c>
      <c r="F277" s="47">
        <v>0.39243055555555556</v>
      </c>
      <c r="G277" s="44">
        <v>6.3</v>
      </c>
      <c r="H277" s="43" t="s">
        <v>1362</v>
      </c>
      <c r="I277" s="40" t="s">
        <v>1361</v>
      </c>
    </row>
    <row r="278" spans="1:9" x14ac:dyDescent="0.25">
      <c r="A278" s="40" t="s">
        <v>109</v>
      </c>
      <c r="B278" s="28">
        <v>380</v>
      </c>
      <c r="C278" s="28">
        <v>5663769</v>
      </c>
      <c r="D278" s="28"/>
      <c r="E278" s="41">
        <v>46154</v>
      </c>
      <c r="F278" s="47">
        <v>0.29092592592592592</v>
      </c>
      <c r="G278" s="44">
        <v>6.3</v>
      </c>
      <c r="H278" s="43" t="s">
        <v>1360</v>
      </c>
      <c r="I278" s="40" t="s">
        <v>1361</v>
      </c>
    </row>
    <row r="279" spans="1:9" x14ac:dyDescent="0.25">
      <c r="A279" s="40" t="s">
        <v>109</v>
      </c>
      <c r="B279" s="28">
        <v>380</v>
      </c>
      <c r="C279" s="28">
        <v>5663769</v>
      </c>
      <c r="D279" s="28"/>
      <c r="E279" s="41">
        <v>46154</v>
      </c>
      <c r="F279" s="47">
        <v>0.30015046296296294</v>
      </c>
      <c r="G279" s="44">
        <v>6.3</v>
      </c>
      <c r="H279" s="43" t="s">
        <v>1362</v>
      </c>
      <c r="I279" s="40" t="s">
        <v>1361</v>
      </c>
    </row>
    <row r="280" spans="1:9" x14ac:dyDescent="0.25">
      <c r="A280" s="40" t="s">
        <v>109</v>
      </c>
      <c r="B280" s="28">
        <v>380</v>
      </c>
      <c r="C280" s="28">
        <v>5666274</v>
      </c>
      <c r="D280" s="28"/>
      <c r="E280" s="41">
        <v>46155</v>
      </c>
      <c r="F280" s="47">
        <v>0.41775462962962961</v>
      </c>
      <c r="G280" s="44">
        <v>6.3</v>
      </c>
      <c r="H280" s="43" t="s">
        <v>1360</v>
      </c>
      <c r="I280" s="40" t="s">
        <v>1361</v>
      </c>
    </row>
    <row r="281" spans="1:9" x14ac:dyDescent="0.25">
      <c r="A281" s="40" t="s">
        <v>109</v>
      </c>
      <c r="B281" s="28">
        <v>380</v>
      </c>
      <c r="C281" s="28">
        <v>5666626</v>
      </c>
      <c r="D281" s="28"/>
      <c r="E281" s="41">
        <v>46155</v>
      </c>
      <c r="F281" s="47">
        <v>0.54863425925925924</v>
      </c>
      <c r="G281" s="44">
        <v>6.3</v>
      </c>
      <c r="H281" s="43" t="s">
        <v>1363</v>
      </c>
      <c r="I281" s="40" t="s">
        <v>1361</v>
      </c>
    </row>
    <row r="282" spans="1:9" x14ac:dyDescent="0.25">
      <c r="A282" s="40" t="s">
        <v>109</v>
      </c>
      <c r="B282" s="28">
        <v>380</v>
      </c>
      <c r="C282" s="28">
        <v>5666626</v>
      </c>
      <c r="D282" s="28"/>
      <c r="E282" s="41">
        <v>46155</v>
      </c>
      <c r="F282" s="47">
        <v>0.55525462962962968</v>
      </c>
      <c r="G282" s="44">
        <v>6.3</v>
      </c>
      <c r="H282" s="43" t="s">
        <v>1364</v>
      </c>
      <c r="I282" s="40" t="s">
        <v>1361</v>
      </c>
    </row>
    <row r="283" spans="1:9" x14ac:dyDescent="0.25">
      <c r="A283" s="40" t="s">
        <v>109</v>
      </c>
      <c r="B283" s="28">
        <v>380</v>
      </c>
      <c r="C283" s="28">
        <v>5666641</v>
      </c>
      <c r="D283" s="28"/>
      <c r="E283" s="41">
        <v>46155</v>
      </c>
      <c r="F283" s="47">
        <v>0.75820601851851854</v>
      </c>
      <c r="G283" s="44">
        <v>6.3</v>
      </c>
      <c r="H283" s="43" t="s">
        <v>1360</v>
      </c>
      <c r="I283" s="40" t="s">
        <v>1361</v>
      </c>
    </row>
    <row r="284" spans="1:9" x14ac:dyDescent="0.25">
      <c r="A284" s="40" t="s">
        <v>109</v>
      </c>
      <c r="B284" s="28">
        <v>380</v>
      </c>
      <c r="C284" s="28">
        <v>5666641</v>
      </c>
      <c r="D284" s="28"/>
      <c r="E284" s="41">
        <v>46155</v>
      </c>
      <c r="F284" s="47">
        <v>0.76809027777777783</v>
      </c>
      <c r="G284" s="44">
        <v>6.3</v>
      </c>
      <c r="H284" s="43" t="s">
        <v>1368</v>
      </c>
      <c r="I284" s="40" t="s">
        <v>1361</v>
      </c>
    </row>
    <row r="285" spans="1:9" x14ac:dyDescent="0.25">
      <c r="A285" s="40" t="s">
        <v>109</v>
      </c>
      <c r="B285" s="28">
        <v>380</v>
      </c>
      <c r="C285" s="28">
        <v>5666923</v>
      </c>
      <c r="D285" s="28"/>
      <c r="E285" s="41">
        <v>46155</v>
      </c>
      <c r="F285" s="47">
        <v>0.90504629629629629</v>
      </c>
      <c r="G285" s="44">
        <v>6.3</v>
      </c>
      <c r="H285" s="43" t="s">
        <v>1370</v>
      </c>
      <c r="I285" s="40" t="s">
        <v>1361</v>
      </c>
    </row>
    <row r="286" spans="1:9" x14ac:dyDescent="0.25">
      <c r="A286" s="40" t="s">
        <v>109</v>
      </c>
      <c r="B286" s="28">
        <v>380</v>
      </c>
      <c r="C286" s="28">
        <v>5666923</v>
      </c>
      <c r="D286" s="28"/>
      <c r="E286" s="41">
        <v>46155</v>
      </c>
      <c r="F286" s="47">
        <v>0.90968749999999998</v>
      </c>
      <c r="G286" s="44">
        <v>6.3</v>
      </c>
      <c r="H286" s="43" t="s">
        <v>1364</v>
      </c>
      <c r="I286" s="40" t="s">
        <v>1361</v>
      </c>
    </row>
    <row r="287" spans="1:9" x14ac:dyDescent="0.25">
      <c r="A287" s="40" t="s">
        <v>109</v>
      </c>
      <c r="B287" s="28">
        <v>380</v>
      </c>
      <c r="C287" s="28">
        <v>5667945</v>
      </c>
      <c r="D287" s="28"/>
      <c r="E287" s="45">
        <v>46156</v>
      </c>
      <c r="F287" s="48">
        <v>0.4211226851851852</v>
      </c>
      <c r="G287" s="44">
        <v>6.3</v>
      </c>
      <c r="H287" s="43" t="s">
        <v>1369</v>
      </c>
      <c r="I287" s="40" t="s">
        <v>1361</v>
      </c>
    </row>
    <row r="288" spans="1:9" x14ac:dyDescent="0.25">
      <c r="A288" s="40" t="s">
        <v>109</v>
      </c>
      <c r="B288" s="28">
        <v>380</v>
      </c>
      <c r="C288" s="28">
        <v>5667945</v>
      </c>
      <c r="D288" s="28"/>
      <c r="E288" s="41">
        <v>46156</v>
      </c>
      <c r="F288" s="47">
        <v>0.4287037037037037</v>
      </c>
      <c r="G288" s="44">
        <v>6.3</v>
      </c>
      <c r="H288" s="43" t="s">
        <v>1364</v>
      </c>
      <c r="I288" s="40" t="s">
        <v>1361</v>
      </c>
    </row>
    <row r="289" spans="1:9" x14ac:dyDescent="0.25">
      <c r="A289" s="40" t="s">
        <v>109</v>
      </c>
      <c r="B289" s="28">
        <v>380</v>
      </c>
      <c r="C289" s="28">
        <v>5667945</v>
      </c>
      <c r="D289" s="28"/>
      <c r="E289" s="41">
        <v>46156</v>
      </c>
      <c r="F289" s="47">
        <v>0.49550925925925926</v>
      </c>
      <c r="G289" s="44">
        <v>6.3</v>
      </c>
      <c r="H289" s="43" t="s">
        <v>1360</v>
      </c>
      <c r="I289" s="40" t="s">
        <v>1361</v>
      </c>
    </row>
    <row r="290" spans="1:9" x14ac:dyDescent="0.25">
      <c r="A290" s="40" t="s">
        <v>109</v>
      </c>
      <c r="B290" s="28">
        <v>380</v>
      </c>
      <c r="C290" s="28">
        <v>5667945</v>
      </c>
      <c r="D290" s="28"/>
      <c r="E290" s="41">
        <v>46156</v>
      </c>
      <c r="F290" s="47">
        <v>0.50836805555555553</v>
      </c>
      <c r="G290" s="44">
        <v>6.3</v>
      </c>
      <c r="H290" s="43" t="s">
        <v>1368</v>
      </c>
      <c r="I290" s="40" t="s">
        <v>1361</v>
      </c>
    </row>
    <row r="291" spans="1:9" x14ac:dyDescent="0.25">
      <c r="A291" s="40" t="s">
        <v>109</v>
      </c>
      <c r="B291" s="28">
        <v>380</v>
      </c>
      <c r="C291" s="28">
        <v>5668448</v>
      </c>
      <c r="D291" s="28"/>
      <c r="E291" s="45">
        <v>46156</v>
      </c>
      <c r="F291" s="48">
        <v>0.75145833333333334</v>
      </c>
      <c r="G291" s="44">
        <v>6.3</v>
      </c>
      <c r="H291" s="43" t="s">
        <v>1363</v>
      </c>
      <c r="I291" s="40" t="s">
        <v>1361</v>
      </c>
    </row>
    <row r="292" spans="1:9" x14ac:dyDescent="0.25">
      <c r="A292" s="40" t="s">
        <v>109</v>
      </c>
      <c r="B292" s="28">
        <v>380</v>
      </c>
      <c r="C292" s="28">
        <v>5668448</v>
      </c>
      <c r="D292" s="28"/>
      <c r="E292" s="41">
        <v>46156</v>
      </c>
      <c r="F292" s="47">
        <v>0.76462962962962966</v>
      </c>
      <c r="G292" s="44">
        <v>6.3</v>
      </c>
      <c r="H292" s="43" t="s">
        <v>1364</v>
      </c>
      <c r="I292" s="40" t="s">
        <v>1361</v>
      </c>
    </row>
    <row r="293" spans="1:9" x14ac:dyDescent="0.25">
      <c r="A293" s="40" t="s">
        <v>109</v>
      </c>
      <c r="B293" s="28">
        <v>380</v>
      </c>
      <c r="C293" s="28">
        <v>5669320</v>
      </c>
      <c r="D293" s="28"/>
      <c r="E293" s="45">
        <v>46157</v>
      </c>
      <c r="F293" s="48">
        <v>0.28842592592592592</v>
      </c>
      <c r="G293" s="44">
        <v>6.3</v>
      </c>
      <c r="H293" s="43" t="s">
        <v>1360</v>
      </c>
      <c r="I293" s="40" t="s">
        <v>1361</v>
      </c>
    </row>
    <row r="294" spans="1:9" x14ac:dyDescent="0.25">
      <c r="A294" s="40" t="s">
        <v>109</v>
      </c>
      <c r="B294" s="28">
        <v>380</v>
      </c>
      <c r="C294" s="28">
        <v>5669320</v>
      </c>
      <c r="D294" s="28"/>
      <c r="E294" s="41">
        <v>46157</v>
      </c>
      <c r="F294" s="47">
        <v>0.2963425925925926</v>
      </c>
      <c r="G294" s="44">
        <v>6.3</v>
      </c>
      <c r="H294" s="43" t="s">
        <v>1362</v>
      </c>
      <c r="I294" s="40" t="s">
        <v>1361</v>
      </c>
    </row>
    <row r="295" spans="1:9" x14ac:dyDescent="0.25">
      <c r="A295" s="40" t="s">
        <v>109</v>
      </c>
      <c r="B295" s="28">
        <v>380</v>
      </c>
      <c r="C295" s="28">
        <v>5669582</v>
      </c>
      <c r="D295" s="28"/>
      <c r="E295" s="41">
        <v>46157</v>
      </c>
      <c r="F295" s="47">
        <v>0.56928240740740743</v>
      </c>
      <c r="G295" s="44">
        <v>6.3</v>
      </c>
      <c r="H295" s="43" t="s">
        <v>1363</v>
      </c>
      <c r="I295" s="40" t="s">
        <v>1361</v>
      </c>
    </row>
    <row r="296" spans="1:9" x14ac:dyDescent="0.25">
      <c r="A296" s="40" t="s">
        <v>109</v>
      </c>
      <c r="B296" s="28">
        <v>380</v>
      </c>
      <c r="C296" s="28">
        <v>5669582</v>
      </c>
      <c r="D296" s="28"/>
      <c r="E296" s="41">
        <v>46157</v>
      </c>
      <c r="F296" s="47">
        <v>0.57534722222222223</v>
      </c>
      <c r="G296" s="44">
        <v>6.3</v>
      </c>
      <c r="H296" s="43" t="s">
        <v>1364</v>
      </c>
      <c r="I296" s="40" t="s">
        <v>1361</v>
      </c>
    </row>
    <row r="297" spans="1:9" x14ac:dyDescent="0.25">
      <c r="A297" s="40" t="s">
        <v>276</v>
      </c>
      <c r="B297" s="28">
        <v>411</v>
      </c>
      <c r="C297" s="28">
        <v>5662238</v>
      </c>
      <c r="D297" s="28"/>
      <c r="E297" s="41">
        <v>46153</v>
      </c>
      <c r="F297" s="47">
        <v>0.16821759259259259</v>
      </c>
      <c r="G297" s="44">
        <v>6.3</v>
      </c>
      <c r="H297" s="43" t="s">
        <v>1369</v>
      </c>
      <c r="I297" s="40" t="s">
        <v>1361</v>
      </c>
    </row>
    <row r="298" spans="1:9" x14ac:dyDescent="0.25">
      <c r="A298" s="40" t="s">
        <v>276</v>
      </c>
      <c r="B298" s="28">
        <v>411</v>
      </c>
      <c r="C298" s="28">
        <v>5662137</v>
      </c>
      <c r="D298" s="28"/>
      <c r="E298" s="41">
        <v>46153</v>
      </c>
      <c r="F298" s="47">
        <v>0.31241898148148151</v>
      </c>
      <c r="G298" s="44">
        <v>6.3</v>
      </c>
      <c r="H298" s="43" t="s">
        <v>1368</v>
      </c>
      <c r="I298" s="40" t="s">
        <v>1361</v>
      </c>
    </row>
    <row r="299" spans="1:9" x14ac:dyDescent="0.25">
      <c r="A299" s="40" t="s">
        <v>276</v>
      </c>
      <c r="B299" s="28">
        <v>411</v>
      </c>
      <c r="C299" s="28">
        <v>5662647</v>
      </c>
      <c r="D299" s="28"/>
      <c r="E299" s="45">
        <v>46153</v>
      </c>
      <c r="F299" s="48">
        <v>0.60385416666666669</v>
      </c>
      <c r="G299" s="44">
        <v>6.3</v>
      </c>
      <c r="H299" s="43" t="s">
        <v>1369</v>
      </c>
      <c r="I299" s="40" t="s">
        <v>1361</v>
      </c>
    </row>
    <row r="300" spans="1:9" x14ac:dyDescent="0.25">
      <c r="A300" s="40" t="s">
        <v>276</v>
      </c>
      <c r="B300" s="28">
        <v>411</v>
      </c>
      <c r="C300" s="28" t="s">
        <v>35</v>
      </c>
      <c r="D300" s="28" t="s">
        <v>38</v>
      </c>
      <c r="E300" s="41">
        <v>46154</v>
      </c>
      <c r="F300" s="47">
        <v>0.28917824074074072</v>
      </c>
      <c r="G300" s="44">
        <v>6.3</v>
      </c>
      <c r="H300" s="43" t="s">
        <v>1366</v>
      </c>
      <c r="I300" s="40" t="s">
        <v>1361</v>
      </c>
    </row>
    <row r="301" spans="1:9" x14ac:dyDescent="0.25">
      <c r="A301" s="40" t="s">
        <v>276</v>
      </c>
      <c r="B301" s="28">
        <v>411</v>
      </c>
      <c r="C301" s="28">
        <v>5663402</v>
      </c>
      <c r="D301" s="28"/>
      <c r="E301" s="41">
        <v>46154</v>
      </c>
      <c r="F301" s="47">
        <v>0.38339120370370372</v>
      </c>
      <c r="G301" s="44">
        <v>6.3</v>
      </c>
      <c r="H301" s="43" t="s">
        <v>1362</v>
      </c>
      <c r="I301" s="40" t="s">
        <v>1361</v>
      </c>
    </row>
    <row r="302" spans="1:9" x14ac:dyDescent="0.25">
      <c r="A302" s="40" t="s">
        <v>276</v>
      </c>
      <c r="B302" s="28">
        <v>411</v>
      </c>
      <c r="C302" s="28">
        <v>5666478</v>
      </c>
      <c r="D302" s="28"/>
      <c r="E302" s="41">
        <v>46155</v>
      </c>
      <c r="F302" s="47">
        <v>0.66553240740740738</v>
      </c>
      <c r="G302" s="44">
        <v>6.3</v>
      </c>
      <c r="H302" s="43" t="s">
        <v>1363</v>
      </c>
      <c r="I302" s="40" t="s">
        <v>1361</v>
      </c>
    </row>
    <row r="303" spans="1:9" x14ac:dyDescent="0.25">
      <c r="A303" s="40" t="s">
        <v>276</v>
      </c>
      <c r="B303" s="28">
        <v>411</v>
      </c>
      <c r="C303" s="28" t="s">
        <v>35</v>
      </c>
      <c r="D303" s="28" t="s">
        <v>38</v>
      </c>
      <c r="E303" s="41">
        <v>46155</v>
      </c>
      <c r="F303" s="47">
        <v>0.83218749999999997</v>
      </c>
      <c r="G303" s="44">
        <v>6.3</v>
      </c>
      <c r="H303" s="43" t="s">
        <v>1362</v>
      </c>
      <c r="I303" s="40" t="s">
        <v>1361</v>
      </c>
    </row>
    <row r="304" spans="1:9" x14ac:dyDescent="0.25">
      <c r="A304" s="40" t="s">
        <v>276</v>
      </c>
      <c r="B304" s="28">
        <v>411</v>
      </c>
      <c r="C304" s="28">
        <v>5671297</v>
      </c>
      <c r="D304" s="28"/>
      <c r="E304" s="41">
        <v>46158</v>
      </c>
      <c r="F304" s="47">
        <v>0.4883912037037037</v>
      </c>
      <c r="G304" s="44">
        <v>6.3</v>
      </c>
      <c r="H304" s="43" t="s">
        <v>1369</v>
      </c>
      <c r="I304" s="40" t="s">
        <v>1365</v>
      </c>
    </row>
    <row r="305" spans="1:9" x14ac:dyDescent="0.25">
      <c r="A305" s="40" t="s">
        <v>276</v>
      </c>
      <c r="B305" s="28">
        <v>411</v>
      </c>
      <c r="C305" s="28">
        <v>5671297</v>
      </c>
      <c r="D305" s="28"/>
      <c r="E305" s="41">
        <v>46158</v>
      </c>
      <c r="F305" s="47">
        <v>0.67097222222222219</v>
      </c>
      <c r="G305" s="44">
        <v>6.3</v>
      </c>
      <c r="H305" s="43" t="s">
        <v>1369</v>
      </c>
      <c r="I305" s="40" t="s">
        <v>1365</v>
      </c>
    </row>
    <row r="306" spans="1:9" x14ac:dyDescent="0.25">
      <c r="A306" s="40" t="s">
        <v>376</v>
      </c>
      <c r="B306" s="28">
        <v>412</v>
      </c>
      <c r="C306" s="28">
        <v>5662375</v>
      </c>
      <c r="D306" s="28"/>
      <c r="E306" s="41">
        <v>46153</v>
      </c>
      <c r="F306" s="47">
        <v>0.4800462962962963</v>
      </c>
      <c r="G306" s="44">
        <v>6.3</v>
      </c>
      <c r="H306" s="43" t="s">
        <v>1369</v>
      </c>
      <c r="I306" s="40" t="s">
        <v>1361</v>
      </c>
    </row>
    <row r="307" spans="1:9" x14ac:dyDescent="0.25">
      <c r="A307" s="40" t="s">
        <v>376</v>
      </c>
      <c r="B307" s="28">
        <v>412</v>
      </c>
      <c r="C307" s="28">
        <v>5662375</v>
      </c>
      <c r="D307" s="28"/>
      <c r="E307" s="41">
        <v>46153</v>
      </c>
      <c r="F307" s="47">
        <v>0.48636574074074074</v>
      </c>
      <c r="G307" s="44">
        <v>6.3</v>
      </c>
      <c r="H307" s="43" t="s">
        <v>1364</v>
      </c>
      <c r="I307" s="40" t="s">
        <v>1361</v>
      </c>
    </row>
    <row r="308" spans="1:9" x14ac:dyDescent="0.25">
      <c r="A308" s="40" t="s">
        <v>376</v>
      </c>
      <c r="B308" s="28">
        <v>412</v>
      </c>
      <c r="C308" s="28">
        <v>5662701</v>
      </c>
      <c r="D308" s="28"/>
      <c r="E308" s="41">
        <v>46153</v>
      </c>
      <c r="F308" s="47">
        <v>0.52820601851851856</v>
      </c>
      <c r="G308" s="44">
        <v>6.3</v>
      </c>
      <c r="H308" s="43" t="s">
        <v>1360</v>
      </c>
      <c r="I308" s="40" t="s">
        <v>1361</v>
      </c>
    </row>
    <row r="309" spans="1:9" x14ac:dyDescent="0.25">
      <c r="A309" s="40" t="s">
        <v>376</v>
      </c>
      <c r="B309" s="28">
        <v>412</v>
      </c>
      <c r="C309" s="28">
        <v>5662701</v>
      </c>
      <c r="D309" s="28"/>
      <c r="E309" s="45">
        <v>46153</v>
      </c>
      <c r="F309" s="48">
        <v>0.53706018518518517</v>
      </c>
      <c r="G309" s="42">
        <v>6.3</v>
      </c>
      <c r="H309" s="40" t="s">
        <v>1368</v>
      </c>
      <c r="I309" s="40" t="s">
        <v>1361</v>
      </c>
    </row>
    <row r="310" spans="1:9" x14ac:dyDescent="0.25">
      <c r="A310" s="40" t="s">
        <v>376</v>
      </c>
      <c r="B310" s="28">
        <v>412</v>
      </c>
      <c r="C310" s="28">
        <v>5670130</v>
      </c>
      <c r="D310" s="28" t="s">
        <v>36</v>
      </c>
      <c r="E310" s="41">
        <v>46157</v>
      </c>
      <c r="F310" s="47">
        <v>0.78280092592592587</v>
      </c>
      <c r="G310" s="42">
        <v>6.3</v>
      </c>
      <c r="H310" s="40" t="s">
        <v>1371</v>
      </c>
      <c r="I310" s="40" t="s">
        <v>1361</v>
      </c>
    </row>
    <row r="311" spans="1:9" x14ac:dyDescent="0.25">
      <c r="A311" s="40" t="s">
        <v>376</v>
      </c>
      <c r="B311" s="28">
        <v>412</v>
      </c>
      <c r="C311" s="28">
        <v>5670130</v>
      </c>
      <c r="D311" s="28" t="s">
        <v>36</v>
      </c>
      <c r="E311" s="45">
        <v>46157</v>
      </c>
      <c r="F311" s="48">
        <v>0.7986226851851852</v>
      </c>
      <c r="G311" s="44">
        <v>6.3</v>
      </c>
      <c r="H311" s="43" t="s">
        <v>1368</v>
      </c>
      <c r="I311" s="40" t="s">
        <v>1361</v>
      </c>
    </row>
    <row r="312" spans="1:9" x14ac:dyDescent="0.25">
      <c r="A312" s="40" t="s">
        <v>110</v>
      </c>
      <c r="B312" s="28">
        <v>423</v>
      </c>
      <c r="C312" s="28">
        <v>5662087</v>
      </c>
      <c r="D312" s="28"/>
      <c r="E312" s="45">
        <v>46153</v>
      </c>
      <c r="F312" s="48">
        <v>0.28746527777777775</v>
      </c>
      <c r="G312" s="44">
        <v>6.3</v>
      </c>
      <c r="H312" s="43" t="s">
        <v>1360</v>
      </c>
      <c r="I312" s="40" t="s">
        <v>1361</v>
      </c>
    </row>
    <row r="313" spans="1:9" x14ac:dyDescent="0.25">
      <c r="A313" s="40" t="s">
        <v>110</v>
      </c>
      <c r="B313" s="28">
        <v>423</v>
      </c>
      <c r="C313" s="28">
        <v>5662087</v>
      </c>
      <c r="D313" s="28"/>
      <c r="E313" s="41">
        <v>46153</v>
      </c>
      <c r="F313" s="47">
        <v>0.30184027777777778</v>
      </c>
      <c r="G313" s="44">
        <v>6.3</v>
      </c>
      <c r="H313" s="43" t="s">
        <v>1362</v>
      </c>
      <c r="I313" s="40" t="s">
        <v>1361</v>
      </c>
    </row>
    <row r="314" spans="1:9" x14ac:dyDescent="0.25">
      <c r="A314" s="40" t="s">
        <v>110</v>
      </c>
      <c r="B314" s="28">
        <v>423</v>
      </c>
      <c r="C314" s="28">
        <v>5664104</v>
      </c>
      <c r="D314" s="28"/>
      <c r="E314" s="41">
        <v>46154</v>
      </c>
      <c r="F314" s="47">
        <v>0.26180555555555557</v>
      </c>
      <c r="G314" s="44">
        <v>6.3</v>
      </c>
      <c r="H314" s="43" t="s">
        <v>1360</v>
      </c>
      <c r="I314" s="40" t="s">
        <v>1361</v>
      </c>
    </row>
    <row r="315" spans="1:9" x14ac:dyDescent="0.25">
      <c r="A315" s="40" t="s">
        <v>110</v>
      </c>
      <c r="B315" s="28">
        <v>423</v>
      </c>
      <c r="C315" s="28">
        <v>5664104</v>
      </c>
      <c r="D315" s="28"/>
      <c r="E315" s="45">
        <v>46154</v>
      </c>
      <c r="F315" s="48">
        <v>0.27131944444444445</v>
      </c>
      <c r="G315" s="44">
        <v>6.3</v>
      </c>
      <c r="H315" s="43" t="s">
        <v>1362</v>
      </c>
      <c r="I315" s="40" t="s">
        <v>1361</v>
      </c>
    </row>
    <row r="316" spans="1:9" x14ac:dyDescent="0.25">
      <c r="A316" s="40" t="s">
        <v>110</v>
      </c>
      <c r="B316" s="28">
        <v>423</v>
      </c>
      <c r="C316" s="28">
        <v>5664089</v>
      </c>
      <c r="D316" s="28"/>
      <c r="E316" s="41">
        <v>46154</v>
      </c>
      <c r="F316" s="47">
        <v>0.37988425925925928</v>
      </c>
      <c r="G316" s="44">
        <v>6.3</v>
      </c>
      <c r="H316" s="43" t="s">
        <v>1363</v>
      </c>
      <c r="I316" s="40" t="s">
        <v>1361</v>
      </c>
    </row>
    <row r="317" spans="1:9" x14ac:dyDescent="0.25">
      <c r="A317" s="40" t="s">
        <v>110</v>
      </c>
      <c r="B317" s="28">
        <v>423</v>
      </c>
      <c r="C317" s="28">
        <v>5666506</v>
      </c>
      <c r="D317" s="28"/>
      <c r="E317" s="41">
        <v>46155</v>
      </c>
      <c r="F317" s="47">
        <v>0.7401388888888889</v>
      </c>
      <c r="G317" s="44">
        <v>6.3</v>
      </c>
      <c r="H317" s="43" t="s">
        <v>1363</v>
      </c>
      <c r="I317" s="40" t="s">
        <v>1361</v>
      </c>
    </row>
    <row r="318" spans="1:9" x14ac:dyDescent="0.25">
      <c r="A318" s="40" t="s">
        <v>110</v>
      </c>
      <c r="B318" s="28">
        <v>423</v>
      </c>
      <c r="C318" s="28">
        <v>5666506</v>
      </c>
      <c r="D318" s="28"/>
      <c r="E318" s="41">
        <v>46155</v>
      </c>
      <c r="F318" s="47">
        <v>0.75542824074074078</v>
      </c>
      <c r="G318" s="44">
        <v>6.3</v>
      </c>
      <c r="H318" s="43" t="s">
        <v>1364</v>
      </c>
      <c r="I318" s="40" t="s">
        <v>1361</v>
      </c>
    </row>
    <row r="319" spans="1:9" x14ac:dyDescent="0.25">
      <c r="A319" s="40" t="s">
        <v>110</v>
      </c>
      <c r="B319" s="28">
        <v>423</v>
      </c>
      <c r="C319" s="28">
        <v>5670645</v>
      </c>
      <c r="D319" s="28"/>
      <c r="E319" s="45">
        <v>46158</v>
      </c>
      <c r="F319" s="48">
        <v>0.2003125</v>
      </c>
      <c r="G319" s="44">
        <v>6.3</v>
      </c>
      <c r="H319" s="43" t="s">
        <v>1366</v>
      </c>
      <c r="I319" s="40" t="s">
        <v>1365</v>
      </c>
    </row>
    <row r="320" spans="1:9" x14ac:dyDescent="0.25">
      <c r="A320" s="40" t="s">
        <v>110</v>
      </c>
      <c r="B320" s="28">
        <v>423</v>
      </c>
      <c r="C320" s="28">
        <v>5669880</v>
      </c>
      <c r="D320" s="28"/>
      <c r="E320" s="41">
        <v>46158</v>
      </c>
      <c r="F320" s="47">
        <v>0.30387731481481484</v>
      </c>
      <c r="G320" s="44">
        <v>6.3</v>
      </c>
      <c r="H320" s="43" t="s">
        <v>1370</v>
      </c>
      <c r="I320" s="40" t="s">
        <v>1365</v>
      </c>
    </row>
    <row r="321" spans="1:9" x14ac:dyDescent="0.25">
      <c r="A321" s="40" t="s">
        <v>110</v>
      </c>
      <c r="B321" s="28">
        <v>423</v>
      </c>
      <c r="C321" s="28">
        <v>5671322</v>
      </c>
      <c r="D321" s="28"/>
      <c r="E321" s="41">
        <v>46158</v>
      </c>
      <c r="F321" s="47">
        <v>0.56282407407407409</v>
      </c>
      <c r="G321" s="44">
        <v>6.3</v>
      </c>
      <c r="H321" s="43" t="s">
        <v>1360</v>
      </c>
      <c r="I321" s="40" t="s">
        <v>1365</v>
      </c>
    </row>
    <row r="322" spans="1:9" x14ac:dyDescent="0.25">
      <c r="A322" s="40" t="s">
        <v>502</v>
      </c>
      <c r="B322" s="28">
        <v>446</v>
      </c>
      <c r="C322" s="28" t="s">
        <v>35</v>
      </c>
      <c r="D322" s="28" t="s">
        <v>38</v>
      </c>
      <c r="E322" s="41">
        <v>46153</v>
      </c>
      <c r="F322" s="47">
        <v>0.38318287037037035</v>
      </c>
      <c r="G322" s="44">
        <v>6.3</v>
      </c>
      <c r="H322" s="43" t="s">
        <v>1363</v>
      </c>
      <c r="I322" s="40" t="s">
        <v>1361</v>
      </c>
    </row>
    <row r="323" spans="1:9" x14ac:dyDescent="0.25">
      <c r="A323" s="40" t="s">
        <v>502</v>
      </c>
      <c r="B323" s="28">
        <v>446</v>
      </c>
      <c r="C323" s="28" t="s">
        <v>35</v>
      </c>
      <c r="D323" s="28" t="s">
        <v>38</v>
      </c>
      <c r="E323" s="41">
        <v>46158</v>
      </c>
      <c r="F323" s="47">
        <v>0.85693287037037036</v>
      </c>
      <c r="G323" s="42">
        <v>6.3</v>
      </c>
      <c r="H323" s="40" t="s">
        <v>1368</v>
      </c>
      <c r="I323" s="40" t="s">
        <v>1365</v>
      </c>
    </row>
    <row r="324" spans="1:9" x14ac:dyDescent="0.25">
      <c r="A324" s="40" t="s">
        <v>111</v>
      </c>
      <c r="B324" s="28">
        <v>467</v>
      </c>
      <c r="C324" s="28">
        <v>5667255</v>
      </c>
      <c r="D324" s="28"/>
      <c r="E324" s="41">
        <v>46156</v>
      </c>
      <c r="F324" s="47">
        <v>0.31737268518518519</v>
      </c>
      <c r="G324" s="42">
        <v>6.3</v>
      </c>
      <c r="H324" s="40" t="s">
        <v>1360</v>
      </c>
      <c r="I324" s="40" t="s">
        <v>1361</v>
      </c>
    </row>
    <row r="325" spans="1:9" x14ac:dyDescent="0.25">
      <c r="A325" s="40" t="s">
        <v>111</v>
      </c>
      <c r="B325" s="28">
        <v>467</v>
      </c>
      <c r="C325" s="28">
        <v>5667997</v>
      </c>
      <c r="D325" s="28"/>
      <c r="E325" s="41">
        <v>46156</v>
      </c>
      <c r="F325" s="47">
        <v>0.65653935185185186</v>
      </c>
      <c r="G325" s="42">
        <v>6.3</v>
      </c>
      <c r="H325" s="40" t="s">
        <v>1369</v>
      </c>
      <c r="I325" s="40" t="s">
        <v>1361</v>
      </c>
    </row>
    <row r="326" spans="1:9" x14ac:dyDescent="0.25">
      <c r="A326" s="40" t="s">
        <v>112</v>
      </c>
      <c r="B326" s="28">
        <v>507</v>
      </c>
      <c r="C326" s="28">
        <v>5662158</v>
      </c>
      <c r="D326" s="28"/>
      <c r="E326" s="45">
        <v>46153</v>
      </c>
      <c r="F326" s="48">
        <v>0.31097222222222221</v>
      </c>
      <c r="G326" s="42">
        <v>6.3</v>
      </c>
      <c r="H326" s="40" t="s">
        <v>1364</v>
      </c>
      <c r="I326" s="40" t="s">
        <v>1361</v>
      </c>
    </row>
    <row r="327" spans="1:9" x14ac:dyDescent="0.25">
      <c r="A327" s="40" t="s">
        <v>112</v>
      </c>
      <c r="B327" s="28">
        <v>507</v>
      </c>
      <c r="C327" s="28">
        <v>10649277</v>
      </c>
      <c r="D327" s="28"/>
      <c r="E327" s="41">
        <v>46154</v>
      </c>
      <c r="F327" s="47">
        <v>0.32365740740740739</v>
      </c>
      <c r="G327" s="42">
        <v>6.3</v>
      </c>
      <c r="H327" s="40" t="s">
        <v>1362</v>
      </c>
      <c r="I327" s="40" t="s">
        <v>1361</v>
      </c>
    </row>
    <row r="328" spans="1:9" x14ac:dyDescent="0.25">
      <c r="A328" s="40" t="s">
        <v>112</v>
      </c>
      <c r="B328" s="28">
        <v>507</v>
      </c>
      <c r="C328" s="28">
        <v>5660794</v>
      </c>
      <c r="D328" s="28"/>
      <c r="E328" s="41">
        <v>46154</v>
      </c>
      <c r="F328" s="47">
        <v>0.5034953703703704</v>
      </c>
      <c r="G328" s="42">
        <v>6.3</v>
      </c>
      <c r="H328" s="40" t="s">
        <v>1363</v>
      </c>
      <c r="I328" s="40" t="s">
        <v>1361</v>
      </c>
    </row>
    <row r="329" spans="1:9" x14ac:dyDescent="0.25">
      <c r="A329" s="40" t="s">
        <v>112</v>
      </c>
      <c r="B329" s="28">
        <v>507</v>
      </c>
      <c r="C329" s="28">
        <v>5660794</v>
      </c>
      <c r="D329" s="28"/>
      <c r="E329" s="45">
        <v>46154</v>
      </c>
      <c r="F329" s="48">
        <v>0.50975694444444442</v>
      </c>
      <c r="G329" s="44">
        <v>6.3</v>
      </c>
      <c r="H329" s="43" t="s">
        <v>1364</v>
      </c>
      <c r="I329" s="40" t="s">
        <v>1361</v>
      </c>
    </row>
    <row r="330" spans="1:9" x14ac:dyDescent="0.25">
      <c r="A330" s="40" t="s">
        <v>112</v>
      </c>
      <c r="B330" s="28">
        <v>507</v>
      </c>
      <c r="C330" s="28" t="s">
        <v>547</v>
      </c>
      <c r="D330" s="28"/>
      <c r="E330" s="41">
        <v>46154</v>
      </c>
      <c r="F330" s="47">
        <v>0.56321759259259263</v>
      </c>
      <c r="G330" s="44">
        <v>6.3</v>
      </c>
      <c r="H330" s="43" t="s">
        <v>1360</v>
      </c>
      <c r="I330" s="40" t="s">
        <v>1361</v>
      </c>
    </row>
    <row r="331" spans="1:9" x14ac:dyDescent="0.25">
      <c r="A331" s="40" t="s">
        <v>112</v>
      </c>
      <c r="B331" s="28">
        <v>507</v>
      </c>
      <c r="C331" s="28" t="s">
        <v>547</v>
      </c>
      <c r="D331" s="28"/>
      <c r="E331" s="45">
        <v>46154</v>
      </c>
      <c r="F331" s="48">
        <v>0.57437499999999997</v>
      </c>
      <c r="G331" s="44">
        <v>6.3</v>
      </c>
      <c r="H331" s="43" t="s">
        <v>1362</v>
      </c>
      <c r="I331" s="40" t="s">
        <v>1361</v>
      </c>
    </row>
    <row r="332" spans="1:9" x14ac:dyDescent="0.25">
      <c r="A332" s="40" t="s">
        <v>112</v>
      </c>
      <c r="B332" s="28">
        <v>507</v>
      </c>
      <c r="C332" s="28">
        <v>5663284</v>
      </c>
      <c r="D332" s="28"/>
      <c r="E332" s="41">
        <v>46154</v>
      </c>
      <c r="F332" s="47">
        <v>0.6438194444444445</v>
      </c>
      <c r="G332" s="44">
        <v>6.3</v>
      </c>
      <c r="H332" s="43" t="s">
        <v>1364</v>
      </c>
      <c r="I332" s="40" t="s">
        <v>1361</v>
      </c>
    </row>
    <row r="333" spans="1:9" x14ac:dyDescent="0.25">
      <c r="A333" s="40" t="s">
        <v>112</v>
      </c>
      <c r="B333" s="28">
        <v>507</v>
      </c>
      <c r="C333" s="28">
        <v>10652900</v>
      </c>
      <c r="D333" s="28"/>
      <c r="E333" s="41">
        <v>46155</v>
      </c>
      <c r="F333" s="47">
        <v>0.28952546296296294</v>
      </c>
      <c r="G333" s="44">
        <v>6.3</v>
      </c>
      <c r="H333" s="43" t="s">
        <v>1364</v>
      </c>
      <c r="I333" s="40" t="s">
        <v>1361</v>
      </c>
    </row>
    <row r="334" spans="1:9" x14ac:dyDescent="0.25">
      <c r="A334" s="40" t="s">
        <v>112</v>
      </c>
      <c r="B334" s="28">
        <v>507</v>
      </c>
      <c r="C334" s="28">
        <v>5666307</v>
      </c>
      <c r="D334" s="28"/>
      <c r="E334" s="41">
        <v>46155</v>
      </c>
      <c r="F334" s="47">
        <v>0.43752314814814813</v>
      </c>
      <c r="G334" s="44">
        <v>6.3</v>
      </c>
      <c r="H334" s="43" t="s">
        <v>1360</v>
      </c>
      <c r="I334" s="40" t="s">
        <v>1361</v>
      </c>
    </row>
    <row r="335" spans="1:9" x14ac:dyDescent="0.25">
      <c r="A335" s="40" t="s">
        <v>112</v>
      </c>
      <c r="B335" s="28">
        <v>507</v>
      </c>
      <c r="C335" s="28">
        <v>5666307</v>
      </c>
      <c r="D335" s="28"/>
      <c r="E335" s="41">
        <v>46155</v>
      </c>
      <c r="F335" s="47">
        <v>0.45568287037037036</v>
      </c>
      <c r="G335" s="44">
        <v>6.3</v>
      </c>
      <c r="H335" s="43" t="s">
        <v>1362</v>
      </c>
      <c r="I335" s="40" t="s">
        <v>1361</v>
      </c>
    </row>
    <row r="336" spans="1:9" x14ac:dyDescent="0.25">
      <c r="A336" s="40" t="s">
        <v>112</v>
      </c>
      <c r="B336" s="28">
        <v>507</v>
      </c>
      <c r="C336" s="28">
        <v>10659172</v>
      </c>
      <c r="D336" s="28"/>
      <c r="E336" s="45">
        <v>46156</v>
      </c>
      <c r="F336" s="48">
        <v>0.27028935185185188</v>
      </c>
      <c r="G336" s="42">
        <v>6.3</v>
      </c>
      <c r="H336" s="40" t="s">
        <v>1364</v>
      </c>
      <c r="I336" s="40" t="s">
        <v>1361</v>
      </c>
    </row>
    <row r="337" spans="1:9" x14ac:dyDescent="0.25">
      <c r="A337" s="40" t="s">
        <v>112</v>
      </c>
      <c r="B337" s="28">
        <v>507</v>
      </c>
      <c r="C337" s="28">
        <v>5667925</v>
      </c>
      <c r="D337" s="28"/>
      <c r="E337" s="41">
        <v>46156</v>
      </c>
      <c r="F337" s="47">
        <v>0.63837962962962957</v>
      </c>
      <c r="G337" s="42">
        <v>6.3</v>
      </c>
      <c r="H337" s="40" t="s">
        <v>1363</v>
      </c>
      <c r="I337" s="40" t="s">
        <v>1361</v>
      </c>
    </row>
    <row r="338" spans="1:9" x14ac:dyDescent="0.25">
      <c r="A338" s="40" t="s">
        <v>112</v>
      </c>
      <c r="B338" s="28">
        <v>507</v>
      </c>
      <c r="C338" s="28">
        <v>10668070</v>
      </c>
      <c r="D338" s="28"/>
      <c r="E338" s="41">
        <v>46157</v>
      </c>
      <c r="F338" s="47">
        <v>0.26519675925925928</v>
      </c>
      <c r="G338" s="44">
        <v>6.3</v>
      </c>
      <c r="H338" s="43" t="s">
        <v>1364</v>
      </c>
      <c r="I338" s="40" t="s">
        <v>1361</v>
      </c>
    </row>
    <row r="339" spans="1:9" x14ac:dyDescent="0.25">
      <c r="A339" s="40" t="s">
        <v>112</v>
      </c>
      <c r="B339" s="28">
        <v>507</v>
      </c>
      <c r="C339" s="28">
        <v>5669782</v>
      </c>
      <c r="D339" s="28"/>
      <c r="E339" s="45">
        <v>46157</v>
      </c>
      <c r="F339" s="48">
        <v>0.59885416666666669</v>
      </c>
      <c r="G339" s="44">
        <v>6.3</v>
      </c>
      <c r="H339" s="43" t="s">
        <v>1363</v>
      </c>
      <c r="I339" s="40" t="s">
        <v>1361</v>
      </c>
    </row>
    <row r="340" spans="1:9" x14ac:dyDescent="0.25">
      <c r="A340" s="40" t="s">
        <v>112</v>
      </c>
      <c r="B340" s="28">
        <v>507</v>
      </c>
      <c r="C340" s="28">
        <v>5669782</v>
      </c>
      <c r="D340" s="28"/>
      <c r="E340" s="41">
        <v>46157</v>
      </c>
      <c r="F340" s="47">
        <v>0.60525462962962961</v>
      </c>
      <c r="G340" s="44">
        <v>6.3</v>
      </c>
      <c r="H340" s="43" t="s">
        <v>1364</v>
      </c>
      <c r="I340" s="40" t="s">
        <v>1361</v>
      </c>
    </row>
    <row r="341" spans="1:9" x14ac:dyDescent="0.25">
      <c r="A341" s="40" t="s">
        <v>375</v>
      </c>
      <c r="B341" s="28">
        <v>515</v>
      </c>
      <c r="C341" s="28">
        <v>5662400</v>
      </c>
      <c r="D341" s="28"/>
      <c r="E341" s="41">
        <v>46153</v>
      </c>
      <c r="F341" s="47">
        <v>0.5012847222222222</v>
      </c>
      <c r="G341" s="44">
        <v>6.3</v>
      </c>
      <c r="H341" s="43" t="s">
        <v>1369</v>
      </c>
      <c r="I341" s="40" t="s">
        <v>1361</v>
      </c>
    </row>
    <row r="342" spans="1:9" x14ac:dyDescent="0.25">
      <c r="A342" s="40" t="s">
        <v>375</v>
      </c>
      <c r="B342" s="28">
        <v>515</v>
      </c>
      <c r="C342" s="28">
        <v>5662400</v>
      </c>
      <c r="D342" s="28"/>
      <c r="E342" s="41">
        <v>46153</v>
      </c>
      <c r="F342" s="47">
        <v>0.50684027777777774</v>
      </c>
      <c r="G342" s="44">
        <v>6.3</v>
      </c>
      <c r="H342" s="43" t="s">
        <v>1364</v>
      </c>
      <c r="I342" s="40" t="s">
        <v>1361</v>
      </c>
    </row>
    <row r="343" spans="1:9" x14ac:dyDescent="0.25">
      <c r="A343" s="40" t="s">
        <v>375</v>
      </c>
      <c r="B343" s="28">
        <v>515</v>
      </c>
      <c r="C343" s="28">
        <v>5664248</v>
      </c>
      <c r="D343" s="28"/>
      <c r="E343" s="41">
        <v>46154</v>
      </c>
      <c r="F343" s="47">
        <v>0.30733796296296295</v>
      </c>
      <c r="G343" s="44">
        <v>6.3</v>
      </c>
      <c r="H343" s="43" t="s">
        <v>1360</v>
      </c>
      <c r="I343" s="40" t="s">
        <v>1361</v>
      </c>
    </row>
    <row r="344" spans="1:9" x14ac:dyDescent="0.25">
      <c r="A344" s="40" t="s">
        <v>375</v>
      </c>
      <c r="B344" s="28">
        <v>515</v>
      </c>
      <c r="C344" s="28">
        <v>5668000</v>
      </c>
      <c r="D344" s="28" t="s">
        <v>37</v>
      </c>
      <c r="E344" s="41">
        <v>46156</v>
      </c>
      <c r="F344" s="47">
        <v>0.55021990740740745</v>
      </c>
      <c r="G344" s="44">
        <v>6.3</v>
      </c>
      <c r="H344" s="43" t="s">
        <v>1369</v>
      </c>
      <c r="I344" s="40" t="s">
        <v>1361</v>
      </c>
    </row>
    <row r="345" spans="1:9" x14ac:dyDescent="0.25">
      <c r="A345" s="40" t="s">
        <v>375</v>
      </c>
      <c r="B345" s="28">
        <v>515</v>
      </c>
      <c r="C345" s="28">
        <v>5668000</v>
      </c>
      <c r="D345" s="28" t="s">
        <v>37</v>
      </c>
      <c r="E345" s="41">
        <v>46156</v>
      </c>
      <c r="F345" s="47">
        <v>0.55622685185185183</v>
      </c>
      <c r="G345" s="44">
        <v>6.3</v>
      </c>
      <c r="H345" s="43" t="s">
        <v>1364</v>
      </c>
      <c r="I345" s="40" t="s">
        <v>1361</v>
      </c>
    </row>
    <row r="346" spans="1:9" x14ac:dyDescent="0.25">
      <c r="A346" s="40" t="s">
        <v>113</v>
      </c>
      <c r="B346" s="28">
        <v>529</v>
      </c>
      <c r="C346" s="28">
        <v>5666655</v>
      </c>
      <c r="D346" s="28"/>
      <c r="E346" s="45">
        <v>46155</v>
      </c>
      <c r="F346" s="48">
        <v>0.60586805555555556</v>
      </c>
      <c r="G346" s="44">
        <v>6.3</v>
      </c>
      <c r="H346" s="43" t="s">
        <v>1367</v>
      </c>
      <c r="I346" s="40" t="s">
        <v>1361</v>
      </c>
    </row>
    <row r="347" spans="1:9" x14ac:dyDescent="0.25">
      <c r="A347" s="40" t="s">
        <v>113</v>
      </c>
      <c r="B347" s="28">
        <v>529</v>
      </c>
      <c r="C347" s="28">
        <v>5666655</v>
      </c>
      <c r="D347" s="28"/>
      <c r="E347" s="41">
        <v>46155</v>
      </c>
      <c r="F347" s="47">
        <v>0.60881944444444447</v>
      </c>
      <c r="G347" s="44">
        <v>6.3</v>
      </c>
      <c r="H347" s="43" t="s">
        <v>1364</v>
      </c>
      <c r="I347" s="40" t="s">
        <v>1361</v>
      </c>
    </row>
    <row r="348" spans="1:9" x14ac:dyDescent="0.25">
      <c r="A348" s="40" t="s">
        <v>113</v>
      </c>
      <c r="B348" s="28">
        <v>529</v>
      </c>
      <c r="C348" s="28">
        <v>5666783</v>
      </c>
      <c r="D348" s="28"/>
      <c r="E348" s="41">
        <v>46155</v>
      </c>
      <c r="F348" s="47">
        <v>0.66782407407407407</v>
      </c>
      <c r="G348" s="44">
        <v>6.3</v>
      </c>
      <c r="H348" s="43" t="s">
        <v>1360</v>
      </c>
      <c r="I348" s="40" t="s">
        <v>1361</v>
      </c>
    </row>
    <row r="349" spans="1:9" x14ac:dyDescent="0.25">
      <c r="A349" s="40" t="s">
        <v>113</v>
      </c>
      <c r="B349" s="28">
        <v>529</v>
      </c>
      <c r="C349" s="28">
        <v>5666783</v>
      </c>
      <c r="D349" s="28"/>
      <c r="E349" s="41">
        <v>46155</v>
      </c>
      <c r="F349" s="47">
        <v>0.67729166666666663</v>
      </c>
      <c r="G349" s="44">
        <v>6.3</v>
      </c>
      <c r="H349" s="43" t="s">
        <v>1362</v>
      </c>
      <c r="I349" s="40" t="s">
        <v>1361</v>
      </c>
    </row>
    <row r="350" spans="1:9" x14ac:dyDescent="0.25">
      <c r="A350" s="40" t="s">
        <v>113</v>
      </c>
      <c r="B350" s="28">
        <v>529</v>
      </c>
      <c r="C350" s="28">
        <v>5669509</v>
      </c>
      <c r="D350" s="28"/>
      <c r="E350" s="45">
        <v>46157</v>
      </c>
      <c r="F350" s="48">
        <v>0.41748842592592594</v>
      </c>
      <c r="G350" s="44">
        <v>6.3</v>
      </c>
      <c r="H350" s="43" t="s">
        <v>1362</v>
      </c>
      <c r="I350" s="40" t="s">
        <v>1361</v>
      </c>
    </row>
    <row r="351" spans="1:9" x14ac:dyDescent="0.25">
      <c r="A351" s="40" t="s">
        <v>114</v>
      </c>
      <c r="B351" s="28">
        <v>541</v>
      </c>
      <c r="C351" s="28">
        <v>5661755</v>
      </c>
      <c r="D351" s="28"/>
      <c r="E351" s="45">
        <v>46153</v>
      </c>
      <c r="F351" s="48">
        <v>0.32424768518518521</v>
      </c>
      <c r="G351" s="44">
        <v>6.3</v>
      </c>
      <c r="H351" s="43" t="s">
        <v>1362</v>
      </c>
      <c r="I351" s="40" t="s">
        <v>1361</v>
      </c>
    </row>
    <row r="352" spans="1:9" x14ac:dyDescent="0.25">
      <c r="A352" s="40" t="s">
        <v>115</v>
      </c>
      <c r="B352" s="28">
        <v>553</v>
      </c>
      <c r="C352" s="28">
        <v>5663595</v>
      </c>
      <c r="D352" s="28"/>
      <c r="E352" s="45">
        <v>46153</v>
      </c>
      <c r="F352" s="48">
        <v>0.929224537037037</v>
      </c>
      <c r="G352" s="44">
        <v>6.3</v>
      </c>
      <c r="H352" s="43" t="s">
        <v>1360</v>
      </c>
      <c r="I352" s="40" t="s">
        <v>1361</v>
      </c>
    </row>
    <row r="353" spans="1:9" x14ac:dyDescent="0.25">
      <c r="A353" s="40" t="s">
        <v>115</v>
      </c>
      <c r="B353" s="28">
        <v>553</v>
      </c>
      <c r="C353" s="28">
        <v>5663595</v>
      </c>
      <c r="D353" s="28"/>
      <c r="E353" s="41">
        <v>46153</v>
      </c>
      <c r="F353" s="47">
        <v>0.93615740740740738</v>
      </c>
      <c r="G353" s="44">
        <v>6.3</v>
      </c>
      <c r="H353" s="43" t="s">
        <v>1362</v>
      </c>
      <c r="I353" s="40" t="s">
        <v>1361</v>
      </c>
    </row>
    <row r="354" spans="1:9" x14ac:dyDescent="0.25">
      <c r="A354" s="40" t="s">
        <v>115</v>
      </c>
      <c r="B354" s="28">
        <v>553</v>
      </c>
      <c r="C354" s="28" t="s">
        <v>35</v>
      </c>
      <c r="D354" s="28" t="s">
        <v>38</v>
      </c>
      <c r="E354" s="41">
        <v>46153</v>
      </c>
      <c r="F354" s="47">
        <v>0.96261574074074074</v>
      </c>
      <c r="G354" s="44">
        <v>6.3</v>
      </c>
      <c r="H354" s="43" t="s">
        <v>1363</v>
      </c>
      <c r="I354" s="40" t="s">
        <v>1361</v>
      </c>
    </row>
    <row r="355" spans="1:9" x14ac:dyDescent="0.25">
      <c r="A355" s="40" t="s">
        <v>115</v>
      </c>
      <c r="B355" s="28">
        <v>553</v>
      </c>
      <c r="C355" s="28">
        <v>5664779</v>
      </c>
      <c r="D355" s="28"/>
      <c r="E355" s="41">
        <v>46154</v>
      </c>
      <c r="F355" s="47">
        <v>0.61259259259259258</v>
      </c>
      <c r="G355" s="42">
        <v>6.3</v>
      </c>
      <c r="H355" s="40" t="s">
        <v>1360</v>
      </c>
      <c r="I355" s="40" t="s">
        <v>1361</v>
      </c>
    </row>
    <row r="356" spans="1:9" x14ac:dyDescent="0.25">
      <c r="A356" s="40" t="s">
        <v>115</v>
      </c>
      <c r="B356" s="28">
        <v>553</v>
      </c>
      <c r="C356" s="28">
        <v>5664779</v>
      </c>
      <c r="D356" s="28"/>
      <c r="E356" s="41">
        <v>46154</v>
      </c>
      <c r="F356" s="47">
        <v>0.62339120370370371</v>
      </c>
      <c r="G356" s="42">
        <v>6.3</v>
      </c>
      <c r="H356" s="40" t="s">
        <v>1362</v>
      </c>
      <c r="I356" s="40" t="s">
        <v>1361</v>
      </c>
    </row>
    <row r="357" spans="1:9" x14ac:dyDescent="0.25">
      <c r="A357" s="40" t="s">
        <v>115</v>
      </c>
      <c r="B357" s="28">
        <v>553</v>
      </c>
      <c r="C357" s="28">
        <v>5666698</v>
      </c>
      <c r="D357" s="28"/>
      <c r="E357" s="41">
        <v>46155</v>
      </c>
      <c r="F357" s="47">
        <v>0.58270833333333338</v>
      </c>
      <c r="G357" s="44">
        <v>6.3</v>
      </c>
      <c r="H357" s="43" t="s">
        <v>1360</v>
      </c>
      <c r="I357" s="40" t="s">
        <v>1361</v>
      </c>
    </row>
    <row r="358" spans="1:9" x14ac:dyDescent="0.25">
      <c r="A358" s="40" t="s">
        <v>115</v>
      </c>
      <c r="B358" s="28">
        <v>553</v>
      </c>
      <c r="C358" s="28">
        <v>5666698</v>
      </c>
      <c r="D358" s="28"/>
      <c r="E358" s="41">
        <v>46155</v>
      </c>
      <c r="F358" s="47">
        <v>0.5923032407407407</v>
      </c>
      <c r="G358" s="44">
        <v>6.3</v>
      </c>
      <c r="H358" s="43" t="s">
        <v>1362</v>
      </c>
      <c r="I358" s="40" t="s">
        <v>1361</v>
      </c>
    </row>
    <row r="359" spans="1:9" x14ac:dyDescent="0.25">
      <c r="A359" s="40" t="s">
        <v>115</v>
      </c>
      <c r="B359" s="28">
        <v>553</v>
      </c>
      <c r="C359" s="28">
        <v>5666937</v>
      </c>
      <c r="D359" s="28"/>
      <c r="E359" s="45">
        <v>46155</v>
      </c>
      <c r="F359" s="48">
        <v>0.85567129629629635</v>
      </c>
      <c r="G359" s="44">
        <v>6.3</v>
      </c>
      <c r="H359" s="43" t="s">
        <v>1368</v>
      </c>
      <c r="I359" s="40" t="s">
        <v>1361</v>
      </c>
    </row>
    <row r="360" spans="1:9" x14ac:dyDescent="0.25">
      <c r="A360" s="40" t="s">
        <v>115</v>
      </c>
      <c r="B360" s="28">
        <v>553</v>
      </c>
      <c r="C360" s="28">
        <v>5670779</v>
      </c>
      <c r="D360" s="28"/>
      <c r="E360" s="41">
        <v>46157</v>
      </c>
      <c r="F360" s="47">
        <v>0.90877314814814814</v>
      </c>
      <c r="G360" s="44">
        <v>6.3</v>
      </c>
      <c r="H360" s="43" t="s">
        <v>1363</v>
      </c>
      <c r="I360" s="40" t="s">
        <v>1361</v>
      </c>
    </row>
    <row r="361" spans="1:9" x14ac:dyDescent="0.25">
      <c r="A361" s="40" t="s">
        <v>396</v>
      </c>
      <c r="B361" s="28">
        <v>559</v>
      </c>
      <c r="C361" s="28" t="s">
        <v>548</v>
      </c>
      <c r="D361" s="28"/>
      <c r="E361" s="41">
        <v>46153</v>
      </c>
      <c r="F361" s="47">
        <v>0.89437500000000003</v>
      </c>
      <c r="G361" s="44">
        <v>6.3</v>
      </c>
      <c r="H361" s="43" t="s">
        <v>1360</v>
      </c>
      <c r="I361" s="40" t="s">
        <v>1361</v>
      </c>
    </row>
    <row r="362" spans="1:9" x14ac:dyDescent="0.25">
      <c r="A362" s="40" t="s">
        <v>396</v>
      </c>
      <c r="B362" s="28">
        <v>559</v>
      </c>
      <c r="C362" s="28" t="s">
        <v>548</v>
      </c>
      <c r="D362" s="28"/>
      <c r="E362" s="41">
        <v>46153</v>
      </c>
      <c r="F362" s="47">
        <v>0.90184027777777775</v>
      </c>
      <c r="G362" s="44">
        <v>6.3</v>
      </c>
      <c r="H362" s="43" t="s">
        <v>1362</v>
      </c>
      <c r="I362" s="40" t="s">
        <v>1361</v>
      </c>
    </row>
    <row r="363" spans="1:9" x14ac:dyDescent="0.25">
      <c r="A363" s="40" t="s">
        <v>396</v>
      </c>
      <c r="B363" s="28">
        <v>559</v>
      </c>
      <c r="C363" s="28">
        <v>10649788</v>
      </c>
      <c r="D363" s="28"/>
      <c r="E363" s="41">
        <v>46154</v>
      </c>
      <c r="F363" s="47">
        <v>3.5833333333333335E-2</v>
      </c>
      <c r="G363" s="44">
        <v>6.3</v>
      </c>
      <c r="H363" s="43" t="s">
        <v>1360</v>
      </c>
      <c r="I363" s="40" t="s">
        <v>1361</v>
      </c>
    </row>
    <row r="364" spans="1:9" x14ac:dyDescent="0.25">
      <c r="A364" s="40" t="s">
        <v>396</v>
      </c>
      <c r="B364" s="28">
        <v>559</v>
      </c>
      <c r="C364" s="28">
        <v>10649788</v>
      </c>
      <c r="D364" s="28"/>
      <c r="E364" s="41">
        <v>46154</v>
      </c>
      <c r="F364" s="47">
        <v>4.3229166666666666E-2</v>
      </c>
      <c r="G364" s="44">
        <v>6.3</v>
      </c>
      <c r="H364" s="43" t="s">
        <v>1362</v>
      </c>
      <c r="I364" s="40" t="s">
        <v>1361</v>
      </c>
    </row>
    <row r="365" spans="1:9" x14ac:dyDescent="0.25">
      <c r="A365" s="40" t="s">
        <v>396</v>
      </c>
      <c r="B365" s="28">
        <v>559</v>
      </c>
      <c r="C365" s="28">
        <v>5664014</v>
      </c>
      <c r="D365" s="28"/>
      <c r="E365" s="45">
        <v>46154</v>
      </c>
      <c r="F365" s="48">
        <v>0.20032407407407407</v>
      </c>
      <c r="G365" s="44">
        <v>6.3</v>
      </c>
      <c r="H365" s="43" t="s">
        <v>1363</v>
      </c>
      <c r="I365" s="40" t="s">
        <v>1361</v>
      </c>
    </row>
    <row r="366" spans="1:9" x14ac:dyDescent="0.25">
      <c r="A366" s="40" t="s">
        <v>396</v>
      </c>
      <c r="B366" s="28">
        <v>559</v>
      </c>
      <c r="C366" s="28">
        <v>5664014</v>
      </c>
      <c r="D366" s="28"/>
      <c r="E366" s="41">
        <v>46154</v>
      </c>
      <c r="F366" s="47">
        <v>0.20629629629629628</v>
      </c>
      <c r="G366" s="44">
        <v>6.3</v>
      </c>
      <c r="H366" s="43" t="s">
        <v>1364</v>
      </c>
      <c r="I366" s="40" t="s">
        <v>1361</v>
      </c>
    </row>
    <row r="367" spans="1:9" x14ac:dyDescent="0.25">
      <c r="A367" s="40" t="s">
        <v>396</v>
      </c>
      <c r="B367" s="28">
        <v>559</v>
      </c>
      <c r="C367" s="28">
        <v>10680489</v>
      </c>
      <c r="D367" s="28"/>
      <c r="E367" s="41">
        <v>46159</v>
      </c>
      <c r="F367" s="47">
        <v>0.31755787037037037</v>
      </c>
      <c r="G367" s="44">
        <v>6.3</v>
      </c>
      <c r="H367" s="43" t="s">
        <v>1369</v>
      </c>
      <c r="I367" s="40" t="s">
        <v>1365</v>
      </c>
    </row>
    <row r="368" spans="1:9" x14ac:dyDescent="0.25">
      <c r="A368" s="40" t="s">
        <v>263</v>
      </c>
      <c r="B368" s="28">
        <v>561</v>
      </c>
      <c r="C368" s="28">
        <v>5663585</v>
      </c>
      <c r="D368" s="28"/>
      <c r="E368" s="41">
        <v>46154</v>
      </c>
      <c r="F368" s="47">
        <v>0.3959375</v>
      </c>
      <c r="G368" s="44">
        <v>6.3</v>
      </c>
      <c r="H368" s="43" t="s">
        <v>1363</v>
      </c>
      <c r="I368" s="40" t="s">
        <v>1361</v>
      </c>
    </row>
    <row r="369" spans="1:9" x14ac:dyDescent="0.25">
      <c r="A369" s="40" t="s">
        <v>263</v>
      </c>
      <c r="B369" s="28">
        <v>561</v>
      </c>
      <c r="C369" s="28">
        <v>5666464</v>
      </c>
      <c r="D369" s="28"/>
      <c r="E369" s="41">
        <v>46155</v>
      </c>
      <c r="F369" s="47">
        <v>0.50952546296296297</v>
      </c>
      <c r="G369" s="44">
        <v>6.3</v>
      </c>
      <c r="H369" s="43" t="s">
        <v>1363</v>
      </c>
      <c r="I369" s="40" t="s">
        <v>1361</v>
      </c>
    </row>
    <row r="370" spans="1:9" x14ac:dyDescent="0.25">
      <c r="A370" s="40" t="s">
        <v>263</v>
      </c>
      <c r="B370" s="28">
        <v>561</v>
      </c>
      <c r="C370" s="28">
        <v>5666464</v>
      </c>
      <c r="D370" s="28"/>
      <c r="E370" s="41">
        <v>46155</v>
      </c>
      <c r="F370" s="47">
        <v>0.51543981481481482</v>
      </c>
      <c r="G370" s="44">
        <v>6.3</v>
      </c>
      <c r="H370" s="43" t="s">
        <v>1364</v>
      </c>
      <c r="I370" s="40" t="s">
        <v>1361</v>
      </c>
    </row>
    <row r="371" spans="1:9" x14ac:dyDescent="0.25">
      <c r="A371" s="40" t="s">
        <v>263</v>
      </c>
      <c r="B371" s="28">
        <v>561</v>
      </c>
      <c r="C371" s="28">
        <v>5667081</v>
      </c>
      <c r="D371" s="28"/>
      <c r="E371" s="41">
        <v>46156</v>
      </c>
      <c r="F371" s="47">
        <v>0.22521990740740741</v>
      </c>
      <c r="G371" s="44">
        <v>6.3</v>
      </c>
      <c r="H371" s="43" t="s">
        <v>1367</v>
      </c>
      <c r="I371" s="40" t="s">
        <v>1361</v>
      </c>
    </row>
    <row r="372" spans="1:9" x14ac:dyDescent="0.25">
      <c r="A372" s="40" t="s">
        <v>263</v>
      </c>
      <c r="B372" s="28">
        <v>561</v>
      </c>
      <c r="C372" s="28">
        <v>5667081</v>
      </c>
      <c r="D372" s="28"/>
      <c r="E372" s="41">
        <v>46156</v>
      </c>
      <c r="F372" s="47">
        <v>0.22780092592592593</v>
      </c>
      <c r="G372" s="44">
        <v>6.3</v>
      </c>
      <c r="H372" s="43" t="s">
        <v>1364</v>
      </c>
      <c r="I372" s="40" t="s">
        <v>1361</v>
      </c>
    </row>
    <row r="373" spans="1:9" x14ac:dyDescent="0.25">
      <c r="A373" s="40" t="s">
        <v>263</v>
      </c>
      <c r="B373" s="28">
        <v>561</v>
      </c>
      <c r="C373" s="28" t="s">
        <v>35</v>
      </c>
      <c r="D373" s="28" t="s">
        <v>38</v>
      </c>
      <c r="E373" s="41">
        <v>46157</v>
      </c>
      <c r="F373" s="47">
        <v>0.38164351851851852</v>
      </c>
      <c r="G373" s="44">
        <v>6.3</v>
      </c>
      <c r="H373" s="43" t="s">
        <v>1364</v>
      </c>
      <c r="I373" s="40" t="s">
        <v>1361</v>
      </c>
    </row>
    <row r="374" spans="1:9" x14ac:dyDescent="0.25">
      <c r="A374" s="40" t="s">
        <v>263</v>
      </c>
      <c r="B374" s="28">
        <v>561</v>
      </c>
      <c r="C374" s="28">
        <v>5672006</v>
      </c>
      <c r="D374" s="28"/>
      <c r="E374" s="41">
        <v>46159</v>
      </c>
      <c r="F374" s="47">
        <v>0.24709490740740742</v>
      </c>
      <c r="G374" s="44">
        <v>6.3</v>
      </c>
      <c r="H374" s="43" t="s">
        <v>1367</v>
      </c>
      <c r="I374" s="40" t="s">
        <v>1365</v>
      </c>
    </row>
    <row r="375" spans="1:9" x14ac:dyDescent="0.25">
      <c r="A375" s="40" t="s">
        <v>263</v>
      </c>
      <c r="B375" s="28">
        <v>561</v>
      </c>
      <c r="C375" s="28">
        <v>5672006</v>
      </c>
      <c r="D375" s="28"/>
      <c r="E375" s="41">
        <v>46159</v>
      </c>
      <c r="F375" s="47">
        <v>0.24944444444444444</v>
      </c>
      <c r="G375" s="44">
        <v>6.3</v>
      </c>
      <c r="H375" s="43" t="s">
        <v>1364</v>
      </c>
      <c r="I375" s="40" t="s">
        <v>1365</v>
      </c>
    </row>
    <row r="376" spans="1:9" x14ac:dyDescent="0.25">
      <c r="A376" s="40" t="s">
        <v>263</v>
      </c>
      <c r="B376" s="28">
        <v>561</v>
      </c>
      <c r="C376" s="28">
        <v>5671651</v>
      </c>
      <c r="D376" s="28"/>
      <c r="E376" s="41">
        <v>46159</v>
      </c>
      <c r="F376" s="47">
        <v>0.4231597222222222</v>
      </c>
      <c r="G376" s="44">
        <v>6.3</v>
      </c>
      <c r="H376" s="43" t="s">
        <v>1360</v>
      </c>
      <c r="I376" s="40" t="s">
        <v>1365</v>
      </c>
    </row>
    <row r="377" spans="1:9" x14ac:dyDescent="0.25">
      <c r="A377" s="40" t="s">
        <v>263</v>
      </c>
      <c r="B377" s="28">
        <v>561</v>
      </c>
      <c r="C377" s="28">
        <v>5671651</v>
      </c>
      <c r="D377" s="28"/>
      <c r="E377" s="41">
        <v>46159</v>
      </c>
      <c r="F377" s="47">
        <v>0.43003472222222222</v>
      </c>
      <c r="G377" s="44">
        <v>6.3</v>
      </c>
      <c r="H377" s="43" t="s">
        <v>1362</v>
      </c>
      <c r="I377" s="40" t="s">
        <v>1365</v>
      </c>
    </row>
    <row r="378" spans="1:9" x14ac:dyDescent="0.25">
      <c r="A378" s="40" t="s">
        <v>397</v>
      </c>
      <c r="B378" s="28">
        <v>596</v>
      </c>
      <c r="C378" s="28">
        <v>5661928</v>
      </c>
      <c r="D378" s="28"/>
      <c r="E378" s="41">
        <v>46153</v>
      </c>
      <c r="F378" s="47">
        <v>4.1921296296296297E-2</v>
      </c>
      <c r="G378" s="44">
        <v>6.3</v>
      </c>
      <c r="H378" s="43" t="s">
        <v>1360</v>
      </c>
      <c r="I378" s="40" t="s">
        <v>1361</v>
      </c>
    </row>
    <row r="379" spans="1:9" x14ac:dyDescent="0.25">
      <c r="A379" s="40" t="s">
        <v>397</v>
      </c>
      <c r="B379" s="28">
        <v>596</v>
      </c>
      <c r="C379" s="28">
        <v>5661928</v>
      </c>
      <c r="D379" s="28"/>
      <c r="E379" s="41">
        <v>46153</v>
      </c>
      <c r="F379" s="47">
        <v>4.9085648148148149E-2</v>
      </c>
      <c r="G379" s="44">
        <v>6.3</v>
      </c>
      <c r="H379" s="43" t="s">
        <v>1362</v>
      </c>
      <c r="I379" s="40" t="s">
        <v>1361</v>
      </c>
    </row>
    <row r="380" spans="1:9" x14ac:dyDescent="0.25">
      <c r="A380" s="40" t="s">
        <v>397</v>
      </c>
      <c r="B380" s="28">
        <v>596</v>
      </c>
      <c r="C380" s="28">
        <v>5663142</v>
      </c>
      <c r="D380" s="28"/>
      <c r="E380" s="45">
        <v>46153</v>
      </c>
      <c r="F380" s="48">
        <v>0.88366898148148143</v>
      </c>
      <c r="G380" s="44">
        <v>6.3</v>
      </c>
      <c r="H380" s="43" t="s">
        <v>1363</v>
      </c>
      <c r="I380" s="40" t="s">
        <v>1361</v>
      </c>
    </row>
    <row r="381" spans="1:9" x14ac:dyDescent="0.25">
      <c r="A381" s="40" t="s">
        <v>397</v>
      </c>
      <c r="B381" s="28">
        <v>596</v>
      </c>
      <c r="C381" s="28">
        <v>5663772</v>
      </c>
      <c r="D381" s="28"/>
      <c r="E381" s="41">
        <v>46153</v>
      </c>
      <c r="F381" s="47">
        <v>0.93513888888888885</v>
      </c>
      <c r="G381" s="44">
        <v>6.3</v>
      </c>
      <c r="H381" s="43" t="s">
        <v>1360</v>
      </c>
      <c r="I381" s="40" t="s">
        <v>1361</v>
      </c>
    </row>
    <row r="382" spans="1:9" x14ac:dyDescent="0.25">
      <c r="A382" s="40" t="s">
        <v>397</v>
      </c>
      <c r="B382" s="28">
        <v>596</v>
      </c>
      <c r="C382" s="28">
        <v>5663772</v>
      </c>
      <c r="D382" s="28"/>
      <c r="E382" s="41">
        <v>46153</v>
      </c>
      <c r="F382" s="47">
        <v>0.94106481481481485</v>
      </c>
      <c r="G382" s="44">
        <v>6.3</v>
      </c>
      <c r="H382" s="43" t="s">
        <v>1368</v>
      </c>
      <c r="I382" s="40" t="s">
        <v>1361</v>
      </c>
    </row>
    <row r="383" spans="1:9" x14ac:dyDescent="0.25">
      <c r="A383" s="40" t="s">
        <v>397</v>
      </c>
      <c r="B383" s="28">
        <v>596</v>
      </c>
      <c r="C383" s="28">
        <v>5669052</v>
      </c>
      <c r="D383" s="28"/>
      <c r="E383" s="45">
        <v>46156</v>
      </c>
      <c r="F383" s="48">
        <v>0.88920138888888889</v>
      </c>
      <c r="G383" s="44">
        <v>6.3</v>
      </c>
      <c r="H383" s="43" t="s">
        <v>1360</v>
      </c>
      <c r="I383" s="40" t="s">
        <v>1361</v>
      </c>
    </row>
    <row r="384" spans="1:9" x14ac:dyDescent="0.25">
      <c r="A384" s="40" t="s">
        <v>397</v>
      </c>
      <c r="B384" s="28">
        <v>596</v>
      </c>
      <c r="C384" s="28">
        <v>5669052</v>
      </c>
      <c r="D384" s="28"/>
      <c r="E384" s="45">
        <v>46156</v>
      </c>
      <c r="F384" s="48">
        <v>0.89667824074074076</v>
      </c>
      <c r="G384" s="44">
        <v>6.3</v>
      </c>
      <c r="H384" s="43" t="s">
        <v>1362</v>
      </c>
      <c r="I384" s="40" t="s">
        <v>1361</v>
      </c>
    </row>
    <row r="385" spans="1:9" x14ac:dyDescent="0.25">
      <c r="A385" s="40" t="s">
        <v>397</v>
      </c>
      <c r="B385" s="28">
        <v>596</v>
      </c>
      <c r="C385" s="28">
        <v>5670727</v>
      </c>
      <c r="D385" s="28"/>
      <c r="E385" s="41">
        <v>46157</v>
      </c>
      <c r="F385" s="47">
        <v>0.81731481481481483</v>
      </c>
      <c r="G385" s="44">
        <v>6.3</v>
      </c>
      <c r="H385" s="43" t="s">
        <v>1360</v>
      </c>
      <c r="I385" s="40" t="s">
        <v>1361</v>
      </c>
    </row>
    <row r="386" spans="1:9" x14ac:dyDescent="0.25">
      <c r="A386" s="40" t="s">
        <v>397</v>
      </c>
      <c r="B386" s="28">
        <v>596</v>
      </c>
      <c r="C386" s="28">
        <v>5670875</v>
      </c>
      <c r="D386" s="28"/>
      <c r="E386" s="41">
        <v>46157</v>
      </c>
      <c r="F386" s="47">
        <v>0.93781250000000005</v>
      </c>
      <c r="G386" s="42">
        <v>6.3</v>
      </c>
      <c r="H386" s="40" t="s">
        <v>1360</v>
      </c>
      <c r="I386" s="40" t="s">
        <v>1365</v>
      </c>
    </row>
    <row r="387" spans="1:9" x14ac:dyDescent="0.25">
      <c r="A387" s="40" t="s">
        <v>397</v>
      </c>
      <c r="B387" s="28">
        <v>596</v>
      </c>
      <c r="C387" s="28">
        <v>5670875</v>
      </c>
      <c r="D387" s="28"/>
      <c r="E387" s="41">
        <v>46157</v>
      </c>
      <c r="F387" s="47">
        <v>0.94506944444444441</v>
      </c>
      <c r="G387" s="42">
        <v>6.3</v>
      </c>
      <c r="H387" s="40" t="s">
        <v>1368</v>
      </c>
      <c r="I387" s="40" t="s">
        <v>1361</v>
      </c>
    </row>
    <row r="388" spans="1:9" x14ac:dyDescent="0.25">
      <c r="A388" s="40" t="s">
        <v>116</v>
      </c>
      <c r="B388" s="28">
        <v>633</v>
      </c>
      <c r="C388" s="28">
        <v>5663483</v>
      </c>
      <c r="D388" s="28"/>
      <c r="E388" s="41">
        <v>46153</v>
      </c>
      <c r="F388" s="47">
        <v>0.8286458333333333</v>
      </c>
      <c r="G388" s="42">
        <v>6.3</v>
      </c>
      <c r="H388" s="40" t="s">
        <v>1369</v>
      </c>
      <c r="I388" s="40" t="s">
        <v>1361</v>
      </c>
    </row>
    <row r="389" spans="1:9" x14ac:dyDescent="0.25">
      <c r="A389" s="40" t="s">
        <v>116</v>
      </c>
      <c r="B389" s="28">
        <v>633</v>
      </c>
      <c r="C389" s="28">
        <v>5663483</v>
      </c>
      <c r="D389" s="28"/>
      <c r="E389" s="41">
        <v>46153</v>
      </c>
      <c r="F389" s="47">
        <v>0.83826388888888892</v>
      </c>
      <c r="G389" s="42">
        <v>6.3</v>
      </c>
      <c r="H389" s="40" t="s">
        <v>1364</v>
      </c>
      <c r="I389" s="40" t="s">
        <v>1361</v>
      </c>
    </row>
    <row r="390" spans="1:9" x14ac:dyDescent="0.25">
      <c r="A390" s="40" t="s">
        <v>116</v>
      </c>
      <c r="B390" s="28">
        <v>633</v>
      </c>
      <c r="C390" s="28">
        <v>5662594</v>
      </c>
      <c r="D390" s="28"/>
      <c r="E390" s="41">
        <v>46153</v>
      </c>
      <c r="F390" s="47">
        <v>0.97478009259259257</v>
      </c>
      <c r="G390" s="44">
        <v>6.3</v>
      </c>
      <c r="H390" s="43" t="s">
        <v>1363</v>
      </c>
      <c r="I390" s="40" t="s">
        <v>1361</v>
      </c>
    </row>
    <row r="391" spans="1:9" x14ac:dyDescent="0.25">
      <c r="A391" s="40" t="s">
        <v>116</v>
      </c>
      <c r="B391" s="28">
        <v>633</v>
      </c>
      <c r="C391" s="28">
        <v>5664621</v>
      </c>
      <c r="D391" s="28"/>
      <c r="E391" s="41">
        <v>46154</v>
      </c>
      <c r="F391" s="47">
        <v>0.57210648148148147</v>
      </c>
      <c r="G391" s="44">
        <v>6.3</v>
      </c>
      <c r="H391" s="43" t="s">
        <v>1360</v>
      </c>
      <c r="I391" s="40" t="s">
        <v>1361</v>
      </c>
    </row>
    <row r="392" spans="1:9" x14ac:dyDescent="0.25">
      <c r="A392" s="40" t="s">
        <v>116</v>
      </c>
      <c r="B392" s="28">
        <v>633</v>
      </c>
      <c r="C392" s="28">
        <v>5664621</v>
      </c>
      <c r="D392" s="28"/>
      <c r="E392" s="41">
        <v>46154</v>
      </c>
      <c r="F392" s="47">
        <v>0.58226851851851846</v>
      </c>
      <c r="G392" s="44">
        <v>6.3</v>
      </c>
      <c r="H392" s="43" t="s">
        <v>1362</v>
      </c>
      <c r="I392" s="40" t="s">
        <v>1361</v>
      </c>
    </row>
    <row r="393" spans="1:9" x14ac:dyDescent="0.25">
      <c r="A393" s="40" t="s">
        <v>116</v>
      </c>
      <c r="B393" s="28">
        <v>633</v>
      </c>
      <c r="C393" s="28">
        <v>5664965</v>
      </c>
      <c r="D393" s="28"/>
      <c r="E393" s="41">
        <v>46154</v>
      </c>
      <c r="F393" s="47">
        <v>0.74371527777777779</v>
      </c>
      <c r="G393" s="44">
        <v>6.3</v>
      </c>
      <c r="H393" s="43" t="s">
        <v>1363</v>
      </c>
      <c r="I393" s="40" t="s">
        <v>1361</v>
      </c>
    </row>
    <row r="394" spans="1:9" x14ac:dyDescent="0.25">
      <c r="A394" s="40" t="s">
        <v>116</v>
      </c>
      <c r="B394" s="28">
        <v>633</v>
      </c>
      <c r="C394" s="28">
        <v>5664058</v>
      </c>
      <c r="D394" s="28"/>
      <c r="E394" s="41">
        <v>46155</v>
      </c>
      <c r="F394" s="47">
        <v>0.57181712962962961</v>
      </c>
      <c r="G394" s="44">
        <v>6.3</v>
      </c>
      <c r="H394" s="43" t="s">
        <v>1360</v>
      </c>
      <c r="I394" s="40" t="s">
        <v>1361</v>
      </c>
    </row>
    <row r="395" spans="1:9" x14ac:dyDescent="0.25">
      <c r="A395" s="40" t="s">
        <v>116</v>
      </c>
      <c r="B395" s="28">
        <v>633</v>
      </c>
      <c r="C395" s="28">
        <v>5664058</v>
      </c>
      <c r="D395" s="28"/>
      <c r="E395" s="41">
        <v>46155</v>
      </c>
      <c r="F395" s="47">
        <v>0.58146990740740745</v>
      </c>
      <c r="G395" s="44">
        <v>6.3</v>
      </c>
      <c r="H395" s="43" t="s">
        <v>1362</v>
      </c>
      <c r="I395" s="40" t="s">
        <v>1361</v>
      </c>
    </row>
    <row r="396" spans="1:9" x14ac:dyDescent="0.25">
      <c r="A396" s="40" t="s">
        <v>116</v>
      </c>
      <c r="B396" s="28">
        <v>633</v>
      </c>
      <c r="C396" s="28">
        <v>5668919</v>
      </c>
      <c r="D396" s="28"/>
      <c r="E396" s="41">
        <v>46157</v>
      </c>
      <c r="F396" s="47">
        <v>0.8192476851851852</v>
      </c>
      <c r="G396" s="44">
        <v>6.3</v>
      </c>
      <c r="H396" s="43" t="s">
        <v>1362</v>
      </c>
      <c r="I396" s="40" t="s">
        <v>1361</v>
      </c>
    </row>
    <row r="397" spans="1:9" x14ac:dyDescent="0.25">
      <c r="A397" s="40" t="s">
        <v>116</v>
      </c>
      <c r="B397" s="28">
        <v>633</v>
      </c>
      <c r="C397" s="28">
        <v>5670912</v>
      </c>
      <c r="D397" s="28"/>
      <c r="E397" s="41">
        <v>46157</v>
      </c>
      <c r="F397" s="47">
        <v>0.99737268518518518</v>
      </c>
      <c r="G397" s="44">
        <v>6.3</v>
      </c>
      <c r="H397" s="43" t="s">
        <v>1370</v>
      </c>
      <c r="I397" s="40" t="s">
        <v>1365</v>
      </c>
    </row>
    <row r="398" spans="1:9" x14ac:dyDescent="0.25">
      <c r="A398" s="40" t="s">
        <v>325</v>
      </c>
      <c r="B398" s="28">
        <v>658</v>
      </c>
      <c r="C398" s="28" t="s">
        <v>35</v>
      </c>
      <c r="D398" s="28" t="s">
        <v>38</v>
      </c>
      <c r="E398" s="41">
        <v>46156</v>
      </c>
      <c r="F398" s="47">
        <v>0.41909722222222223</v>
      </c>
      <c r="G398" s="44">
        <v>6.3</v>
      </c>
      <c r="H398" s="43" t="s">
        <v>1364</v>
      </c>
      <c r="I398" s="40" t="s">
        <v>1361</v>
      </c>
    </row>
    <row r="399" spans="1:9" x14ac:dyDescent="0.25">
      <c r="A399" s="40" t="s">
        <v>325</v>
      </c>
      <c r="B399" s="28">
        <v>658</v>
      </c>
      <c r="C399" s="28" t="s">
        <v>35</v>
      </c>
      <c r="D399" s="28" t="s">
        <v>38</v>
      </c>
      <c r="E399" s="41">
        <v>46156</v>
      </c>
      <c r="F399" s="47">
        <v>0.47987268518518517</v>
      </c>
      <c r="G399" s="44">
        <v>6.3</v>
      </c>
      <c r="H399" s="43" t="s">
        <v>1360</v>
      </c>
      <c r="I399" s="40" t="s">
        <v>1361</v>
      </c>
    </row>
    <row r="400" spans="1:9" x14ac:dyDescent="0.25">
      <c r="A400" s="40" t="s">
        <v>325</v>
      </c>
      <c r="B400" s="28">
        <v>658</v>
      </c>
      <c r="C400" s="28" t="s">
        <v>35</v>
      </c>
      <c r="D400" s="28" t="s">
        <v>38</v>
      </c>
      <c r="E400" s="41">
        <v>46156</v>
      </c>
      <c r="F400" s="47">
        <v>0.49157407407407405</v>
      </c>
      <c r="G400" s="44">
        <v>6.3</v>
      </c>
      <c r="H400" s="43" t="s">
        <v>1362</v>
      </c>
      <c r="I400" s="40" t="s">
        <v>1361</v>
      </c>
    </row>
    <row r="401" spans="1:9" x14ac:dyDescent="0.25">
      <c r="A401" s="40" t="s">
        <v>330</v>
      </c>
      <c r="B401" s="28">
        <v>659</v>
      </c>
      <c r="C401" s="28">
        <v>5666845</v>
      </c>
      <c r="D401" s="28"/>
      <c r="E401" s="41">
        <v>46155</v>
      </c>
      <c r="F401" s="47">
        <v>0.73972222222222217</v>
      </c>
      <c r="G401" s="44">
        <v>6.3</v>
      </c>
      <c r="H401" s="43" t="s">
        <v>1364</v>
      </c>
      <c r="I401" s="40" t="s">
        <v>1361</v>
      </c>
    </row>
    <row r="402" spans="1:9" x14ac:dyDescent="0.25">
      <c r="A402" s="40" t="s">
        <v>330</v>
      </c>
      <c r="B402" s="28">
        <v>659</v>
      </c>
      <c r="C402" s="28">
        <v>5668904</v>
      </c>
      <c r="D402" s="28" t="s">
        <v>37</v>
      </c>
      <c r="E402" s="41">
        <v>46156</v>
      </c>
      <c r="F402" s="47">
        <v>0.92497685185185186</v>
      </c>
      <c r="G402" s="44">
        <v>6.3</v>
      </c>
      <c r="H402" s="43" t="s">
        <v>1363</v>
      </c>
      <c r="I402" s="40" t="s">
        <v>1361</v>
      </c>
    </row>
    <row r="403" spans="1:9" x14ac:dyDescent="0.25">
      <c r="A403" s="40" t="s">
        <v>158</v>
      </c>
      <c r="B403" s="28">
        <v>666</v>
      </c>
      <c r="C403" s="28">
        <v>5666282</v>
      </c>
      <c r="D403" s="28"/>
      <c r="E403" s="41">
        <v>46155</v>
      </c>
      <c r="F403" s="47">
        <v>0.4309027777777778</v>
      </c>
      <c r="G403" s="44">
        <v>6.3</v>
      </c>
      <c r="H403" s="43" t="s">
        <v>1360</v>
      </c>
      <c r="I403" s="40" t="s">
        <v>1361</v>
      </c>
    </row>
    <row r="404" spans="1:9" x14ac:dyDescent="0.25">
      <c r="A404" s="40" t="s">
        <v>158</v>
      </c>
      <c r="B404" s="28">
        <v>666</v>
      </c>
      <c r="C404" s="28">
        <v>5666282</v>
      </c>
      <c r="D404" s="28"/>
      <c r="E404" s="41">
        <v>46155</v>
      </c>
      <c r="F404" s="47">
        <v>0.44312499999999999</v>
      </c>
      <c r="G404" s="44">
        <v>6.3</v>
      </c>
      <c r="H404" s="43" t="s">
        <v>1366</v>
      </c>
      <c r="I404" s="40" t="s">
        <v>1361</v>
      </c>
    </row>
    <row r="405" spans="1:9" x14ac:dyDescent="0.25">
      <c r="A405" s="40" t="s">
        <v>158</v>
      </c>
      <c r="B405" s="28">
        <v>666</v>
      </c>
      <c r="C405" s="28" t="s">
        <v>35</v>
      </c>
      <c r="D405" s="28" t="s">
        <v>38</v>
      </c>
      <c r="E405" s="41">
        <v>46155</v>
      </c>
      <c r="F405" s="47">
        <v>0.4858912037037037</v>
      </c>
      <c r="G405" s="44">
        <v>6.3</v>
      </c>
      <c r="H405" s="43" t="s">
        <v>1367</v>
      </c>
      <c r="I405" s="40" t="s">
        <v>1361</v>
      </c>
    </row>
    <row r="406" spans="1:9" x14ac:dyDescent="0.25">
      <c r="A406" s="40" t="s">
        <v>158</v>
      </c>
      <c r="B406" s="28">
        <v>666</v>
      </c>
      <c r="C406" s="28" t="s">
        <v>35</v>
      </c>
      <c r="D406" s="28" t="s">
        <v>38</v>
      </c>
      <c r="E406" s="41">
        <v>46155</v>
      </c>
      <c r="F406" s="47">
        <v>0.49122685185185183</v>
      </c>
      <c r="G406" s="44">
        <v>6.3</v>
      </c>
      <c r="H406" s="43" t="s">
        <v>1364</v>
      </c>
      <c r="I406" s="40" t="s">
        <v>1361</v>
      </c>
    </row>
    <row r="407" spans="1:9" x14ac:dyDescent="0.25">
      <c r="A407" s="40" t="s">
        <v>158</v>
      </c>
      <c r="B407" s="28">
        <v>666</v>
      </c>
      <c r="C407" s="28" t="s">
        <v>549</v>
      </c>
      <c r="D407" s="28"/>
      <c r="E407" s="41">
        <v>46156</v>
      </c>
      <c r="F407" s="47">
        <v>0.4753472222222222</v>
      </c>
      <c r="G407" s="44">
        <v>6.3</v>
      </c>
      <c r="H407" s="43" t="s">
        <v>1360</v>
      </c>
      <c r="I407" s="40" t="s">
        <v>1361</v>
      </c>
    </row>
    <row r="408" spans="1:9" x14ac:dyDescent="0.25">
      <c r="A408" s="40" t="s">
        <v>158</v>
      </c>
      <c r="B408" s="28">
        <v>666</v>
      </c>
      <c r="C408" s="28" t="s">
        <v>549</v>
      </c>
      <c r="D408" s="28"/>
      <c r="E408" s="41">
        <v>46156</v>
      </c>
      <c r="F408" s="47">
        <v>0.48677083333333332</v>
      </c>
      <c r="G408" s="44">
        <v>6.3</v>
      </c>
      <c r="H408" s="43" t="s">
        <v>1362</v>
      </c>
      <c r="I408" s="40" t="s">
        <v>1361</v>
      </c>
    </row>
    <row r="409" spans="1:9" x14ac:dyDescent="0.25">
      <c r="A409" s="40" t="s">
        <v>158</v>
      </c>
      <c r="B409" s="28">
        <v>666</v>
      </c>
      <c r="C409" s="28">
        <v>5671335</v>
      </c>
      <c r="D409" s="28"/>
      <c r="E409" s="41">
        <v>46158</v>
      </c>
      <c r="F409" s="47">
        <v>0.43236111111111108</v>
      </c>
      <c r="G409" s="44">
        <v>6.3</v>
      </c>
      <c r="H409" s="43" t="s">
        <v>1360</v>
      </c>
      <c r="I409" s="40" t="s">
        <v>1365</v>
      </c>
    </row>
    <row r="410" spans="1:9" x14ac:dyDescent="0.25">
      <c r="A410" s="40" t="s">
        <v>57</v>
      </c>
      <c r="B410" s="28">
        <v>674</v>
      </c>
      <c r="C410" s="28">
        <v>5664237</v>
      </c>
      <c r="D410" s="28"/>
      <c r="E410" s="41">
        <v>46154</v>
      </c>
      <c r="F410" s="47">
        <v>0.2873263888888889</v>
      </c>
      <c r="G410" s="42">
        <v>6.3</v>
      </c>
      <c r="H410" s="40" t="s">
        <v>1362</v>
      </c>
      <c r="I410" s="40" t="s">
        <v>1361</v>
      </c>
    </row>
    <row r="411" spans="1:9" x14ac:dyDescent="0.25">
      <c r="A411" s="40" t="s">
        <v>57</v>
      </c>
      <c r="B411" s="28">
        <v>674</v>
      </c>
      <c r="C411" s="28">
        <v>5668554</v>
      </c>
      <c r="D411" s="28"/>
      <c r="E411" s="41">
        <v>46156</v>
      </c>
      <c r="F411" s="47">
        <v>0.74515046296296295</v>
      </c>
      <c r="G411" s="42">
        <v>6.3</v>
      </c>
      <c r="H411" s="40" t="s">
        <v>1364</v>
      </c>
      <c r="I411" s="40" t="s">
        <v>1361</v>
      </c>
    </row>
    <row r="412" spans="1:9" x14ac:dyDescent="0.25">
      <c r="A412" s="40" t="s">
        <v>57</v>
      </c>
      <c r="B412" s="28">
        <v>674</v>
      </c>
      <c r="C412" s="28" t="s">
        <v>35</v>
      </c>
      <c r="D412" s="28" t="s">
        <v>38</v>
      </c>
      <c r="E412" s="45">
        <v>46156</v>
      </c>
      <c r="F412" s="48">
        <v>0.97868055555555555</v>
      </c>
      <c r="G412" s="44">
        <v>6.3</v>
      </c>
      <c r="H412" s="43" t="s">
        <v>1360</v>
      </c>
      <c r="I412" s="40" t="s">
        <v>1361</v>
      </c>
    </row>
    <row r="413" spans="1:9" x14ac:dyDescent="0.25">
      <c r="A413" s="40" t="s">
        <v>57</v>
      </c>
      <c r="B413" s="28">
        <v>674</v>
      </c>
      <c r="C413" s="28">
        <v>5669128</v>
      </c>
      <c r="D413" s="28"/>
      <c r="E413" s="41">
        <v>46156</v>
      </c>
      <c r="F413" s="47">
        <v>0.99186342592592591</v>
      </c>
      <c r="G413" s="44">
        <v>6.3</v>
      </c>
      <c r="H413" s="43" t="s">
        <v>1362</v>
      </c>
      <c r="I413" s="40" t="s">
        <v>1361</v>
      </c>
    </row>
    <row r="414" spans="1:9" x14ac:dyDescent="0.25">
      <c r="A414" s="40" t="s">
        <v>57</v>
      </c>
      <c r="B414" s="28">
        <v>674</v>
      </c>
      <c r="C414" s="28" t="s">
        <v>35</v>
      </c>
      <c r="D414" s="28" t="s">
        <v>38</v>
      </c>
      <c r="E414" s="45">
        <v>46157</v>
      </c>
      <c r="F414" s="48">
        <v>0.23379629629629631</v>
      </c>
      <c r="G414" s="44">
        <v>6.3</v>
      </c>
      <c r="H414" s="43" t="s">
        <v>1367</v>
      </c>
      <c r="I414" s="40" t="s">
        <v>1361</v>
      </c>
    </row>
    <row r="415" spans="1:9" x14ac:dyDescent="0.25">
      <c r="A415" s="40" t="s">
        <v>57</v>
      </c>
      <c r="B415" s="28">
        <v>674</v>
      </c>
      <c r="C415" s="28" t="s">
        <v>35</v>
      </c>
      <c r="D415" s="28" t="s">
        <v>38</v>
      </c>
      <c r="E415" s="41">
        <v>46157</v>
      </c>
      <c r="F415" s="47">
        <v>0.23722222222222222</v>
      </c>
      <c r="G415" s="44">
        <v>6.3</v>
      </c>
      <c r="H415" s="43" t="s">
        <v>1364</v>
      </c>
      <c r="I415" s="40" t="s">
        <v>1361</v>
      </c>
    </row>
    <row r="416" spans="1:9" x14ac:dyDescent="0.25">
      <c r="A416" s="40" t="s">
        <v>57</v>
      </c>
      <c r="B416" s="28">
        <v>674</v>
      </c>
      <c r="C416" s="28" t="s">
        <v>35</v>
      </c>
      <c r="D416" s="28" t="s">
        <v>38</v>
      </c>
      <c r="E416" s="41">
        <v>46157</v>
      </c>
      <c r="F416" s="47">
        <v>0.32092592592592595</v>
      </c>
      <c r="G416" s="44">
        <v>6.3</v>
      </c>
      <c r="H416" s="43" t="s">
        <v>1360</v>
      </c>
      <c r="I416" s="40" t="s">
        <v>1361</v>
      </c>
    </row>
    <row r="417" spans="1:9" x14ac:dyDescent="0.25">
      <c r="A417" s="40" t="s">
        <v>57</v>
      </c>
      <c r="B417" s="28">
        <v>674</v>
      </c>
      <c r="C417" s="28" t="s">
        <v>35</v>
      </c>
      <c r="D417" s="28" t="s">
        <v>38</v>
      </c>
      <c r="E417" s="41">
        <v>46157</v>
      </c>
      <c r="F417" s="47">
        <v>0.32769675925925928</v>
      </c>
      <c r="G417" s="44">
        <v>6.3</v>
      </c>
      <c r="H417" s="43" t="s">
        <v>1366</v>
      </c>
      <c r="I417" s="40" t="s">
        <v>1361</v>
      </c>
    </row>
    <row r="418" spans="1:9" x14ac:dyDescent="0.25">
      <c r="A418" s="40" t="s">
        <v>57</v>
      </c>
      <c r="B418" s="28">
        <v>674</v>
      </c>
      <c r="C418" s="28" t="s">
        <v>35</v>
      </c>
      <c r="D418" s="28" t="s">
        <v>38</v>
      </c>
      <c r="E418" s="41">
        <v>46158</v>
      </c>
      <c r="F418" s="47">
        <v>0.25060185185185185</v>
      </c>
      <c r="G418" s="44">
        <v>6.3</v>
      </c>
      <c r="H418" s="43" t="s">
        <v>1368</v>
      </c>
      <c r="I418" s="40" t="s">
        <v>1365</v>
      </c>
    </row>
    <row r="419" spans="1:9" x14ac:dyDescent="0.25">
      <c r="A419" s="40" t="s">
        <v>57</v>
      </c>
      <c r="B419" s="28">
        <v>674</v>
      </c>
      <c r="C419" s="28" t="s">
        <v>35</v>
      </c>
      <c r="D419" s="28" t="s">
        <v>38</v>
      </c>
      <c r="E419" s="41">
        <v>46159</v>
      </c>
      <c r="F419" s="47">
        <v>0.65336805555555555</v>
      </c>
      <c r="G419" s="44">
        <v>6.3</v>
      </c>
      <c r="H419" s="43" t="s">
        <v>1362</v>
      </c>
      <c r="I419" s="40" t="s">
        <v>1365</v>
      </c>
    </row>
    <row r="420" spans="1:9" x14ac:dyDescent="0.25">
      <c r="A420" s="40" t="s">
        <v>57</v>
      </c>
      <c r="B420" s="28">
        <v>674</v>
      </c>
      <c r="C420" s="28" t="s">
        <v>35</v>
      </c>
      <c r="D420" s="28" t="s">
        <v>38</v>
      </c>
      <c r="E420" s="41">
        <v>46159</v>
      </c>
      <c r="F420" s="47">
        <v>0.70353009259259258</v>
      </c>
      <c r="G420" s="44">
        <v>6.3</v>
      </c>
      <c r="H420" s="43" t="s">
        <v>1369</v>
      </c>
      <c r="I420" s="40" t="s">
        <v>1365</v>
      </c>
    </row>
    <row r="421" spans="1:9" x14ac:dyDescent="0.25">
      <c r="A421" s="40" t="s">
        <v>398</v>
      </c>
      <c r="B421" s="28">
        <v>675</v>
      </c>
      <c r="C421" s="28">
        <v>5668930</v>
      </c>
      <c r="D421" s="28"/>
      <c r="E421" s="45">
        <v>46157</v>
      </c>
      <c r="F421" s="48">
        <v>0.3003587962962963</v>
      </c>
      <c r="G421" s="44">
        <v>6.3</v>
      </c>
      <c r="H421" s="43" t="s">
        <v>1360</v>
      </c>
      <c r="I421" s="40" t="s">
        <v>1361</v>
      </c>
    </row>
    <row r="422" spans="1:9" x14ac:dyDescent="0.25">
      <c r="A422" s="40" t="s">
        <v>398</v>
      </c>
      <c r="B422" s="28">
        <v>675</v>
      </c>
      <c r="C422" s="28">
        <v>5668930</v>
      </c>
      <c r="D422" s="28"/>
      <c r="E422" s="41">
        <v>46157</v>
      </c>
      <c r="F422" s="47">
        <v>0.3064351851851852</v>
      </c>
      <c r="G422" s="44">
        <v>6.3</v>
      </c>
      <c r="H422" s="43" t="s">
        <v>1366</v>
      </c>
      <c r="I422" s="40" t="s">
        <v>1361</v>
      </c>
    </row>
    <row r="423" spans="1:9" x14ac:dyDescent="0.25">
      <c r="A423" s="40" t="s">
        <v>163</v>
      </c>
      <c r="B423" s="28">
        <v>677</v>
      </c>
      <c r="C423" s="28">
        <v>5665938</v>
      </c>
      <c r="D423" s="28"/>
      <c r="E423" s="41">
        <v>46155</v>
      </c>
      <c r="F423" s="47">
        <v>0.13517361111111112</v>
      </c>
      <c r="G423" s="44">
        <v>6.3</v>
      </c>
      <c r="H423" s="43" t="s">
        <v>1369</v>
      </c>
      <c r="I423" s="40" t="s">
        <v>1361</v>
      </c>
    </row>
    <row r="424" spans="1:9" x14ac:dyDescent="0.25">
      <c r="A424" s="40" t="s">
        <v>163</v>
      </c>
      <c r="B424" s="28">
        <v>677</v>
      </c>
      <c r="C424" s="28">
        <v>5665938</v>
      </c>
      <c r="D424" s="28"/>
      <c r="E424" s="41">
        <v>46155</v>
      </c>
      <c r="F424" s="47">
        <v>0.14003472222222221</v>
      </c>
      <c r="G424" s="44">
        <v>6.3</v>
      </c>
      <c r="H424" s="43" t="s">
        <v>1364</v>
      </c>
      <c r="I424" s="40" t="s">
        <v>1361</v>
      </c>
    </row>
    <row r="425" spans="1:9" x14ac:dyDescent="0.25">
      <c r="A425" s="40" t="s">
        <v>163</v>
      </c>
      <c r="B425" s="28">
        <v>677</v>
      </c>
      <c r="C425" s="28">
        <v>5667728</v>
      </c>
      <c r="D425" s="28"/>
      <c r="E425" s="41">
        <v>46156</v>
      </c>
      <c r="F425" s="47">
        <v>8.5092592592592595E-2</v>
      </c>
      <c r="G425" s="44">
        <v>6.3</v>
      </c>
      <c r="H425" s="43" t="s">
        <v>1360</v>
      </c>
      <c r="I425" s="40" t="s">
        <v>1361</v>
      </c>
    </row>
    <row r="426" spans="1:9" x14ac:dyDescent="0.25">
      <c r="A426" s="40" t="s">
        <v>163</v>
      </c>
      <c r="B426" s="28">
        <v>677</v>
      </c>
      <c r="C426" s="28">
        <v>5667728</v>
      </c>
      <c r="D426" s="28"/>
      <c r="E426" s="41">
        <v>46156</v>
      </c>
      <c r="F426" s="47">
        <v>9.1527777777777777E-2</v>
      </c>
      <c r="G426" s="44">
        <v>6.3</v>
      </c>
      <c r="H426" s="43" t="s">
        <v>1362</v>
      </c>
      <c r="I426" s="40" t="s">
        <v>1361</v>
      </c>
    </row>
    <row r="427" spans="1:9" x14ac:dyDescent="0.25">
      <c r="A427" s="40" t="s">
        <v>163</v>
      </c>
      <c r="B427" s="28">
        <v>677</v>
      </c>
      <c r="C427" s="28">
        <v>5667573</v>
      </c>
      <c r="D427" s="28"/>
      <c r="E427" s="41">
        <v>46156</v>
      </c>
      <c r="F427" s="47">
        <v>0.2275925925925926</v>
      </c>
      <c r="G427" s="44">
        <v>6.3</v>
      </c>
      <c r="H427" s="43" t="s">
        <v>1370</v>
      </c>
      <c r="I427" s="40" t="s">
        <v>1361</v>
      </c>
    </row>
    <row r="428" spans="1:9" x14ac:dyDescent="0.25">
      <c r="A428" s="40" t="s">
        <v>163</v>
      </c>
      <c r="B428" s="28">
        <v>677</v>
      </c>
      <c r="C428" s="28">
        <v>5667573</v>
      </c>
      <c r="D428" s="28"/>
      <c r="E428" s="41">
        <v>46156</v>
      </c>
      <c r="F428" s="47">
        <v>0.25624999999999998</v>
      </c>
      <c r="G428" s="44">
        <v>6.3</v>
      </c>
      <c r="H428" s="43" t="s">
        <v>1367</v>
      </c>
      <c r="I428" s="40" t="s">
        <v>1361</v>
      </c>
    </row>
    <row r="429" spans="1:9" x14ac:dyDescent="0.25">
      <c r="A429" s="40" t="s">
        <v>163</v>
      </c>
      <c r="B429" s="28">
        <v>677</v>
      </c>
      <c r="C429" s="28">
        <v>5667573</v>
      </c>
      <c r="D429" s="28"/>
      <c r="E429" s="41">
        <v>46156</v>
      </c>
      <c r="F429" s="47">
        <v>0.26001157407407405</v>
      </c>
      <c r="G429" s="44">
        <v>6.3</v>
      </c>
      <c r="H429" s="43" t="s">
        <v>1364</v>
      </c>
      <c r="I429" s="40" t="s">
        <v>1361</v>
      </c>
    </row>
    <row r="430" spans="1:9" x14ac:dyDescent="0.25">
      <c r="A430" s="40" t="s">
        <v>163</v>
      </c>
      <c r="B430" s="28">
        <v>677</v>
      </c>
      <c r="C430" s="28">
        <v>5656399</v>
      </c>
      <c r="D430" s="28"/>
      <c r="E430" s="45">
        <v>46156</v>
      </c>
      <c r="F430" s="48">
        <v>0.93449074074074079</v>
      </c>
      <c r="G430" s="44">
        <v>6.3</v>
      </c>
      <c r="H430" s="43" t="s">
        <v>1360</v>
      </c>
      <c r="I430" s="40" t="s">
        <v>1361</v>
      </c>
    </row>
    <row r="431" spans="1:9" x14ac:dyDescent="0.25">
      <c r="A431" s="40" t="s">
        <v>163</v>
      </c>
      <c r="B431" s="28">
        <v>677</v>
      </c>
      <c r="C431" s="28">
        <v>5656399</v>
      </c>
      <c r="D431" s="28"/>
      <c r="E431" s="41">
        <v>46156</v>
      </c>
      <c r="F431" s="47">
        <v>0.94133101851851853</v>
      </c>
      <c r="G431" s="42">
        <v>6.3</v>
      </c>
      <c r="H431" s="40" t="s">
        <v>1362</v>
      </c>
      <c r="I431" s="40" t="s">
        <v>1361</v>
      </c>
    </row>
    <row r="432" spans="1:9" x14ac:dyDescent="0.25">
      <c r="A432" s="40" t="s">
        <v>163</v>
      </c>
      <c r="B432" s="28">
        <v>677</v>
      </c>
      <c r="C432" s="28" t="s">
        <v>35</v>
      </c>
      <c r="D432" s="28" t="s">
        <v>38</v>
      </c>
      <c r="E432" s="41">
        <v>46156</v>
      </c>
      <c r="F432" s="47">
        <v>0.95792824074074079</v>
      </c>
      <c r="G432" s="42">
        <v>6.3</v>
      </c>
      <c r="H432" s="40" t="s">
        <v>1363</v>
      </c>
      <c r="I432" s="40" t="s">
        <v>1361</v>
      </c>
    </row>
    <row r="433" spans="1:9" x14ac:dyDescent="0.25">
      <c r="A433" s="40" t="s">
        <v>163</v>
      </c>
      <c r="B433" s="28">
        <v>677</v>
      </c>
      <c r="C433" s="28" t="s">
        <v>35</v>
      </c>
      <c r="D433" s="28" t="s">
        <v>38</v>
      </c>
      <c r="E433" s="41">
        <v>46156</v>
      </c>
      <c r="F433" s="47">
        <v>0.96333333333333337</v>
      </c>
      <c r="G433" s="42">
        <v>6.3</v>
      </c>
      <c r="H433" s="40" t="s">
        <v>1364</v>
      </c>
      <c r="I433" s="40" t="s">
        <v>1361</v>
      </c>
    </row>
    <row r="434" spans="1:9" x14ac:dyDescent="0.25">
      <c r="A434" s="40" t="s">
        <v>163</v>
      </c>
      <c r="B434" s="28">
        <v>677</v>
      </c>
      <c r="C434" s="28">
        <v>5671106</v>
      </c>
      <c r="D434" s="28"/>
      <c r="E434" s="41">
        <v>46157</v>
      </c>
      <c r="F434" s="47">
        <v>0.99282407407407403</v>
      </c>
      <c r="G434" s="42">
        <v>6.3</v>
      </c>
      <c r="H434" s="40" t="s">
        <v>1360</v>
      </c>
      <c r="I434" s="40" t="s">
        <v>1365</v>
      </c>
    </row>
    <row r="435" spans="1:9" x14ac:dyDescent="0.25">
      <c r="A435" s="40" t="s">
        <v>163</v>
      </c>
      <c r="B435" s="28">
        <v>677</v>
      </c>
      <c r="C435" s="28">
        <v>5671106</v>
      </c>
      <c r="D435" s="28"/>
      <c r="E435" s="41">
        <v>46158</v>
      </c>
      <c r="F435" s="47">
        <v>1.5277777777777779E-3</v>
      </c>
      <c r="G435" s="42">
        <v>6.3</v>
      </c>
      <c r="H435" s="40" t="s">
        <v>1362</v>
      </c>
      <c r="I435" s="40" t="s">
        <v>1365</v>
      </c>
    </row>
    <row r="436" spans="1:9" x14ac:dyDescent="0.25">
      <c r="A436" s="40" t="s">
        <v>339</v>
      </c>
      <c r="B436" s="28">
        <v>679</v>
      </c>
      <c r="C436" s="28" t="s">
        <v>550</v>
      </c>
      <c r="D436" s="28"/>
      <c r="E436" s="41">
        <v>46154</v>
      </c>
      <c r="F436" s="47">
        <v>0.72825231481481478</v>
      </c>
      <c r="G436" s="42">
        <v>6.3</v>
      </c>
      <c r="H436" s="40" t="s">
        <v>1360</v>
      </c>
      <c r="I436" s="40" t="s">
        <v>1361</v>
      </c>
    </row>
    <row r="437" spans="1:9" x14ac:dyDescent="0.25">
      <c r="A437" s="40" t="s">
        <v>339</v>
      </c>
      <c r="B437" s="28">
        <v>679</v>
      </c>
      <c r="C437" s="28" t="s">
        <v>550</v>
      </c>
      <c r="D437" s="28"/>
      <c r="E437" s="41">
        <v>46154</v>
      </c>
      <c r="F437" s="47">
        <v>0.7444560185185185</v>
      </c>
      <c r="G437" s="42">
        <v>6.3</v>
      </c>
      <c r="H437" s="40" t="s">
        <v>1368</v>
      </c>
      <c r="I437" s="40" t="s">
        <v>1361</v>
      </c>
    </row>
    <row r="438" spans="1:9" x14ac:dyDescent="0.25">
      <c r="A438" s="40" t="s">
        <v>339</v>
      </c>
      <c r="B438" s="28">
        <v>679</v>
      </c>
      <c r="C438" s="28" t="s">
        <v>35</v>
      </c>
      <c r="D438" s="28" t="s">
        <v>38</v>
      </c>
      <c r="E438" s="41">
        <v>46155</v>
      </c>
      <c r="F438" s="47">
        <v>0.56771990740740741</v>
      </c>
      <c r="G438" s="44">
        <v>6.3</v>
      </c>
      <c r="H438" s="43" t="s">
        <v>1360</v>
      </c>
      <c r="I438" s="40" t="s">
        <v>1361</v>
      </c>
    </row>
    <row r="439" spans="1:9" x14ac:dyDescent="0.25">
      <c r="A439" s="40" t="s">
        <v>339</v>
      </c>
      <c r="B439" s="28">
        <v>679</v>
      </c>
      <c r="C439" s="28" t="s">
        <v>35</v>
      </c>
      <c r="D439" s="28" t="s">
        <v>38</v>
      </c>
      <c r="E439" s="41">
        <v>46155</v>
      </c>
      <c r="F439" s="47">
        <v>0.57965277777777779</v>
      </c>
      <c r="G439" s="44">
        <v>6.3</v>
      </c>
      <c r="H439" s="43" t="s">
        <v>1362</v>
      </c>
      <c r="I439" s="40" t="s">
        <v>1361</v>
      </c>
    </row>
    <row r="440" spans="1:9" x14ac:dyDescent="0.25">
      <c r="A440" s="40" t="s">
        <v>339</v>
      </c>
      <c r="B440" s="28">
        <v>679</v>
      </c>
      <c r="C440" s="28" t="s">
        <v>35</v>
      </c>
      <c r="D440" s="28" t="s">
        <v>38</v>
      </c>
      <c r="E440" s="41">
        <v>46156</v>
      </c>
      <c r="F440" s="47">
        <v>0.88219907407407405</v>
      </c>
      <c r="G440" s="44">
        <v>6.3</v>
      </c>
      <c r="H440" s="43" t="s">
        <v>1360</v>
      </c>
      <c r="I440" s="40" t="s">
        <v>1361</v>
      </c>
    </row>
    <row r="441" spans="1:9" x14ac:dyDescent="0.25">
      <c r="A441" s="40" t="s">
        <v>339</v>
      </c>
      <c r="B441" s="28">
        <v>679</v>
      </c>
      <c r="C441" s="28" t="s">
        <v>35</v>
      </c>
      <c r="D441" s="28" t="s">
        <v>38</v>
      </c>
      <c r="E441" s="41">
        <v>46156</v>
      </c>
      <c r="F441" s="47">
        <v>0.89082175925925922</v>
      </c>
      <c r="G441" s="44">
        <v>6.3</v>
      </c>
      <c r="H441" s="43" t="s">
        <v>1362</v>
      </c>
      <c r="I441" s="40" t="s">
        <v>1361</v>
      </c>
    </row>
    <row r="442" spans="1:9" x14ac:dyDescent="0.25">
      <c r="A442" s="40" t="s">
        <v>117</v>
      </c>
      <c r="B442" s="28">
        <v>680</v>
      </c>
      <c r="C442" s="28">
        <v>5662593</v>
      </c>
      <c r="D442" s="28"/>
      <c r="E442" s="41">
        <v>46153</v>
      </c>
      <c r="F442" s="47">
        <v>0.6079282407407407</v>
      </c>
      <c r="G442" s="44">
        <v>6.3</v>
      </c>
      <c r="H442" s="43" t="s">
        <v>1362</v>
      </c>
      <c r="I442" s="40" t="s">
        <v>1361</v>
      </c>
    </row>
    <row r="443" spans="1:9" x14ac:dyDescent="0.25">
      <c r="A443" s="40" t="s">
        <v>117</v>
      </c>
      <c r="B443" s="28">
        <v>680</v>
      </c>
      <c r="C443" s="28">
        <v>5665270</v>
      </c>
      <c r="D443" s="28"/>
      <c r="E443" s="41">
        <v>46154</v>
      </c>
      <c r="F443" s="47">
        <v>0.9016319444444445</v>
      </c>
      <c r="G443" s="44">
        <v>6.3</v>
      </c>
      <c r="H443" s="43" t="s">
        <v>1368</v>
      </c>
      <c r="I443" s="40" t="s">
        <v>1361</v>
      </c>
    </row>
    <row r="444" spans="1:9" x14ac:dyDescent="0.25">
      <c r="A444" s="40" t="s">
        <v>117</v>
      </c>
      <c r="B444" s="28">
        <v>680</v>
      </c>
      <c r="C444" s="28">
        <v>5668061</v>
      </c>
      <c r="D444" s="28"/>
      <c r="E444" s="41">
        <v>46156</v>
      </c>
      <c r="F444" s="47">
        <v>0.96932870370370372</v>
      </c>
      <c r="G444" s="44">
        <v>6.3</v>
      </c>
      <c r="H444" s="43" t="s">
        <v>1363</v>
      </c>
      <c r="I444" s="40" t="s">
        <v>1361</v>
      </c>
    </row>
    <row r="445" spans="1:9" x14ac:dyDescent="0.25">
      <c r="A445" s="40" t="s">
        <v>117</v>
      </c>
      <c r="B445" s="28">
        <v>680</v>
      </c>
      <c r="C445" s="28">
        <v>5669830</v>
      </c>
      <c r="D445" s="28"/>
      <c r="E445" s="41">
        <v>46157</v>
      </c>
      <c r="F445" s="47">
        <v>0.62133101851851846</v>
      </c>
      <c r="G445" s="44">
        <v>6.3</v>
      </c>
      <c r="H445" s="43" t="s">
        <v>1362</v>
      </c>
      <c r="I445" s="40" t="s">
        <v>1361</v>
      </c>
    </row>
    <row r="446" spans="1:9" x14ac:dyDescent="0.25">
      <c r="A446" s="40" t="s">
        <v>308</v>
      </c>
      <c r="B446" s="28">
        <v>684</v>
      </c>
      <c r="C446" s="28" t="s">
        <v>35</v>
      </c>
      <c r="D446" s="28" t="s">
        <v>38</v>
      </c>
      <c r="E446" s="41">
        <v>46154</v>
      </c>
      <c r="F446" s="47">
        <v>0.82230324074074079</v>
      </c>
      <c r="G446" s="44">
        <v>6.3</v>
      </c>
      <c r="H446" s="43" t="s">
        <v>1363</v>
      </c>
      <c r="I446" s="40" t="s">
        <v>1361</v>
      </c>
    </row>
    <row r="447" spans="1:9" x14ac:dyDescent="0.25">
      <c r="A447" s="40" t="s">
        <v>308</v>
      </c>
      <c r="B447" s="28">
        <v>684</v>
      </c>
      <c r="C447" s="28" t="s">
        <v>35</v>
      </c>
      <c r="D447" s="28" t="s">
        <v>38</v>
      </c>
      <c r="E447" s="41">
        <v>46155</v>
      </c>
      <c r="F447" s="47">
        <v>0.53751157407407413</v>
      </c>
      <c r="G447" s="42">
        <v>6.3</v>
      </c>
      <c r="H447" s="40" t="s">
        <v>1369</v>
      </c>
      <c r="I447" s="40" t="s">
        <v>1361</v>
      </c>
    </row>
    <row r="448" spans="1:9" x14ac:dyDescent="0.25">
      <c r="A448" s="40" t="s">
        <v>308</v>
      </c>
      <c r="B448" s="28">
        <v>684</v>
      </c>
      <c r="C448" s="28" t="s">
        <v>35</v>
      </c>
      <c r="D448" s="28" t="s">
        <v>38</v>
      </c>
      <c r="E448" s="41">
        <v>46155</v>
      </c>
      <c r="F448" s="47">
        <v>0.68256944444444445</v>
      </c>
      <c r="G448" s="42">
        <v>6.3</v>
      </c>
      <c r="H448" s="40" t="s">
        <v>1363</v>
      </c>
      <c r="I448" s="40" t="s">
        <v>1361</v>
      </c>
    </row>
    <row r="449" spans="1:9" x14ac:dyDescent="0.25">
      <c r="A449" s="40" t="s">
        <v>308</v>
      </c>
      <c r="B449" s="28">
        <v>684</v>
      </c>
      <c r="C449" s="28" t="s">
        <v>35</v>
      </c>
      <c r="D449" s="28" t="s">
        <v>38</v>
      </c>
      <c r="E449" s="41">
        <v>46158</v>
      </c>
      <c r="F449" s="47">
        <v>0.34274305555555556</v>
      </c>
      <c r="G449" s="42">
        <v>6.3</v>
      </c>
      <c r="H449" s="40" t="s">
        <v>1362</v>
      </c>
      <c r="I449" s="40" t="s">
        <v>1365</v>
      </c>
    </row>
    <row r="450" spans="1:9" x14ac:dyDescent="0.25">
      <c r="A450" s="40" t="s">
        <v>220</v>
      </c>
      <c r="B450" s="28">
        <v>688</v>
      </c>
      <c r="C450" s="28">
        <v>5663057</v>
      </c>
      <c r="D450" s="28"/>
      <c r="E450" s="41">
        <v>46153</v>
      </c>
      <c r="F450" s="47">
        <v>0.63346064814814818</v>
      </c>
      <c r="G450" s="42">
        <v>6.3</v>
      </c>
      <c r="H450" s="40" t="s">
        <v>1363</v>
      </c>
      <c r="I450" s="40" t="s">
        <v>1361</v>
      </c>
    </row>
    <row r="451" spans="1:9" x14ac:dyDescent="0.25">
      <c r="A451" s="40" t="s">
        <v>220</v>
      </c>
      <c r="B451" s="28">
        <v>688</v>
      </c>
      <c r="C451" s="28">
        <v>5663057</v>
      </c>
      <c r="D451" s="28"/>
      <c r="E451" s="41">
        <v>46153</v>
      </c>
      <c r="F451" s="47">
        <v>0.64020833333333338</v>
      </c>
      <c r="G451" s="44">
        <v>6.3</v>
      </c>
      <c r="H451" s="43" t="s">
        <v>1364</v>
      </c>
      <c r="I451" s="40" t="s">
        <v>1361</v>
      </c>
    </row>
    <row r="452" spans="1:9" x14ac:dyDescent="0.25">
      <c r="A452" s="40" t="s">
        <v>220</v>
      </c>
      <c r="B452" s="28">
        <v>688</v>
      </c>
      <c r="C452" s="28">
        <v>5662806</v>
      </c>
      <c r="D452" s="28"/>
      <c r="E452" s="41">
        <v>46153</v>
      </c>
      <c r="F452" s="47">
        <v>0.69075231481481481</v>
      </c>
      <c r="G452" s="44">
        <v>6.3</v>
      </c>
      <c r="H452" s="43" t="s">
        <v>1360</v>
      </c>
      <c r="I452" s="40" t="s">
        <v>1361</v>
      </c>
    </row>
    <row r="453" spans="1:9" x14ac:dyDescent="0.25">
      <c r="A453" s="40" t="s">
        <v>220</v>
      </c>
      <c r="B453" s="28">
        <v>688</v>
      </c>
      <c r="C453" s="28">
        <v>5662806</v>
      </c>
      <c r="D453" s="28"/>
      <c r="E453" s="41">
        <v>46153</v>
      </c>
      <c r="F453" s="47">
        <v>0.70600694444444445</v>
      </c>
      <c r="G453" s="44">
        <v>6.3</v>
      </c>
      <c r="H453" s="43" t="s">
        <v>1362</v>
      </c>
      <c r="I453" s="40" t="s">
        <v>1361</v>
      </c>
    </row>
    <row r="454" spans="1:9" x14ac:dyDescent="0.25">
      <c r="A454" s="40" t="s">
        <v>220</v>
      </c>
      <c r="B454" s="28">
        <v>688</v>
      </c>
      <c r="C454" s="28">
        <v>5658061</v>
      </c>
      <c r="D454" s="28"/>
      <c r="E454" s="41">
        <v>46153</v>
      </c>
      <c r="F454" s="47">
        <v>0.75292824074074072</v>
      </c>
      <c r="G454" s="44">
        <v>6.3</v>
      </c>
      <c r="H454" s="43" t="s">
        <v>1370</v>
      </c>
      <c r="I454" s="40" t="s">
        <v>1361</v>
      </c>
    </row>
    <row r="455" spans="1:9" x14ac:dyDescent="0.25">
      <c r="A455" s="40" t="s">
        <v>220</v>
      </c>
      <c r="B455" s="28">
        <v>688</v>
      </c>
      <c r="C455" s="28">
        <v>5670021</v>
      </c>
      <c r="D455" s="28"/>
      <c r="E455" s="41">
        <v>46157</v>
      </c>
      <c r="F455" s="47">
        <v>0.57849537037037035</v>
      </c>
      <c r="G455" s="44">
        <v>6.3</v>
      </c>
      <c r="H455" s="43" t="s">
        <v>1363</v>
      </c>
      <c r="I455" s="40" t="s">
        <v>1361</v>
      </c>
    </row>
    <row r="456" spans="1:9" x14ac:dyDescent="0.25">
      <c r="A456" s="40" t="s">
        <v>220</v>
      </c>
      <c r="B456" s="28">
        <v>688</v>
      </c>
      <c r="C456" s="28">
        <v>5670021</v>
      </c>
      <c r="D456" s="28"/>
      <c r="E456" s="45">
        <v>46157</v>
      </c>
      <c r="F456" s="48">
        <v>0.58459490740740738</v>
      </c>
      <c r="G456" s="44">
        <v>6.3</v>
      </c>
      <c r="H456" s="43" t="s">
        <v>1364</v>
      </c>
      <c r="I456" s="40" t="s">
        <v>1361</v>
      </c>
    </row>
    <row r="457" spans="1:9" x14ac:dyDescent="0.25">
      <c r="A457" s="40" t="s">
        <v>220</v>
      </c>
      <c r="B457" s="28">
        <v>688</v>
      </c>
      <c r="C457" s="28">
        <v>5670209</v>
      </c>
      <c r="D457" s="28"/>
      <c r="E457" s="41">
        <v>46157</v>
      </c>
      <c r="F457" s="47">
        <v>0.68601851851851847</v>
      </c>
      <c r="G457" s="44">
        <v>6.3</v>
      </c>
      <c r="H457" s="43" t="s">
        <v>1360</v>
      </c>
      <c r="I457" s="40" t="s">
        <v>1361</v>
      </c>
    </row>
    <row r="458" spans="1:9" x14ac:dyDescent="0.25">
      <c r="A458" s="40" t="s">
        <v>220</v>
      </c>
      <c r="B458" s="28">
        <v>688</v>
      </c>
      <c r="C458" s="28">
        <v>5670209</v>
      </c>
      <c r="D458" s="28"/>
      <c r="E458" s="41">
        <v>46157</v>
      </c>
      <c r="F458" s="47">
        <v>0.70114583333333336</v>
      </c>
      <c r="G458" s="44">
        <v>6.3</v>
      </c>
      <c r="H458" s="43" t="s">
        <v>1362</v>
      </c>
      <c r="I458" s="40" t="s">
        <v>1361</v>
      </c>
    </row>
    <row r="459" spans="1:9" x14ac:dyDescent="0.25">
      <c r="A459" s="40" t="s">
        <v>58</v>
      </c>
      <c r="B459" s="28">
        <v>707</v>
      </c>
      <c r="C459" s="28" t="s">
        <v>551</v>
      </c>
      <c r="D459" s="28"/>
      <c r="E459" s="45">
        <v>46153</v>
      </c>
      <c r="F459" s="48">
        <v>0.45934027777777775</v>
      </c>
      <c r="G459" s="44">
        <v>6.3</v>
      </c>
      <c r="H459" s="43" t="s">
        <v>1360</v>
      </c>
      <c r="I459" s="40" t="s">
        <v>1361</v>
      </c>
    </row>
    <row r="460" spans="1:9" x14ac:dyDescent="0.25">
      <c r="A460" s="40" t="s">
        <v>58</v>
      </c>
      <c r="B460" s="28">
        <v>707</v>
      </c>
      <c r="C460" s="28" t="s">
        <v>551</v>
      </c>
      <c r="D460" s="28"/>
      <c r="E460" s="41">
        <v>46153</v>
      </c>
      <c r="F460" s="47">
        <v>0.46902777777777777</v>
      </c>
      <c r="G460" s="44">
        <v>6.3</v>
      </c>
      <c r="H460" s="43" t="s">
        <v>1362</v>
      </c>
      <c r="I460" s="40" t="s">
        <v>1361</v>
      </c>
    </row>
    <row r="461" spans="1:9" x14ac:dyDescent="0.25">
      <c r="A461" s="40" t="s">
        <v>58</v>
      </c>
      <c r="B461" s="28">
        <v>707</v>
      </c>
      <c r="C461" s="28" t="s">
        <v>552</v>
      </c>
      <c r="D461" s="28"/>
      <c r="E461" s="45">
        <v>46153</v>
      </c>
      <c r="F461" s="48">
        <v>0.65511574074074075</v>
      </c>
      <c r="G461" s="44">
        <v>6.3</v>
      </c>
      <c r="H461" s="43" t="s">
        <v>1360</v>
      </c>
      <c r="I461" s="40" t="s">
        <v>1361</v>
      </c>
    </row>
    <row r="462" spans="1:9" x14ac:dyDescent="0.25">
      <c r="A462" s="40" t="s">
        <v>58</v>
      </c>
      <c r="B462" s="28">
        <v>707</v>
      </c>
      <c r="C462" s="28">
        <v>5663497</v>
      </c>
      <c r="D462" s="28"/>
      <c r="E462" s="41">
        <v>46153</v>
      </c>
      <c r="F462" s="47">
        <v>0.81319444444444444</v>
      </c>
      <c r="G462" s="44">
        <v>6.3</v>
      </c>
      <c r="H462" s="43" t="s">
        <v>1360</v>
      </c>
      <c r="I462" s="40" t="s">
        <v>1361</v>
      </c>
    </row>
    <row r="463" spans="1:9" x14ac:dyDescent="0.25">
      <c r="A463" s="40" t="s">
        <v>58</v>
      </c>
      <c r="B463" s="28">
        <v>707</v>
      </c>
      <c r="C463" s="28">
        <v>5663497</v>
      </c>
      <c r="D463" s="28"/>
      <c r="E463" s="45">
        <v>46153</v>
      </c>
      <c r="F463" s="48">
        <v>0.82291666666666663</v>
      </c>
      <c r="G463" s="44">
        <v>6.3</v>
      </c>
      <c r="H463" s="43" t="s">
        <v>1362</v>
      </c>
      <c r="I463" s="40" t="s">
        <v>1361</v>
      </c>
    </row>
    <row r="464" spans="1:9" x14ac:dyDescent="0.25">
      <c r="A464" s="40" t="s">
        <v>58</v>
      </c>
      <c r="B464" s="28">
        <v>707</v>
      </c>
      <c r="C464" s="28">
        <v>5662600</v>
      </c>
      <c r="D464" s="28" t="s">
        <v>37</v>
      </c>
      <c r="E464" s="41">
        <v>46153</v>
      </c>
      <c r="F464" s="47">
        <v>0.8575694444444445</v>
      </c>
      <c r="G464" s="44">
        <v>6.3</v>
      </c>
      <c r="H464" s="43" t="s">
        <v>1370</v>
      </c>
      <c r="I464" s="40" t="s">
        <v>1361</v>
      </c>
    </row>
    <row r="465" spans="1:9" x14ac:dyDescent="0.25">
      <c r="A465" s="40" t="s">
        <v>58</v>
      </c>
      <c r="B465" s="28">
        <v>707</v>
      </c>
      <c r="C465" s="28">
        <v>5662600</v>
      </c>
      <c r="D465" s="28" t="s">
        <v>37</v>
      </c>
      <c r="E465" s="41">
        <v>46153</v>
      </c>
      <c r="F465" s="47">
        <v>0.86236111111111113</v>
      </c>
      <c r="G465" s="44">
        <v>6.3</v>
      </c>
      <c r="H465" s="43" t="s">
        <v>1364</v>
      </c>
      <c r="I465" s="40" t="s">
        <v>1361</v>
      </c>
    </row>
    <row r="466" spans="1:9" x14ac:dyDescent="0.25">
      <c r="A466" s="40" t="s">
        <v>58</v>
      </c>
      <c r="B466" s="28">
        <v>707</v>
      </c>
      <c r="C466" s="28">
        <v>5665653</v>
      </c>
      <c r="D466" s="28" t="s">
        <v>37</v>
      </c>
      <c r="E466" s="41">
        <v>46154</v>
      </c>
      <c r="F466" s="47">
        <v>0.86548611111111107</v>
      </c>
      <c r="G466" s="44">
        <v>6.3</v>
      </c>
      <c r="H466" s="43" t="s">
        <v>1360</v>
      </c>
      <c r="I466" s="40" t="s">
        <v>1361</v>
      </c>
    </row>
    <row r="467" spans="1:9" x14ac:dyDescent="0.25">
      <c r="A467" s="40" t="s">
        <v>58</v>
      </c>
      <c r="B467" s="28">
        <v>707</v>
      </c>
      <c r="C467" s="28" t="s">
        <v>553</v>
      </c>
      <c r="D467" s="28"/>
      <c r="E467" s="41">
        <v>46156</v>
      </c>
      <c r="F467" s="47">
        <v>0.51503472222222224</v>
      </c>
      <c r="G467" s="44">
        <v>6.3</v>
      </c>
      <c r="H467" s="43" t="s">
        <v>1360</v>
      </c>
      <c r="I467" s="40" t="s">
        <v>1361</v>
      </c>
    </row>
    <row r="468" spans="1:9" x14ac:dyDescent="0.25">
      <c r="A468" s="40" t="s">
        <v>58</v>
      </c>
      <c r="B468" s="28">
        <v>707</v>
      </c>
      <c r="C468" s="28" t="s">
        <v>553</v>
      </c>
      <c r="D468" s="28"/>
      <c r="E468" s="41">
        <v>46156</v>
      </c>
      <c r="F468" s="47">
        <v>0.52511574074074074</v>
      </c>
      <c r="G468" s="44">
        <v>6.3</v>
      </c>
      <c r="H468" s="43" t="s">
        <v>1362</v>
      </c>
      <c r="I468" s="40" t="s">
        <v>1361</v>
      </c>
    </row>
    <row r="469" spans="1:9" x14ac:dyDescent="0.25">
      <c r="A469" s="40" t="s">
        <v>58</v>
      </c>
      <c r="B469" s="28">
        <v>707</v>
      </c>
      <c r="C469" s="28">
        <v>5668695</v>
      </c>
      <c r="D469" s="28"/>
      <c r="E469" s="41">
        <v>46156</v>
      </c>
      <c r="F469" s="47">
        <v>0.68766203703703699</v>
      </c>
      <c r="G469" s="44">
        <v>6.3</v>
      </c>
      <c r="H469" s="43" t="s">
        <v>1360</v>
      </c>
      <c r="I469" s="40" t="s">
        <v>1361</v>
      </c>
    </row>
    <row r="470" spans="1:9" x14ac:dyDescent="0.25">
      <c r="A470" s="40" t="s">
        <v>58</v>
      </c>
      <c r="B470" s="28">
        <v>707</v>
      </c>
      <c r="C470" s="28">
        <v>5668695</v>
      </c>
      <c r="D470" s="28"/>
      <c r="E470" s="45">
        <v>46156</v>
      </c>
      <c r="F470" s="48">
        <v>0.70320601851851849</v>
      </c>
      <c r="G470" s="44">
        <v>6.3</v>
      </c>
      <c r="H470" s="43" t="s">
        <v>1362</v>
      </c>
      <c r="I470" s="40" t="s">
        <v>1361</v>
      </c>
    </row>
    <row r="471" spans="1:9" x14ac:dyDescent="0.25">
      <c r="A471" s="40" t="s">
        <v>58</v>
      </c>
      <c r="B471" s="28">
        <v>707</v>
      </c>
      <c r="C471" s="28" t="s">
        <v>35</v>
      </c>
      <c r="D471" s="28" t="s">
        <v>38</v>
      </c>
      <c r="E471" s="45">
        <v>46157</v>
      </c>
      <c r="F471" s="48">
        <v>0.4591898148148148</v>
      </c>
      <c r="G471" s="44">
        <v>6.3</v>
      </c>
      <c r="H471" s="43" t="s">
        <v>1369</v>
      </c>
      <c r="I471" s="40" t="s">
        <v>1361</v>
      </c>
    </row>
    <row r="472" spans="1:9" x14ac:dyDescent="0.25">
      <c r="A472" s="40" t="s">
        <v>58</v>
      </c>
      <c r="B472" s="28">
        <v>707</v>
      </c>
      <c r="C472" s="28">
        <v>5670637</v>
      </c>
      <c r="D472" s="28"/>
      <c r="E472" s="41">
        <v>46157</v>
      </c>
      <c r="F472" s="47">
        <v>0.80326388888888889</v>
      </c>
      <c r="G472" s="44">
        <v>6.3</v>
      </c>
      <c r="H472" s="43" t="s">
        <v>1360</v>
      </c>
      <c r="I472" s="40" t="s">
        <v>1361</v>
      </c>
    </row>
    <row r="473" spans="1:9" x14ac:dyDescent="0.25">
      <c r="A473" s="40" t="s">
        <v>58</v>
      </c>
      <c r="B473" s="28">
        <v>707</v>
      </c>
      <c r="C473" s="28">
        <v>5670637</v>
      </c>
      <c r="D473" s="28"/>
      <c r="E473" s="41">
        <v>46157</v>
      </c>
      <c r="F473" s="47">
        <v>0.82599537037037041</v>
      </c>
      <c r="G473" s="42">
        <v>6.3</v>
      </c>
      <c r="H473" s="40" t="s">
        <v>1366</v>
      </c>
      <c r="I473" s="40" t="s">
        <v>1361</v>
      </c>
    </row>
    <row r="474" spans="1:9" x14ac:dyDescent="0.25">
      <c r="A474" s="40" t="s">
        <v>58</v>
      </c>
      <c r="B474" s="28">
        <v>707</v>
      </c>
      <c r="C474" s="28" t="s">
        <v>35</v>
      </c>
      <c r="D474" s="28" t="s">
        <v>38</v>
      </c>
      <c r="E474" s="41">
        <v>46157</v>
      </c>
      <c r="F474" s="47">
        <v>0.86846064814814816</v>
      </c>
      <c r="G474" s="42">
        <v>6.3</v>
      </c>
      <c r="H474" s="40" t="s">
        <v>1367</v>
      </c>
      <c r="I474" s="40" t="s">
        <v>1361</v>
      </c>
    </row>
    <row r="475" spans="1:9" x14ac:dyDescent="0.25">
      <c r="A475" s="40" t="s">
        <v>58</v>
      </c>
      <c r="B475" s="28">
        <v>707</v>
      </c>
      <c r="C475" s="28">
        <v>5673137</v>
      </c>
      <c r="D475" s="28"/>
      <c r="E475" s="41">
        <v>46159</v>
      </c>
      <c r="F475" s="47">
        <v>0.74482638888888886</v>
      </c>
      <c r="G475" s="44">
        <v>6.3</v>
      </c>
      <c r="H475" s="43" t="s">
        <v>1360</v>
      </c>
      <c r="I475" s="40" t="s">
        <v>1365</v>
      </c>
    </row>
    <row r="476" spans="1:9" x14ac:dyDescent="0.25">
      <c r="A476" s="40" t="s">
        <v>58</v>
      </c>
      <c r="B476" s="28">
        <v>707</v>
      </c>
      <c r="C476" s="28">
        <v>5673137</v>
      </c>
      <c r="D476" s="28"/>
      <c r="E476" s="41">
        <v>46159</v>
      </c>
      <c r="F476" s="47">
        <v>0.75253472222222217</v>
      </c>
      <c r="G476" s="44">
        <v>6.3</v>
      </c>
      <c r="H476" s="43" t="s">
        <v>1362</v>
      </c>
      <c r="I476" s="40" t="s">
        <v>1365</v>
      </c>
    </row>
    <row r="477" spans="1:9" x14ac:dyDescent="0.25">
      <c r="A477" s="40" t="s">
        <v>58</v>
      </c>
      <c r="B477" s="28">
        <v>707</v>
      </c>
      <c r="C477" s="28" t="s">
        <v>554</v>
      </c>
      <c r="D477" s="28"/>
      <c r="E477" s="45">
        <v>46159</v>
      </c>
      <c r="F477" s="48">
        <v>0.86525462962962962</v>
      </c>
      <c r="G477" s="44">
        <v>6.3</v>
      </c>
      <c r="H477" s="43" t="s">
        <v>1360</v>
      </c>
      <c r="I477" s="40" t="s">
        <v>1365</v>
      </c>
    </row>
    <row r="478" spans="1:9" x14ac:dyDescent="0.25">
      <c r="A478" s="40" t="s">
        <v>58</v>
      </c>
      <c r="B478" s="28">
        <v>707</v>
      </c>
      <c r="C478" s="28" t="s">
        <v>554</v>
      </c>
      <c r="D478" s="28"/>
      <c r="E478" s="41">
        <v>46159</v>
      </c>
      <c r="F478" s="47">
        <v>0.872650462962963</v>
      </c>
      <c r="G478" s="44">
        <v>6.3</v>
      </c>
      <c r="H478" s="43" t="s">
        <v>1362</v>
      </c>
      <c r="I478" s="40" t="s">
        <v>1365</v>
      </c>
    </row>
    <row r="479" spans="1:9" x14ac:dyDescent="0.25">
      <c r="A479" s="40" t="s">
        <v>250</v>
      </c>
      <c r="B479" s="28">
        <v>709</v>
      </c>
      <c r="C479" s="28" t="s">
        <v>35</v>
      </c>
      <c r="D479" s="28" t="s">
        <v>38</v>
      </c>
      <c r="E479" s="41">
        <v>46153</v>
      </c>
      <c r="F479" s="47">
        <v>0.19407407407407407</v>
      </c>
      <c r="G479" s="44">
        <v>6.3</v>
      </c>
      <c r="H479" s="43" t="s">
        <v>1360</v>
      </c>
      <c r="I479" s="40" t="s">
        <v>1361</v>
      </c>
    </row>
    <row r="480" spans="1:9" x14ac:dyDescent="0.25">
      <c r="A480" s="40" t="s">
        <v>250</v>
      </c>
      <c r="B480" s="28">
        <v>709</v>
      </c>
      <c r="C480" s="28" t="s">
        <v>35</v>
      </c>
      <c r="D480" s="28" t="s">
        <v>38</v>
      </c>
      <c r="E480" s="45">
        <v>46153</v>
      </c>
      <c r="F480" s="48">
        <v>0.20042824074074075</v>
      </c>
      <c r="G480" s="44">
        <v>6.3</v>
      </c>
      <c r="H480" s="43" t="s">
        <v>1368</v>
      </c>
      <c r="I480" s="40" t="s">
        <v>1361</v>
      </c>
    </row>
    <row r="481" spans="1:9" x14ac:dyDescent="0.25">
      <c r="A481" s="40" t="s">
        <v>250</v>
      </c>
      <c r="B481" s="28">
        <v>709</v>
      </c>
      <c r="C481" s="28">
        <v>5661774</v>
      </c>
      <c r="D481" s="28"/>
      <c r="E481" s="41">
        <v>46153</v>
      </c>
      <c r="F481" s="47">
        <v>0.23446759259259259</v>
      </c>
      <c r="G481" s="44">
        <v>6.3</v>
      </c>
      <c r="H481" s="43" t="s">
        <v>1364</v>
      </c>
      <c r="I481" s="40" t="s">
        <v>1361</v>
      </c>
    </row>
    <row r="482" spans="1:9" x14ac:dyDescent="0.25">
      <c r="A482" s="40" t="s">
        <v>250</v>
      </c>
      <c r="B482" s="28">
        <v>709</v>
      </c>
      <c r="C482" s="28">
        <v>5661083</v>
      </c>
      <c r="D482" s="28"/>
      <c r="E482" s="45">
        <v>46153</v>
      </c>
      <c r="F482" s="48">
        <v>0.57106481481481486</v>
      </c>
      <c r="G482" s="44">
        <v>6.3</v>
      </c>
      <c r="H482" s="43" t="s">
        <v>1360</v>
      </c>
      <c r="I482" s="40" t="s">
        <v>1361</v>
      </c>
    </row>
    <row r="483" spans="1:9" x14ac:dyDescent="0.25">
      <c r="A483" s="40" t="s">
        <v>250</v>
      </c>
      <c r="B483" s="28">
        <v>709</v>
      </c>
      <c r="C483" s="28">
        <v>5661083</v>
      </c>
      <c r="D483" s="28"/>
      <c r="E483" s="41">
        <v>46153</v>
      </c>
      <c r="F483" s="47">
        <v>0.57986111111111116</v>
      </c>
      <c r="G483" s="44">
        <v>6.3</v>
      </c>
      <c r="H483" s="43" t="s">
        <v>1362</v>
      </c>
      <c r="I483" s="40" t="s">
        <v>1361</v>
      </c>
    </row>
    <row r="484" spans="1:9" x14ac:dyDescent="0.25">
      <c r="A484" s="40" t="s">
        <v>250</v>
      </c>
      <c r="B484" s="28">
        <v>709</v>
      </c>
      <c r="C484" s="28">
        <v>5663066</v>
      </c>
      <c r="D484" s="28" t="s">
        <v>37</v>
      </c>
      <c r="E484" s="41">
        <v>46153</v>
      </c>
      <c r="F484" s="47">
        <v>0.67584490740740744</v>
      </c>
      <c r="G484" s="44">
        <v>6.3</v>
      </c>
      <c r="H484" s="43" t="s">
        <v>1363</v>
      </c>
      <c r="I484" s="40" t="s">
        <v>1361</v>
      </c>
    </row>
    <row r="485" spans="1:9" x14ac:dyDescent="0.25">
      <c r="A485" s="40" t="s">
        <v>250</v>
      </c>
      <c r="B485" s="28">
        <v>709</v>
      </c>
      <c r="C485" s="28">
        <v>5663066</v>
      </c>
      <c r="D485" s="28" t="s">
        <v>37</v>
      </c>
      <c r="E485" s="45">
        <v>46153</v>
      </c>
      <c r="F485" s="48">
        <v>0.68201388888888892</v>
      </c>
      <c r="G485" s="44">
        <v>6.3</v>
      </c>
      <c r="H485" s="43" t="s">
        <v>1364</v>
      </c>
      <c r="I485" s="40" t="s">
        <v>1361</v>
      </c>
    </row>
    <row r="486" spans="1:9" x14ac:dyDescent="0.25">
      <c r="A486" s="40" t="s">
        <v>250</v>
      </c>
      <c r="B486" s="28">
        <v>709</v>
      </c>
      <c r="C486" s="28">
        <v>5669740</v>
      </c>
      <c r="D486" s="28"/>
      <c r="E486" s="41">
        <v>46158</v>
      </c>
      <c r="F486" s="47">
        <v>0.36649305555555556</v>
      </c>
      <c r="G486" s="44">
        <v>6.3</v>
      </c>
      <c r="H486" s="43" t="s">
        <v>1360</v>
      </c>
      <c r="I486" s="40" t="s">
        <v>1365</v>
      </c>
    </row>
    <row r="487" spans="1:9" x14ac:dyDescent="0.25">
      <c r="A487" s="40" t="s">
        <v>250</v>
      </c>
      <c r="B487" s="28">
        <v>709</v>
      </c>
      <c r="C487" s="28">
        <v>5670481</v>
      </c>
      <c r="D487" s="28"/>
      <c r="E487" s="41">
        <v>46158</v>
      </c>
      <c r="F487" s="47">
        <v>0.4992361111111111</v>
      </c>
      <c r="G487" s="44">
        <v>6.3</v>
      </c>
      <c r="H487" s="43" t="s">
        <v>1364</v>
      </c>
      <c r="I487" s="40" t="s">
        <v>1365</v>
      </c>
    </row>
    <row r="488" spans="1:9" x14ac:dyDescent="0.25">
      <c r="A488" s="40" t="s">
        <v>399</v>
      </c>
      <c r="B488" s="28">
        <v>715</v>
      </c>
      <c r="C488" s="28">
        <v>5664323</v>
      </c>
      <c r="D488" s="28"/>
      <c r="E488" s="45">
        <v>46154</v>
      </c>
      <c r="F488" s="48">
        <v>0.41469907407407408</v>
      </c>
      <c r="G488" s="44">
        <v>6.3</v>
      </c>
      <c r="H488" s="43" t="s">
        <v>1360</v>
      </c>
      <c r="I488" s="40" t="s">
        <v>1361</v>
      </c>
    </row>
    <row r="489" spans="1:9" x14ac:dyDescent="0.25">
      <c r="A489" s="40" t="s">
        <v>399</v>
      </c>
      <c r="B489" s="28">
        <v>715</v>
      </c>
      <c r="C489" s="28">
        <v>5664323</v>
      </c>
      <c r="D489" s="28"/>
      <c r="E489" s="41">
        <v>46154</v>
      </c>
      <c r="F489" s="47">
        <v>0.42809027777777775</v>
      </c>
      <c r="G489" s="44">
        <v>6.3</v>
      </c>
      <c r="H489" s="43" t="s">
        <v>1362</v>
      </c>
      <c r="I489" s="40" t="s">
        <v>1361</v>
      </c>
    </row>
    <row r="490" spans="1:9" x14ac:dyDescent="0.25">
      <c r="A490" s="40" t="s">
        <v>399</v>
      </c>
      <c r="B490" s="28">
        <v>715</v>
      </c>
      <c r="C490" s="28">
        <v>5664579</v>
      </c>
      <c r="D490" s="28"/>
      <c r="E490" s="41">
        <v>46154</v>
      </c>
      <c r="F490" s="47">
        <v>0.47564814814814815</v>
      </c>
      <c r="G490" s="44">
        <v>6.3</v>
      </c>
      <c r="H490" s="43" t="s">
        <v>1363</v>
      </c>
      <c r="I490" s="40" t="s">
        <v>1361</v>
      </c>
    </row>
    <row r="491" spans="1:9" x14ac:dyDescent="0.25">
      <c r="A491" s="40" t="s">
        <v>399</v>
      </c>
      <c r="B491" s="28">
        <v>715</v>
      </c>
      <c r="C491" s="28">
        <v>5664579</v>
      </c>
      <c r="D491" s="28"/>
      <c r="E491" s="41">
        <v>46154</v>
      </c>
      <c r="F491" s="47">
        <v>0.48163194444444446</v>
      </c>
      <c r="G491" s="44">
        <v>6.3</v>
      </c>
      <c r="H491" s="43" t="s">
        <v>1364</v>
      </c>
      <c r="I491" s="40" t="s">
        <v>1361</v>
      </c>
    </row>
    <row r="492" spans="1:9" x14ac:dyDescent="0.25">
      <c r="A492" s="40" t="s">
        <v>399</v>
      </c>
      <c r="B492" s="28">
        <v>715</v>
      </c>
      <c r="C492" s="28" t="s">
        <v>35</v>
      </c>
      <c r="D492" s="28" t="s">
        <v>38</v>
      </c>
      <c r="E492" s="41">
        <v>46156</v>
      </c>
      <c r="F492" s="47">
        <v>0.69516203703703705</v>
      </c>
      <c r="G492" s="44">
        <v>6.3</v>
      </c>
      <c r="H492" s="43" t="s">
        <v>1360</v>
      </c>
      <c r="I492" s="40" t="s">
        <v>1361</v>
      </c>
    </row>
    <row r="493" spans="1:9" x14ac:dyDescent="0.25">
      <c r="A493" s="40" t="s">
        <v>399</v>
      </c>
      <c r="B493" s="28">
        <v>715</v>
      </c>
      <c r="C493" s="28" t="s">
        <v>35</v>
      </c>
      <c r="D493" s="28" t="s">
        <v>38</v>
      </c>
      <c r="E493" s="41">
        <v>46156</v>
      </c>
      <c r="F493" s="47">
        <v>0.71057870370370368</v>
      </c>
      <c r="G493" s="44">
        <v>6.3</v>
      </c>
      <c r="H493" s="43" t="s">
        <v>1362</v>
      </c>
      <c r="I493" s="40" t="s">
        <v>1361</v>
      </c>
    </row>
    <row r="494" spans="1:9" x14ac:dyDescent="0.25">
      <c r="A494" s="40" t="s">
        <v>399</v>
      </c>
      <c r="B494" s="28">
        <v>715</v>
      </c>
      <c r="C494" s="28">
        <v>5671252</v>
      </c>
      <c r="D494" s="28"/>
      <c r="E494" s="41">
        <v>46158</v>
      </c>
      <c r="F494" s="47">
        <v>0.3207638888888889</v>
      </c>
      <c r="G494" s="44">
        <v>6.3</v>
      </c>
      <c r="H494" s="43" t="s">
        <v>1360</v>
      </c>
      <c r="I494" s="40" t="s">
        <v>1365</v>
      </c>
    </row>
    <row r="495" spans="1:9" x14ac:dyDescent="0.25">
      <c r="A495" s="40" t="s">
        <v>399</v>
      </c>
      <c r="B495" s="28">
        <v>715</v>
      </c>
      <c r="C495" s="28">
        <v>5671252</v>
      </c>
      <c r="D495" s="28"/>
      <c r="E495" s="41">
        <v>46158</v>
      </c>
      <c r="F495" s="47">
        <v>0.3336689814814815</v>
      </c>
      <c r="G495" s="44">
        <v>6.3</v>
      </c>
      <c r="H495" s="43" t="s">
        <v>1362</v>
      </c>
      <c r="I495" s="40" t="s">
        <v>1365</v>
      </c>
    </row>
    <row r="496" spans="1:9" x14ac:dyDescent="0.25">
      <c r="A496" s="40" t="s">
        <v>399</v>
      </c>
      <c r="B496" s="28">
        <v>715</v>
      </c>
      <c r="C496" s="28" t="s">
        <v>35</v>
      </c>
      <c r="D496" s="28" t="s">
        <v>38</v>
      </c>
      <c r="E496" s="41">
        <v>46158</v>
      </c>
      <c r="F496" s="47">
        <v>0.46828703703703706</v>
      </c>
      <c r="G496" s="44">
        <v>6.3</v>
      </c>
      <c r="H496" s="43" t="s">
        <v>1369</v>
      </c>
      <c r="I496" s="40" t="s">
        <v>1365</v>
      </c>
    </row>
    <row r="497" spans="1:9" x14ac:dyDescent="0.25">
      <c r="A497" s="40" t="s">
        <v>399</v>
      </c>
      <c r="B497" s="28">
        <v>715</v>
      </c>
      <c r="C497" s="28" t="s">
        <v>35</v>
      </c>
      <c r="D497" s="28" t="s">
        <v>38</v>
      </c>
      <c r="E497" s="41">
        <v>46158</v>
      </c>
      <c r="F497" s="47">
        <v>0.47438657407407409</v>
      </c>
      <c r="G497" s="42">
        <v>6.3</v>
      </c>
      <c r="H497" s="40" t="s">
        <v>1364</v>
      </c>
      <c r="I497" s="40" t="s">
        <v>1365</v>
      </c>
    </row>
    <row r="498" spans="1:9" x14ac:dyDescent="0.25">
      <c r="A498" s="40" t="s">
        <v>399</v>
      </c>
      <c r="B498" s="28">
        <v>715</v>
      </c>
      <c r="C498" s="28" t="s">
        <v>555</v>
      </c>
      <c r="D498" s="28"/>
      <c r="E498" s="41">
        <v>46159</v>
      </c>
      <c r="F498" s="47">
        <v>0.57783564814814814</v>
      </c>
      <c r="G498" s="42">
        <v>6.3</v>
      </c>
      <c r="H498" s="40" t="s">
        <v>1360</v>
      </c>
      <c r="I498" s="40" t="s">
        <v>1365</v>
      </c>
    </row>
    <row r="499" spans="1:9" x14ac:dyDescent="0.25">
      <c r="A499" s="40" t="s">
        <v>324</v>
      </c>
      <c r="B499" s="28">
        <v>717</v>
      </c>
      <c r="C499" s="28" t="s">
        <v>556</v>
      </c>
      <c r="D499" s="28"/>
      <c r="E499" s="41">
        <v>46155</v>
      </c>
      <c r="F499" s="47">
        <v>0.97335648148148146</v>
      </c>
      <c r="G499" s="42">
        <v>6.3</v>
      </c>
      <c r="H499" s="40" t="s">
        <v>1360</v>
      </c>
      <c r="I499" s="40" t="s">
        <v>1361</v>
      </c>
    </row>
    <row r="500" spans="1:9" x14ac:dyDescent="0.25">
      <c r="A500" s="40" t="s">
        <v>324</v>
      </c>
      <c r="B500" s="28">
        <v>717</v>
      </c>
      <c r="C500" s="28" t="s">
        <v>556</v>
      </c>
      <c r="D500" s="28"/>
      <c r="E500" s="41">
        <v>46155</v>
      </c>
      <c r="F500" s="47">
        <v>0.97981481481481481</v>
      </c>
      <c r="G500" s="42">
        <v>6.3</v>
      </c>
      <c r="H500" s="40" t="s">
        <v>1368</v>
      </c>
      <c r="I500" s="40" t="s">
        <v>1361</v>
      </c>
    </row>
    <row r="501" spans="1:9" x14ac:dyDescent="0.25">
      <c r="A501" s="40" t="s">
        <v>324</v>
      </c>
      <c r="B501" s="28">
        <v>717</v>
      </c>
      <c r="C501" s="28" t="s">
        <v>557</v>
      </c>
      <c r="D501" s="28"/>
      <c r="E501" s="41">
        <v>46156</v>
      </c>
      <c r="F501" s="47">
        <v>0.96311342592592597</v>
      </c>
      <c r="G501" s="42">
        <v>6.3</v>
      </c>
      <c r="H501" s="40" t="s">
        <v>1360</v>
      </c>
      <c r="I501" s="40" t="s">
        <v>1361</v>
      </c>
    </row>
    <row r="502" spans="1:9" x14ac:dyDescent="0.25">
      <c r="A502" s="40" t="s">
        <v>324</v>
      </c>
      <c r="B502" s="28">
        <v>717</v>
      </c>
      <c r="C502" s="28" t="s">
        <v>557</v>
      </c>
      <c r="D502" s="28"/>
      <c r="E502" s="41">
        <v>46156</v>
      </c>
      <c r="F502" s="47">
        <v>0.97013888888888888</v>
      </c>
      <c r="G502" s="44">
        <v>6.3</v>
      </c>
      <c r="H502" s="43" t="s">
        <v>1362</v>
      </c>
      <c r="I502" s="40" t="s">
        <v>1361</v>
      </c>
    </row>
    <row r="503" spans="1:9" x14ac:dyDescent="0.25">
      <c r="A503" s="40" t="s">
        <v>324</v>
      </c>
      <c r="B503" s="28">
        <v>717</v>
      </c>
      <c r="C503" s="28" t="s">
        <v>558</v>
      </c>
      <c r="D503" s="28"/>
      <c r="E503" s="41">
        <v>46157</v>
      </c>
      <c r="F503" s="47">
        <v>0.90231481481481479</v>
      </c>
      <c r="G503" s="44">
        <v>6.3</v>
      </c>
      <c r="H503" s="43" t="s">
        <v>1360</v>
      </c>
      <c r="I503" s="40" t="s">
        <v>1361</v>
      </c>
    </row>
    <row r="504" spans="1:9" x14ac:dyDescent="0.25">
      <c r="A504" s="40" t="s">
        <v>324</v>
      </c>
      <c r="B504" s="28">
        <v>717</v>
      </c>
      <c r="C504" s="28" t="s">
        <v>558</v>
      </c>
      <c r="D504" s="28"/>
      <c r="E504" s="41">
        <v>46157</v>
      </c>
      <c r="F504" s="47">
        <v>0.90995370370370365</v>
      </c>
      <c r="G504" s="44">
        <v>6.3</v>
      </c>
      <c r="H504" s="43" t="s">
        <v>1362</v>
      </c>
      <c r="I504" s="40" t="s">
        <v>1361</v>
      </c>
    </row>
    <row r="505" spans="1:9" x14ac:dyDescent="0.25">
      <c r="A505" s="40" t="s">
        <v>324</v>
      </c>
      <c r="B505" s="28">
        <v>717</v>
      </c>
      <c r="C505" s="28">
        <v>5671667</v>
      </c>
      <c r="D505" s="28"/>
      <c r="E505" s="41">
        <v>46158</v>
      </c>
      <c r="F505" s="47">
        <v>0.90844907407407405</v>
      </c>
      <c r="G505" s="44">
        <v>6.3</v>
      </c>
      <c r="H505" s="43" t="s">
        <v>1360</v>
      </c>
      <c r="I505" s="40" t="s">
        <v>1365</v>
      </c>
    </row>
    <row r="506" spans="1:9" x14ac:dyDescent="0.25">
      <c r="A506" s="40" t="s">
        <v>324</v>
      </c>
      <c r="B506" s="28">
        <v>717</v>
      </c>
      <c r="C506" s="28">
        <v>5671667</v>
      </c>
      <c r="D506" s="28"/>
      <c r="E506" s="41">
        <v>46158</v>
      </c>
      <c r="F506" s="47">
        <v>0.9163310185185185</v>
      </c>
      <c r="G506" s="44">
        <v>6.3</v>
      </c>
      <c r="H506" s="43" t="s">
        <v>1362</v>
      </c>
      <c r="I506" s="40" t="s">
        <v>1365</v>
      </c>
    </row>
    <row r="507" spans="1:9" x14ac:dyDescent="0.25">
      <c r="A507" s="40" t="s">
        <v>324</v>
      </c>
      <c r="B507" s="28">
        <v>717</v>
      </c>
      <c r="C507" s="28" t="s">
        <v>559</v>
      </c>
      <c r="D507" s="28"/>
      <c r="E507" s="41">
        <v>46159</v>
      </c>
      <c r="F507" s="47">
        <v>0.92638888888888893</v>
      </c>
      <c r="G507" s="44">
        <v>6.3</v>
      </c>
      <c r="H507" s="43" t="s">
        <v>1360</v>
      </c>
      <c r="I507" s="40" t="s">
        <v>1365</v>
      </c>
    </row>
    <row r="508" spans="1:9" x14ac:dyDescent="0.25">
      <c r="A508" s="40" t="s">
        <v>324</v>
      </c>
      <c r="B508" s="28">
        <v>717</v>
      </c>
      <c r="C508" s="28" t="s">
        <v>559</v>
      </c>
      <c r="D508" s="28"/>
      <c r="E508" s="41">
        <v>46159</v>
      </c>
      <c r="F508" s="47">
        <v>0.93366898148148147</v>
      </c>
      <c r="G508" s="44">
        <v>6.3</v>
      </c>
      <c r="H508" s="43" t="s">
        <v>1362</v>
      </c>
      <c r="I508" s="40" t="s">
        <v>1365</v>
      </c>
    </row>
    <row r="509" spans="1:9" x14ac:dyDescent="0.25">
      <c r="A509" s="40" t="s">
        <v>118</v>
      </c>
      <c r="B509" s="28">
        <v>722</v>
      </c>
      <c r="C509" s="28">
        <v>5662016</v>
      </c>
      <c r="D509" s="28"/>
      <c r="E509" s="41">
        <v>46153</v>
      </c>
      <c r="F509" s="47">
        <v>0.22761574074074073</v>
      </c>
      <c r="G509" s="44">
        <v>6.3</v>
      </c>
      <c r="H509" s="43" t="s">
        <v>1364</v>
      </c>
      <c r="I509" s="40" t="s">
        <v>1361</v>
      </c>
    </row>
    <row r="510" spans="1:9" x14ac:dyDescent="0.25">
      <c r="A510" s="40" t="s">
        <v>118</v>
      </c>
      <c r="B510" s="28">
        <v>722</v>
      </c>
      <c r="C510" s="28">
        <v>5664966</v>
      </c>
      <c r="D510" s="28"/>
      <c r="E510" s="41">
        <v>46154</v>
      </c>
      <c r="F510" s="47">
        <v>0.6595833333333333</v>
      </c>
      <c r="G510" s="44">
        <v>6.3</v>
      </c>
      <c r="H510" s="43" t="s">
        <v>1360</v>
      </c>
      <c r="I510" s="40" t="s">
        <v>1361</v>
      </c>
    </row>
    <row r="511" spans="1:9" x14ac:dyDescent="0.25">
      <c r="A511" s="40" t="s">
        <v>118</v>
      </c>
      <c r="B511" s="28">
        <v>722</v>
      </c>
      <c r="C511" s="28" t="s">
        <v>35</v>
      </c>
      <c r="D511" s="28" t="s">
        <v>38</v>
      </c>
      <c r="E511" s="41">
        <v>46154</v>
      </c>
      <c r="F511" s="47">
        <v>0.8495949074074074</v>
      </c>
      <c r="G511" s="44">
        <v>6.3</v>
      </c>
      <c r="H511" s="43" t="s">
        <v>1362</v>
      </c>
      <c r="I511" s="40" t="s">
        <v>1361</v>
      </c>
    </row>
    <row r="512" spans="1:9" x14ac:dyDescent="0.25">
      <c r="A512" s="40" t="s">
        <v>118</v>
      </c>
      <c r="B512" s="28">
        <v>722</v>
      </c>
      <c r="C512" s="28" t="s">
        <v>35</v>
      </c>
      <c r="D512" s="28" t="s">
        <v>38</v>
      </c>
      <c r="E512" s="41">
        <v>46155</v>
      </c>
      <c r="F512" s="47">
        <v>0.9730092592592593</v>
      </c>
      <c r="G512" s="44">
        <v>6.3</v>
      </c>
      <c r="H512" s="43" t="s">
        <v>1363</v>
      </c>
      <c r="I512" s="40" t="s">
        <v>1361</v>
      </c>
    </row>
    <row r="513" spans="1:9" x14ac:dyDescent="0.25">
      <c r="A513" s="40" t="s">
        <v>118</v>
      </c>
      <c r="B513" s="28">
        <v>722</v>
      </c>
      <c r="C513" s="28">
        <v>5669453</v>
      </c>
      <c r="D513" s="28"/>
      <c r="E513" s="41">
        <v>46157</v>
      </c>
      <c r="F513" s="47">
        <v>0.13829861111111111</v>
      </c>
      <c r="G513" s="42">
        <v>6.3</v>
      </c>
      <c r="H513" s="40" t="s">
        <v>1363</v>
      </c>
      <c r="I513" s="40" t="s">
        <v>1361</v>
      </c>
    </row>
    <row r="514" spans="1:9" x14ac:dyDescent="0.25">
      <c r="A514" s="40" t="s">
        <v>118</v>
      </c>
      <c r="B514" s="28">
        <v>722</v>
      </c>
      <c r="C514" s="28">
        <v>5669453</v>
      </c>
      <c r="D514" s="28"/>
      <c r="E514" s="41">
        <v>46157</v>
      </c>
      <c r="F514" s="47">
        <v>0.14347222222222222</v>
      </c>
      <c r="G514" s="42">
        <v>6.3</v>
      </c>
      <c r="H514" s="40" t="s">
        <v>1364</v>
      </c>
      <c r="I514" s="40" t="s">
        <v>1361</v>
      </c>
    </row>
    <row r="515" spans="1:9" x14ac:dyDescent="0.25">
      <c r="A515" s="40" t="s">
        <v>118</v>
      </c>
      <c r="B515" s="28">
        <v>722</v>
      </c>
      <c r="C515" s="28">
        <v>5669527</v>
      </c>
      <c r="D515" s="28"/>
      <c r="E515" s="41">
        <v>46157</v>
      </c>
      <c r="F515" s="47">
        <v>0.22671296296296295</v>
      </c>
      <c r="G515" s="44">
        <v>6.3</v>
      </c>
      <c r="H515" s="43" t="s">
        <v>1369</v>
      </c>
      <c r="I515" s="40" t="s">
        <v>1361</v>
      </c>
    </row>
    <row r="516" spans="1:9" x14ac:dyDescent="0.25">
      <c r="A516" s="40" t="s">
        <v>118</v>
      </c>
      <c r="B516" s="28">
        <v>722</v>
      </c>
      <c r="C516" s="28">
        <v>5669527</v>
      </c>
      <c r="D516" s="28"/>
      <c r="E516" s="41">
        <v>46157</v>
      </c>
      <c r="F516" s="47">
        <v>0.23189814814814816</v>
      </c>
      <c r="G516" s="44">
        <v>6.3</v>
      </c>
      <c r="H516" s="43" t="s">
        <v>1364</v>
      </c>
      <c r="I516" s="40" t="s">
        <v>1361</v>
      </c>
    </row>
    <row r="517" spans="1:9" x14ac:dyDescent="0.25">
      <c r="A517" s="40" t="s">
        <v>177</v>
      </c>
      <c r="B517" s="28">
        <v>735</v>
      </c>
      <c r="C517" s="28">
        <v>5660587</v>
      </c>
      <c r="D517" s="28"/>
      <c r="E517" s="41">
        <v>46153</v>
      </c>
      <c r="F517" s="47">
        <v>0.21305555555555555</v>
      </c>
      <c r="G517" s="42">
        <v>6.3</v>
      </c>
      <c r="H517" s="40" t="s">
        <v>1363</v>
      </c>
      <c r="I517" s="40" t="s">
        <v>1361</v>
      </c>
    </row>
    <row r="518" spans="1:9" x14ac:dyDescent="0.25">
      <c r="A518" s="40" t="s">
        <v>177</v>
      </c>
      <c r="B518" s="28">
        <v>735</v>
      </c>
      <c r="C518" s="28">
        <v>5660587</v>
      </c>
      <c r="D518" s="28"/>
      <c r="E518" s="41">
        <v>46153</v>
      </c>
      <c r="F518" s="47">
        <v>0.21833333333333332</v>
      </c>
      <c r="G518" s="44">
        <v>6.3</v>
      </c>
      <c r="H518" s="43" t="s">
        <v>1364</v>
      </c>
      <c r="I518" s="40" t="s">
        <v>1361</v>
      </c>
    </row>
    <row r="519" spans="1:9" x14ac:dyDescent="0.25">
      <c r="A519" s="40" t="s">
        <v>177</v>
      </c>
      <c r="B519" s="28">
        <v>735</v>
      </c>
      <c r="C519" s="28">
        <v>5666762</v>
      </c>
      <c r="D519" s="28"/>
      <c r="E519" s="41">
        <v>46155</v>
      </c>
      <c r="F519" s="47">
        <v>0.68379629629629635</v>
      </c>
      <c r="G519" s="44">
        <v>6.3</v>
      </c>
      <c r="H519" s="43" t="s">
        <v>1363</v>
      </c>
      <c r="I519" s="40" t="s">
        <v>1361</v>
      </c>
    </row>
    <row r="520" spans="1:9" x14ac:dyDescent="0.25">
      <c r="A520" s="40" t="s">
        <v>177</v>
      </c>
      <c r="B520" s="28">
        <v>735</v>
      </c>
      <c r="C520" s="28">
        <v>5666762</v>
      </c>
      <c r="D520" s="28"/>
      <c r="E520" s="45">
        <v>46155</v>
      </c>
      <c r="F520" s="48">
        <v>0.68991898148148145</v>
      </c>
      <c r="G520" s="42">
        <v>6.3</v>
      </c>
      <c r="H520" s="40" t="s">
        <v>1364</v>
      </c>
      <c r="I520" s="40" t="s">
        <v>1361</v>
      </c>
    </row>
    <row r="521" spans="1:9" x14ac:dyDescent="0.25">
      <c r="A521" s="40" t="s">
        <v>177</v>
      </c>
      <c r="B521" s="28">
        <v>735</v>
      </c>
      <c r="C521" s="28">
        <v>5667951</v>
      </c>
      <c r="D521" s="28"/>
      <c r="E521" s="41">
        <v>46157</v>
      </c>
      <c r="F521" s="47">
        <v>0.2013888888888889</v>
      </c>
      <c r="G521" s="42">
        <v>6.3</v>
      </c>
      <c r="H521" s="40" t="s">
        <v>1370</v>
      </c>
      <c r="I521" s="40" t="s">
        <v>1361</v>
      </c>
    </row>
    <row r="522" spans="1:9" x14ac:dyDescent="0.25">
      <c r="A522" s="40" t="s">
        <v>177</v>
      </c>
      <c r="B522" s="28">
        <v>735</v>
      </c>
      <c r="C522" s="28">
        <v>5667951</v>
      </c>
      <c r="D522" s="28"/>
      <c r="E522" s="45">
        <v>46157</v>
      </c>
      <c r="F522" s="48">
        <v>0.20620370370370369</v>
      </c>
      <c r="G522" s="42">
        <v>6.3</v>
      </c>
      <c r="H522" s="40" t="s">
        <v>1364</v>
      </c>
      <c r="I522" s="40" t="s">
        <v>1361</v>
      </c>
    </row>
    <row r="523" spans="1:9" x14ac:dyDescent="0.25">
      <c r="A523" s="40" t="s">
        <v>177</v>
      </c>
      <c r="B523" s="28">
        <v>735</v>
      </c>
      <c r="C523" s="28" t="s">
        <v>560</v>
      </c>
      <c r="D523" s="28"/>
      <c r="E523" s="41">
        <v>46158</v>
      </c>
      <c r="F523" s="47">
        <v>0.55943287037037037</v>
      </c>
      <c r="G523" s="42">
        <v>6.3</v>
      </c>
      <c r="H523" s="40" t="s">
        <v>1360</v>
      </c>
      <c r="I523" s="40" t="s">
        <v>1365</v>
      </c>
    </row>
    <row r="524" spans="1:9" x14ac:dyDescent="0.25">
      <c r="A524" s="40" t="s">
        <v>177</v>
      </c>
      <c r="B524" s="28">
        <v>735</v>
      </c>
      <c r="C524" s="28" t="s">
        <v>560</v>
      </c>
      <c r="D524" s="28"/>
      <c r="E524" s="41">
        <v>46158</v>
      </c>
      <c r="F524" s="47">
        <v>0.5730439814814815</v>
      </c>
      <c r="G524" s="42">
        <v>6.3</v>
      </c>
      <c r="H524" s="40" t="s">
        <v>1362</v>
      </c>
      <c r="I524" s="40" t="s">
        <v>1365</v>
      </c>
    </row>
    <row r="525" spans="1:9" x14ac:dyDescent="0.25">
      <c r="A525" s="40" t="s">
        <v>177</v>
      </c>
      <c r="B525" s="28">
        <v>735</v>
      </c>
      <c r="C525" s="28">
        <v>5672391</v>
      </c>
      <c r="D525" s="28"/>
      <c r="E525" s="41">
        <v>46159</v>
      </c>
      <c r="F525" s="47">
        <v>0.42822916666666666</v>
      </c>
      <c r="G525" s="42">
        <v>6.3</v>
      </c>
      <c r="H525" s="40" t="s">
        <v>1360</v>
      </c>
      <c r="I525" s="40" t="s">
        <v>1365</v>
      </c>
    </row>
    <row r="526" spans="1:9" x14ac:dyDescent="0.25">
      <c r="A526" s="40" t="s">
        <v>177</v>
      </c>
      <c r="B526" s="28">
        <v>735</v>
      </c>
      <c r="C526" s="28">
        <v>5672391</v>
      </c>
      <c r="D526" s="28"/>
      <c r="E526" s="41">
        <v>46159</v>
      </c>
      <c r="F526" s="47">
        <v>0.43560185185185185</v>
      </c>
      <c r="G526" s="44">
        <v>6.3</v>
      </c>
      <c r="H526" s="43" t="s">
        <v>1362</v>
      </c>
      <c r="I526" s="40" t="s">
        <v>1365</v>
      </c>
    </row>
    <row r="527" spans="1:9" x14ac:dyDescent="0.25">
      <c r="A527" s="40" t="s">
        <v>177</v>
      </c>
      <c r="B527" s="28">
        <v>735</v>
      </c>
      <c r="C527" s="28" t="s">
        <v>35</v>
      </c>
      <c r="D527" s="28" t="s">
        <v>38</v>
      </c>
      <c r="E527" s="41">
        <v>46159</v>
      </c>
      <c r="F527" s="47">
        <v>0.45203703703703701</v>
      </c>
      <c r="G527" s="44">
        <v>6.3</v>
      </c>
      <c r="H527" s="43" t="s">
        <v>1363</v>
      </c>
      <c r="I527" s="40" t="s">
        <v>1365</v>
      </c>
    </row>
    <row r="528" spans="1:9" x14ac:dyDescent="0.25">
      <c r="A528" s="40" t="s">
        <v>59</v>
      </c>
      <c r="B528" s="28">
        <v>754</v>
      </c>
      <c r="C528" s="28">
        <v>5670029</v>
      </c>
      <c r="D528" s="28"/>
      <c r="E528" s="41">
        <v>46157</v>
      </c>
      <c r="F528" s="47">
        <v>0.5761574074074074</v>
      </c>
      <c r="G528" s="44">
        <v>6.3</v>
      </c>
      <c r="H528" s="43" t="s">
        <v>1360</v>
      </c>
      <c r="I528" s="40" t="s">
        <v>1361</v>
      </c>
    </row>
    <row r="529" spans="1:9" x14ac:dyDescent="0.25">
      <c r="A529" s="40" t="s">
        <v>59</v>
      </c>
      <c r="B529" s="28">
        <v>754</v>
      </c>
      <c r="C529" s="28">
        <v>5670029</v>
      </c>
      <c r="D529" s="28"/>
      <c r="E529" s="41">
        <v>46157</v>
      </c>
      <c r="F529" s="47">
        <v>0.58944444444444444</v>
      </c>
      <c r="G529" s="44">
        <v>6.3</v>
      </c>
      <c r="H529" s="43" t="s">
        <v>1362</v>
      </c>
      <c r="I529" s="40" t="s">
        <v>1361</v>
      </c>
    </row>
    <row r="530" spans="1:9" x14ac:dyDescent="0.25">
      <c r="A530" s="40" t="s">
        <v>59</v>
      </c>
      <c r="B530" s="28">
        <v>754</v>
      </c>
      <c r="C530" s="28" t="s">
        <v>561</v>
      </c>
      <c r="D530" s="28"/>
      <c r="E530" s="45">
        <v>46158</v>
      </c>
      <c r="F530" s="48">
        <v>9.481481481481481E-2</v>
      </c>
      <c r="G530" s="44">
        <v>6.3</v>
      </c>
      <c r="H530" s="43" t="s">
        <v>1360</v>
      </c>
      <c r="I530" s="40" t="s">
        <v>1365</v>
      </c>
    </row>
    <row r="531" spans="1:9" x14ac:dyDescent="0.25">
      <c r="A531" s="40" t="s">
        <v>59</v>
      </c>
      <c r="B531" s="28">
        <v>754</v>
      </c>
      <c r="C531" s="28" t="s">
        <v>561</v>
      </c>
      <c r="D531" s="28"/>
      <c r="E531" s="41">
        <v>46158</v>
      </c>
      <c r="F531" s="47">
        <v>0.10256944444444445</v>
      </c>
      <c r="G531" s="44">
        <v>6.3</v>
      </c>
      <c r="H531" s="43" t="s">
        <v>1362</v>
      </c>
      <c r="I531" s="40" t="s">
        <v>1365</v>
      </c>
    </row>
    <row r="532" spans="1:9" x14ac:dyDescent="0.25">
      <c r="A532" s="40" t="s">
        <v>59</v>
      </c>
      <c r="B532" s="28">
        <v>754</v>
      </c>
      <c r="C532" s="28">
        <v>5671324</v>
      </c>
      <c r="D532" s="28"/>
      <c r="E532" s="41">
        <v>46158</v>
      </c>
      <c r="F532" s="47">
        <v>0.42598379629629629</v>
      </c>
      <c r="G532" s="44">
        <v>6.3</v>
      </c>
      <c r="H532" s="43" t="s">
        <v>1360</v>
      </c>
      <c r="I532" s="40" t="s">
        <v>1365</v>
      </c>
    </row>
    <row r="533" spans="1:9" x14ac:dyDescent="0.25">
      <c r="A533" s="40" t="s">
        <v>59</v>
      </c>
      <c r="B533" s="28">
        <v>754</v>
      </c>
      <c r="C533" s="28">
        <v>5671324</v>
      </c>
      <c r="D533" s="28"/>
      <c r="E533" s="41">
        <v>46158</v>
      </c>
      <c r="F533" s="47">
        <v>0.43767361111111114</v>
      </c>
      <c r="G533" s="44">
        <v>6.3</v>
      </c>
      <c r="H533" s="43" t="s">
        <v>1362</v>
      </c>
      <c r="I533" s="40" t="s">
        <v>1365</v>
      </c>
    </row>
    <row r="534" spans="1:9" x14ac:dyDescent="0.25">
      <c r="A534" s="40" t="s">
        <v>59</v>
      </c>
      <c r="B534" s="28">
        <v>754</v>
      </c>
      <c r="C534" s="28" t="s">
        <v>562</v>
      </c>
      <c r="D534" s="28"/>
      <c r="E534" s="41">
        <v>46159</v>
      </c>
      <c r="F534" s="47">
        <v>2.9768518518518517E-2</v>
      </c>
      <c r="G534" s="44">
        <v>6.3</v>
      </c>
      <c r="H534" s="43" t="s">
        <v>1360</v>
      </c>
      <c r="I534" s="40" t="s">
        <v>1365</v>
      </c>
    </row>
    <row r="535" spans="1:9" x14ac:dyDescent="0.25">
      <c r="A535" s="40" t="s">
        <v>59</v>
      </c>
      <c r="B535" s="28">
        <v>754</v>
      </c>
      <c r="C535" s="28" t="s">
        <v>562</v>
      </c>
      <c r="D535" s="28"/>
      <c r="E535" s="45">
        <v>46159</v>
      </c>
      <c r="F535" s="48">
        <v>3.6307870370370372E-2</v>
      </c>
      <c r="G535" s="44">
        <v>6.3</v>
      </c>
      <c r="H535" s="43" t="s">
        <v>1362</v>
      </c>
      <c r="I535" s="40" t="s">
        <v>1365</v>
      </c>
    </row>
    <row r="536" spans="1:9" x14ac:dyDescent="0.25">
      <c r="A536" s="40" t="s">
        <v>59</v>
      </c>
      <c r="B536" s="28">
        <v>754</v>
      </c>
      <c r="C536" s="28" t="s">
        <v>563</v>
      </c>
      <c r="D536" s="28"/>
      <c r="E536" s="45">
        <v>46159</v>
      </c>
      <c r="F536" s="48">
        <v>0.19570601851851852</v>
      </c>
      <c r="G536" s="44">
        <v>6.3</v>
      </c>
      <c r="H536" s="43" t="s">
        <v>1360</v>
      </c>
      <c r="I536" s="40" t="s">
        <v>1365</v>
      </c>
    </row>
    <row r="537" spans="1:9" x14ac:dyDescent="0.25">
      <c r="A537" s="40" t="s">
        <v>59</v>
      </c>
      <c r="B537" s="28">
        <v>754</v>
      </c>
      <c r="C537" s="28" t="s">
        <v>563</v>
      </c>
      <c r="D537" s="28"/>
      <c r="E537" s="41">
        <v>46159</v>
      </c>
      <c r="F537" s="47">
        <v>0.20195601851851852</v>
      </c>
      <c r="G537" s="44">
        <v>6.3</v>
      </c>
      <c r="H537" s="43" t="s">
        <v>1362</v>
      </c>
      <c r="I537" s="40" t="s">
        <v>1365</v>
      </c>
    </row>
    <row r="538" spans="1:9" x14ac:dyDescent="0.25">
      <c r="A538" s="40" t="s">
        <v>59</v>
      </c>
      <c r="B538" s="28">
        <v>754</v>
      </c>
      <c r="C538" s="28" t="s">
        <v>564</v>
      </c>
      <c r="D538" s="28"/>
      <c r="E538" s="45">
        <v>46159</v>
      </c>
      <c r="F538" s="48">
        <v>0.56862268518518522</v>
      </c>
      <c r="G538" s="44">
        <v>6.3</v>
      </c>
      <c r="H538" s="43" t="s">
        <v>1360</v>
      </c>
      <c r="I538" s="40" t="s">
        <v>1365</v>
      </c>
    </row>
    <row r="539" spans="1:9" x14ac:dyDescent="0.25">
      <c r="A539" s="40" t="s">
        <v>59</v>
      </c>
      <c r="B539" s="28">
        <v>754</v>
      </c>
      <c r="C539" s="28" t="s">
        <v>564</v>
      </c>
      <c r="D539" s="28"/>
      <c r="E539" s="41">
        <v>46159</v>
      </c>
      <c r="F539" s="47">
        <v>0.57550925925925922</v>
      </c>
      <c r="G539" s="44">
        <v>6.3</v>
      </c>
      <c r="H539" s="43" t="s">
        <v>1362</v>
      </c>
      <c r="I539" s="40" t="s">
        <v>1365</v>
      </c>
    </row>
    <row r="540" spans="1:9" x14ac:dyDescent="0.25">
      <c r="A540" s="40" t="s">
        <v>59</v>
      </c>
      <c r="B540" s="28">
        <v>754</v>
      </c>
      <c r="C540" s="28">
        <v>5673048</v>
      </c>
      <c r="D540" s="28" t="s">
        <v>37</v>
      </c>
      <c r="E540" s="41">
        <v>46159</v>
      </c>
      <c r="F540" s="47">
        <v>0.6940277777777778</v>
      </c>
      <c r="G540" s="44">
        <v>6.3</v>
      </c>
      <c r="H540" s="43" t="s">
        <v>1360</v>
      </c>
      <c r="I540" s="40" t="s">
        <v>1365</v>
      </c>
    </row>
    <row r="541" spans="1:9" x14ac:dyDescent="0.25">
      <c r="A541" s="40" t="s">
        <v>59</v>
      </c>
      <c r="B541" s="28">
        <v>754</v>
      </c>
      <c r="C541" s="28">
        <v>5673048</v>
      </c>
      <c r="D541" s="28" t="s">
        <v>37</v>
      </c>
      <c r="E541" s="41">
        <v>46159</v>
      </c>
      <c r="F541" s="47">
        <v>0.7008564814814815</v>
      </c>
      <c r="G541" s="44">
        <v>6.3</v>
      </c>
      <c r="H541" s="43" t="s">
        <v>1368</v>
      </c>
      <c r="I541" s="40" t="s">
        <v>1365</v>
      </c>
    </row>
    <row r="542" spans="1:9" x14ac:dyDescent="0.25">
      <c r="A542" s="40" t="s">
        <v>565</v>
      </c>
      <c r="B542" s="28">
        <v>760</v>
      </c>
      <c r="C542" s="28" t="s">
        <v>35</v>
      </c>
      <c r="D542" s="28" t="s">
        <v>38</v>
      </c>
      <c r="E542" s="41">
        <v>46154</v>
      </c>
      <c r="F542" s="47">
        <v>0.66134259259259254</v>
      </c>
      <c r="G542" s="44">
        <v>6.3</v>
      </c>
      <c r="H542" s="43" t="s">
        <v>1363</v>
      </c>
      <c r="I542" s="40" t="s">
        <v>1361</v>
      </c>
    </row>
    <row r="543" spans="1:9" x14ac:dyDescent="0.25">
      <c r="A543" s="40" t="s">
        <v>565</v>
      </c>
      <c r="B543" s="28">
        <v>760</v>
      </c>
      <c r="C543" s="28" t="s">
        <v>35</v>
      </c>
      <c r="D543" s="28" t="s">
        <v>38</v>
      </c>
      <c r="E543" s="45">
        <v>46154</v>
      </c>
      <c r="F543" s="48">
        <v>0.67947916666666663</v>
      </c>
      <c r="G543" s="42">
        <v>6.3</v>
      </c>
      <c r="H543" s="40" t="s">
        <v>1364</v>
      </c>
      <c r="I543" s="40" t="s">
        <v>1361</v>
      </c>
    </row>
    <row r="544" spans="1:9" x14ac:dyDescent="0.25">
      <c r="A544" s="40" t="s">
        <v>60</v>
      </c>
      <c r="B544" s="28">
        <v>766</v>
      </c>
      <c r="C544" s="28">
        <v>5662734</v>
      </c>
      <c r="D544" s="28"/>
      <c r="E544" s="41">
        <v>46153</v>
      </c>
      <c r="F544" s="47">
        <v>0.51244212962962965</v>
      </c>
      <c r="G544" s="42">
        <v>6.3</v>
      </c>
      <c r="H544" s="40" t="s">
        <v>1360</v>
      </c>
      <c r="I544" s="40" t="s">
        <v>1361</v>
      </c>
    </row>
    <row r="545" spans="1:9" x14ac:dyDescent="0.25">
      <c r="A545" s="40" t="s">
        <v>60</v>
      </c>
      <c r="B545" s="28">
        <v>766</v>
      </c>
      <c r="C545" s="28">
        <v>5662734</v>
      </c>
      <c r="D545" s="28"/>
      <c r="E545" s="41">
        <v>46153</v>
      </c>
      <c r="F545" s="47">
        <v>0.52385416666666662</v>
      </c>
      <c r="G545" s="44">
        <v>6.3</v>
      </c>
      <c r="H545" s="43" t="s">
        <v>1362</v>
      </c>
      <c r="I545" s="40" t="s">
        <v>1361</v>
      </c>
    </row>
    <row r="546" spans="1:9" x14ac:dyDescent="0.25">
      <c r="A546" s="40" t="s">
        <v>60</v>
      </c>
      <c r="B546" s="28">
        <v>766</v>
      </c>
      <c r="C546" s="28">
        <v>5669644</v>
      </c>
      <c r="D546" s="28"/>
      <c r="E546" s="41">
        <v>46157</v>
      </c>
      <c r="F546" s="47">
        <v>0.65105324074074078</v>
      </c>
      <c r="G546" s="44">
        <v>6.3</v>
      </c>
      <c r="H546" s="43" t="s">
        <v>1360</v>
      </c>
      <c r="I546" s="40" t="s">
        <v>1361</v>
      </c>
    </row>
    <row r="547" spans="1:9" x14ac:dyDescent="0.25">
      <c r="A547" s="40" t="s">
        <v>60</v>
      </c>
      <c r="B547" s="28">
        <v>766</v>
      </c>
      <c r="C547" s="28">
        <v>5670179</v>
      </c>
      <c r="D547" s="28"/>
      <c r="E547" s="41">
        <v>46157</v>
      </c>
      <c r="F547" s="47">
        <v>0.86851851851851847</v>
      </c>
      <c r="G547" s="44">
        <v>6.3</v>
      </c>
      <c r="H547" s="43" t="s">
        <v>1360</v>
      </c>
      <c r="I547" s="40" t="s">
        <v>1361</v>
      </c>
    </row>
    <row r="548" spans="1:9" x14ac:dyDescent="0.25">
      <c r="A548" s="40" t="s">
        <v>60</v>
      </c>
      <c r="B548" s="28">
        <v>766</v>
      </c>
      <c r="C548" s="28">
        <v>5670179</v>
      </c>
      <c r="D548" s="28"/>
      <c r="E548" s="41">
        <v>46157</v>
      </c>
      <c r="F548" s="47">
        <v>0.8840393518518519</v>
      </c>
      <c r="G548" s="44">
        <v>6.3</v>
      </c>
      <c r="H548" s="43" t="s">
        <v>1366</v>
      </c>
      <c r="I548" s="40" t="s">
        <v>1361</v>
      </c>
    </row>
    <row r="549" spans="1:9" x14ac:dyDescent="0.25">
      <c r="A549" s="40" t="s">
        <v>60</v>
      </c>
      <c r="B549" s="28">
        <v>766</v>
      </c>
      <c r="C549" s="28">
        <v>5671403</v>
      </c>
      <c r="D549" s="28"/>
      <c r="E549" s="45">
        <v>46158</v>
      </c>
      <c r="F549" s="48">
        <v>0.51267361111111109</v>
      </c>
      <c r="G549" s="44">
        <v>6.3</v>
      </c>
      <c r="H549" s="43" t="s">
        <v>1360</v>
      </c>
      <c r="I549" s="40" t="s">
        <v>1365</v>
      </c>
    </row>
    <row r="550" spans="1:9" x14ac:dyDescent="0.25">
      <c r="A550" s="40" t="s">
        <v>60</v>
      </c>
      <c r="B550" s="28">
        <v>766</v>
      </c>
      <c r="C550" s="28">
        <v>5671403</v>
      </c>
      <c r="D550" s="28"/>
      <c r="E550" s="41">
        <v>46158</v>
      </c>
      <c r="F550" s="47">
        <v>0.5251851851851852</v>
      </c>
      <c r="G550" s="44">
        <v>6.3</v>
      </c>
      <c r="H550" s="43" t="s">
        <v>1362</v>
      </c>
      <c r="I550" s="40" t="s">
        <v>1365</v>
      </c>
    </row>
    <row r="551" spans="1:9" x14ac:dyDescent="0.25">
      <c r="A551" s="40" t="s">
        <v>60</v>
      </c>
      <c r="B551" s="28">
        <v>766</v>
      </c>
      <c r="C551" s="28">
        <v>5672243</v>
      </c>
      <c r="D551" s="28"/>
      <c r="E551" s="41">
        <v>46159</v>
      </c>
      <c r="F551" s="47">
        <v>0.42410879629629628</v>
      </c>
      <c r="G551" s="44">
        <v>6.3</v>
      </c>
      <c r="H551" s="43" t="s">
        <v>1360</v>
      </c>
      <c r="I551" s="40" t="s">
        <v>1365</v>
      </c>
    </row>
    <row r="552" spans="1:9" x14ac:dyDescent="0.25">
      <c r="A552" s="40" t="s">
        <v>60</v>
      </c>
      <c r="B552" s="28">
        <v>766</v>
      </c>
      <c r="C552" s="28">
        <v>5672243</v>
      </c>
      <c r="D552" s="28"/>
      <c r="E552" s="41">
        <v>46159</v>
      </c>
      <c r="F552" s="47">
        <v>0.43157407407407405</v>
      </c>
      <c r="G552" s="44">
        <v>6.3</v>
      </c>
      <c r="H552" s="43" t="s">
        <v>1362</v>
      </c>
      <c r="I552" s="40" t="s">
        <v>1365</v>
      </c>
    </row>
    <row r="553" spans="1:9" x14ac:dyDescent="0.25">
      <c r="A553" s="40" t="s">
        <v>61</v>
      </c>
      <c r="B553" s="28">
        <v>772</v>
      </c>
      <c r="C553" s="28" t="s">
        <v>566</v>
      </c>
      <c r="D553" s="28"/>
      <c r="E553" s="41">
        <v>46154</v>
      </c>
      <c r="F553" s="47">
        <v>0.26478009259259261</v>
      </c>
      <c r="G553" s="44">
        <v>6.3</v>
      </c>
      <c r="H553" s="43" t="s">
        <v>1360</v>
      </c>
      <c r="I553" s="40" t="s">
        <v>1361</v>
      </c>
    </row>
    <row r="554" spans="1:9" x14ac:dyDescent="0.25">
      <c r="A554" s="40" t="s">
        <v>61</v>
      </c>
      <c r="B554" s="28">
        <v>772</v>
      </c>
      <c r="C554" s="28" t="s">
        <v>566</v>
      </c>
      <c r="D554" s="28"/>
      <c r="E554" s="41">
        <v>46154</v>
      </c>
      <c r="F554" s="47">
        <v>0.27635416666666668</v>
      </c>
      <c r="G554" s="44">
        <v>6.3</v>
      </c>
      <c r="H554" s="43" t="s">
        <v>1362</v>
      </c>
      <c r="I554" s="40" t="s">
        <v>1361</v>
      </c>
    </row>
    <row r="555" spans="1:9" x14ac:dyDescent="0.25">
      <c r="A555" s="40" t="s">
        <v>61</v>
      </c>
      <c r="B555" s="28">
        <v>772</v>
      </c>
      <c r="C555" s="28">
        <v>5661012</v>
      </c>
      <c r="D555" s="28"/>
      <c r="E555" s="45">
        <v>46154</v>
      </c>
      <c r="F555" s="48">
        <v>0.35879629629629628</v>
      </c>
      <c r="G555" s="44">
        <v>6.3</v>
      </c>
      <c r="H555" s="43" t="s">
        <v>1363</v>
      </c>
      <c r="I555" s="40" t="s">
        <v>1361</v>
      </c>
    </row>
    <row r="556" spans="1:9" x14ac:dyDescent="0.25">
      <c r="A556" s="40" t="s">
        <v>61</v>
      </c>
      <c r="B556" s="28">
        <v>772</v>
      </c>
      <c r="C556" s="28">
        <v>5661012</v>
      </c>
      <c r="D556" s="28"/>
      <c r="E556" s="41">
        <v>46154</v>
      </c>
      <c r="F556" s="47">
        <v>0.36498842592592595</v>
      </c>
      <c r="G556" s="44">
        <v>6.3</v>
      </c>
      <c r="H556" s="43" t="s">
        <v>1364</v>
      </c>
      <c r="I556" s="40" t="s">
        <v>1361</v>
      </c>
    </row>
    <row r="557" spans="1:9" x14ac:dyDescent="0.25">
      <c r="A557" s="40" t="s">
        <v>350</v>
      </c>
      <c r="B557" s="28">
        <v>774</v>
      </c>
      <c r="C557" s="28" t="s">
        <v>35</v>
      </c>
      <c r="D557" s="28" t="s">
        <v>38</v>
      </c>
      <c r="E557" s="41">
        <v>46153</v>
      </c>
      <c r="F557" s="47">
        <v>0.82857638888888885</v>
      </c>
      <c r="G557" s="44">
        <v>6.3</v>
      </c>
      <c r="H557" s="43" t="s">
        <v>1364</v>
      </c>
      <c r="I557" s="40" t="s">
        <v>1361</v>
      </c>
    </row>
    <row r="558" spans="1:9" x14ac:dyDescent="0.25">
      <c r="A558" s="40" t="s">
        <v>350</v>
      </c>
      <c r="B558" s="28">
        <v>774</v>
      </c>
      <c r="C558" s="28" t="s">
        <v>35</v>
      </c>
      <c r="D558" s="28" t="s">
        <v>38</v>
      </c>
      <c r="E558" s="45">
        <v>46154</v>
      </c>
      <c r="F558" s="48">
        <v>0.47798611111111111</v>
      </c>
      <c r="G558" s="44">
        <v>6.3</v>
      </c>
      <c r="H558" s="43" t="s">
        <v>1369</v>
      </c>
      <c r="I558" s="40" t="s">
        <v>1361</v>
      </c>
    </row>
    <row r="559" spans="1:9" x14ac:dyDescent="0.25">
      <c r="A559" s="40" t="s">
        <v>350</v>
      </c>
      <c r="B559" s="28">
        <v>774</v>
      </c>
      <c r="C559" s="28" t="s">
        <v>35</v>
      </c>
      <c r="D559" s="28" t="s">
        <v>38</v>
      </c>
      <c r="E559" s="41">
        <v>46154</v>
      </c>
      <c r="F559" s="47">
        <v>0.48431712962962964</v>
      </c>
      <c r="G559" s="44">
        <v>6.3</v>
      </c>
      <c r="H559" s="43" t="s">
        <v>1364</v>
      </c>
      <c r="I559" s="40" t="s">
        <v>1361</v>
      </c>
    </row>
    <row r="560" spans="1:9" x14ac:dyDescent="0.25">
      <c r="A560" s="40" t="s">
        <v>350</v>
      </c>
      <c r="B560" s="28">
        <v>774</v>
      </c>
      <c r="C560" s="28" t="s">
        <v>35</v>
      </c>
      <c r="D560" s="28" t="s">
        <v>38</v>
      </c>
      <c r="E560" s="45">
        <v>46155</v>
      </c>
      <c r="F560" s="48">
        <v>0.53899305555555554</v>
      </c>
      <c r="G560" s="44">
        <v>6.3</v>
      </c>
      <c r="H560" s="43" t="s">
        <v>1369</v>
      </c>
      <c r="I560" s="40" t="s">
        <v>1361</v>
      </c>
    </row>
    <row r="561" spans="1:9" x14ac:dyDescent="0.25">
      <c r="A561" s="40" t="s">
        <v>350</v>
      </c>
      <c r="B561" s="28">
        <v>774</v>
      </c>
      <c r="C561" s="28" t="s">
        <v>35</v>
      </c>
      <c r="D561" s="28" t="s">
        <v>38</v>
      </c>
      <c r="E561" s="41">
        <v>46155</v>
      </c>
      <c r="F561" s="47">
        <v>0.54549768518518515</v>
      </c>
      <c r="G561" s="44">
        <v>6.3</v>
      </c>
      <c r="H561" s="43" t="s">
        <v>1364</v>
      </c>
      <c r="I561" s="40" t="s">
        <v>1361</v>
      </c>
    </row>
    <row r="562" spans="1:9" x14ac:dyDescent="0.25">
      <c r="A562" s="40" t="s">
        <v>350</v>
      </c>
      <c r="B562" s="28">
        <v>774</v>
      </c>
      <c r="C562" s="28" t="s">
        <v>35</v>
      </c>
      <c r="D562" s="28" t="s">
        <v>38</v>
      </c>
      <c r="E562" s="41">
        <v>46155</v>
      </c>
      <c r="F562" s="47">
        <v>0.64696759259259262</v>
      </c>
      <c r="G562" s="44">
        <v>6.3</v>
      </c>
      <c r="H562" s="43" t="s">
        <v>1360</v>
      </c>
      <c r="I562" s="40" t="s">
        <v>1361</v>
      </c>
    </row>
    <row r="563" spans="1:9" x14ac:dyDescent="0.25">
      <c r="A563" s="40" t="s">
        <v>350</v>
      </c>
      <c r="B563" s="28">
        <v>774</v>
      </c>
      <c r="C563" s="28">
        <v>5667353</v>
      </c>
      <c r="D563" s="28"/>
      <c r="E563" s="45">
        <v>46155</v>
      </c>
      <c r="F563" s="48">
        <v>0.85550925925925925</v>
      </c>
      <c r="G563" s="44">
        <v>6.3</v>
      </c>
      <c r="H563" s="43" t="s">
        <v>1360</v>
      </c>
      <c r="I563" s="40" t="s">
        <v>1361</v>
      </c>
    </row>
    <row r="564" spans="1:9" x14ac:dyDescent="0.25">
      <c r="A564" s="40" t="s">
        <v>350</v>
      </c>
      <c r="B564" s="28">
        <v>774</v>
      </c>
      <c r="C564" s="28">
        <v>5667353</v>
      </c>
      <c r="D564" s="28"/>
      <c r="E564" s="41">
        <v>46155</v>
      </c>
      <c r="F564" s="47">
        <v>0.86276620370370372</v>
      </c>
      <c r="G564" s="44">
        <v>6.3</v>
      </c>
      <c r="H564" s="43" t="s">
        <v>1368</v>
      </c>
      <c r="I564" s="40" t="s">
        <v>1361</v>
      </c>
    </row>
    <row r="565" spans="1:9" x14ac:dyDescent="0.25">
      <c r="A565" s="40" t="s">
        <v>350</v>
      </c>
      <c r="B565" s="28">
        <v>774</v>
      </c>
      <c r="C565" s="28" t="s">
        <v>35</v>
      </c>
      <c r="D565" s="28" t="s">
        <v>38</v>
      </c>
      <c r="E565" s="41">
        <v>46155</v>
      </c>
      <c r="F565" s="47">
        <v>0.87806712962962963</v>
      </c>
      <c r="G565" s="44">
        <v>6.3</v>
      </c>
      <c r="H565" s="43" t="s">
        <v>1369</v>
      </c>
      <c r="I565" s="40" t="s">
        <v>1361</v>
      </c>
    </row>
    <row r="566" spans="1:9" x14ac:dyDescent="0.25">
      <c r="A566" s="40" t="s">
        <v>350</v>
      </c>
      <c r="B566" s="28">
        <v>774</v>
      </c>
      <c r="C566" s="28" t="s">
        <v>35</v>
      </c>
      <c r="D566" s="28" t="s">
        <v>38</v>
      </c>
      <c r="E566" s="41">
        <v>46155</v>
      </c>
      <c r="F566" s="47">
        <v>0.88353009259259263</v>
      </c>
      <c r="G566" s="44">
        <v>6.3</v>
      </c>
      <c r="H566" s="43" t="s">
        <v>1364</v>
      </c>
      <c r="I566" s="40" t="s">
        <v>1361</v>
      </c>
    </row>
    <row r="567" spans="1:9" x14ac:dyDescent="0.25">
      <c r="A567" s="40" t="s">
        <v>350</v>
      </c>
      <c r="B567" s="28">
        <v>774</v>
      </c>
      <c r="C567" s="28">
        <v>5667523</v>
      </c>
      <c r="D567" s="28"/>
      <c r="E567" s="41">
        <v>46155</v>
      </c>
      <c r="F567" s="47">
        <v>0.93634259259259256</v>
      </c>
      <c r="G567" s="42">
        <v>6.3</v>
      </c>
      <c r="H567" s="40" t="s">
        <v>1360</v>
      </c>
      <c r="I567" s="40" t="s">
        <v>1361</v>
      </c>
    </row>
    <row r="568" spans="1:9" x14ac:dyDescent="0.25">
      <c r="A568" s="40" t="s">
        <v>350</v>
      </c>
      <c r="B568" s="28">
        <v>774</v>
      </c>
      <c r="C568" s="28">
        <v>5667523</v>
      </c>
      <c r="D568" s="28"/>
      <c r="E568" s="41">
        <v>46155</v>
      </c>
      <c r="F568" s="47">
        <v>0.94422453703703701</v>
      </c>
      <c r="G568" s="44">
        <v>6.3</v>
      </c>
      <c r="H568" s="43" t="s">
        <v>1362</v>
      </c>
      <c r="I568" s="40" t="s">
        <v>1361</v>
      </c>
    </row>
    <row r="569" spans="1:9" x14ac:dyDescent="0.25">
      <c r="A569" s="40" t="s">
        <v>350</v>
      </c>
      <c r="B569" s="28">
        <v>774</v>
      </c>
      <c r="C569" s="28" t="s">
        <v>35</v>
      </c>
      <c r="D569" s="28" t="s">
        <v>38</v>
      </c>
      <c r="E569" s="41">
        <v>46157</v>
      </c>
      <c r="F569" s="47">
        <v>0.47578703703703706</v>
      </c>
      <c r="G569" s="44">
        <v>6.3</v>
      </c>
      <c r="H569" s="43" t="s">
        <v>1369</v>
      </c>
      <c r="I569" s="40" t="s">
        <v>1361</v>
      </c>
    </row>
    <row r="570" spans="1:9" x14ac:dyDescent="0.25">
      <c r="A570" s="40" t="s">
        <v>350</v>
      </c>
      <c r="B570" s="28">
        <v>774</v>
      </c>
      <c r="C570" s="28" t="s">
        <v>35</v>
      </c>
      <c r="D570" s="28" t="s">
        <v>38</v>
      </c>
      <c r="E570" s="45">
        <v>46157</v>
      </c>
      <c r="F570" s="48">
        <v>0.48237268518518517</v>
      </c>
      <c r="G570" s="44">
        <v>6.3</v>
      </c>
      <c r="H570" s="43" t="s">
        <v>1364</v>
      </c>
      <c r="I570" s="40" t="s">
        <v>1361</v>
      </c>
    </row>
    <row r="571" spans="1:9" x14ac:dyDescent="0.25">
      <c r="A571" s="40" t="s">
        <v>350</v>
      </c>
      <c r="B571" s="28">
        <v>774</v>
      </c>
      <c r="C571" s="28">
        <v>5670046</v>
      </c>
      <c r="D571" s="28" t="s">
        <v>37</v>
      </c>
      <c r="E571" s="45">
        <v>46157</v>
      </c>
      <c r="F571" s="48">
        <v>0.5912384259259259</v>
      </c>
      <c r="G571" s="44">
        <v>6.3</v>
      </c>
      <c r="H571" s="43" t="s">
        <v>1360</v>
      </c>
      <c r="I571" s="40" t="s">
        <v>1361</v>
      </c>
    </row>
    <row r="572" spans="1:9" x14ac:dyDescent="0.25">
      <c r="A572" s="40" t="s">
        <v>350</v>
      </c>
      <c r="B572" s="28">
        <v>774</v>
      </c>
      <c r="C572" s="28">
        <v>5670046</v>
      </c>
      <c r="D572" s="28" t="s">
        <v>37</v>
      </c>
      <c r="E572" s="41">
        <v>46157</v>
      </c>
      <c r="F572" s="47">
        <v>0.60519675925925931</v>
      </c>
      <c r="G572" s="44">
        <v>6.3</v>
      </c>
      <c r="H572" s="43" t="s">
        <v>1368</v>
      </c>
      <c r="I572" s="40" t="s">
        <v>1361</v>
      </c>
    </row>
    <row r="573" spans="1:9" x14ac:dyDescent="0.25">
      <c r="A573" s="40" t="s">
        <v>350</v>
      </c>
      <c r="B573" s="28">
        <v>774</v>
      </c>
      <c r="C573" s="28" t="s">
        <v>567</v>
      </c>
      <c r="D573" s="28"/>
      <c r="E573" s="41">
        <v>46157</v>
      </c>
      <c r="F573" s="47">
        <v>0.69907407407407407</v>
      </c>
      <c r="G573" s="44">
        <v>6.3</v>
      </c>
      <c r="H573" s="43" t="s">
        <v>1360</v>
      </c>
      <c r="I573" s="40" t="s">
        <v>1361</v>
      </c>
    </row>
    <row r="574" spans="1:9" x14ac:dyDescent="0.25">
      <c r="A574" s="40" t="s">
        <v>350</v>
      </c>
      <c r="B574" s="28">
        <v>774</v>
      </c>
      <c r="C574" s="28">
        <v>5670683</v>
      </c>
      <c r="D574" s="28" t="s">
        <v>36</v>
      </c>
      <c r="E574" s="41">
        <v>46157</v>
      </c>
      <c r="F574" s="47">
        <v>0.79258101851851848</v>
      </c>
      <c r="G574" s="44">
        <v>6.3</v>
      </c>
      <c r="H574" s="43" t="s">
        <v>1364</v>
      </c>
      <c r="I574" s="40" t="s">
        <v>1361</v>
      </c>
    </row>
    <row r="575" spans="1:9" x14ac:dyDescent="0.25">
      <c r="A575" s="40" t="s">
        <v>350</v>
      </c>
      <c r="B575" s="28">
        <v>774</v>
      </c>
      <c r="C575" s="28" t="s">
        <v>35</v>
      </c>
      <c r="D575" s="28" t="s">
        <v>38</v>
      </c>
      <c r="E575" s="41">
        <v>46158</v>
      </c>
      <c r="F575" s="47">
        <v>0.35980324074074072</v>
      </c>
      <c r="G575" s="44">
        <v>6.3</v>
      </c>
      <c r="H575" s="43" t="s">
        <v>1369</v>
      </c>
      <c r="I575" s="40" t="s">
        <v>1365</v>
      </c>
    </row>
    <row r="576" spans="1:9" x14ac:dyDescent="0.25">
      <c r="A576" s="40" t="s">
        <v>350</v>
      </c>
      <c r="B576" s="28">
        <v>774</v>
      </c>
      <c r="C576" s="28" t="s">
        <v>568</v>
      </c>
      <c r="D576" s="28"/>
      <c r="E576" s="41">
        <v>46158</v>
      </c>
      <c r="F576" s="47">
        <v>0.61260416666666662</v>
      </c>
      <c r="G576" s="44">
        <v>6.3</v>
      </c>
      <c r="H576" s="43" t="s">
        <v>1360</v>
      </c>
      <c r="I576" s="40" t="s">
        <v>1365</v>
      </c>
    </row>
    <row r="577" spans="1:9" x14ac:dyDescent="0.25">
      <c r="A577" s="40" t="s">
        <v>350</v>
      </c>
      <c r="B577" s="28">
        <v>774</v>
      </c>
      <c r="C577" s="28" t="s">
        <v>568</v>
      </c>
      <c r="D577" s="28"/>
      <c r="E577" s="41">
        <v>46158</v>
      </c>
      <c r="F577" s="47">
        <v>0.62581018518518516</v>
      </c>
      <c r="G577" s="44">
        <v>6.3</v>
      </c>
      <c r="H577" s="43" t="s">
        <v>1362</v>
      </c>
      <c r="I577" s="40" t="s">
        <v>1365</v>
      </c>
    </row>
    <row r="578" spans="1:9" x14ac:dyDescent="0.25">
      <c r="A578" s="40" t="s">
        <v>350</v>
      </c>
      <c r="B578" s="28">
        <v>774</v>
      </c>
      <c r="C578" s="28">
        <v>5672056</v>
      </c>
      <c r="D578" s="28" t="s">
        <v>36</v>
      </c>
      <c r="E578" s="41">
        <v>46158</v>
      </c>
      <c r="F578" s="47">
        <v>0.93482638888888892</v>
      </c>
      <c r="G578" s="44">
        <v>6.3</v>
      </c>
      <c r="H578" s="43" t="s">
        <v>1360</v>
      </c>
      <c r="I578" s="40" t="s">
        <v>1365</v>
      </c>
    </row>
    <row r="579" spans="1:9" x14ac:dyDescent="0.25">
      <c r="A579" s="40" t="s">
        <v>350</v>
      </c>
      <c r="B579" s="28">
        <v>774</v>
      </c>
      <c r="C579" s="28">
        <v>5672056</v>
      </c>
      <c r="D579" s="28" t="s">
        <v>36</v>
      </c>
      <c r="E579" s="41">
        <v>46158</v>
      </c>
      <c r="F579" s="47">
        <v>0.94190972222222225</v>
      </c>
      <c r="G579" s="44">
        <v>6.3</v>
      </c>
      <c r="H579" s="43" t="s">
        <v>1362</v>
      </c>
      <c r="I579" s="40" t="s">
        <v>1365</v>
      </c>
    </row>
    <row r="580" spans="1:9" x14ac:dyDescent="0.25">
      <c r="A580" s="40" t="s">
        <v>400</v>
      </c>
      <c r="B580" s="28">
        <v>781</v>
      </c>
      <c r="C580" s="28">
        <v>5661737</v>
      </c>
      <c r="D580" s="28"/>
      <c r="E580" s="41">
        <v>46153</v>
      </c>
      <c r="F580" s="47">
        <v>0.13711805555555556</v>
      </c>
      <c r="G580" s="44">
        <v>6.3</v>
      </c>
      <c r="H580" s="43" t="s">
        <v>1363</v>
      </c>
      <c r="I580" s="40" t="s">
        <v>1361</v>
      </c>
    </row>
    <row r="581" spans="1:9" x14ac:dyDescent="0.25">
      <c r="A581" s="40" t="s">
        <v>400</v>
      </c>
      <c r="B581" s="28">
        <v>781</v>
      </c>
      <c r="C581" s="28">
        <v>5661737</v>
      </c>
      <c r="D581" s="28"/>
      <c r="E581" s="41">
        <v>46153</v>
      </c>
      <c r="F581" s="47">
        <v>0.14215277777777777</v>
      </c>
      <c r="G581" s="44">
        <v>6.3</v>
      </c>
      <c r="H581" s="43" t="s">
        <v>1364</v>
      </c>
      <c r="I581" s="40" t="s">
        <v>1361</v>
      </c>
    </row>
    <row r="582" spans="1:9" x14ac:dyDescent="0.25">
      <c r="A582" s="40" t="s">
        <v>400</v>
      </c>
      <c r="B582" s="28">
        <v>781</v>
      </c>
      <c r="C582" s="28">
        <v>5661770</v>
      </c>
      <c r="D582" s="28"/>
      <c r="E582" s="41">
        <v>46153</v>
      </c>
      <c r="F582" s="47">
        <v>0.25849537037037035</v>
      </c>
      <c r="G582" s="44">
        <v>6.3</v>
      </c>
      <c r="H582" s="43" t="s">
        <v>1369</v>
      </c>
      <c r="I582" s="40" t="s">
        <v>1361</v>
      </c>
    </row>
    <row r="583" spans="1:9" x14ac:dyDescent="0.25">
      <c r="A583" s="40" t="s">
        <v>400</v>
      </c>
      <c r="B583" s="28">
        <v>781</v>
      </c>
      <c r="C583" s="28">
        <v>5661770</v>
      </c>
      <c r="D583" s="28"/>
      <c r="E583" s="41">
        <v>46153</v>
      </c>
      <c r="F583" s="47">
        <v>0.26623842592592595</v>
      </c>
      <c r="G583" s="44">
        <v>6.3</v>
      </c>
      <c r="H583" s="43" t="s">
        <v>1364</v>
      </c>
      <c r="I583" s="40" t="s">
        <v>1361</v>
      </c>
    </row>
    <row r="584" spans="1:9" x14ac:dyDescent="0.25">
      <c r="A584" s="40" t="s">
        <v>400</v>
      </c>
      <c r="B584" s="28">
        <v>781</v>
      </c>
      <c r="C584" s="28">
        <v>5663522</v>
      </c>
      <c r="D584" s="28"/>
      <c r="E584" s="41">
        <v>46154</v>
      </c>
      <c r="F584" s="47">
        <v>0.24322916666666666</v>
      </c>
      <c r="G584" s="44">
        <v>6.3</v>
      </c>
      <c r="H584" s="43" t="s">
        <v>1363</v>
      </c>
      <c r="I584" s="40" t="s">
        <v>1361</v>
      </c>
    </row>
    <row r="585" spans="1:9" x14ac:dyDescent="0.25">
      <c r="A585" s="40" t="s">
        <v>400</v>
      </c>
      <c r="B585" s="28">
        <v>781</v>
      </c>
      <c r="C585" s="28">
        <v>5663522</v>
      </c>
      <c r="D585" s="28"/>
      <c r="E585" s="41">
        <v>46154</v>
      </c>
      <c r="F585" s="47">
        <v>0.24988425925925925</v>
      </c>
      <c r="G585" s="44">
        <v>6.3</v>
      </c>
      <c r="H585" s="43" t="s">
        <v>1364</v>
      </c>
      <c r="I585" s="40" t="s">
        <v>1361</v>
      </c>
    </row>
    <row r="586" spans="1:9" x14ac:dyDescent="0.25">
      <c r="A586" s="40" t="s">
        <v>400</v>
      </c>
      <c r="B586" s="28">
        <v>781</v>
      </c>
      <c r="C586" s="28" t="s">
        <v>569</v>
      </c>
      <c r="D586" s="28"/>
      <c r="E586" s="41">
        <v>46154</v>
      </c>
      <c r="F586" s="47">
        <v>0.99733796296296295</v>
      </c>
      <c r="G586" s="42">
        <v>6.3</v>
      </c>
      <c r="H586" s="40" t="s">
        <v>1360</v>
      </c>
      <c r="I586" s="40" t="s">
        <v>1361</v>
      </c>
    </row>
    <row r="587" spans="1:9" x14ac:dyDescent="0.25">
      <c r="A587" s="40" t="s">
        <v>400</v>
      </c>
      <c r="B587" s="28">
        <v>781</v>
      </c>
      <c r="C587" s="28" t="s">
        <v>569</v>
      </c>
      <c r="D587" s="28"/>
      <c r="E587" s="41">
        <v>46155</v>
      </c>
      <c r="F587" s="47">
        <v>4.3287037037037035E-3</v>
      </c>
      <c r="G587" s="42">
        <v>6.3</v>
      </c>
      <c r="H587" s="40" t="s">
        <v>1362</v>
      </c>
      <c r="I587" s="40" t="s">
        <v>1361</v>
      </c>
    </row>
    <row r="588" spans="1:9" x14ac:dyDescent="0.25">
      <c r="A588" s="40" t="s">
        <v>400</v>
      </c>
      <c r="B588" s="28">
        <v>781</v>
      </c>
      <c r="C588" s="28">
        <v>5667250</v>
      </c>
      <c r="D588" s="28"/>
      <c r="E588" s="41">
        <v>46155</v>
      </c>
      <c r="F588" s="47">
        <v>0.82086805555555553</v>
      </c>
      <c r="G588" s="42">
        <v>6.3</v>
      </c>
      <c r="H588" s="40" t="s">
        <v>1360</v>
      </c>
      <c r="I588" s="40" t="s">
        <v>1361</v>
      </c>
    </row>
    <row r="589" spans="1:9" x14ac:dyDescent="0.25">
      <c r="A589" s="40" t="s">
        <v>400</v>
      </c>
      <c r="B589" s="28">
        <v>781</v>
      </c>
      <c r="C589" s="28">
        <v>5667250</v>
      </c>
      <c r="D589" s="28"/>
      <c r="E589" s="41">
        <v>46155</v>
      </c>
      <c r="F589" s="47">
        <v>0.83344907407407409</v>
      </c>
      <c r="G589" s="42">
        <v>6.3</v>
      </c>
      <c r="H589" s="40" t="s">
        <v>1368</v>
      </c>
      <c r="I589" s="40" t="s">
        <v>1361</v>
      </c>
    </row>
    <row r="590" spans="1:9" x14ac:dyDescent="0.25">
      <c r="A590" s="40" t="s">
        <v>306</v>
      </c>
      <c r="B590" s="28">
        <v>785</v>
      </c>
      <c r="C590" s="28" t="s">
        <v>570</v>
      </c>
      <c r="D590" s="28"/>
      <c r="E590" s="45">
        <v>46153</v>
      </c>
      <c r="F590" s="48">
        <v>0.49524305555555553</v>
      </c>
      <c r="G590" s="44">
        <v>6.3</v>
      </c>
      <c r="H590" s="43" t="s">
        <v>1360</v>
      </c>
      <c r="I590" s="40" t="s">
        <v>1361</v>
      </c>
    </row>
    <row r="591" spans="1:9" x14ac:dyDescent="0.25">
      <c r="A591" s="40" t="s">
        <v>306</v>
      </c>
      <c r="B591" s="28">
        <v>785</v>
      </c>
      <c r="C591" s="28" t="s">
        <v>570</v>
      </c>
      <c r="D591" s="28"/>
      <c r="E591" s="41">
        <v>46153</v>
      </c>
      <c r="F591" s="47">
        <v>0.50504629629629627</v>
      </c>
      <c r="G591" s="44">
        <v>6.3</v>
      </c>
      <c r="H591" s="43" t="s">
        <v>1362</v>
      </c>
      <c r="I591" s="40" t="s">
        <v>1361</v>
      </c>
    </row>
    <row r="592" spans="1:9" x14ac:dyDescent="0.25">
      <c r="A592" s="40" t="s">
        <v>306</v>
      </c>
      <c r="B592" s="28">
        <v>785</v>
      </c>
      <c r="C592" s="28" t="s">
        <v>35</v>
      </c>
      <c r="D592" s="28" t="s">
        <v>38</v>
      </c>
      <c r="E592" s="41">
        <v>46153</v>
      </c>
      <c r="F592" s="47">
        <v>0.52223379629629629</v>
      </c>
      <c r="G592" s="44">
        <v>6.3</v>
      </c>
      <c r="H592" s="43" t="s">
        <v>1369</v>
      </c>
      <c r="I592" s="40" t="s">
        <v>1361</v>
      </c>
    </row>
    <row r="593" spans="1:9" x14ac:dyDescent="0.25">
      <c r="A593" s="40" t="s">
        <v>306</v>
      </c>
      <c r="B593" s="28">
        <v>785</v>
      </c>
      <c r="C593" s="28" t="s">
        <v>35</v>
      </c>
      <c r="D593" s="28" t="s">
        <v>38</v>
      </c>
      <c r="E593" s="41">
        <v>46153</v>
      </c>
      <c r="F593" s="47">
        <v>0.52822916666666664</v>
      </c>
      <c r="G593" s="44">
        <v>6.3</v>
      </c>
      <c r="H593" s="43" t="s">
        <v>1364</v>
      </c>
      <c r="I593" s="40" t="s">
        <v>1361</v>
      </c>
    </row>
    <row r="594" spans="1:9" x14ac:dyDescent="0.25">
      <c r="A594" s="40" t="s">
        <v>306</v>
      </c>
      <c r="B594" s="28">
        <v>785</v>
      </c>
      <c r="C594" s="28">
        <v>5664421</v>
      </c>
      <c r="D594" s="28" t="s">
        <v>37</v>
      </c>
      <c r="E594" s="41">
        <v>46154</v>
      </c>
      <c r="F594" s="47">
        <v>0.3845601851851852</v>
      </c>
      <c r="G594" s="44">
        <v>6.3</v>
      </c>
      <c r="H594" s="43" t="s">
        <v>1360</v>
      </c>
      <c r="I594" s="40" t="s">
        <v>1361</v>
      </c>
    </row>
    <row r="595" spans="1:9" x14ac:dyDescent="0.25">
      <c r="A595" s="40" t="s">
        <v>306</v>
      </c>
      <c r="B595" s="28">
        <v>785</v>
      </c>
      <c r="C595" s="28">
        <v>5664421</v>
      </c>
      <c r="D595" s="28" t="s">
        <v>37</v>
      </c>
      <c r="E595" s="41">
        <v>46154</v>
      </c>
      <c r="F595" s="47">
        <v>0.39785879629629628</v>
      </c>
      <c r="G595" s="44">
        <v>6.3</v>
      </c>
      <c r="H595" s="43" t="s">
        <v>1368</v>
      </c>
      <c r="I595" s="40" t="s">
        <v>1361</v>
      </c>
    </row>
    <row r="596" spans="1:9" x14ac:dyDescent="0.25">
      <c r="A596" s="40" t="s">
        <v>306</v>
      </c>
      <c r="B596" s="28">
        <v>785</v>
      </c>
      <c r="C596" s="28">
        <v>5666359</v>
      </c>
      <c r="D596" s="28"/>
      <c r="E596" s="41">
        <v>46155</v>
      </c>
      <c r="F596" s="47">
        <v>0.45072916666666668</v>
      </c>
      <c r="G596" s="44">
        <v>6.3</v>
      </c>
      <c r="H596" s="43" t="s">
        <v>1360</v>
      </c>
      <c r="I596" s="40" t="s">
        <v>1361</v>
      </c>
    </row>
    <row r="597" spans="1:9" x14ac:dyDescent="0.25">
      <c r="A597" s="40" t="s">
        <v>306</v>
      </c>
      <c r="B597" s="28">
        <v>785</v>
      </c>
      <c r="C597" s="28">
        <v>5662062</v>
      </c>
      <c r="D597" s="28"/>
      <c r="E597" s="41">
        <v>46156</v>
      </c>
      <c r="F597" s="47">
        <v>0.29523148148148148</v>
      </c>
      <c r="G597" s="44">
        <v>6.3</v>
      </c>
      <c r="H597" s="43" t="s">
        <v>1363</v>
      </c>
      <c r="I597" s="40" t="s">
        <v>1361</v>
      </c>
    </row>
    <row r="598" spans="1:9" x14ac:dyDescent="0.25">
      <c r="A598" s="40" t="s">
        <v>306</v>
      </c>
      <c r="B598" s="28">
        <v>785</v>
      </c>
      <c r="C598" s="28">
        <v>5662062</v>
      </c>
      <c r="D598" s="28"/>
      <c r="E598" s="41">
        <v>46156</v>
      </c>
      <c r="F598" s="47">
        <v>0.30234953703703704</v>
      </c>
      <c r="G598" s="44">
        <v>6.3</v>
      </c>
      <c r="H598" s="43" t="s">
        <v>1364</v>
      </c>
      <c r="I598" s="40" t="s">
        <v>1361</v>
      </c>
    </row>
    <row r="599" spans="1:9" x14ac:dyDescent="0.25">
      <c r="A599" s="40" t="s">
        <v>306</v>
      </c>
      <c r="B599" s="28">
        <v>785</v>
      </c>
      <c r="C599" s="28" t="s">
        <v>571</v>
      </c>
      <c r="D599" s="28"/>
      <c r="E599" s="41">
        <v>46156</v>
      </c>
      <c r="F599" s="47">
        <v>0.9499305555555555</v>
      </c>
      <c r="G599" s="44">
        <v>6.3</v>
      </c>
      <c r="H599" s="43" t="s">
        <v>1360</v>
      </c>
      <c r="I599" s="40" t="s">
        <v>1361</v>
      </c>
    </row>
    <row r="600" spans="1:9" x14ac:dyDescent="0.25">
      <c r="A600" s="40" t="s">
        <v>306</v>
      </c>
      <c r="B600" s="28">
        <v>785</v>
      </c>
      <c r="C600" s="28" t="s">
        <v>571</v>
      </c>
      <c r="D600" s="28"/>
      <c r="E600" s="41">
        <v>46156</v>
      </c>
      <c r="F600" s="47">
        <v>0.95746527777777779</v>
      </c>
      <c r="G600" s="44">
        <v>6.3</v>
      </c>
      <c r="H600" s="43" t="s">
        <v>1362</v>
      </c>
      <c r="I600" s="40" t="s">
        <v>1361</v>
      </c>
    </row>
    <row r="601" spans="1:9" x14ac:dyDescent="0.25">
      <c r="A601" s="40" t="s">
        <v>306</v>
      </c>
      <c r="B601" s="28">
        <v>785</v>
      </c>
      <c r="C601" s="28" t="s">
        <v>35</v>
      </c>
      <c r="D601" s="28" t="s">
        <v>38</v>
      </c>
      <c r="E601" s="41">
        <v>46156</v>
      </c>
      <c r="F601" s="47">
        <v>0.9902199074074074</v>
      </c>
      <c r="G601" s="44">
        <v>6.3</v>
      </c>
      <c r="H601" s="43" t="s">
        <v>1363</v>
      </c>
      <c r="I601" s="40" t="s">
        <v>1361</v>
      </c>
    </row>
    <row r="602" spans="1:9" x14ac:dyDescent="0.25">
      <c r="A602" s="40" t="s">
        <v>306</v>
      </c>
      <c r="B602" s="28">
        <v>785</v>
      </c>
      <c r="C602" s="28" t="s">
        <v>35</v>
      </c>
      <c r="D602" s="28" t="s">
        <v>38</v>
      </c>
      <c r="E602" s="41">
        <v>46156</v>
      </c>
      <c r="F602" s="47">
        <v>0.99569444444444444</v>
      </c>
      <c r="G602" s="44">
        <v>6.3</v>
      </c>
      <c r="H602" s="43" t="s">
        <v>1364</v>
      </c>
      <c r="I602" s="40" t="s">
        <v>1361</v>
      </c>
    </row>
    <row r="603" spans="1:9" x14ac:dyDescent="0.25">
      <c r="A603" s="40" t="s">
        <v>306</v>
      </c>
      <c r="B603" s="28">
        <v>785</v>
      </c>
      <c r="C603" s="28">
        <v>5669410</v>
      </c>
      <c r="D603" s="28" t="s">
        <v>36</v>
      </c>
      <c r="E603" s="45">
        <v>46157</v>
      </c>
      <c r="F603" s="48">
        <v>2.3668981481481482E-2</v>
      </c>
      <c r="G603" s="44">
        <v>6.3</v>
      </c>
      <c r="H603" s="43" t="s">
        <v>1360</v>
      </c>
      <c r="I603" s="40" t="s">
        <v>1361</v>
      </c>
    </row>
    <row r="604" spans="1:9" x14ac:dyDescent="0.25">
      <c r="A604" s="40" t="s">
        <v>306</v>
      </c>
      <c r="B604" s="28">
        <v>785</v>
      </c>
      <c r="C604" s="28">
        <v>5669410</v>
      </c>
      <c r="D604" s="28" t="s">
        <v>36</v>
      </c>
      <c r="E604" s="41">
        <v>46157</v>
      </c>
      <c r="F604" s="47">
        <v>3.1365740740740743E-2</v>
      </c>
      <c r="G604" s="44">
        <v>6.3</v>
      </c>
      <c r="H604" s="43" t="s">
        <v>1362</v>
      </c>
      <c r="I604" s="40" t="s">
        <v>1361</v>
      </c>
    </row>
    <row r="605" spans="1:9" x14ac:dyDescent="0.25">
      <c r="A605" s="40" t="s">
        <v>306</v>
      </c>
      <c r="B605" s="28">
        <v>785</v>
      </c>
      <c r="C605" s="28">
        <v>5664027</v>
      </c>
      <c r="D605" s="28"/>
      <c r="E605" s="41">
        <v>46157</v>
      </c>
      <c r="F605" s="47">
        <v>8.6203703703703699E-2</v>
      </c>
      <c r="G605" s="44">
        <v>6.3</v>
      </c>
      <c r="H605" s="43" t="s">
        <v>1360</v>
      </c>
      <c r="I605" s="40" t="s">
        <v>1361</v>
      </c>
    </row>
    <row r="606" spans="1:9" x14ac:dyDescent="0.25">
      <c r="A606" s="40" t="s">
        <v>306</v>
      </c>
      <c r="B606" s="28">
        <v>785</v>
      </c>
      <c r="C606" s="28">
        <v>5664027</v>
      </c>
      <c r="D606" s="28"/>
      <c r="E606" s="41">
        <v>46157</v>
      </c>
      <c r="F606" s="47">
        <v>9.4629629629629633E-2</v>
      </c>
      <c r="G606" s="44">
        <v>6.3</v>
      </c>
      <c r="H606" s="43" t="s">
        <v>1362</v>
      </c>
      <c r="I606" s="40" t="s">
        <v>1361</v>
      </c>
    </row>
    <row r="607" spans="1:9" x14ac:dyDescent="0.25">
      <c r="A607" s="40" t="s">
        <v>306</v>
      </c>
      <c r="B607" s="28">
        <v>785</v>
      </c>
      <c r="C607" s="28" t="s">
        <v>35</v>
      </c>
      <c r="D607" s="28" t="s">
        <v>38</v>
      </c>
      <c r="E607" s="41">
        <v>46158</v>
      </c>
      <c r="F607" s="47">
        <v>0.58494212962962966</v>
      </c>
      <c r="G607" s="44">
        <v>6.3</v>
      </c>
      <c r="H607" s="43" t="s">
        <v>1360</v>
      </c>
      <c r="I607" s="40" t="s">
        <v>1365</v>
      </c>
    </row>
    <row r="608" spans="1:9" x14ac:dyDescent="0.25">
      <c r="A608" s="40" t="s">
        <v>306</v>
      </c>
      <c r="B608" s="28">
        <v>785</v>
      </c>
      <c r="C608" s="28" t="s">
        <v>35</v>
      </c>
      <c r="D608" s="28" t="s">
        <v>38</v>
      </c>
      <c r="E608" s="45">
        <v>46158</v>
      </c>
      <c r="F608" s="48">
        <v>0.60037037037037033</v>
      </c>
      <c r="G608" s="44">
        <v>6.3</v>
      </c>
      <c r="H608" s="43" t="s">
        <v>1362</v>
      </c>
      <c r="I608" s="40" t="s">
        <v>1365</v>
      </c>
    </row>
    <row r="609" spans="1:9" x14ac:dyDescent="0.25">
      <c r="A609" s="40" t="s">
        <v>306</v>
      </c>
      <c r="B609" s="28">
        <v>785</v>
      </c>
      <c r="C609" s="28" t="s">
        <v>35</v>
      </c>
      <c r="D609" s="28" t="s">
        <v>38</v>
      </c>
      <c r="E609" s="41">
        <v>46158</v>
      </c>
      <c r="F609" s="47">
        <v>0.9636689814814815</v>
      </c>
      <c r="G609" s="42">
        <v>6.3</v>
      </c>
      <c r="H609" s="40" t="s">
        <v>1363</v>
      </c>
      <c r="I609" s="40" t="s">
        <v>1365</v>
      </c>
    </row>
    <row r="610" spans="1:9" x14ac:dyDescent="0.25">
      <c r="A610" s="40" t="s">
        <v>306</v>
      </c>
      <c r="B610" s="28">
        <v>785</v>
      </c>
      <c r="C610" s="28" t="s">
        <v>35</v>
      </c>
      <c r="D610" s="28" t="s">
        <v>38</v>
      </c>
      <c r="E610" s="45">
        <v>46158</v>
      </c>
      <c r="F610" s="48">
        <v>0.96960648148148143</v>
      </c>
      <c r="G610" s="44">
        <v>6.3</v>
      </c>
      <c r="H610" s="43" t="s">
        <v>1364</v>
      </c>
      <c r="I610" s="40" t="s">
        <v>1365</v>
      </c>
    </row>
    <row r="611" spans="1:9" x14ac:dyDescent="0.25">
      <c r="A611" s="40" t="s">
        <v>306</v>
      </c>
      <c r="B611" s="28">
        <v>785</v>
      </c>
      <c r="C611" s="28">
        <v>5673494</v>
      </c>
      <c r="D611" s="28"/>
      <c r="E611" s="41">
        <v>46159</v>
      </c>
      <c r="F611" s="47">
        <v>0.92864583333333328</v>
      </c>
      <c r="G611" s="44">
        <v>6.3</v>
      </c>
      <c r="H611" s="43" t="s">
        <v>1360</v>
      </c>
      <c r="I611" s="40" t="s">
        <v>1365</v>
      </c>
    </row>
    <row r="612" spans="1:9" x14ac:dyDescent="0.25">
      <c r="A612" s="40" t="s">
        <v>306</v>
      </c>
      <c r="B612" s="28">
        <v>785</v>
      </c>
      <c r="C612" s="28">
        <v>5673494</v>
      </c>
      <c r="D612" s="28"/>
      <c r="E612" s="41">
        <v>46159</v>
      </c>
      <c r="F612" s="47">
        <v>0.93678240740740737</v>
      </c>
      <c r="G612" s="44">
        <v>6.3</v>
      </c>
      <c r="H612" s="43" t="s">
        <v>1362</v>
      </c>
      <c r="I612" s="40" t="s">
        <v>1365</v>
      </c>
    </row>
    <row r="613" spans="1:9" x14ac:dyDescent="0.25">
      <c r="A613" s="40" t="s">
        <v>62</v>
      </c>
      <c r="B613" s="28">
        <v>790</v>
      </c>
      <c r="C613" s="28">
        <v>5664156</v>
      </c>
      <c r="D613" s="28"/>
      <c r="E613" s="41">
        <v>46154</v>
      </c>
      <c r="F613" s="47">
        <v>4.5428240740740741E-2</v>
      </c>
      <c r="G613" s="44">
        <v>6.3</v>
      </c>
      <c r="H613" s="43" t="s">
        <v>1360</v>
      </c>
      <c r="I613" s="40" t="s">
        <v>1361</v>
      </c>
    </row>
    <row r="614" spans="1:9" x14ac:dyDescent="0.25">
      <c r="A614" s="40" t="s">
        <v>62</v>
      </c>
      <c r="B614" s="28">
        <v>790</v>
      </c>
      <c r="C614" s="28">
        <v>5664156</v>
      </c>
      <c r="D614" s="28"/>
      <c r="E614" s="41">
        <v>46154</v>
      </c>
      <c r="F614" s="47">
        <v>5.2141203703703703E-2</v>
      </c>
      <c r="G614" s="44">
        <v>6.3</v>
      </c>
      <c r="H614" s="43" t="s">
        <v>1362</v>
      </c>
      <c r="I614" s="40" t="s">
        <v>1361</v>
      </c>
    </row>
    <row r="615" spans="1:9" x14ac:dyDescent="0.25">
      <c r="A615" s="40" t="s">
        <v>62</v>
      </c>
      <c r="B615" s="28">
        <v>790</v>
      </c>
      <c r="C615" s="28" t="s">
        <v>572</v>
      </c>
      <c r="D615" s="28"/>
      <c r="E615" s="41">
        <v>46154</v>
      </c>
      <c r="F615" s="47">
        <v>0.25928240740740743</v>
      </c>
      <c r="G615" s="44">
        <v>6.3</v>
      </c>
      <c r="H615" s="43" t="s">
        <v>1360</v>
      </c>
      <c r="I615" s="40" t="s">
        <v>1361</v>
      </c>
    </row>
    <row r="616" spans="1:9" x14ac:dyDescent="0.25">
      <c r="A616" s="40" t="s">
        <v>62</v>
      </c>
      <c r="B616" s="28">
        <v>790</v>
      </c>
      <c r="C616" s="28" t="s">
        <v>572</v>
      </c>
      <c r="D616" s="28"/>
      <c r="E616" s="45">
        <v>46154</v>
      </c>
      <c r="F616" s="48">
        <v>0.26951388888888889</v>
      </c>
      <c r="G616" s="44">
        <v>6.3</v>
      </c>
      <c r="H616" s="43" t="s">
        <v>1362</v>
      </c>
      <c r="I616" s="40" t="s">
        <v>1361</v>
      </c>
    </row>
    <row r="617" spans="1:9" x14ac:dyDescent="0.25">
      <c r="A617" s="40" t="s">
        <v>62</v>
      </c>
      <c r="B617" s="28">
        <v>790</v>
      </c>
      <c r="C617" s="28">
        <v>5664261</v>
      </c>
      <c r="D617" s="28"/>
      <c r="E617" s="41">
        <v>46154</v>
      </c>
      <c r="F617" s="47">
        <v>0.3432986111111111</v>
      </c>
      <c r="G617" s="44">
        <v>6.3</v>
      </c>
      <c r="H617" s="43" t="s">
        <v>1363</v>
      </c>
      <c r="I617" s="40" t="s">
        <v>1361</v>
      </c>
    </row>
    <row r="618" spans="1:9" x14ac:dyDescent="0.25">
      <c r="A618" s="40" t="s">
        <v>62</v>
      </c>
      <c r="B618" s="28">
        <v>790</v>
      </c>
      <c r="C618" s="28">
        <v>5664261</v>
      </c>
      <c r="D618" s="28"/>
      <c r="E618" s="41">
        <v>46154</v>
      </c>
      <c r="F618" s="47">
        <v>0.34930555555555554</v>
      </c>
      <c r="G618" s="44">
        <v>6.3</v>
      </c>
      <c r="H618" s="43" t="s">
        <v>1364</v>
      </c>
      <c r="I618" s="40" t="s">
        <v>1361</v>
      </c>
    </row>
    <row r="619" spans="1:9" x14ac:dyDescent="0.25">
      <c r="A619" s="40" t="s">
        <v>62</v>
      </c>
      <c r="B619" s="28">
        <v>790</v>
      </c>
      <c r="C619" s="28" t="s">
        <v>573</v>
      </c>
      <c r="D619" s="28"/>
      <c r="E619" s="41">
        <v>46154</v>
      </c>
      <c r="F619" s="47">
        <v>0.95118055555555558</v>
      </c>
      <c r="G619" s="44">
        <v>6.3</v>
      </c>
      <c r="H619" s="43" t="s">
        <v>1360</v>
      </c>
      <c r="I619" s="40" t="s">
        <v>1361</v>
      </c>
    </row>
    <row r="620" spans="1:9" x14ac:dyDescent="0.25">
      <c r="A620" s="40" t="s">
        <v>62</v>
      </c>
      <c r="B620" s="28">
        <v>790</v>
      </c>
      <c r="C620" s="28" t="s">
        <v>573</v>
      </c>
      <c r="D620" s="28"/>
      <c r="E620" s="41">
        <v>46154</v>
      </c>
      <c r="F620" s="47">
        <v>0.95827546296296295</v>
      </c>
      <c r="G620" s="44">
        <v>6.3</v>
      </c>
      <c r="H620" s="43" t="s">
        <v>1362</v>
      </c>
      <c r="I620" s="40" t="s">
        <v>1361</v>
      </c>
    </row>
    <row r="621" spans="1:9" x14ac:dyDescent="0.25">
      <c r="A621" s="40" t="s">
        <v>62</v>
      </c>
      <c r="B621" s="28">
        <v>790</v>
      </c>
      <c r="C621" s="28">
        <v>5668996</v>
      </c>
      <c r="D621" s="28"/>
      <c r="E621" s="45">
        <v>46156</v>
      </c>
      <c r="F621" s="48">
        <v>0.88807870370370368</v>
      </c>
      <c r="G621" s="44">
        <v>6.3</v>
      </c>
      <c r="H621" s="43" t="s">
        <v>1360</v>
      </c>
      <c r="I621" s="40" t="s">
        <v>1361</v>
      </c>
    </row>
    <row r="622" spans="1:9" x14ac:dyDescent="0.25">
      <c r="A622" s="40" t="s">
        <v>62</v>
      </c>
      <c r="B622" s="28">
        <v>790</v>
      </c>
      <c r="C622" s="28">
        <v>5668996</v>
      </c>
      <c r="D622" s="28"/>
      <c r="E622" s="41">
        <v>46156</v>
      </c>
      <c r="F622" s="47">
        <v>0.89504629629629628</v>
      </c>
      <c r="G622" s="44">
        <v>6.3</v>
      </c>
      <c r="H622" s="43" t="s">
        <v>1362</v>
      </c>
      <c r="I622" s="40" t="s">
        <v>1361</v>
      </c>
    </row>
    <row r="623" spans="1:9" x14ac:dyDescent="0.25">
      <c r="A623" s="40" t="s">
        <v>62</v>
      </c>
      <c r="B623" s="28">
        <v>790</v>
      </c>
      <c r="C623" s="28" t="s">
        <v>35</v>
      </c>
      <c r="D623" s="28" t="s">
        <v>38</v>
      </c>
      <c r="E623" s="41">
        <v>46156</v>
      </c>
      <c r="F623" s="47">
        <v>0.91665509259259259</v>
      </c>
      <c r="G623" s="42">
        <v>6.3</v>
      </c>
      <c r="H623" s="40" t="s">
        <v>1363</v>
      </c>
      <c r="I623" s="40" t="s">
        <v>1361</v>
      </c>
    </row>
    <row r="624" spans="1:9" x14ac:dyDescent="0.25">
      <c r="A624" s="40" t="s">
        <v>62</v>
      </c>
      <c r="B624" s="28">
        <v>790</v>
      </c>
      <c r="C624" s="28">
        <v>5670780</v>
      </c>
      <c r="D624" s="28"/>
      <c r="E624" s="41">
        <v>46157</v>
      </c>
      <c r="F624" s="47">
        <v>0.91706018518518517</v>
      </c>
      <c r="G624" s="42">
        <v>6.3</v>
      </c>
      <c r="H624" s="40" t="s">
        <v>1360</v>
      </c>
      <c r="I624" s="40" t="s">
        <v>1361</v>
      </c>
    </row>
    <row r="625" spans="1:9" x14ac:dyDescent="0.25">
      <c r="A625" s="40" t="s">
        <v>62</v>
      </c>
      <c r="B625" s="28">
        <v>790</v>
      </c>
      <c r="C625" s="28">
        <v>5670780</v>
      </c>
      <c r="D625" s="28"/>
      <c r="E625" s="41">
        <v>46157</v>
      </c>
      <c r="F625" s="47">
        <v>0.9246064814814815</v>
      </c>
      <c r="G625" s="44">
        <v>6.3</v>
      </c>
      <c r="H625" s="43" t="s">
        <v>1362</v>
      </c>
      <c r="I625" s="40" t="s">
        <v>1361</v>
      </c>
    </row>
    <row r="626" spans="1:9" x14ac:dyDescent="0.25">
      <c r="A626" s="40" t="s">
        <v>227</v>
      </c>
      <c r="B626" s="28">
        <v>793</v>
      </c>
      <c r="C626" s="28">
        <v>5665153</v>
      </c>
      <c r="D626" s="28"/>
      <c r="E626" s="45">
        <v>46154</v>
      </c>
      <c r="F626" s="48">
        <v>0.68748842592592596</v>
      </c>
      <c r="G626" s="44">
        <v>6.3</v>
      </c>
      <c r="H626" s="43" t="s">
        <v>1360</v>
      </c>
      <c r="I626" s="40" t="s">
        <v>1361</v>
      </c>
    </row>
    <row r="627" spans="1:9" x14ac:dyDescent="0.25">
      <c r="A627" s="40" t="s">
        <v>227</v>
      </c>
      <c r="B627" s="28">
        <v>793</v>
      </c>
      <c r="C627" s="28">
        <v>5665153</v>
      </c>
      <c r="D627" s="28"/>
      <c r="E627" s="41">
        <v>46154</v>
      </c>
      <c r="F627" s="47">
        <v>0.69831018518518517</v>
      </c>
      <c r="G627" s="44">
        <v>6.3</v>
      </c>
      <c r="H627" s="43" t="s">
        <v>1362</v>
      </c>
      <c r="I627" s="40" t="s">
        <v>1361</v>
      </c>
    </row>
    <row r="628" spans="1:9" x14ac:dyDescent="0.25">
      <c r="A628" s="40" t="s">
        <v>227</v>
      </c>
      <c r="B628" s="28">
        <v>793</v>
      </c>
      <c r="C628" s="28">
        <v>5663575</v>
      </c>
      <c r="D628" s="28"/>
      <c r="E628" s="41">
        <v>46154</v>
      </c>
      <c r="F628" s="47">
        <v>0.8183449074074074</v>
      </c>
      <c r="G628" s="44">
        <v>6.3</v>
      </c>
      <c r="H628" s="43" t="s">
        <v>1363</v>
      </c>
      <c r="I628" s="40" t="s">
        <v>1361</v>
      </c>
    </row>
    <row r="629" spans="1:9" x14ac:dyDescent="0.25">
      <c r="A629" s="40" t="s">
        <v>227</v>
      </c>
      <c r="B629" s="28">
        <v>793</v>
      </c>
      <c r="C629" s="28">
        <v>5663575</v>
      </c>
      <c r="D629" s="28"/>
      <c r="E629" s="41">
        <v>46154</v>
      </c>
      <c r="F629" s="47">
        <v>0.83642361111111108</v>
      </c>
      <c r="G629" s="44">
        <v>6.3</v>
      </c>
      <c r="H629" s="43" t="s">
        <v>1364</v>
      </c>
      <c r="I629" s="40" t="s">
        <v>1361</v>
      </c>
    </row>
    <row r="630" spans="1:9" x14ac:dyDescent="0.25">
      <c r="A630" s="40" t="s">
        <v>227</v>
      </c>
      <c r="B630" s="28">
        <v>793</v>
      </c>
      <c r="C630" s="28" t="s">
        <v>35</v>
      </c>
      <c r="D630" s="28" t="s">
        <v>38</v>
      </c>
      <c r="E630" s="41">
        <v>46155</v>
      </c>
      <c r="F630" s="47">
        <v>0.87146990740740737</v>
      </c>
      <c r="G630" s="44">
        <v>6.3</v>
      </c>
      <c r="H630" s="43" t="s">
        <v>1364</v>
      </c>
      <c r="I630" s="40" t="s">
        <v>1361</v>
      </c>
    </row>
    <row r="631" spans="1:9" x14ac:dyDescent="0.25">
      <c r="A631" s="40" t="s">
        <v>227</v>
      </c>
      <c r="B631" s="28">
        <v>793</v>
      </c>
      <c r="C631" s="28">
        <v>5668088</v>
      </c>
      <c r="D631" s="28"/>
      <c r="E631" s="41">
        <v>46156</v>
      </c>
      <c r="F631" s="47">
        <v>0.74994212962962958</v>
      </c>
      <c r="G631" s="44">
        <v>6.3</v>
      </c>
      <c r="H631" s="43" t="s">
        <v>1360</v>
      </c>
      <c r="I631" s="40" t="s">
        <v>1361</v>
      </c>
    </row>
    <row r="632" spans="1:9" x14ac:dyDescent="0.25">
      <c r="A632" s="40" t="s">
        <v>227</v>
      </c>
      <c r="B632" s="28">
        <v>793</v>
      </c>
      <c r="C632" s="28">
        <v>5668088</v>
      </c>
      <c r="D632" s="28"/>
      <c r="E632" s="45">
        <v>46156</v>
      </c>
      <c r="F632" s="48">
        <v>0.76822916666666663</v>
      </c>
      <c r="G632" s="42">
        <v>6.3</v>
      </c>
      <c r="H632" s="40" t="s">
        <v>1362</v>
      </c>
      <c r="I632" s="40" t="s">
        <v>1361</v>
      </c>
    </row>
    <row r="633" spans="1:9" x14ac:dyDescent="0.25">
      <c r="A633" s="40" t="s">
        <v>227</v>
      </c>
      <c r="B633" s="28">
        <v>793</v>
      </c>
      <c r="C633" s="28" t="s">
        <v>35</v>
      </c>
      <c r="D633" s="28" t="s">
        <v>38</v>
      </c>
      <c r="E633" s="41">
        <v>46156</v>
      </c>
      <c r="F633" s="47">
        <v>0.81806712962962957</v>
      </c>
      <c r="G633" s="44">
        <v>6.3</v>
      </c>
      <c r="H633" s="43" t="s">
        <v>1364</v>
      </c>
      <c r="I633" s="40" t="s">
        <v>1361</v>
      </c>
    </row>
    <row r="634" spans="1:9" x14ac:dyDescent="0.25">
      <c r="A634" s="40" t="s">
        <v>227</v>
      </c>
      <c r="B634" s="28">
        <v>793</v>
      </c>
      <c r="C634" s="28">
        <v>5670423</v>
      </c>
      <c r="D634" s="28"/>
      <c r="E634" s="41">
        <v>46157</v>
      </c>
      <c r="F634" s="47">
        <v>0.68557870370370366</v>
      </c>
      <c r="G634" s="44">
        <v>6.3</v>
      </c>
      <c r="H634" s="43" t="s">
        <v>1360</v>
      </c>
      <c r="I634" s="40" t="s">
        <v>1361</v>
      </c>
    </row>
    <row r="635" spans="1:9" x14ac:dyDescent="0.25">
      <c r="A635" s="40" t="s">
        <v>227</v>
      </c>
      <c r="B635" s="28">
        <v>793</v>
      </c>
      <c r="C635" s="28">
        <v>5670423</v>
      </c>
      <c r="D635" s="28"/>
      <c r="E635" s="41">
        <v>46157</v>
      </c>
      <c r="F635" s="47">
        <v>0.69846064814814812</v>
      </c>
      <c r="G635" s="44">
        <v>6.3</v>
      </c>
      <c r="H635" s="43" t="s">
        <v>1362</v>
      </c>
      <c r="I635" s="40" t="s">
        <v>1361</v>
      </c>
    </row>
    <row r="636" spans="1:9" x14ac:dyDescent="0.25">
      <c r="A636" s="40" t="s">
        <v>227</v>
      </c>
      <c r="B636" s="28">
        <v>793</v>
      </c>
      <c r="C636" s="28" t="s">
        <v>35</v>
      </c>
      <c r="D636" s="28" t="s">
        <v>38</v>
      </c>
      <c r="E636" s="41">
        <v>46157</v>
      </c>
      <c r="F636" s="47">
        <v>0.74195601851851856</v>
      </c>
      <c r="G636" s="42">
        <v>6.3</v>
      </c>
      <c r="H636" s="40" t="s">
        <v>1363</v>
      </c>
      <c r="I636" s="40" t="s">
        <v>1361</v>
      </c>
    </row>
    <row r="637" spans="1:9" x14ac:dyDescent="0.25">
      <c r="A637" s="40" t="s">
        <v>227</v>
      </c>
      <c r="B637" s="28">
        <v>793</v>
      </c>
      <c r="C637" s="28" t="s">
        <v>35</v>
      </c>
      <c r="D637" s="28" t="s">
        <v>38</v>
      </c>
      <c r="E637" s="41">
        <v>46157</v>
      </c>
      <c r="F637" s="47">
        <v>0.77159722222222227</v>
      </c>
      <c r="G637" s="42">
        <v>6.3</v>
      </c>
      <c r="H637" s="40" t="s">
        <v>1364</v>
      </c>
      <c r="I637" s="40" t="s">
        <v>1361</v>
      </c>
    </row>
    <row r="638" spans="1:9" x14ac:dyDescent="0.25">
      <c r="A638" s="40" t="s">
        <v>227</v>
      </c>
      <c r="B638" s="28">
        <v>793</v>
      </c>
      <c r="C638" s="28">
        <v>5670802</v>
      </c>
      <c r="D638" s="28" t="s">
        <v>36</v>
      </c>
      <c r="E638" s="41">
        <v>46157</v>
      </c>
      <c r="F638" s="47">
        <v>0.81877314814814817</v>
      </c>
      <c r="G638" s="44">
        <v>6.3</v>
      </c>
      <c r="H638" s="43" t="s">
        <v>1360</v>
      </c>
      <c r="I638" s="40" t="s">
        <v>1361</v>
      </c>
    </row>
    <row r="639" spans="1:9" x14ac:dyDescent="0.25">
      <c r="A639" s="40" t="s">
        <v>227</v>
      </c>
      <c r="B639" s="28">
        <v>793</v>
      </c>
      <c r="C639" s="28">
        <v>5670802</v>
      </c>
      <c r="D639" s="28" t="s">
        <v>36</v>
      </c>
      <c r="E639" s="45">
        <v>46157</v>
      </c>
      <c r="F639" s="48">
        <v>0.84221064814814817</v>
      </c>
      <c r="G639" s="44">
        <v>6.3</v>
      </c>
      <c r="H639" s="43" t="s">
        <v>1362</v>
      </c>
      <c r="I639" s="40" t="s">
        <v>1361</v>
      </c>
    </row>
    <row r="640" spans="1:9" x14ac:dyDescent="0.25">
      <c r="A640" s="40" t="s">
        <v>227</v>
      </c>
      <c r="B640" s="28">
        <v>793</v>
      </c>
      <c r="C640" s="28" t="s">
        <v>35</v>
      </c>
      <c r="D640" s="28" t="s">
        <v>38</v>
      </c>
      <c r="E640" s="41">
        <v>46159</v>
      </c>
      <c r="F640" s="47">
        <v>0.69887731481481485</v>
      </c>
      <c r="G640" s="44">
        <v>6.3</v>
      </c>
      <c r="H640" s="43" t="s">
        <v>1362</v>
      </c>
      <c r="I640" s="40" t="s">
        <v>1365</v>
      </c>
    </row>
    <row r="641" spans="1:9" x14ac:dyDescent="0.25">
      <c r="A641" s="40" t="s">
        <v>227</v>
      </c>
      <c r="B641" s="28">
        <v>793</v>
      </c>
      <c r="C641" s="28" t="s">
        <v>35</v>
      </c>
      <c r="D641" s="28" t="s">
        <v>38</v>
      </c>
      <c r="E641" s="41">
        <v>46159</v>
      </c>
      <c r="F641" s="47">
        <v>0.71968750000000004</v>
      </c>
      <c r="G641" s="44">
        <v>6.3</v>
      </c>
      <c r="H641" s="43" t="s">
        <v>1363</v>
      </c>
      <c r="I641" s="40" t="s">
        <v>1365</v>
      </c>
    </row>
    <row r="642" spans="1:9" x14ac:dyDescent="0.25">
      <c r="A642" s="40" t="s">
        <v>494</v>
      </c>
      <c r="B642" s="28">
        <v>794</v>
      </c>
      <c r="C642" s="28" t="s">
        <v>35</v>
      </c>
      <c r="D642" s="28" t="s">
        <v>38</v>
      </c>
      <c r="E642" s="41">
        <v>46157</v>
      </c>
      <c r="F642" s="47">
        <v>0.79396990740740736</v>
      </c>
      <c r="G642" s="44">
        <v>6.3</v>
      </c>
      <c r="H642" s="43" t="s">
        <v>1360</v>
      </c>
      <c r="I642" s="40" t="s">
        <v>1361</v>
      </c>
    </row>
    <row r="643" spans="1:9" x14ac:dyDescent="0.25">
      <c r="A643" s="40" t="s">
        <v>494</v>
      </c>
      <c r="B643" s="28">
        <v>794</v>
      </c>
      <c r="C643" s="28" t="s">
        <v>35</v>
      </c>
      <c r="D643" s="28" t="s">
        <v>38</v>
      </c>
      <c r="E643" s="41">
        <v>46157</v>
      </c>
      <c r="F643" s="47">
        <v>0.83304398148148151</v>
      </c>
      <c r="G643" s="44">
        <v>6.3</v>
      </c>
      <c r="H643" s="43" t="s">
        <v>1364</v>
      </c>
      <c r="I643" s="40" t="s">
        <v>1361</v>
      </c>
    </row>
    <row r="644" spans="1:9" x14ac:dyDescent="0.25">
      <c r="A644" s="40" t="s">
        <v>494</v>
      </c>
      <c r="B644" s="28">
        <v>794</v>
      </c>
      <c r="C644" s="28">
        <v>5668073</v>
      </c>
      <c r="D644" s="28" t="s">
        <v>36</v>
      </c>
      <c r="E644" s="41">
        <v>46157</v>
      </c>
      <c r="F644" s="47">
        <v>0.87818287037037035</v>
      </c>
      <c r="G644" s="44">
        <v>6.3</v>
      </c>
      <c r="H644" s="43" t="s">
        <v>1360</v>
      </c>
      <c r="I644" s="40" t="s">
        <v>1361</v>
      </c>
    </row>
    <row r="645" spans="1:9" x14ac:dyDescent="0.25">
      <c r="A645" s="40" t="s">
        <v>494</v>
      </c>
      <c r="B645" s="28">
        <v>794</v>
      </c>
      <c r="C645" s="28">
        <v>5668073</v>
      </c>
      <c r="D645" s="28" t="s">
        <v>36</v>
      </c>
      <c r="E645" s="41">
        <v>46157</v>
      </c>
      <c r="F645" s="47">
        <v>0.8853819444444444</v>
      </c>
      <c r="G645" s="44">
        <v>6.3</v>
      </c>
      <c r="H645" s="43" t="s">
        <v>1362</v>
      </c>
      <c r="I645" s="40" t="s">
        <v>1361</v>
      </c>
    </row>
    <row r="646" spans="1:9" x14ac:dyDescent="0.25">
      <c r="A646" s="40" t="s">
        <v>494</v>
      </c>
      <c r="B646" s="28">
        <v>794</v>
      </c>
      <c r="C646" s="28" t="s">
        <v>574</v>
      </c>
      <c r="D646" s="28"/>
      <c r="E646" s="45">
        <v>46159</v>
      </c>
      <c r="F646" s="48">
        <v>0.95337962962962963</v>
      </c>
      <c r="G646" s="44">
        <v>6.3</v>
      </c>
      <c r="H646" s="43" t="s">
        <v>1360</v>
      </c>
      <c r="I646" s="40" t="s">
        <v>1365</v>
      </c>
    </row>
    <row r="647" spans="1:9" x14ac:dyDescent="0.25">
      <c r="A647" s="40" t="s">
        <v>494</v>
      </c>
      <c r="B647" s="28">
        <v>794</v>
      </c>
      <c r="C647" s="28" t="s">
        <v>574</v>
      </c>
      <c r="D647" s="28"/>
      <c r="E647" s="45">
        <v>46159</v>
      </c>
      <c r="F647" s="48">
        <v>0.96021990740740737</v>
      </c>
      <c r="G647" s="44">
        <v>6.3</v>
      </c>
      <c r="H647" s="43" t="s">
        <v>1362</v>
      </c>
      <c r="I647" s="40" t="s">
        <v>1365</v>
      </c>
    </row>
    <row r="648" spans="1:9" x14ac:dyDescent="0.25">
      <c r="A648" s="40" t="s">
        <v>494</v>
      </c>
      <c r="B648" s="28">
        <v>794</v>
      </c>
      <c r="C648" s="28" t="s">
        <v>35</v>
      </c>
      <c r="D648" s="28" t="s">
        <v>38</v>
      </c>
      <c r="E648" s="41">
        <v>46159</v>
      </c>
      <c r="F648" s="47">
        <v>0.97583333333333333</v>
      </c>
      <c r="G648" s="44">
        <v>6.3</v>
      </c>
      <c r="H648" s="43" t="s">
        <v>1363</v>
      </c>
      <c r="I648" s="40" t="s">
        <v>1365</v>
      </c>
    </row>
    <row r="649" spans="1:9" x14ac:dyDescent="0.25">
      <c r="A649" s="40" t="s">
        <v>63</v>
      </c>
      <c r="B649" s="28">
        <v>795</v>
      </c>
      <c r="C649" s="28">
        <v>5663181</v>
      </c>
      <c r="D649" s="28"/>
      <c r="E649" s="41">
        <v>46153</v>
      </c>
      <c r="F649" s="47">
        <v>0.66950231481481481</v>
      </c>
      <c r="G649" s="44">
        <v>6.3</v>
      </c>
      <c r="H649" s="43" t="s">
        <v>1360</v>
      </c>
      <c r="I649" s="40" t="s">
        <v>1361</v>
      </c>
    </row>
    <row r="650" spans="1:9" x14ac:dyDescent="0.25">
      <c r="A650" s="40" t="s">
        <v>63</v>
      </c>
      <c r="B650" s="28">
        <v>795</v>
      </c>
      <c r="C650" s="28">
        <v>5663181</v>
      </c>
      <c r="D650" s="28"/>
      <c r="E650" s="41">
        <v>46153</v>
      </c>
      <c r="F650" s="47">
        <v>0.67744212962962957</v>
      </c>
      <c r="G650" s="44">
        <v>6.3</v>
      </c>
      <c r="H650" s="43" t="s">
        <v>1362</v>
      </c>
      <c r="I650" s="40" t="s">
        <v>1361</v>
      </c>
    </row>
    <row r="651" spans="1:9" x14ac:dyDescent="0.25">
      <c r="A651" s="40" t="s">
        <v>63</v>
      </c>
      <c r="B651" s="28">
        <v>795</v>
      </c>
      <c r="C651" s="28">
        <v>5663748</v>
      </c>
      <c r="D651" s="28"/>
      <c r="E651" s="45">
        <v>46153</v>
      </c>
      <c r="F651" s="48">
        <v>0.87042824074074077</v>
      </c>
      <c r="G651" s="44">
        <v>6.3</v>
      </c>
      <c r="H651" s="43" t="s">
        <v>1360</v>
      </c>
      <c r="I651" s="40" t="s">
        <v>1361</v>
      </c>
    </row>
    <row r="652" spans="1:9" x14ac:dyDescent="0.25">
      <c r="A652" s="40" t="s">
        <v>63</v>
      </c>
      <c r="B652" s="28">
        <v>795</v>
      </c>
      <c r="C652" s="28">
        <v>5663748</v>
      </c>
      <c r="D652" s="28"/>
      <c r="E652" s="45">
        <v>46153</v>
      </c>
      <c r="F652" s="48">
        <v>0.877349537037037</v>
      </c>
      <c r="G652" s="44">
        <v>6.3</v>
      </c>
      <c r="H652" s="43" t="s">
        <v>1362</v>
      </c>
      <c r="I652" s="40" t="s">
        <v>1361</v>
      </c>
    </row>
    <row r="653" spans="1:9" x14ac:dyDescent="0.25">
      <c r="A653" s="40" t="s">
        <v>63</v>
      </c>
      <c r="B653" s="28">
        <v>795</v>
      </c>
      <c r="C653" s="28" t="s">
        <v>35</v>
      </c>
      <c r="D653" s="28" t="s">
        <v>38</v>
      </c>
      <c r="E653" s="41">
        <v>46153</v>
      </c>
      <c r="F653" s="47">
        <v>0.94231481481481483</v>
      </c>
      <c r="G653" s="44">
        <v>6.3</v>
      </c>
      <c r="H653" s="43" t="s">
        <v>1363</v>
      </c>
      <c r="I653" s="40" t="s">
        <v>1361</v>
      </c>
    </row>
    <row r="654" spans="1:9" x14ac:dyDescent="0.25">
      <c r="A654" s="40" t="s">
        <v>63</v>
      </c>
      <c r="B654" s="28">
        <v>795</v>
      </c>
      <c r="C654" s="28" t="s">
        <v>35</v>
      </c>
      <c r="D654" s="28" t="s">
        <v>38</v>
      </c>
      <c r="E654" s="45">
        <v>46153</v>
      </c>
      <c r="F654" s="48">
        <v>0.94699074074074074</v>
      </c>
      <c r="G654" s="44">
        <v>6.3</v>
      </c>
      <c r="H654" s="43" t="s">
        <v>1364</v>
      </c>
      <c r="I654" s="40" t="s">
        <v>1361</v>
      </c>
    </row>
    <row r="655" spans="1:9" x14ac:dyDescent="0.25">
      <c r="A655" s="40" t="s">
        <v>63</v>
      </c>
      <c r="B655" s="28">
        <v>795</v>
      </c>
      <c r="C655" s="28" t="s">
        <v>575</v>
      </c>
      <c r="D655" s="28"/>
      <c r="E655" s="41">
        <v>46153</v>
      </c>
      <c r="F655" s="47">
        <v>0.9946180555555556</v>
      </c>
      <c r="G655" s="44">
        <v>6.3</v>
      </c>
      <c r="H655" s="43" t="s">
        <v>1360</v>
      </c>
      <c r="I655" s="40" t="s">
        <v>1361</v>
      </c>
    </row>
    <row r="656" spans="1:9" x14ac:dyDescent="0.25">
      <c r="A656" s="40" t="s">
        <v>63</v>
      </c>
      <c r="B656" s="28">
        <v>795</v>
      </c>
      <c r="C656" s="28" t="s">
        <v>575</v>
      </c>
      <c r="D656" s="28"/>
      <c r="E656" s="41">
        <v>46154</v>
      </c>
      <c r="F656" s="47">
        <v>1.0879629629629629E-3</v>
      </c>
      <c r="G656" s="44">
        <v>6.3</v>
      </c>
      <c r="H656" s="43" t="s">
        <v>1368</v>
      </c>
      <c r="I656" s="40" t="s">
        <v>1361</v>
      </c>
    </row>
    <row r="657" spans="1:9" x14ac:dyDescent="0.25">
      <c r="A657" s="40" t="s">
        <v>63</v>
      </c>
      <c r="B657" s="28">
        <v>795</v>
      </c>
      <c r="C657" s="28" t="s">
        <v>35</v>
      </c>
      <c r="D657" s="28" t="s">
        <v>38</v>
      </c>
      <c r="E657" s="41">
        <v>46154</v>
      </c>
      <c r="F657" s="47">
        <v>0.18375</v>
      </c>
      <c r="G657" s="44">
        <v>6.3</v>
      </c>
      <c r="H657" s="43" t="s">
        <v>1369</v>
      </c>
      <c r="I657" s="40" t="s">
        <v>1361</v>
      </c>
    </row>
    <row r="658" spans="1:9" x14ac:dyDescent="0.25">
      <c r="A658" s="40" t="s">
        <v>63</v>
      </c>
      <c r="B658" s="28">
        <v>795</v>
      </c>
      <c r="C658" s="28" t="s">
        <v>35</v>
      </c>
      <c r="D658" s="28" t="s">
        <v>38</v>
      </c>
      <c r="E658" s="45">
        <v>46154</v>
      </c>
      <c r="F658" s="48">
        <v>0.18864583333333335</v>
      </c>
      <c r="G658" s="44">
        <v>6.3</v>
      </c>
      <c r="H658" s="43" t="s">
        <v>1364</v>
      </c>
      <c r="I658" s="40" t="s">
        <v>1361</v>
      </c>
    </row>
    <row r="659" spans="1:9" x14ac:dyDescent="0.25">
      <c r="A659" s="40" t="s">
        <v>63</v>
      </c>
      <c r="B659" s="28">
        <v>795</v>
      </c>
      <c r="C659" s="28">
        <v>5666089</v>
      </c>
      <c r="D659" s="28"/>
      <c r="E659" s="41">
        <v>46155</v>
      </c>
      <c r="F659" s="47">
        <v>0.43293981481481481</v>
      </c>
      <c r="G659" s="44">
        <v>6.3</v>
      </c>
      <c r="H659" s="43" t="s">
        <v>1360</v>
      </c>
      <c r="I659" s="40" t="s">
        <v>1361</v>
      </c>
    </row>
    <row r="660" spans="1:9" x14ac:dyDescent="0.25">
      <c r="A660" s="40" t="s">
        <v>63</v>
      </c>
      <c r="B660" s="28">
        <v>795</v>
      </c>
      <c r="C660" s="28" t="s">
        <v>35</v>
      </c>
      <c r="D660" s="28" t="s">
        <v>38</v>
      </c>
      <c r="E660" s="41">
        <v>46155</v>
      </c>
      <c r="F660" s="47">
        <v>0.46049768518518519</v>
      </c>
      <c r="G660" s="42">
        <v>6.3</v>
      </c>
      <c r="H660" s="40" t="s">
        <v>1364</v>
      </c>
      <c r="I660" s="40" t="s">
        <v>1361</v>
      </c>
    </row>
    <row r="661" spans="1:9" x14ac:dyDescent="0.25">
      <c r="A661" s="40" t="s">
        <v>63</v>
      </c>
      <c r="B661" s="28">
        <v>795</v>
      </c>
      <c r="C661" s="28" t="s">
        <v>576</v>
      </c>
      <c r="D661" s="28"/>
      <c r="E661" s="45">
        <v>46156</v>
      </c>
      <c r="F661" s="48">
        <v>0.75935185185185183</v>
      </c>
      <c r="G661" s="42">
        <v>6.3</v>
      </c>
      <c r="H661" s="40" t="s">
        <v>1360</v>
      </c>
      <c r="I661" s="40" t="s">
        <v>1361</v>
      </c>
    </row>
    <row r="662" spans="1:9" x14ac:dyDescent="0.25">
      <c r="A662" s="40" t="s">
        <v>63</v>
      </c>
      <c r="B662" s="28">
        <v>795</v>
      </c>
      <c r="C662" s="28" t="s">
        <v>576</v>
      </c>
      <c r="D662" s="28"/>
      <c r="E662" s="41">
        <v>46156</v>
      </c>
      <c r="F662" s="47">
        <v>0.77640046296296295</v>
      </c>
      <c r="G662" s="44">
        <v>6.3</v>
      </c>
      <c r="H662" s="43" t="s">
        <v>1362</v>
      </c>
      <c r="I662" s="40" t="s">
        <v>1361</v>
      </c>
    </row>
    <row r="663" spans="1:9" x14ac:dyDescent="0.25">
      <c r="A663" s="40" t="s">
        <v>63</v>
      </c>
      <c r="B663" s="28">
        <v>795</v>
      </c>
      <c r="C663" s="28">
        <v>5671139</v>
      </c>
      <c r="D663" s="28"/>
      <c r="E663" s="41">
        <v>46158</v>
      </c>
      <c r="F663" s="47">
        <v>2.2847222222222224E-2</v>
      </c>
      <c r="G663" s="44">
        <v>6.3</v>
      </c>
      <c r="H663" s="43" t="s">
        <v>1360</v>
      </c>
      <c r="I663" s="40" t="s">
        <v>1365</v>
      </c>
    </row>
    <row r="664" spans="1:9" x14ac:dyDescent="0.25">
      <c r="A664" s="40" t="s">
        <v>63</v>
      </c>
      <c r="B664" s="28">
        <v>795</v>
      </c>
      <c r="C664" s="28">
        <v>5671139</v>
      </c>
      <c r="D664" s="28"/>
      <c r="E664" s="41">
        <v>46158</v>
      </c>
      <c r="F664" s="47">
        <v>3.0046296296296297E-2</v>
      </c>
      <c r="G664" s="44">
        <v>6.3</v>
      </c>
      <c r="H664" s="43" t="s">
        <v>1362</v>
      </c>
      <c r="I664" s="40" t="s">
        <v>1365</v>
      </c>
    </row>
    <row r="665" spans="1:9" x14ac:dyDescent="0.25">
      <c r="A665" s="40" t="s">
        <v>63</v>
      </c>
      <c r="B665" s="28">
        <v>795</v>
      </c>
      <c r="C665" s="28" t="s">
        <v>35</v>
      </c>
      <c r="D665" s="28" t="s">
        <v>38</v>
      </c>
      <c r="E665" s="41">
        <v>46159</v>
      </c>
      <c r="F665" s="47">
        <v>0.63659722222222226</v>
      </c>
      <c r="G665" s="44">
        <v>6.3</v>
      </c>
      <c r="H665" s="43" t="s">
        <v>1363</v>
      </c>
      <c r="I665" s="40" t="s">
        <v>1365</v>
      </c>
    </row>
    <row r="666" spans="1:9" x14ac:dyDescent="0.25">
      <c r="A666" s="40" t="s">
        <v>63</v>
      </c>
      <c r="B666" s="28">
        <v>795</v>
      </c>
      <c r="C666" s="28" t="s">
        <v>35</v>
      </c>
      <c r="D666" s="28" t="s">
        <v>38</v>
      </c>
      <c r="E666" s="41">
        <v>46159</v>
      </c>
      <c r="F666" s="47">
        <v>0.64144675925925931</v>
      </c>
      <c r="G666" s="44">
        <v>6.3</v>
      </c>
      <c r="H666" s="43" t="s">
        <v>1364</v>
      </c>
      <c r="I666" s="40" t="s">
        <v>1365</v>
      </c>
    </row>
    <row r="667" spans="1:9" x14ac:dyDescent="0.25">
      <c r="A667" s="40" t="s">
        <v>401</v>
      </c>
      <c r="B667" s="28">
        <v>803</v>
      </c>
      <c r="C667" s="28">
        <v>5663779</v>
      </c>
      <c r="D667" s="28"/>
      <c r="E667" s="45">
        <v>46153</v>
      </c>
      <c r="F667" s="48">
        <v>0.88458333333333339</v>
      </c>
      <c r="G667" s="44">
        <v>6.3</v>
      </c>
      <c r="H667" s="43" t="s">
        <v>1360</v>
      </c>
      <c r="I667" s="40" t="s">
        <v>1361</v>
      </c>
    </row>
    <row r="668" spans="1:9" x14ac:dyDescent="0.25">
      <c r="A668" s="40" t="s">
        <v>401</v>
      </c>
      <c r="B668" s="28">
        <v>803</v>
      </c>
      <c r="C668" s="28">
        <v>5663779</v>
      </c>
      <c r="D668" s="28"/>
      <c r="E668" s="41">
        <v>46153</v>
      </c>
      <c r="F668" s="47">
        <v>0.89072916666666668</v>
      </c>
      <c r="G668" s="44">
        <v>6.3</v>
      </c>
      <c r="H668" s="43" t="s">
        <v>1362</v>
      </c>
      <c r="I668" s="40" t="s">
        <v>1361</v>
      </c>
    </row>
    <row r="669" spans="1:9" x14ac:dyDescent="0.25">
      <c r="A669" s="40" t="s">
        <v>401</v>
      </c>
      <c r="B669" s="28">
        <v>803</v>
      </c>
      <c r="C669" s="28" t="s">
        <v>35</v>
      </c>
      <c r="D669" s="28" t="s">
        <v>38</v>
      </c>
      <c r="E669" s="41">
        <v>46153</v>
      </c>
      <c r="F669" s="47">
        <v>0.91321759259259261</v>
      </c>
      <c r="G669" s="44">
        <v>6.3</v>
      </c>
      <c r="H669" s="43" t="s">
        <v>1363</v>
      </c>
      <c r="I669" s="40" t="s">
        <v>1361</v>
      </c>
    </row>
    <row r="670" spans="1:9" x14ac:dyDescent="0.25">
      <c r="A670" s="40" t="s">
        <v>401</v>
      </c>
      <c r="B670" s="28">
        <v>803</v>
      </c>
      <c r="C670" s="28" t="s">
        <v>35</v>
      </c>
      <c r="D670" s="28" t="s">
        <v>38</v>
      </c>
      <c r="E670" s="41">
        <v>46153</v>
      </c>
      <c r="F670" s="47">
        <v>0.91819444444444442</v>
      </c>
      <c r="G670" s="44">
        <v>6.3</v>
      </c>
      <c r="H670" s="43" t="s">
        <v>1364</v>
      </c>
      <c r="I670" s="40" t="s">
        <v>1361</v>
      </c>
    </row>
    <row r="671" spans="1:9" x14ac:dyDescent="0.25">
      <c r="A671" s="40" t="s">
        <v>401</v>
      </c>
      <c r="B671" s="28">
        <v>803</v>
      </c>
      <c r="C671" s="28">
        <v>5666405</v>
      </c>
      <c r="D671" s="28"/>
      <c r="E671" s="41">
        <v>46155</v>
      </c>
      <c r="F671" s="47">
        <v>0.70259259259259255</v>
      </c>
      <c r="G671" s="44">
        <v>6.3</v>
      </c>
      <c r="H671" s="43" t="s">
        <v>1363</v>
      </c>
      <c r="I671" s="40" t="s">
        <v>1361</v>
      </c>
    </row>
    <row r="672" spans="1:9" x14ac:dyDescent="0.25">
      <c r="A672" s="40" t="s">
        <v>401</v>
      </c>
      <c r="B672" s="28">
        <v>803</v>
      </c>
      <c r="C672" s="28">
        <v>5666405</v>
      </c>
      <c r="D672" s="28"/>
      <c r="E672" s="41">
        <v>46155</v>
      </c>
      <c r="F672" s="47">
        <v>0.71276620370370369</v>
      </c>
      <c r="G672" s="44">
        <v>6.3</v>
      </c>
      <c r="H672" s="43" t="s">
        <v>1364</v>
      </c>
      <c r="I672" s="40" t="s">
        <v>1361</v>
      </c>
    </row>
    <row r="673" spans="1:9" x14ac:dyDescent="0.25">
      <c r="A673" s="40" t="s">
        <v>401</v>
      </c>
      <c r="B673" s="28">
        <v>803</v>
      </c>
      <c r="C673" s="28">
        <v>5667257</v>
      </c>
      <c r="D673" s="28"/>
      <c r="E673" s="41">
        <v>46155</v>
      </c>
      <c r="F673" s="47">
        <v>0.8245717592592593</v>
      </c>
      <c r="G673" s="44">
        <v>6.3</v>
      </c>
      <c r="H673" s="43" t="s">
        <v>1360</v>
      </c>
      <c r="I673" s="40" t="s">
        <v>1361</v>
      </c>
    </row>
    <row r="674" spans="1:9" x14ac:dyDescent="0.25">
      <c r="A674" s="40" t="s">
        <v>401</v>
      </c>
      <c r="B674" s="28">
        <v>803</v>
      </c>
      <c r="C674" s="28" t="s">
        <v>35</v>
      </c>
      <c r="D674" s="28" t="s">
        <v>38</v>
      </c>
      <c r="E674" s="41">
        <v>46155</v>
      </c>
      <c r="F674" s="47">
        <v>0.90547453703703706</v>
      </c>
      <c r="G674" s="44">
        <v>6.3</v>
      </c>
      <c r="H674" s="43" t="s">
        <v>1369</v>
      </c>
      <c r="I674" s="40" t="s">
        <v>1361</v>
      </c>
    </row>
    <row r="675" spans="1:9" x14ac:dyDescent="0.25">
      <c r="A675" s="40" t="s">
        <v>401</v>
      </c>
      <c r="B675" s="28">
        <v>803</v>
      </c>
      <c r="C675" s="28" t="s">
        <v>35</v>
      </c>
      <c r="D675" s="28" t="s">
        <v>38</v>
      </c>
      <c r="E675" s="41">
        <v>46156</v>
      </c>
      <c r="F675" s="47">
        <v>0.65057870370370374</v>
      </c>
      <c r="G675" s="44">
        <v>6.3</v>
      </c>
      <c r="H675" s="43" t="s">
        <v>1363</v>
      </c>
      <c r="I675" s="40" t="s">
        <v>1361</v>
      </c>
    </row>
    <row r="676" spans="1:9" x14ac:dyDescent="0.25">
      <c r="A676" s="40" t="s">
        <v>401</v>
      </c>
      <c r="B676" s="28">
        <v>803</v>
      </c>
      <c r="C676" s="28">
        <v>5669164</v>
      </c>
      <c r="D676" s="28"/>
      <c r="E676" s="41">
        <v>46156</v>
      </c>
      <c r="F676" s="47">
        <v>0.90362268518518518</v>
      </c>
      <c r="G676" s="44">
        <v>6.3</v>
      </c>
      <c r="H676" s="43" t="s">
        <v>1364</v>
      </c>
      <c r="I676" s="40" t="s">
        <v>1361</v>
      </c>
    </row>
    <row r="677" spans="1:9" x14ac:dyDescent="0.25">
      <c r="A677" s="40" t="s">
        <v>401</v>
      </c>
      <c r="B677" s="28">
        <v>803</v>
      </c>
      <c r="C677" s="28" t="s">
        <v>35</v>
      </c>
      <c r="D677" s="28" t="s">
        <v>38</v>
      </c>
      <c r="E677" s="41">
        <v>46158</v>
      </c>
      <c r="F677" s="47">
        <v>0.47512731481481479</v>
      </c>
      <c r="G677" s="44">
        <v>6.3</v>
      </c>
      <c r="H677" s="43" t="s">
        <v>1360</v>
      </c>
      <c r="I677" s="40" t="s">
        <v>1365</v>
      </c>
    </row>
    <row r="678" spans="1:9" x14ac:dyDescent="0.25">
      <c r="A678" s="40" t="s">
        <v>64</v>
      </c>
      <c r="B678" s="28">
        <v>807</v>
      </c>
      <c r="C678" s="28" t="s">
        <v>577</v>
      </c>
      <c r="D678" s="28"/>
      <c r="E678" s="41">
        <v>46154</v>
      </c>
      <c r="F678" s="47">
        <v>0.68353009259259256</v>
      </c>
      <c r="G678" s="44">
        <v>6.3</v>
      </c>
      <c r="H678" s="43" t="s">
        <v>1360</v>
      </c>
      <c r="I678" s="40" t="s">
        <v>1361</v>
      </c>
    </row>
    <row r="679" spans="1:9" x14ac:dyDescent="0.25">
      <c r="A679" s="40" t="s">
        <v>64</v>
      </c>
      <c r="B679" s="28">
        <v>807</v>
      </c>
      <c r="C679" s="28" t="s">
        <v>577</v>
      </c>
      <c r="D679" s="28"/>
      <c r="E679" s="41">
        <v>46154</v>
      </c>
      <c r="F679" s="47">
        <v>0.69437499999999996</v>
      </c>
      <c r="G679" s="44">
        <v>6.3</v>
      </c>
      <c r="H679" s="43" t="s">
        <v>1362</v>
      </c>
      <c r="I679" s="40" t="s">
        <v>1361</v>
      </c>
    </row>
    <row r="680" spans="1:9" x14ac:dyDescent="0.25">
      <c r="A680" s="40" t="s">
        <v>64</v>
      </c>
      <c r="B680" s="28">
        <v>807</v>
      </c>
      <c r="C680" s="28">
        <v>5664679</v>
      </c>
      <c r="D680" s="28"/>
      <c r="E680" s="41">
        <v>46154</v>
      </c>
      <c r="F680" s="47">
        <v>0.7528125</v>
      </c>
      <c r="G680" s="44">
        <v>6.3</v>
      </c>
      <c r="H680" s="43" t="s">
        <v>1363</v>
      </c>
      <c r="I680" s="40" t="s">
        <v>1361</v>
      </c>
    </row>
    <row r="681" spans="1:9" x14ac:dyDescent="0.25">
      <c r="A681" s="40" t="s">
        <v>64</v>
      </c>
      <c r="B681" s="28">
        <v>807</v>
      </c>
      <c r="C681" s="28">
        <v>5664679</v>
      </c>
      <c r="D681" s="28"/>
      <c r="E681" s="41">
        <v>46154</v>
      </c>
      <c r="F681" s="47">
        <v>0.77672453703703703</v>
      </c>
      <c r="G681" s="44">
        <v>6.3</v>
      </c>
      <c r="H681" s="43" t="s">
        <v>1364</v>
      </c>
      <c r="I681" s="40" t="s">
        <v>1361</v>
      </c>
    </row>
    <row r="682" spans="1:9" x14ac:dyDescent="0.25">
      <c r="A682" s="40" t="s">
        <v>64</v>
      </c>
      <c r="B682" s="28">
        <v>807</v>
      </c>
      <c r="C682" s="28" t="s">
        <v>35</v>
      </c>
      <c r="D682" s="28" t="s">
        <v>38</v>
      </c>
      <c r="E682" s="41">
        <v>46155</v>
      </c>
      <c r="F682" s="47">
        <v>0.62709490740740736</v>
      </c>
      <c r="G682" s="44">
        <v>6.3</v>
      </c>
      <c r="H682" s="43" t="s">
        <v>1363</v>
      </c>
      <c r="I682" s="40" t="s">
        <v>1361</v>
      </c>
    </row>
    <row r="683" spans="1:9" x14ac:dyDescent="0.25">
      <c r="A683" s="40" t="s">
        <v>64</v>
      </c>
      <c r="B683" s="28">
        <v>807</v>
      </c>
      <c r="C683" s="28" t="s">
        <v>35</v>
      </c>
      <c r="D683" s="28" t="s">
        <v>38</v>
      </c>
      <c r="E683" s="41">
        <v>46155</v>
      </c>
      <c r="F683" s="47">
        <v>0.63334490740740745</v>
      </c>
      <c r="G683" s="44">
        <v>6.3</v>
      </c>
      <c r="H683" s="43" t="s">
        <v>1364</v>
      </c>
      <c r="I683" s="40" t="s">
        <v>1361</v>
      </c>
    </row>
    <row r="684" spans="1:9" x14ac:dyDescent="0.25">
      <c r="A684" s="40" t="s">
        <v>64</v>
      </c>
      <c r="B684" s="28">
        <v>807</v>
      </c>
      <c r="C684" s="28" t="s">
        <v>578</v>
      </c>
      <c r="D684" s="28"/>
      <c r="E684" s="41">
        <v>46156</v>
      </c>
      <c r="F684" s="47">
        <v>0.6614930555555556</v>
      </c>
      <c r="G684" s="44">
        <v>6.3</v>
      </c>
      <c r="H684" s="43" t="s">
        <v>1360</v>
      </c>
      <c r="I684" s="40" t="s">
        <v>1361</v>
      </c>
    </row>
    <row r="685" spans="1:9" x14ac:dyDescent="0.25">
      <c r="A685" s="40" t="s">
        <v>64</v>
      </c>
      <c r="B685" s="28">
        <v>807</v>
      </c>
      <c r="C685" s="28" t="s">
        <v>578</v>
      </c>
      <c r="D685" s="28"/>
      <c r="E685" s="41">
        <v>46156</v>
      </c>
      <c r="F685" s="47">
        <v>0.67681712962962959</v>
      </c>
      <c r="G685" s="44">
        <v>6.3</v>
      </c>
      <c r="H685" s="43" t="s">
        <v>1362</v>
      </c>
      <c r="I685" s="40" t="s">
        <v>1361</v>
      </c>
    </row>
    <row r="686" spans="1:9" x14ac:dyDescent="0.25">
      <c r="A686" s="40" t="s">
        <v>64</v>
      </c>
      <c r="B686" s="28">
        <v>807</v>
      </c>
      <c r="C686" s="28" t="s">
        <v>35</v>
      </c>
      <c r="D686" s="28" t="s">
        <v>38</v>
      </c>
      <c r="E686" s="45">
        <v>46156</v>
      </c>
      <c r="F686" s="48">
        <v>0.70465277777777779</v>
      </c>
      <c r="G686" s="44">
        <v>6.3</v>
      </c>
      <c r="H686" s="43" t="s">
        <v>1363</v>
      </c>
      <c r="I686" s="40" t="s">
        <v>1361</v>
      </c>
    </row>
    <row r="687" spans="1:9" x14ac:dyDescent="0.25">
      <c r="A687" s="40" t="s">
        <v>64</v>
      </c>
      <c r="B687" s="28">
        <v>807</v>
      </c>
      <c r="C687" s="28">
        <v>5667171</v>
      </c>
      <c r="D687" s="28"/>
      <c r="E687" s="41">
        <v>46156</v>
      </c>
      <c r="F687" s="47">
        <v>0.7688194444444445</v>
      </c>
      <c r="G687" s="44">
        <v>6.3</v>
      </c>
      <c r="H687" s="43" t="s">
        <v>1363</v>
      </c>
      <c r="I687" s="40" t="s">
        <v>1361</v>
      </c>
    </row>
    <row r="688" spans="1:9" x14ac:dyDescent="0.25">
      <c r="A688" s="40" t="s">
        <v>64</v>
      </c>
      <c r="B688" s="28">
        <v>807</v>
      </c>
      <c r="C688" s="28">
        <v>5667171</v>
      </c>
      <c r="D688" s="28"/>
      <c r="E688" s="41">
        <v>46156</v>
      </c>
      <c r="F688" s="47">
        <v>0.7829976851851852</v>
      </c>
      <c r="G688" s="44">
        <v>6.3</v>
      </c>
      <c r="H688" s="43" t="s">
        <v>1364</v>
      </c>
      <c r="I688" s="40" t="s">
        <v>1361</v>
      </c>
    </row>
    <row r="689" spans="1:9" x14ac:dyDescent="0.25">
      <c r="A689" s="40" t="s">
        <v>64</v>
      </c>
      <c r="B689" s="28">
        <v>807</v>
      </c>
      <c r="C689" s="28">
        <v>5669774</v>
      </c>
      <c r="D689" s="28"/>
      <c r="E689" s="45">
        <v>46157</v>
      </c>
      <c r="F689" s="48">
        <v>0.45586805555555554</v>
      </c>
      <c r="G689" s="42">
        <v>6.3</v>
      </c>
      <c r="H689" s="40" t="s">
        <v>1360</v>
      </c>
      <c r="I689" s="40" t="s">
        <v>1361</v>
      </c>
    </row>
    <row r="690" spans="1:9" x14ac:dyDescent="0.25">
      <c r="A690" s="40" t="s">
        <v>64</v>
      </c>
      <c r="B690" s="28">
        <v>807</v>
      </c>
      <c r="C690" s="28">
        <v>5669774</v>
      </c>
      <c r="D690" s="28"/>
      <c r="E690" s="41">
        <v>46157</v>
      </c>
      <c r="F690" s="47">
        <v>0.46785879629629629</v>
      </c>
      <c r="G690" s="42">
        <v>6.3</v>
      </c>
      <c r="H690" s="40" t="s">
        <v>1368</v>
      </c>
      <c r="I690" s="40" t="s">
        <v>1361</v>
      </c>
    </row>
    <row r="691" spans="1:9" x14ac:dyDescent="0.25">
      <c r="A691" s="40" t="s">
        <v>64</v>
      </c>
      <c r="B691" s="28">
        <v>807</v>
      </c>
      <c r="C691" s="28" t="s">
        <v>35</v>
      </c>
      <c r="D691" s="28" t="s">
        <v>38</v>
      </c>
      <c r="E691" s="41">
        <v>46157</v>
      </c>
      <c r="F691" s="47">
        <v>0.51748842592592592</v>
      </c>
      <c r="G691" s="44">
        <v>6.3</v>
      </c>
      <c r="H691" s="43" t="s">
        <v>1369</v>
      </c>
      <c r="I691" s="40" t="s">
        <v>1361</v>
      </c>
    </row>
    <row r="692" spans="1:9" x14ac:dyDescent="0.25">
      <c r="A692" s="40" t="s">
        <v>64</v>
      </c>
      <c r="B692" s="28">
        <v>807</v>
      </c>
      <c r="C692" s="28" t="s">
        <v>35</v>
      </c>
      <c r="D692" s="28" t="s">
        <v>38</v>
      </c>
      <c r="E692" s="41">
        <v>46158</v>
      </c>
      <c r="F692" s="47">
        <v>0.40513888888888888</v>
      </c>
      <c r="G692" s="44">
        <v>6.3</v>
      </c>
      <c r="H692" s="43" t="s">
        <v>1363</v>
      </c>
      <c r="I692" s="40" t="s">
        <v>1365</v>
      </c>
    </row>
    <row r="693" spans="1:9" x14ac:dyDescent="0.25">
      <c r="A693" s="40" t="s">
        <v>64</v>
      </c>
      <c r="B693" s="28">
        <v>807</v>
      </c>
      <c r="C693" s="28" t="s">
        <v>579</v>
      </c>
      <c r="D693" s="28"/>
      <c r="E693" s="41">
        <v>46159</v>
      </c>
      <c r="F693" s="47">
        <v>0.50179398148148147</v>
      </c>
      <c r="G693" s="44">
        <v>6.3</v>
      </c>
      <c r="H693" s="43" t="s">
        <v>1360</v>
      </c>
      <c r="I693" s="40" t="s">
        <v>1365</v>
      </c>
    </row>
    <row r="694" spans="1:9" x14ac:dyDescent="0.25">
      <c r="A694" s="40" t="s">
        <v>64</v>
      </c>
      <c r="B694" s="28">
        <v>807</v>
      </c>
      <c r="C694" s="28" t="s">
        <v>579</v>
      </c>
      <c r="D694" s="28"/>
      <c r="E694" s="41">
        <v>46159</v>
      </c>
      <c r="F694" s="47">
        <v>0.50848379629629625</v>
      </c>
      <c r="G694" s="44">
        <v>6.3</v>
      </c>
      <c r="H694" s="43" t="s">
        <v>1362</v>
      </c>
      <c r="I694" s="40" t="s">
        <v>1365</v>
      </c>
    </row>
    <row r="695" spans="1:9" x14ac:dyDescent="0.25">
      <c r="A695" s="40" t="s">
        <v>321</v>
      </c>
      <c r="B695" s="28">
        <v>818</v>
      </c>
      <c r="C695" s="28" t="s">
        <v>35</v>
      </c>
      <c r="D695" s="28" t="s">
        <v>38</v>
      </c>
      <c r="E695" s="41">
        <v>46153</v>
      </c>
      <c r="F695" s="47">
        <v>0.76035879629629632</v>
      </c>
      <c r="G695" s="44">
        <v>6.3</v>
      </c>
      <c r="H695" s="43" t="s">
        <v>1369</v>
      </c>
      <c r="I695" s="40" t="s">
        <v>1361</v>
      </c>
    </row>
    <row r="696" spans="1:9" x14ac:dyDescent="0.25">
      <c r="A696" s="40" t="s">
        <v>321</v>
      </c>
      <c r="B696" s="28">
        <v>818</v>
      </c>
      <c r="C696" s="28" t="s">
        <v>35</v>
      </c>
      <c r="D696" s="28" t="s">
        <v>38</v>
      </c>
      <c r="E696" s="41">
        <v>46154</v>
      </c>
      <c r="F696" s="47">
        <v>0.72629629629629633</v>
      </c>
      <c r="G696" s="44">
        <v>6.3</v>
      </c>
      <c r="H696" s="43" t="s">
        <v>1369</v>
      </c>
      <c r="I696" s="40" t="s">
        <v>1361</v>
      </c>
    </row>
    <row r="697" spans="1:9" x14ac:dyDescent="0.25">
      <c r="A697" s="40" t="s">
        <v>321</v>
      </c>
      <c r="B697" s="28">
        <v>818</v>
      </c>
      <c r="C697" s="28" t="s">
        <v>35</v>
      </c>
      <c r="D697" s="28" t="s">
        <v>38</v>
      </c>
      <c r="E697" s="41">
        <v>46154</v>
      </c>
      <c r="F697" s="47">
        <v>0.74942129629629628</v>
      </c>
      <c r="G697" s="44">
        <v>6.3</v>
      </c>
      <c r="H697" s="43" t="s">
        <v>1364</v>
      </c>
      <c r="I697" s="40" t="s">
        <v>1361</v>
      </c>
    </row>
    <row r="698" spans="1:9" x14ac:dyDescent="0.25">
      <c r="A698" s="40" t="s">
        <v>321</v>
      </c>
      <c r="B698" s="28">
        <v>818</v>
      </c>
      <c r="C698" s="28" t="s">
        <v>35</v>
      </c>
      <c r="D698" s="28" t="s">
        <v>38</v>
      </c>
      <c r="E698" s="41">
        <v>46155</v>
      </c>
      <c r="F698" s="47">
        <v>0.87329861111111107</v>
      </c>
      <c r="G698" s="44">
        <v>6.3</v>
      </c>
      <c r="H698" s="43" t="s">
        <v>1370</v>
      </c>
      <c r="I698" s="40" t="s">
        <v>1361</v>
      </c>
    </row>
    <row r="699" spans="1:9" x14ac:dyDescent="0.25">
      <c r="A699" s="40" t="s">
        <v>321</v>
      </c>
      <c r="B699" s="28">
        <v>818</v>
      </c>
      <c r="C699" s="28" t="s">
        <v>35</v>
      </c>
      <c r="D699" s="28" t="s">
        <v>38</v>
      </c>
      <c r="E699" s="41">
        <v>46155</v>
      </c>
      <c r="F699" s="47">
        <v>0.87827546296296299</v>
      </c>
      <c r="G699" s="44">
        <v>6.3</v>
      </c>
      <c r="H699" s="43" t="s">
        <v>1364</v>
      </c>
      <c r="I699" s="40" t="s">
        <v>1361</v>
      </c>
    </row>
    <row r="700" spans="1:9" x14ac:dyDescent="0.25">
      <c r="A700" s="40" t="s">
        <v>321</v>
      </c>
      <c r="B700" s="28">
        <v>818</v>
      </c>
      <c r="C700" s="28">
        <v>5667636</v>
      </c>
      <c r="D700" s="28"/>
      <c r="E700" s="41">
        <v>46155</v>
      </c>
      <c r="F700" s="47">
        <v>0.99006944444444445</v>
      </c>
      <c r="G700" s="44">
        <v>6.3</v>
      </c>
      <c r="H700" s="43" t="s">
        <v>1360</v>
      </c>
      <c r="I700" s="40" t="s">
        <v>1361</v>
      </c>
    </row>
    <row r="701" spans="1:9" x14ac:dyDescent="0.25">
      <c r="A701" s="40" t="s">
        <v>321</v>
      </c>
      <c r="B701" s="28">
        <v>818</v>
      </c>
      <c r="C701" s="28">
        <v>5667636</v>
      </c>
      <c r="D701" s="28"/>
      <c r="E701" s="41">
        <v>46155</v>
      </c>
      <c r="F701" s="47">
        <v>0.99652777777777779</v>
      </c>
      <c r="G701" s="44">
        <v>6.3</v>
      </c>
      <c r="H701" s="43" t="s">
        <v>1368</v>
      </c>
      <c r="I701" s="40" t="s">
        <v>1361</v>
      </c>
    </row>
    <row r="702" spans="1:9" x14ac:dyDescent="0.25">
      <c r="A702" s="40" t="s">
        <v>321</v>
      </c>
      <c r="B702" s="28">
        <v>818</v>
      </c>
      <c r="C702" s="28" t="s">
        <v>35</v>
      </c>
      <c r="D702" s="28" t="s">
        <v>38</v>
      </c>
      <c r="E702" s="41">
        <v>46156</v>
      </c>
      <c r="F702" s="47">
        <v>0.87894675925925925</v>
      </c>
      <c r="G702" s="42">
        <v>6.3</v>
      </c>
      <c r="H702" s="40" t="s">
        <v>1370</v>
      </c>
      <c r="I702" s="40" t="s">
        <v>1361</v>
      </c>
    </row>
    <row r="703" spans="1:9" x14ac:dyDescent="0.25">
      <c r="A703" s="40" t="s">
        <v>321</v>
      </c>
      <c r="B703" s="28">
        <v>818</v>
      </c>
      <c r="C703" s="28" t="s">
        <v>35</v>
      </c>
      <c r="D703" s="28" t="s">
        <v>38</v>
      </c>
      <c r="E703" s="45">
        <v>46156</v>
      </c>
      <c r="F703" s="48">
        <v>0.88885416666666661</v>
      </c>
      <c r="G703" s="44">
        <v>6.3</v>
      </c>
      <c r="H703" s="43" t="s">
        <v>1364</v>
      </c>
      <c r="I703" s="40" t="s">
        <v>1361</v>
      </c>
    </row>
    <row r="704" spans="1:9" x14ac:dyDescent="0.25">
      <c r="A704" s="40" t="s">
        <v>321</v>
      </c>
      <c r="B704" s="28">
        <v>818</v>
      </c>
      <c r="C704" s="28">
        <v>5666507</v>
      </c>
      <c r="D704" s="28"/>
      <c r="E704" s="45">
        <v>46156</v>
      </c>
      <c r="F704" s="48">
        <v>0.92258101851851848</v>
      </c>
      <c r="G704" s="44">
        <v>6.3</v>
      </c>
      <c r="H704" s="43" t="s">
        <v>1360</v>
      </c>
      <c r="I704" s="40" t="s">
        <v>1361</v>
      </c>
    </row>
    <row r="705" spans="1:9" x14ac:dyDescent="0.25">
      <c r="A705" s="40" t="s">
        <v>321</v>
      </c>
      <c r="B705" s="28">
        <v>818</v>
      </c>
      <c r="C705" s="28">
        <v>5666507</v>
      </c>
      <c r="D705" s="28"/>
      <c r="E705" s="41">
        <v>46156</v>
      </c>
      <c r="F705" s="47">
        <v>0.92950231481481482</v>
      </c>
      <c r="G705" s="42">
        <v>6.3</v>
      </c>
      <c r="H705" s="40" t="s">
        <v>1362</v>
      </c>
      <c r="I705" s="40" t="s">
        <v>1361</v>
      </c>
    </row>
    <row r="706" spans="1:9" x14ac:dyDescent="0.25">
      <c r="A706" s="40" t="s">
        <v>321</v>
      </c>
      <c r="B706" s="28">
        <v>818</v>
      </c>
      <c r="C706" s="28" t="s">
        <v>35</v>
      </c>
      <c r="D706" s="28" t="s">
        <v>38</v>
      </c>
      <c r="E706" s="45">
        <v>46156</v>
      </c>
      <c r="F706" s="48">
        <v>0.95885416666666667</v>
      </c>
      <c r="G706" s="44">
        <v>6.3</v>
      </c>
      <c r="H706" s="43" t="s">
        <v>1364</v>
      </c>
      <c r="I706" s="40" t="s">
        <v>1361</v>
      </c>
    </row>
    <row r="707" spans="1:9" x14ac:dyDescent="0.25">
      <c r="A707" s="40" t="s">
        <v>321</v>
      </c>
      <c r="B707" s="28">
        <v>818</v>
      </c>
      <c r="C707" s="28" t="s">
        <v>35</v>
      </c>
      <c r="D707" s="28" t="s">
        <v>38</v>
      </c>
      <c r="E707" s="41">
        <v>46157</v>
      </c>
      <c r="F707" s="47">
        <v>0.88108796296296299</v>
      </c>
      <c r="G707" s="44">
        <v>6.3</v>
      </c>
      <c r="H707" s="43" t="s">
        <v>1364</v>
      </c>
      <c r="I707" s="40" t="s">
        <v>1361</v>
      </c>
    </row>
    <row r="708" spans="1:9" x14ac:dyDescent="0.25">
      <c r="A708" s="40" t="s">
        <v>321</v>
      </c>
      <c r="B708" s="28">
        <v>818</v>
      </c>
      <c r="C708" s="28" t="s">
        <v>580</v>
      </c>
      <c r="D708" s="28"/>
      <c r="E708" s="41">
        <v>46158</v>
      </c>
      <c r="F708" s="47">
        <v>0.56334490740740739</v>
      </c>
      <c r="G708" s="44">
        <v>6.3</v>
      </c>
      <c r="H708" s="43" t="s">
        <v>1360</v>
      </c>
      <c r="I708" s="40" t="s">
        <v>1365</v>
      </c>
    </row>
    <row r="709" spans="1:9" x14ac:dyDescent="0.25">
      <c r="A709" s="40" t="s">
        <v>321</v>
      </c>
      <c r="B709" s="28">
        <v>818</v>
      </c>
      <c r="C709" s="28" t="s">
        <v>35</v>
      </c>
      <c r="D709" s="28" t="s">
        <v>38</v>
      </c>
      <c r="E709" s="41">
        <v>46158</v>
      </c>
      <c r="F709" s="47">
        <v>0.64548611111111109</v>
      </c>
      <c r="G709" s="44">
        <v>6.3</v>
      </c>
      <c r="H709" s="43" t="s">
        <v>1364</v>
      </c>
      <c r="I709" s="40" t="s">
        <v>1365</v>
      </c>
    </row>
    <row r="710" spans="1:9" x14ac:dyDescent="0.25">
      <c r="A710" s="40" t="s">
        <v>321</v>
      </c>
      <c r="B710" s="28">
        <v>818</v>
      </c>
      <c r="C710" s="28">
        <v>5671861</v>
      </c>
      <c r="D710" s="28"/>
      <c r="E710" s="45">
        <v>46158</v>
      </c>
      <c r="F710" s="48">
        <v>0.82916666666666672</v>
      </c>
      <c r="G710" s="44">
        <v>6.3</v>
      </c>
      <c r="H710" s="43" t="s">
        <v>1360</v>
      </c>
      <c r="I710" s="40" t="s">
        <v>1365</v>
      </c>
    </row>
    <row r="711" spans="1:9" x14ac:dyDescent="0.25">
      <c r="A711" s="40" t="s">
        <v>321</v>
      </c>
      <c r="B711" s="28">
        <v>818</v>
      </c>
      <c r="C711" s="28">
        <v>5671861</v>
      </c>
      <c r="D711" s="28"/>
      <c r="E711" s="41">
        <v>46158</v>
      </c>
      <c r="F711" s="47">
        <v>0.83657407407407403</v>
      </c>
      <c r="G711" s="44">
        <v>6.3</v>
      </c>
      <c r="H711" s="43" t="s">
        <v>1362</v>
      </c>
      <c r="I711" s="40" t="s">
        <v>1365</v>
      </c>
    </row>
    <row r="712" spans="1:9" x14ac:dyDescent="0.25">
      <c r="A712" s="40" t="s">
        <v>321</v>
      </c>
      <c r="B712" s="28">
        <v>818</v>
      </c>
      <c r="C712" s="28">
        <v>5671908</v>
      </c>
      <c r="D712" s="28"/>
      <c r="E712" s="45">
        <v>46158</v>
      </c>
      <c r="F712" s="48">
        <v>0.9181597222222222</v>
      </c>
      <c r="G712" s="42">
        <v>6.3</v>
      </c>
      <c r="H712" s="40" t="s">
        <v>1363</v>
      </c>
      <c r="I712" s="40" t="s">
        <v>1365</v>
      </c>
    </row>
    <row r="713" spans="1:9" x14ac:dyDescent="0.25">
      <c r="A713" s="40" t="s">
        <v>321</v>
      </c>
      <c r="B713" s="28">
        <v>818</v>
      </c>
      <c r="C713" s="28">
        <v>5671908</v>
      </c>
      <c r="D713" s="28"/>
      <c r="E713" s="45">
        <v>46158</v>
      </c>
      <c r="F713" s="48">
        <v>0.92334490740740738</v>
      </c>
      <c r="G713" s="42">
        <v>6.3</v>
      </c>
      <c r="H713" s="40" t="s">
        <v>1364</v>
      </c>
      <c r="I713" s="40" t="s">
        <v>1365</v>
      </c>
    </row>
    <row r="714" spans="1:9" x14ac:dyDescent="0.25">
      <c r="A714" s="40" t="s">
        <v>321</v>
      </c>
      <c r="B714" s="28">
        <v>818</v>
      </c>
      <c r="C714" s="28" t="s">
        <v>35</v>
      </c>
      <c r="D714" s="28" t="s">
        <v>38</v>
      </c>
      <c r="E714" s="41">
        <v>46159</v>
      </c>
      <c r="F714" s="47">
        <v>0.53057870370370375</v>
      </c>
      <c r="G714" s="42">
        <v>6.3</v>
      </c>
      <c r="H714" s="40" t="s">
        <v>1364</v>
      </c>
      <c r="I714" s="40" t="s">
        <v>1365</v>
      </c>
    </row>
    <row r="715" spans="1:9" x14ac:dyDescent="0.25">
      <c r="A715" s="40" t="s">
        <v>321</v>
      </c>
      <c r="B715" s="28">
        <v>818</v>
      </c>
      <c r="C715" s="28">
        <v>5672522</v>
      </c>
      <c r="D715" s="28"/>
      <c r="E715" s="41">
        <v>46159</v>
      </c>
      <c r="F715" s="47">
        <v>0.7386342592592593</v>
      </c>
      <c r="G715" s="42">
        <v>6.3</v>
      </c>
      <c r="H715" s="40" t="s">
        <v>1360</v>
      </c>
      <c r="I715" s="40" t="s">
        <v>1365</v>
      </c>
    </row>
    <row r="716" spans="1:9" x14ac:dyDescent="0.25">
      <c r="A716" s="40" t="s">
        <v>321</v>
      </c>
      <c r="B716" s="28">
        <v>818</v>
      </c>
      <c r="C716" s="28">
        <v>5672522</v>
      </c>
      <c r="D716" s="28"/>
      <c r="E716" s="45">
        <v>46159</v>
      </c>
      <c r="F716" s="48">
        <v>0.74527777777777782</v>
      </c>
      <c r="G716" s="44">
        <v>6.3</v>
      </c>
      <c r="H716" s="43" t="s">
        <v>1362</v>
      </c>
      <c r="I716" s="40" t="s">
        <v>1365</v>
      </c>
    </row>
    <row r="717" spans="1:9" x14ac:dyDescent="0.25">
      <c r="A717" s="40" t="s">
        <v>185</v>
      </c>
      <c r="B717" s="28">
        <v>821</v>
      </c>
      <c r="C717" s="28" t="s">
        <v>581</v>
      </c>
      <c r="D717" s="28"/>
      <c r="E717" s="41">
        <v>46153</v>
      </c>
      <c r="F717" s="47">
        <v>0.47170138888888891</v>
      </c>
      <c r="G717" s="44">
        <v>6.3</v>
      </c>
      <c r="H717" s="43" t="s">
        <v>1360</v>
      </c>
      <c r="I717" s="40" t="s">
        <v>1361</v>
      </c>
    </row>
    <row r="718" spans="1:9" x14ac:dyDescent="0.25">
      <c r="A718" s="40" t="s">
        <v>185</v>
      </c>
      <c r="B718" s="28">
        <v>821</v>
      </c>
      <c r="C718" s="28" t="s">
        <v>581</v>
      </c>
      <c r="D718" s="28"/>
      <c r="E718" s="45">
        <v>46153</v>
      </c>
      <c r="F718" s="48">
        <v>0.49820601851851853</v>
      </c>
      <c r="G718" s="44">
        <v>6.3</v>
      </c>
      <c r="H718" s="43" t="s">
        <v>1363</v>
      </c>
      <c r="I718" s="40" t="s">
        <v>1361</v>
      </c>
    </row>
    <row r="719" spans="1:9" x14ac:dyDescent="0.25">
      <c r="A719" s="40" t="s">
        <v>185</v>
      </c>
      <c r="B719" s="28">
        <v>821</v>
      </c>
      <c r="C719" s="28">
        <v>5662688</v>
      </c>
      <c r="D719" s="28"/>
      <c r="E719" s="41">
        <v>46153</v>
      </c>
      <c r="F719" s="47">
        <v>0.5822222222222222</v>
      </c>
      <c r="G719" s="44">
        <v>6.3</v>
      </c>
      <c r="H719" s="43" t="s">
        <v>1360</v>
      </c>
      <c r="I719" s="40" t="s">
        <v>1361</v>
      </c>
    </row>
    <row r="720" spans="1:9" x14ac:dyDescent="0.25">
      <c r="A720" s="40" t="s">
        <v>185</v>
      </c>
      <c r="B720" s="28">
        <v>821</v>
      </c>
      <c r="C720" s="28">
        <v>5662688</v>
      </c>
      <c r="D720" s="28"/>
      <c r="E720" s="45">
        <v>46153</v>
      </c>
      <c r="F720" s="48">
        <v>0.59077546296296302</v>
      </c>
      <c r="G720" s="44">
        <v>6.3</v>
      </c>
      <c r="H720" s="43" t="s">
        <v>1368</v>
      </c>
      <c r="I720" s="40" t="s">
        <v>1361</v>
      </c>
    </row>
    <row r="721" spans="1:9" x14ac:dyDescent="0.25">
      <c r="A721" s="40" t="s">
        <v>185</v>
      </c>
      <c r="B721" s="28">
        <v>821</v>
      </c>
      <c r="C721" s="28" t="s">
        <v>35</v>
      </c>
      <c r="D721" s="28" t="s">
        <v>38</v>
      </c>
      <c r="E721" s="45">
        <v>46153</v>
      </c>
      <c r="F721" s="48">
        <v>0.61763888888888885</v>
      </c>
      <c r="G721" s="44">
        <v>6.3</v>
      </c>
      <c r="H721" s="43" t="s">
        <v>1369</v>
      </c>
      <c r="I721" s="40" t="s">
        <v>1361</v>
      </c>
    </row>
    <row r="722" spans="1:9" x14ac:dyDescent="0.25">
      <c r="A722" s="40" t="s">
        <v>185</v>
      </c>
      <c r="B722" s="28">
        <v>821</v>
      </c>
      <c r="C722" s="28">
        <v>5669876</v>
      </c>
      <c r="D722" s="28"/>
      <c r="E722" s="41">
        <v>46157</v>
      </c>
      <c r="F722" s="47">
        <v>0.60946759259259264</v>
      </c>
      <c r="G722" s="44">
        <v>6.3</v>
      </c>
      <c r="H722" s="43" t="s">
        <v>1360</v>
      </c>
      <c r="I722" s="40" t="s">
        <v>1361</v>
      </c>
    </row>
    <row r="723" spans="1:9" x14ac:dyDescent="0.25">
      <c r="A723" s="40" t="s">
        <v>185</v>
      </c>
      <c r="B723" s="28">
        <v>821</v>
      </c>
      <c r="C723" s="28">
        <v>5669876</v>
      </c>
      <c r="D723" s="28"/>
      <c r="E723" s="41">
        <v>46157</v>
      </c>
      <c r="F723" s="47">
        <v>0.62062499999999998</v>
      </c>
      <c r="G723" s="44">
        <v>6.3</v>
      </c>
      <c r="H723" s="43" t="s">
        <v>1368</v>
      </c>
      <c r="I723" s="40" t="s">
        <v>1361</v>
      </c>
    </row>
    <row r="724" spans="1:9" x14ac:dyDescent="0.25">
      <c r="A724" s="40" t="s">
        <v>185</v>
      </c>
      <c r="B724" s="28">
        <v>821</v>
      </c>
      <c r="C724" s="28">
        <v>5670867</v>
      </c>
      <c r="D724" s="28"/>
      <c r="E724" s="41">
        <v>46158</v>
      </c>
      <c r="F724" s="47">
        <v>0.39664351851851853</v>
      </c>
      <c r="G724" s="44">
        <v>6.3</v>
      </c>
      <c r="H724" s="43" t="s">
        <v>1360</v>
      </c>
      <c r="I724" s="40" t="s">
        <v>1365</v>
      </c>
    </row>
    <row r="725" spans="1:9" x14ac:dyDescent="0.25">
      <c r="A725" s="40" t="s">
        <v>185</v>
      </c>
      <c r="B725" s="28">
        <v>821</v>
      </c>
      <c r="C725" s="28" t="s">
        <v>35</v>
      </c>
      <c r="D725" s="28" t="s">
        <v>38</v>
      </c>
      <c r="E725" s="41">
        <v>46159</v>
      </c>
      <c r="F725" s="47">
        <v>0.46461805555555558</v>
      </c>
      <c r="G725" s="44">
        <v>6.3</v>
      </c>
      <c r="H725" s="43" t="s">
        <v>1363</v>
      </c>
      <c r="I725" s="40" t="s">
        <v>1365</v>
      </c>
    </row>
    <row r="726" spans="1:9" x14ac:dyDescent="0.25">
      <c r="A726" s="40" t="s">
        <v>248</v>
      </c>
      <c r="B726" s="28">
        <v>826</v>
      </c>
      <c r="C726" s="28" t="s">
        <v>582</v>
      </c>
      <c r="D726" s="28"/>
      <c r="E726" s="41">
        <v>46153</v>
      </c>
      <c r="F726" s="47">
        <v>0.82796296296296301</v>
      </c>
      <c r="G726" s="44">
        <v>6.3</v>
      </c>
      <c r="H726" s="43" t="s">
        <v>1360</v>
      </c>
      <c r="I726" s="40" t="s">
        <v>1361</v>
      </c>
    </row>
    <row r="727" spans="1:9" x14ac:dyDescent="0.25">
      <c r="A727" s="40" t="s">
        <v>248</v>
      </c>
      <c r="B727" s="28">
        <v>826</v>
      </c>
      <c r="C727" s="28" t="s">
        <v>582</v>
      </c>
      <c r="D727" s="28"/>
      <c r="E727" s="41">
        <v>46153</v>
      </c>
      <c r="F727" s="47">
        <v>0.83608796296296295</v>
      </c>
      <c r="G727" s="44">
        <v>6.3</v>
      </c>
      <c r="H727" s="43" t="s">
        <v>1362</v>
      </c>
      <c r="I727" s="40" t="s">
        <v>1361</v>
      </c>
    </row>
    <row r="728" spans="1:9" x14ac:dyDescent="0.25">
      <c r="A728" s="40" t="s">
        <v>248</v>
      </c>
      <c r="B728" s="28">
        <v>826</v>
      </c>
      <c r="C728" s="28">
        <v>5663784</v>
      </c>
      <c r="D728" s="28" t="s">
        <v>37</v>
      </c>
      <c r="E728" s="41">
        <v>46154</v>
      </c>
      <c r="F728" s="47">
        <v>0.25368055555555558</v>
      </c>
      <c r="G728" s="44">
        <v>6.3</v>
      </c>
      <c r="H728" s="43" t="s">
        <v>1363</v>
      </c>
      <c r="I728" s="40" t="s">
        <v>1361</v>
      </c>
    </row>
    <row r="729" spans="1:9" x14ac:dyDescent="0.25">
      <c r="A729" s="40" t="s">
        <v>248</v>
      </c>
      <c r="B729" s="28">
        <v>826</v>
      </c>
      <c r="C729" s="28">
        <v>5663784</v>
      </c>
      <c r="D729" s="28" t="s">
        <v>37</v>
      </c>
      <c r="E729" s="45">
        <v>46154</v>
      </c>
      <c r="F729" s="48">
        <v>0.25943287037037038</v>
      </c>
      <c r="G729" s="44">
        <v>6.3</v>
      </c>
      <c r="H729" s="43" t="s">
        <v>1364</v>
      </c>
      <c r="I729" s="40" t="s">
        <v>1361</v>
      </c>
    </row>
    <row r="730" spans="1:9" x14ac:dyDescent="0.25">
      <c r="A730" s="40" t="s">
        <v>248</v>
      </c>
      <c r="B730" s="28">
        <v>826</v>
      </c>
      <c r="C730" s="28" t="s">
        <v>35</v>
      </c>
      <c r="D730" s="28" t="s">
        <v>38</v>
      </c>
      <c r="E730" s="41">
        <v>46154</v>
      </c>
      <c r="F730" s="47">
        <v>0.94964120370370375</v>
      </c>
      <c r="G730" s="44">
        <v>6.3</v>
      </c>
      <c r="H730" s="43" t="s">
        <v>1360</v>
      </c>
      <c r="I730" s="40" t="s">
        <v>1361</v>
      </c>
    </row>
    <row r="731" spans="1:9" x14ac:dyDescent="0.25">
      <c r="A731" s="40" t="s">
        <v>248</v>
      </c>
      <c r="B731" s="28">
        <v>826</v>
      </c>
      <c r="C731" s="28">
        <v>5669384</v>
      </c>
      <c r="D731" s="28"/>
      <c r="E731" s="41">
        <v>46156</v>
      </c>
      <c r="F731" s="47">
        <v>0.99454861111111115</v>
      </c>
      <c r="G731" s="44">
        <v>6.3</v>
      </c>
      <c r="H731" s="43" t="s">
        <v>1360</v>
      </c>
      <c r="I731" s="40" t="s">
        <v>1361</v>
      </c>
    </row>
    <row r="732" spans="1:9" x14ac:dyDescent="0.25">
      <c r="A732" s="40" t="s">
        <v>248</v>
      </c>
      <c r="B732" s="28">
        <v>826</v>
      </c>
      <c r="C732" s="28">
        <v>5673012</v>
      </c>
      <c r="D732" s="28"/>
      <c r="E732" s="41">
        <v>46159</v>
      </c>
      <c r="F732" s="47">
        <v>0.64490740740740737</v>
      </c>
      <c r="G732" s="44">
        <v>6.3</v>
      </c>
      <c r="H732" s="43" t="s">
        <v>1360</v>
      </c>
      <c r="I732" s="40" t="s">
        <v>1365</v>
      </c>
    </row>
    <row r="733" spans="1:9" x14ac:dyDescent="0.25">
      <c r="A733" s="40" t="s">
        <v>248</v>
      </c>
      <c r="B733" s="28">
        <v>826</v>
      </c>
      <c r="C733" s="28">
        <v>5673012</v>
      </c>
      <c r="D733" s="28"/>
      <c r="E733" s="41">
        <v>46159</v>
      </c>
      <c r="F733" s="47">
        <v>0.65234953703703702</v>
      </c>
      <c r="G733" s="44">
        <v>6.3</v>
      </c>
      <c r="H733" s="43" t="s">
        <v>1362</v>
      </c>
      <c r="I733" s="40" t="s">
        <v>1365</v>
      </c>
    </row>
    <row r="734" spans="1:9" x14ac:dyDescent="0.25">
      <c r="A734" s="40" t="s">
        <v>248</v>
      </c>
      <c r="B734" s="28">
        <v>826</v>
      </c>
      <c r="C734" s="28">
        <v>5651632</v>
      </c>
      <c r="D734" s="28"/>
      <c r="E734" s="41">
        <v>46159</v>
      </c>
      <c r="F734" s="47">
        <v>0.99358796296296292</v>
      </c>
      <c r="G734" s="44">
        <v>6.3</v>
      </c>
      <c r="H734" s="43" t="s">
        <v>1360</v>
      </c>
      <c r="I734" s="40" t="s">
        <v>1365</v>
      </c>
    </row>
    <row r="735" spans="1:9" x14ac:dyDescent="0.25">
      <c r="A735" s="40" t="s">
        <v>65</v>
      </c>
      <c r="B735" s="28">
        <v>830</v>
      </c>
      <c r="C735" s="28">
        <v>5667155</v>
      </c>
      <c r="D735" s="28"/>
      <c r="E735" s="41">
        <v>46156</v>
      </c>
      <c r="F735" s="47">
        <v>0.31224537037037037</v>
      </c>
      <c r="G735" s="44">
        <v>6.3</v>
      </c>
      <c r="H735" s="43" t="s">
        <v>1360</v>
      </c>
      <c r="I735" s="40" t="s">
        <v>1361</v>
      </c>
    </row>
    <row r="736" spans="1:9" x14ac:dyDescent="0.25">
      <c r="A736" s="40" t="s">
        <v>65</v>
      </c>
      <c r="B736" s="28">
        <v>830</v>
      </c>
      <c r="C736" s="28">
        <v>5667155</v>
      </c>
      <c r="D736" s="28"/>
      <c r="E736" s="41">
        <v>46156</v>
      </c>
      <c r="F736" s="47">
        <v>0.32914351851851853</v>
      </c>
      <c r="G736" s="44">
        <v>6.3</v>
      </c>
      <c r="H736" s="43" t="s">
        <v>1362</v>
      </c>
      <c r="I736" s="40" t="s">
        <v>1361</v>
      </c>
    </row>
    <row r="737" spans="1:9" x14ac:dyDescent="0.25">
      <c r="A737" s="40" t="s">
        <v>65</v>
      </c>
      <c r="B737" s="28">
        <v>830</v>
      </c>
      <c r="C737" s="28">
        <v>5667541</v>
      </c>
      <c r="D737" s="28"/>
      <c r="E737" s="41">
        <v>46156</v>
      </c>
      <c r="F737" s="47">
        <v>0.38028935185185186</v>
      </c>
      <c r="G737" s="44">
        <v>6.3</v>
      </c>
      <c r="H737" s="43" t="s">
        <v>1363</v>
      </c>
      <c r="I737" s="40" t="s">
        <v>1361</v>
      </c>
    </row>
    <row r="738" spans="1:9" x14ac:dyDescent="0.25">
      <c r="A738" s="40" t="s">
        <v>65</v>
      </c>
      <c r="B738" s="28">
        <v>830</v>
      </c>
      <c r="C738" s="28">
        <v>5667541</v>
      </c>
      <c r="D738" s="28"/>
      <c r="E738" s="41">
        <v>46156</v>
      </c>
      <c r="F738" s="47">
        <v>0.39072916666666668</v>
      </c>
      <c r="G738" s="44">
        <v>6.3</v>
      </c>
      <c r="H738" s="43" t="s">
        <v>1364</v>
      </c>
      <c r="I738" s="40" t="s">
        <v>1361</v>
      </c>
    </row>
    <row r="739" spans="1:9" x14ac:dyDescent="0.25">
      <c r="A739" s="40" t="s">
        <v>65</v>
      </c>
      <c r="B739" s="28">
        <v>830</v>
      </c>
      <c r="C739" s="28">
        <v>5628766</v>
      </c>
      <c r="D739" s="28"/>
      <c r="E739" s="41">
        <v>46156</v>
      </c>
      <c r="F739" s="47">
        <v>0.80182870370370374</v>
      </c>
      <c r="G739" s="44">
        <v>6.3</v>
      </c>
      <c r="H739" s="43" t="s">
        <v>1360</v>
      </c>
      <c r="I739" s="40" t="s">
        <v>1361</v>
      </c>
    </row>
    <row r="740" spans="1:9" x14ac:dyDescent="0.25">
      <c r="A740" s="40" t="s">
        <v>65</v>
      </c>
      <c r="B740" s="28">
        <v>830</v>
      </c>
      <c r="C740" s="28">
        <v>5628766</v>
      </c>
      <c r="D740" s="28"/>
      <c r="E740" s="41">
        <v>46156</v>
      </c>
      <c r="F740" s="47">
        <v>0.81542824074074072</v>
      </c>
      <c r="G740" s="44">
        <v>6.3</v>
      </c>
      <c r="H740" s="43" t="s">
        <v>1362</v>
      </c>
      <c r="I740" s="40" t="s">
        <v>1361</v>
      </c>
    </row>
    <row r="741" spans="1:9" x14ac:dyDescent="0.25">
      <c r="A741" s="40" t="s">
        <v>65</v>
      </c>
      <c r="B741" s="28">
        <v>830</v>
      </c>
      <c r="C741" s="28">
        <v>5672356</v>
      </c>
      <c r="D741" s="28"/>
      <c r="E741" s="41">
        <v>46159</v>
      </c>
      <c r="F741" s="47">
        <v>0.43496527777777777</v>
      </c>
      <c r="G741" s="44">
        <v>6.3</v>
      </c>
      <c r="H741" s="43" t="s">
        <v>1363</v>
      </c>
      <c r="I741" s="40" t="s">
        <v>1365</v>
      </c>
    </row>
    <row r="742" spans="1:9" x14ac:dyDescent="0.25">
      <c r="A742" s="40" t="s">
        <v>65</v>
      </c>
      <c r="B742" s="28">
        <v>830</v>
      </c>
      <c r="C742" s="28">
        <v>5672356</v>
      </c>
      <c r="D742" s="28"/>
      <c r="E742" s="41">
        <v>46159</v>
      </c>
      <c r="F742" s="47">
        <v>0.44015046296296295</v>
      </c>
      <c r="G742" s="44">
        <v>6.3</v>
      </c>
      <c r="H742" s="43" t="s">
        <v>1364</v>
      </c>
      <c r="I742" s="40" t="s">
        <v>1365</v>
      </c>
    </row>
    <row r="743" spans="1:9" x14ac:dyDescent="0.25">
      <c r="A743" s="40" t="s">
        <v>65</v>
      </c>
      <c r="B743" s="28">
        <v>830</v>
      </c>
      <c r="C743" s="28" t="s">
        <v>583</v>
      </c>
      <c r="D743" s="28"/>
      <c r="E743" s="41">
        <v>46159</v>
      </c>
      <c r="F743" s="47">
        <v>0.50182870370370369</v>
      </c>
      <c r="G743" s="44">
        <v>6.3</v>
      </c>
      <c r="H743" s="43" t="s">
        <v>1360</v>
      </c>
      <c r="I743" s="40" t="s">
        <v>1365</v>
      </c>
    </row>
    <row r="744" spans="1:9" x14ac:dyDescent="0.25">
      <c r="A744" s="40" t="s">
        <v>65</v>
      </c>
      <c r="B744" s="28">
        <v>830</v>
      </c>
      <c r="C744" s="28" t="s">
        <v>583</v>
      </c>
      <c r="D744" s="28"/>
      <c r="E744" s="41">
        <v>46159</v>
      </c>
      <c r="F744" s="47">
        <v>0.50885416666666672</v>
      </c>
      <c r="G744" s="44">
        <v>6.3</v>
      </c>
      <c r="H744" s="43" t="s">
        <v>1362</v>
      </c>
      <c r="I744" s="40" t="s">
        <v>1365</v>
      </c>
    </row>
    <row r="745" spans="1:9" x14ac:dyDescent="0.25">
      <c r="A745" s="40" t="s">
        <v>65</v>
      </c>
      <c r="B745" s="28">
        <v>830</v>
      </c>
      <c r="C745" s="28">
        <v>5672468</v>
      </c>
      <c r="D745" s="28"/>
      <c r="E745" s="41">
        <v>46159</v>
      </c>
      <c r="F745" s="47">
        <v>0.56715277777777773</v>
      </c>
      <c r="G745" s="44">
        <v>6.3</v>
      </c>
      <c r="H745" s="43" t="s">
        <v>1369</v>
      </c>
      <c r="I745" s="40" t="s">
        <v>1365</v>
      </c>
    </row>
    <row r="746" spans="1:9" x14ac:dyDescent="0.25">
      <c r="A746" s="40" t="s">
        <v>65</v>
      </c>
      <c r="B746" s="28">
        <v>830</v>
      </c>
      <c r="C746" s="28">
        <v>5672468</v>
      </c>
      <c r="D746" s="28"/>
      <c r="E746" s="45">
        <v>46159</v>
      </c>
      <c r="F746" s="48">
        <v>0.57230324074074079</v>
      </c>
      <c r="G746" s="44">
        <v>6.3</v>
      </c>
      <c r="H746" s="43" t="s">
        <v>1364</v>
      </c>
      <c r="I746" s="40" t="s">
        <v>1365</v>
      </c>
    </row>
    <row r="747" spans="1:9" x14ac:dyDescent="0.25">
      <c r="A747" s="40" t="s">
        <v>66</v>
      </c>
      <c r="B747" s="28">
        <v>831</v>
      </c>
      <c r="C747" s="28" t="s">
        <v>35</v>
      </c>
      <c r="D747" s="28" t="s">
        <v>38</v>
      </c>
      <c r="E747" s="41">
        <v>46153</v>
      </c>
      <c r="F747" s="47">
        <v>0.20289351851851853</v>
      </c>
      <c r="G747" s="44">
        <v>6.3</v>
      </c>
      <c r="H747" s="43" t="s">
        <v>1360</v>
      </c>
      <c r="I747" s="40" t="s">
        <v>1361</v>
      </c>
    </row>
    <row r="748" spans="1:9" x14ac:dyDescent="0.25">
      <c r="A748" s="40" t="s">
        <v>66</v>
      </c>
      <c r="B748" s="28">
        <v>831</v>
      </c>
      <c r="C748" s="28">
        <v>5665309</v>
      </c>
      <c r="D748" s="28"/>
      <c r="E748" s="41">
        <v>46154</v>
      </c>
      <c r="F748" s="47">
        <v>0.80245370370370372</v>
      </c>
      <c r="G748" s="44">
        <v>6.3</v>
      </c>
      <c r="H748" s="43" t="s">
        <v>1360</v>
      </c>
      <c r="I748" s="40" t="s">
        <v>1361</v>
      </c>
    </row>
    <row r="749" spans="1:9" x14ac:dyDescent="0.25">
      <c r="A749" s="40" t="s">
        <v>66</v>
      </c>
      <c r="B749" s="28">
        <v>831</v>
      </c>
      <c r="C749" s="28">
        <v>5665309</v>
      </c>
      <c r="D749" s="28"/>
      <c r="E749" s="41">
        <v>46154</v>
      </c>
      <c r="F749" s="47">
        <v>0.81516203703703705</v>
      </c>
      <c r="G749" s="44">
        <v>6.3</v>
      </c>
      <c r="H749" s="43" t="s">
        <v>1362</v>
      </c>
      <c r="I749" s="40" t="s">
        <v>1361</v>
      </c>
    </row>
    <row r="750" spans="1:9" x14ac:dyDescent="0.25">
      <c r="A750" s="40" t="s">
        <v>67</v>
      </c>
      <c r="B750" s="28">
        <v>837</v>
      </c>
      <c r="C750" s="28" t="s">
        <v>584</v>
      </c>
      <c r="D750" s="28"/>
      <c r="E750" s="45">
        <v>46156</v>
      </c>
      <c r="F750" s="48">
        <v>0.80758101851851849</v>
      </c>
      <c r="G750" s="44">
        <v>6.3</v>
      </c>
      <c r="H750" s="43" t="s">
        <v>1360</v>
      </c>
      <c r="I750" s="40" t="s">
        <v>1361</v>
      </c>
    </row>
    <row r="751" spans="1:9" x14ac:dyDescent="0.25">
      <c r="A751" s="40" t="s">
        <v>67</v>
      </c>
      <c r="B751" s="28">
        <v>837</v>
      </c>
      <c r="C751" s="28" t="s">
        <v>584</v>
      </c>
      <c r="D751" s="28"/>
      <c r="E751" s="41">
        <v>46156</v>
      </c>
      <c r="F751" s="47">
        <v>0.81740740740740736</v>
      </c>
      <c r="G751" s="44">
        <v>6.3</v>
      </c>
      <c r="H751" s="43" t="s">
        <v>1362</v>
      </c>
      <c r="I751" s="40" t="s">
        <v>1361</v>
      </c>
    </row>
    <row r="752" spans="1:9" x14ac:dyDescent="0.25">
      <c r="A752" s="40" t="s">
        <v>67</v>
      </c>
      <c r="B752" s="28">
        <v>837</v>
      </c>
      <c r="C752" s="28" t="s">
        <v>35</v>
      </c>
      <c r="D752" s="28" t="s">
        <v>38</v>
      </c>
      <c r="E752" s="41">
        <v>46156</v>
      </c>
      <c r="F752" s="47">
        <v>0.84225694444444443</v>
      </c>
      <c r="G752" s="44">
        <v>6.3</v>
      </c>
      <c r="H752" s="43" t="s">
        <v>1363</v>
      </c>
      <c r="I752" s="40" t="s">
        <v>1361</v>
      </c>
    </row>
    <row r="753" spans="1:9" x14ac:dyDescent="0.25">
      <c r="A753" s="40" t="s">
        <v>67</v>
      </c>
      <c r="B753" s="28">
        <v>837</v>
      </c>
      <c r="C753" s="28" t="s">
        <v>35</v>
      </c>
      <c r="D753" s="28" t="s">
        <v>38</v>
      </c>
      <c r="E753" s="41">
        <v>46156</v>
      </c>
      <c r="F753" s="47">
        <v>0.85445601851851849</v>
      </c>
      <c r="G753" s="44">
        <v>6.3</v>
      </c>
      <c r="H753" s="43" t="s">
        <v>1364</v>
      </c>
      <c r="I753" s="40" t="s">
        <v>1361</v>
      </c>
    </row>
    <row r="754" spans="1:9" x14ac:dyDescent="0.25">
      <c r="A754" s="40" t="s">
        <v>67</v>
      </c>
      <c r="B754" s="28">
        <v>837</v>
      </c>
      <c r="C754" s="28">
        <v>5670868</v>
      </c>
      <c r="D754" s="28"/>
      <c r="E754" s="41">
        <v>46157</v>
      </c>
      <c r="F754" s="47">
        <v>0.84681712962962963</v>
      </c>
      <c r="G754" s="44">
        <v>6.3</v>
      </c>
      <c r="H754" s="43" t="s">
        <v>1360</v>
      </c>
      <c r="I754" s="40" t="s">
        <v>1361</v>
      </c>
    </row>
    <row r="755" spans="1:9" x14ac:dyDescent="0.25">
      <c r="A755" s="40" t="s">
        <v>67</v>
      </c>
      <c r="B755" s="28">
        <v>837</v>
      </c>
      <c r="C755" s="28">
        <v>5670868</v>
      </c>
      <c r="D755" s="28"/>
      <c r="E755" s="41">
        <v>46157</v>
      </c>
      <c r="F755" s="47">
        <v>0.86002314814814818</v>
      </c>
      <c r="G755" s="44">
        <v>6.3</v>
      </c>
      <c r="H755" s="43" t="s">
        <v>1362</v>
      </c>
      <c r="I755" s="40" t="s">
        <v>1361</v>
      </c>
    </row>
    <row r="756" spans="1:9" x14ac:dyDescent="0.25">
      <c r="A756" s="40" t="s">
        <v>67</v>
      </c>
      <c r="B756" s="28">
        <v>837</v>
      </c>
      <c r="C756" s="28" t="s">
        <v>35</v>
      </c>
      <c r="D756" s="28" t="s">
        <v>38</v>
      </c>
      <c r="E756" s="41">
        <v>46157</v>
      </c>
      <c r="F756" s="47">
        <v>0.88297453703703699</v>
      </c>
      <c r="G756" s="44">
        <v>6.3</v>
      </c>
      <c r="H756" s="43" t="s">
        <v>1363</v>
      </c>
      <c r="I756" s="40" t="s">
        <v>1361</v>
      </c>
    </row>
    <row r="757" spans="1:9" x14ac:dyDescent="0.25">
      <c r="A757" s="40" t="s">
        <v>67</v>
      </c>
      <c r="B757" s="28">
        <v>837</v>
      </c>
      <c r="C757" s="28" t="s">
        <v>35</v>
      </c>
      <c r="D757" s="28" t="s">
        <v>38</v>
      </c>
      <c r="E757" s="41">
        <v>46157</v>
      </c>
      <c r="F757" s="47">
        <v>0.89284722222222224</v>
      </c>
      <c r="G757" s="44">
        <v>6.3</v>
      </c>
      <c r="H757" s="43" t="s">
        <v>1364</v>
      </c>
      <c r="I757" s="40" t="s">
        <v>1361</v>
      </c>
    </row>
    <row r="758" spans="1:9" x14ac:dyDescent="0.25">
      <c r="A758" s="40" t="s">
        <v>67</v>
      </c>
      <c r="B758" s="28">
        <v>837</v>
      </c>
      <c r="C758" s="28" t="s">
        <v>585</v>
      </c>
      <c r="D758" s="28"/>
      <c r="E758" s="41">
        <v>46158</v>
      </c>
      <c r="F758" s="47">
        <v>0.31990740740740742</v>
      </c>
      <c r="G758" s="44">
        <v>6.3</v>
      </c>
      <c r="H758" s="43" t="s">
        <v>1360</v>
      </c>
      <c r="I758" s="40" t="s">
        <v>1365</v>
      </c>
    </row>
    <row r="759" spans="1:9" x14ac:dyDescent="0.25">
      <c r="A759" s="40" t="s">
        <v>67</v>
      </c>
      <c r="B759" s="28">
        <v>837</v>
      </c>
      <c r="C759" s="28" t="s">
        <v>585</v>
      </c>
      <c r="D759" s="28"/>
      <c r="E759" s="45">
        <v>46158</v>
      </c>
      <c r="F759" s="48">
        <v>0.33181712962962961</v>
      </c>
      <c r="G759" s="44">
        <v>6.3</v>
      </c>
      <c r="H759" s="43" t="s">
        <v>1362</v>
      </c>
      <c r="I759" s="40" t="s">
        <v>1365</v>
      </c>
    </row>
    <row r="760" spans="1:9" x14ac:dyDescent="0.25">
      <c r="A760" s="40" t="s">
        <v>67</v>
      </c>
      <c r="B760" s="28">
        <v>837</v>
      </c>
      <c r="C760" s="28" t="s">
        <v>35</v>
      </c>
      <c r="D760" s="28" t="s">
        <v>38</v>
      </c>
      <c r="E760" s="41">
        <v>46158</v>
      </c>
      <c r="F760" s="47">
        <v>0.34773148148148147</v>
      </c>
      <c r="G760" s="44">
        <v>6.3</v>
      </c>
      <c r="H760" s="43" t="s">
        <v>1363</v>
      </c>
      <c r="I760" s="40" t="s">
        <v>1365</v>
      </c>
    </row>
    <row r="761" spans="1:9" x14ac:dyDescent="0.25">
      <c r="A761" s="40" t="s">
        <v>67</v>
      </c>
      <c r="B761" s="28">
        <v>837</v>
      </c>
      <c r="C761" s="28" t="s">
        <v>35</v>
      </c>
      <c r="D761" s="28" t="s">
        <v>38</v>
      </c>
      <c r="E761" s="41">
        <v>46158</v>
      </c>
      <c r="F761" s="47">
        <v>0.35393518518518519</v>
      </c>
      <c r="G761" s="44">
        <v>6.3</v>
      </c>
      <c r="H761" s="43" t="s">
        <v>1364</v>
      </c>
      <c r="I761" s="40" t="s">
        <v>1365</v>
      </c>
    </row>
    <row r="762" spans="1:9" x14ac:dyDescent="0.25">
      <c r="A762" s="40" t="s">
        <v>67</v>
      </c>
      <c r="B762" s="28">
        <v>837</v>
      </c>
      <c r="C762" s="28">
        <v>5671310</v>
      </c>
      <c r="D762" s="28"/>
      <c r="E762" s="41">
        <v>46158</v>
      </c>
      <c r="F762" s="47">
        <v>0.40177083333333335</v>
      </c>
      <c r="G762" s="44">
        <v>6.3</v>
      </c>
      <c r="H762" s="43" t="s">
        <v>1360</v>
      </c>
      <c r="I762" s="40" t="s">
        <v>1365</v>
      </c>
    </row>
    <row r="763" spans="1:9" x14ac:dyDescent="0.25">
      <c r="A763" s="40" t="s">
        <v>67</v>
      </c>
      <c r="B763" s="28">
        <v>837</v>
      </c>
      <c r="C763" s="28">
        <v>5671310</v>
      </c>
      <c r="D763" s="28"/>
      <c r="E763" s="41">
        <v>46158</v>
      </c>
      <c r="F763" s="47">
        <v>0.41081018518518519</v>
      </c>
      <c r="G763" s="44">
        <v>6.3</v>
      </c>
      <c r="H763" s="43" t="s">
        <v>1362</v>
      </c>
      <c r="I763" s="40" t="s">
        <v>1365</v>
      </c>
    </row>
    <row r="764" spans="1:9" x14ac:dyDescent="0.25">
      <c r="A764" s="40" t="s">
        <v>586</v>
      </c>
      <c r="B764" s="28">
        <v>838</v>
      </c>
      <c r="C764" s="28">
        <v>5662118</v>
      </c>
      <c r="D764" s="28"/>
      <c r="E764" s="41">
        <v>46153</v>
      </c>
      <c r="F764" s="47">
        <v>8.1018518518518516E-5</v>
      </c>
      <c r="G764" s="44">
        <v>6.3</v>
      </c>
      <c r="H764" s="43" t="s">
        <v>1362</v>
      </c>
      <c r="I764" s="40" t="s">
        <v>1361</v>
      </c>
    </row>
    <row r="765" spans="1:9" x14ac:dyDescent="0.25">
      <c r="A765" s="40" t="s">
        <v>586</v>
      </c>
      <c r="B765" s="28">
        <v>838</v>
      </c>
      <c r="C765" s="28" t="s">
        <v>35</v>
      </c>
      <c r="D765" s="28" t="s">
        <v>38</v>
      </c>
      <c r="E765" s="41">
        <v>46153</v>
      </c>
      <c r="F765" s="47">
        <v>2.329861111111111E-2</v>
      </c>
      <c r="G765" s="44">
        <v>6.3</v>
      </c>
      <c r="H765" s="43" t="s">
        <v>1363</v>
      </c>
      <c r="I765" s="40" t="s">
        <v>1361</v>
      </c>
    </row>
    <row r="766" spans="1:9" x14ac:dyDescent="0.25">
      <c r="A766" s="40" t="s">
        <v>586</v>
      </c>
      <c r="B766" s="28">
        <v>838</v>
      </c>
      <c r="C766" s="28" t="s">
        <v>35</v>
      </c>
      <c r="D766" s="28" t="s">
        <v>38</v>
      </c>
      <c r="E766" s="45">
        <v>46153</v>
      </c>
      <c r="F766" s="48">
        <v>2.7847222222222221E-2</v>
      </c>
      <c r="G766" s="44">
        <v>6.3</v>
      </c>
      <c r="H766" s="43" t="s">
        <v>1364</v>
      </c>
      <c r="I766" s="40" t="s">
        <v>1361</v>
      </c>
    </row>
    <row r="767" spans="1:9" x14ac:dyDescent="0.25">
      <c r="A767" s="40" t="s">
        <v>586</v>
      </c>
      <c r="B767" s="28">
        <v>838</v>
      </c>
      <c r="C767" s="28">
        <v>5662109</v>
      </c>
      <c r="D767" s="28" t="s">
        <v>37</v>
      </c>
      <c r="E767" s="41">
        <v>46153</v>
      </c>
      <c r="F767" s="47">
        <v>0.12703703703703703</v>
      </c>
      <c r="G767" s="42">
        <v>6.3</v>
      </c>
      <c r="H767" s="40" t="s">
        <v>1363</v>
      </c>
      <c r="I767" s="40" t="s">
        <v>1361</v>
      </c>
    </row>
    <row r="768" spans="1:9" x14ac:dyDescent="0.25">
      <c r="A768" s="40" t="s">
        <v>586</v>
      </c>
      <c r="B768" s="28">
        <v>838</v>
      </c>
      <c r="C768" s="28">
        <v>5662109</v>
      </c>
      <c r="D768" s="28" t="s">
        <v>37</v>
      </c>
      <c r="E768" s="41">
        <v>46153</v>
      </c>
      <c r="F768" s="47">
        <v>0.13186342592592593</v>
      </c>
      <c r="G768" s="42">
        <v>6.3</v>
      </c>
      <c r="H768" s="40" t="s">
        <v>1364</v>
      </c>
      <c r="I768" s="40" t="s">
        <v>1361</v>
      </c>
    </row>
    <row r="769" spans="1:9" x14ac:dyDescent="0.25">
      <c r="A769" s="40" t="s">
        <v>586</v>
      </c>
      <c r="B769" s="28">
        <v>838</v>
      </c>
      <c r="C769" s="28" t="s">
        <v>35</v>
      </c>
      <c r="D769" s="28" t="s">
        <v>38</v>
      </c>
      <c r="E769" s="45">
        <v>46153</v>
      </c>
      <c r="F769" s="48">
        <v>0.18483796296296295</v>
      </c>
      <c r="G769" s="42">
        <v>6.3</v>
      </c>
      <c r="H769" s="40" t="s">
        <v>1360</v>
      </c>
      <c r="I769" s="40" t="s">
        <v>1361</v>
      </c>
    </row>
    <row r="770" spans="1:9" x14ac:dyDescent="0.25">
      <c r="A770" s="40" t="s">
        <v>586</v>
      </c>
      <c r="B770" s="28">
        <v>838</v>
      </c>
      <c r="C770" s="28" t="s">
        <v>35</v>
      </c>
      <c r="D770" s="28" t="s">
        <v>38</v>
      </c>
      <c r="E770" s="41">
        <v>46153</v>
      </c>
      <c r="F770" s="47">
        <v>0.19116898148148148</v>
      </c>
      <c r="G770" s="42">
        <v>6.3</v>
      </c>
      <c r="H770" s="40" t="s">
        <v>1362</v>
      </c>
      <c r="I770" s="40" t="s">
        <v>1361</v>
      </c>
    </row>
    <row r="771" spans="1:9" x14ac:dyDescent="0.25">
      <c r="A771" s="40" t="s">
        <v>586</v>
      </c>
      <c r="B771" s="28">
        <v>838</v>
      </c>
      <c r="C771" s="28">
        <v>5662136</v>
      </c>
      <c r="D771" s="28"/>
      <c r="E771" s="41">
        <v>46153</v>
      </c>
      <c r="F771" s="47">
        <v>0.20921296296296296</v>
      </c>
      <c r="G771" s="42">
        <v>6.3</v>
      </c>
      <c r="H771" s="40" t="s">
        <v>1363</v>
      </c>
      <c r="I771" s="40" t="s">
        <v>1361</v>
      </c>
    </row>
    <row r="772" spans="1:9" x14ac:dyDescent="0.25">
      <c r="A772" s="40" t="s">
        <v>586</v>
      </c>
      <c r="B772" s="28">
        <v>838</v>
      </c>
      <c r="C772" s="28">
        <v>5662136</v>
      </c>
      <c r="D772" s="28"/>
      <c r="E772" s="41">
        <v>46153</v>
      </c>
      <c r="F772" s="47">
        <v>0.21435185185185185</v>
      </c>
      <c r="G772" s="42">
        <v>6.3</v>
      </c>
      <c r="H772" s="40" t="s">
        <v>1364</v>
      </c>
      <c r="I772" s="40" t="s">
        <v>1361</v>
      </c>
    </row>
    <row r="773" spans="1:9" x14ac:dyDescent="0.25">
      <c r="A773" s="40" t="s">
        <v>586</v>
      </c>
      <c r="B773" s="28">
        <v>838</v>
      </c>
      <c r="C773" s="28" t="s">
        <v>35</v>
      </c>
      <c r="D773" s="28" t="s">
        <v>38</v>
      </c>
      <c r="E773" s="41">
        <v>46153</v>
      </c>
      <c r="F773" s="47">
        <v>0.2636574074074074</v>
      </c>
      <c r="G773" s="42">
        <v>6.3</v>
      </c>
      <c r="H773" s="40" t="s">
        <v>1360</v>
      </c>
      <c r="I773" s="40" t="s">
        <v>1361</v>
      </c>
    </row>
    <row r="774" spans="1:9" x14ac:dyDescent="0.25">
      <c r="A774" s="40" t="s">
        <v>586</v>
      </c>
      <c r="B774" s="28">
        <v>838</v>
      </c>
      <c r="C774" s="28" t="s">
        <v>35</v>
      </c>
      <c r="D774" s="28" t="s">
        <v>38</v>
      </c>
      <c r="E774" s="45">
        <v>46153</v>
      </c>
      <c r="F774" s="48">
        <v>0.27456018518518521</v>
      </c>
      <c r="G774" s="44">
        <v>6.3</v>
      </c>
      <c r="H774" s="43" t="s">
        <v>1362</v>
      </c>
      <c r="I774" s="40" t="s">
        <v>1361</v>
      </c>
    </row>
    <row r="775" spans="1:9" x14ac:dyDescent="0.25">
      <c r="A775" s="40" t="s">
        <v>586</v>
      </c>
      <c r="B775" s="28">
        <v>838</v>
      </c>
      <c r="C775" s="28">
        <v>5663948</v>
      </c>
      <c r="D775" s="28"/>
      <c r="E775" s="41">
        <v>46153</v>
      </c>
      <c r="F775" s="47">
        <v>0.94733796296296291</v>
      </c>
      <c r="G775" s="44">
        <v>6.3</v>
      </c>
      <c r="H775" s="43" t="s">
        <v>1360</v>
      </c>
      <c r="I775" s="40" t="s">
        <v>1361</v>
      </c>
    </row>
    <row r="776" spans="1:9" x14ac:dyDescent="0.25">
      <c r="A776" s="40" t="s">
        <v>586</v>
      </c>
      <c r="B776" s="28">
        <v>838</v>
      </c>
      <c r="C776" s="28">
        <v>5663948</v>
      </c>
      <c r="D776" s="28"/>
      <c r="E776" s="41">
        <v>46153</v>
      </c>
      <c r="F776" s="47">
        <v>0.95442129629629635</v>
      </c>
      <c r="G776" s="44">
        <v>6.3</v>
      </c>
      <c r="H776" s="43" t="s">
        <v>1362</v>
      </c>
      <c r="I776" s="40" t="s">
        <v>1361</v>
      </c>
    </row>
    <row r="777" spans="1:9" x14ac:dyDescent="0.25">
      <c r="A777" s="40" t="s">
        <v>586</v>
      </c>
      <c r="B777" s="28">
        <v>838</v>
      </c>
      <c r="C777" s="28" t="s">
        <v>35</v>
      </c>
      <c r="D777" s="28" t="s">
        <v>38</v>
      </c>
      <c r="E777" s="41">
        <v>46153</v>
      </c>
      <c r="F777" s="47">
        <v>0.96841435185185187</v>
      </c>
      <c r="G777" s="44">
        <v>6.3</v>
      </c>
      <c r="H777" s="43" t="s">
        <v>1363</v>
      </c>
      <c r="I777" s="40" t="s">
        <v>1361</v>
      </c>
    </row>
    <row r="778" spans="1:9" x14ac:dyDescent="0.25">
      <c r="A778" s="40" t="s">
        <v>586</v>
      </c>
      <c r="B778" s="28">
        <v>838</v>
      </c>
      <c r="C778" s="28" t="s">
        <v>35</v>
      </c>
      <c r="D778" s="28" t="s">
        <v>38</v>
      </c>
      <c r="E778" s="41">
        <v>46154</v>
      </c>
      <c r="F778" s="47">
        <v>0.34217592592592594</v>
      </c>
      <c r="G778" s="44">
        <v>6.3</v>
      </c>
      <c r="H778" s="43" t="s">
        <v>1371</v>
      </c>
      <c r="I778" s="40" t="s">
        <v>1361</v>
      </c>
    </row>
    <row r="779" spans="1:9" x14ac:dyDescent="0.25">
      <c r="A779" s="40" t="s">
        <v>68</v>
      </c>
      <c r="B779" s="28">
        <v>846</v>
      </c>
      <c r="C779" s="28" t="s">
        <v>587</v>
      </c>
      <c r="D779" s="28"/>
      <c r="E779" s="41">
        <v>46155</v>
      </c>
      <c r="F779" s="47">
        <v>0.79822916666666666</v>
      </c>
      <c r="G779" s="44">
        <v>6.3</v>
      </c>
      <c r="H779" s="43" t="s">
        <v>1360</v>
      </c>
      <c r="I779" s="40" t="s">
        <v>1361</v>
      </c>
    </row>
    <row r="780" spans="1:9" x14ac:dyDescent="0.25">
      <c r="A780" s="40" t="s">
        <v>68</v>
      </c>
      <c r="B780" s="28">
        <v>846</v>
      </c>
      <c r="C780" s="28" t="s">
        <v>587</v>
      </c>
      <c r="D780" s="28"/>
      <c r="E780" s="41">
        <v>46155</v>
      </c>
      <c r="F780" s="47">
        <v>0.80804398148148149</v>
      </c>
      <c r="G780" s="44">
        <v>6.3</v>
      </c>
      <c r="H780" s="43" t="s">
        <v>1362</v>
      </c>
      <c r="I780" s="40" t="s">
        <v>1361</v>
      </c>
    </row>
    <row r="781" spans="1:9" x14ac:dyDescent="0.25">
      <c r="A781" s="40" t="s">
        <v>68</v>
      </c>
      <c r="B781" s="28">
        <v>846</v>
      </c>
      <c r="C781" s="28">
        <v>5670140</v>
      </c>
      <c r="D781" s="28"/>
      <c r="E781" s="41">
        <v>46157</v>
      </c>
      <c r="F781" s="47">
        <v>0.8217592592592593</v>
      </c>
      <c r="G781" s="44">
        <v>6.3</v>
      </c>
      <c r="H781" s="43" t="s">
        <v>1360</v>
      </c>
      <c r="I781" s="40" t="s">
        <v>1361</v>
      </c>
    </row>
    <row r="782" spans="1:9" x14ac:dyDescent="0.25">
      <c r="A782" s="40" t="s">
        <v>68</v>
      </c>
      <c r="B782" s="28">
        <v>846</v>
      </c>
      <c r="C782" s="28">
        <v>5670140</v>
      </c>
      <c r="D782" s="28"/>
      <c r="E782" s="41">
        <v>46157</v>
      </c>
      <c r="F782" s="47">
        <v>0.84378472222222223</v>
      </c>
      <c r="G782" s="44">
        <v>6.3</v>
      </c>
      <c r="H782" s="43" t="s">
        <v>1362</v>
      </c>
      <c r="I782" s="40" t="s">
        <v>1361</v>
      </c>
    </row>
    <row r="783" spans="1:9" x14ac:dyDescent="0.25">
      <c r="A783" s="40" t="s">
        <v>68</v>
      </c>
      <c r="B783" s="28">
        <v>846</v>
      </c>
      <c r="C783" s="28">
        <v>5671307</v>
      </c>
      <c r="D783" s="28"/>
      <c r="E783" s="41">
        <v>46159</v>
      </c>
      <c r="F783" s="47">
        <v>0.23046296296296295</v>
      </c>
      <c r="G783" s="44">
        <v>6.3</v>
      </c>
      <c r="H783" s="43" t="s">
        <v>1360</v>
      </c>
      <c r="I783" s="40" t="s">
        <v>1365</v>
      </c>
    </row>
    <row r="784" spans="1:9" x14ac:dyDescent="0.25">
      <c r="A784" s="40" t="s">
        <v>68</v>
      </c>
      <c r="B784" s="28">
        <v>846</v>
      </c>
      <c r="C784" s="28">
        <v>5671307</v>
      </c>
      <c r="D784" s="28"/>
      <c r="E784" s="45">
        <v>46159</v>
      </c>
      <c r="F784" s="48">
        <v>0.23776620370370372</v>
      </c>
      <c r="G784" s="44">
        <v>6.3</v>
      </c>
      <c r="H784" s="43" t="s">
        <v>1362</v>
      </c>
      <c r="I784" s="40" t="s">
        <v>1365</v>
      </c>
    </row>
    <row r="785" spans="1:9" x14ac:dyDescent="0.25">
      <c r="A785" s="40" t="s">
        <v>68</v>
      </c>
      <c r="B785" s="28">
        <v>846</v>
      </c>
      <c r="C785" s="28" t="s">
        <v>588</v>
      </c>
      <c r="D785" s="28"/>
      <c r="E785" s="41">
        <v>46159</v>
      </c>
      <c r="F785" s="47">
        <v>0.56797453703703704</v>
      </c>
      <c r="G785" s="44">
        <v>6.3</v>
      </c>
      <c r="H785" s="43" t="s">
        <v>1360</v>
      </c>
      <c r="I785" s="40" t="s">
        <v>1365</v>
      </c>
    </row>
    <row r="786" spans="1:9" x14ac:dyDescent="0.25">
      <c r="A786" s="40" t="s">
        <v>68</v>
      </c>
      <c r="B786" s="28">
        <v>846</v>
      </c>
      <c r="C786" s="28" t="s">
        <v>588</v>
      </c>
      <c r="D786" s="28"/>
      <c r="E786" s="41">
        <v>46159</v>
      </c>
      <c r="F786" s="47">
        <v>0.57468750000000002</v>
      </c>
      <c r="G786" s="44">
        <v>6.3</v>
      </c>
      <c r="H786" s="43" t="s">
        <v>1362</v>
      </c>
      <c r="I786" s="40" t="s">
        <v>1365</v>
      </c>
    </row>
    <row r="787" spans="1:9" x14ac:dyDescent="0.25">
      <c r="A787" s="40" t="s">
        <v>68</v>
      </c>
      <c r="B787" s="28">
        <v>846</v>
      </c>
      <c r="C787" s="28" t="s">
        <v>589</v>
      </c>
      <c r="D787" s="28"/>
      <c r="E787" s="45">
        <v>46159</v>
      </c>
      <c r="F787" s="48">
        <v>0.92259259259259263</v>
      </c>
      <c r="G787" s="44">
        <v>6.3</v>
      </c>
      <c r="H787" s="43" t="s">
        <v>1360</v>
      </c>
      <c r="I787" s="40" t="s">
        <v>1365</v>
      </c>
    </row>
    <row r="788" spans="1:9" x14ac:dyDescent="0.25">
      <c r="A788" s="40" t="s">
        <v>68</v>
      </c>
      <c r="B788" s="28">
        <v>846</v>
      </c>
      <c r="C788" s="28" t="s">
        <v>589</v>
      </c>
      <c r="D788" s="28"/>
      <c r="E788" s="41">
        <v>46159</v>
      </c>
      <c r="F788" s="47">
        <v>0.92954861111111109</v>
      </c>
      <c r="G788" s="44">
        <v>6.3</v>
      </c>
      <c r="H788" s="43" t="s">
        <v>1362</v>
      </c>
      <c r="I788" s="40" t="s">
        <v>1365</v>
      </c>
    </row>
    <row r="789" spans="1:9" x14ac:dyDescent="0.25">
      <c r="A789" s="40" t="s">
        <v>147</v>
      </c>
      <c r="B789" s="28">
        <v>847</v>
      </c>
      <c r="C789" s="28">
        <v>5666702</v>
      </c>
      <c r="D789" s="28"/>
      <c r="E789" s="45">
        <v>46155</v>
      </c>
      <c r="F789" s="48">
        <v>0.57430555555555551</v>
      </c>
      <c r="G789" s="44">
        <v>6.3</v>
      </c>
      <c r="H789" s="43" t="s">
        <v>1360</v>
      </c>
      <c r="I789" s="40" t="s">
        <v>1361</v>
      </c>
    </row>
    <row r="790" spans="1:9" x14ac:dyDescent="0.25">
      <c r="A790" s="40" t="s">
        <v>147</v>
      </c>
      <c r="B790" s="28">
        <v>847</v>
      </c>
      <c r="C790" s="28">
        <v>5666702</v>
      </c>
      <c r="D790" s="28"/>
      <c r="E790" s="41">
        <v>46155</v>
      </c>
      <c r="F790" s="47">
        <v>0.58420138888888884</v>
      </c>
      <c r="G790" s="44">
        <v>6.3</v>
      </c>
      <c r="H790" s="43" t="s">
        <v>1362</v>
      </c>
      <c r="I790" s="40" t="s">
        <v>1361</v>
      </c>
    </row>
    <row r="791" spans="1:9" x14ac:dyDescent="0.25">
      <c r="A791" s="40" t="s">
        <v>147</v>
      </c>
      <c r="B791" s="28">
        <v>847</v>
      </c>
      <c r="C791" s="28" t="s">
        <v>35</v>
      </c>
      <c r="D791" s="28" t="s">
        <v>38</v>
      </c>
      <c r="E791" s="41">
        <v>46158</v>
      </c>
      <c r="F791" s="47">
        <v>0.25032407407407409</v>
      </c>
      <c r="G791" s="44">
        <v>6.3</v>
      </c>
      <c r="H791" s="43" t="s">
        <v>1369</v>
      </c>
      <c r="I791" s="40" t="s">
        <v>1365</v>
      </c>
    </row>
    <row r="792" spans="1:9" x14ac:dyDescent="0.25">
      <c r="A792" s="40" t="s">
        <v>147</v>
      </c>
      <c r="B792" s="28">
        <v>847</v>
      </c>
      <c r="C792" s="28" t="s">
        <v>35</v>
      </c>
      <c r="D792" s="28" t="s">
        <v>38</v>
      </c>
      <c r="E792" s="41">
        <v>46158</v>
      </c>
      <c r="F792" s="47">
        <v>0.25645833333333334</v>
      </c>
      <c r="G792" s="44">
        <v>6.3</v>
      </c>
      <c r="H792" s="43" t="s">
        <v>1364</v>
      </c>
      <c r="I792" s="40" t="s">
        <v>1365</v>
      </c>
    </row>
    <row r="793" spans="1:9" x14ac:dyDescent="0.25">
      <c r="A793" s="40" t="s">
        <v>147</v>
      </c>
      <c r="B793" s="28">
        <v>847</v>
      </c>
      <c r="C793" s="28">
        <v>5671316</v>
      </c>
      <c r="D793" s="28"/>
      <c r="E793" s="45">
        <v>46158</v>
      </c>
      <c r="F793" s="48">
        <v>0.40856481481481483</v>
      </c>
      <c r="G793" s="44">
        <v>6.3</v>
      </c>
      <c r="H793" s="43" t="s">
        <v>1360</v>
      </c>
      <c r="I793" s="40" t="s">
        <v>1365</v>
      </c>
    </row>
    <row r="794" spans="1:9" x14ac:dyDescent="0.25">
      <c r="A794" s="40" t="s">
        <v>147</v>
      </c>
      <c r="B794" s="28">
        <v>847</v>
      </c>
      <c r="C794" s="28">
        <v>5671316</v>
      </c>
      <c r="D794" s="28"/>
      <c r="E794" s="41">
        <v>46158</v>
      </c>
      <c r="F794" s="47">
        <v>0.41872685185185188</v>
      </c>
      <c r="G794" s="44">
        <v>6.3</v>
      </c>
      <c r="H794" s="43" t="s">
        <v>1362</v>
      </c>
      <c r="I794" s="40" t="s">
        <v>1365</v>
      </c>
    </row>
    <row r="795" spans="1:9" x14ac:dyDescent="0.25">
      <c r="A795" s="40" t="s">
        <v>268</v>
      </c>
      <c r="B795" s="28">
        <v>858</v>
      </c>
      <c r="C795" s="28">
        <v>5666643</v>
      </c>
      <c r="D795" s="28"/>
      <c r="E795" s="41">
        <v>46155</v>
      </c>
      <c r="F795" s="47">
        <v>0.57004629629629633</v>
      </c>
      <c r="G795" s="44">
        <v>6.3</v>
      </c>
      <c r="H795" s="43" t="s">
        <v>1364</v>
      </c>
      <c r="I795" s="40" t="s">
        <v>1361</v>
      </c>
    </row>
    <row r="796" spans="1:9" x14ac:dyDescent="0.25">
      <c r="A796" s="40" t="s">
        <v>268</v>
      </c>
      <c r="B796" s="28">
        <v>858</v>
      </c>
      <c r="C796" s="28">
        <v>5668581</v>
      </c>
      <c r="D796" s="28"/>
      <c r="E796" s="41">
        <v>46156</v>
      </c>
      <c r="F796" s="47">
        <v>0.69196759259259255</v>
      </c>
      <c r="G796" s="44">
        <v>6.3</v>
      </c>
      <c r="H796" s="43" t="s">
        <v>1360</v>
      </c>
      <c r="I796" s="40" t="s">
        <v>1361</v>
      </c>
    </row>
    <row r="797" spans="1:9" x14ac:dyDescent="0.25">
      <c r="A797" s="40" t="s">
        <v>268</v>
      </c>
      <c r="B797" s="28">
        <v>858</v>
      </c>
      <c r="C797" s="28">
        <v>5668581</v>
      </c>
      <c r="D797" s="28"/>
      <c r="E797" s="45">
        <v>46156</v>
      </c>
      <c r="F797" s="48">
        <v>0.70767361111111116</v>
      </c>
      <c r="G797" s="44">
        <v>6.3</v>
      </c>
      <c r="H797" s="43" t="s">
        <v>1362</v>
      </c>
      <c r="I797" s="40" t="s">
        <v>1361</v>
      </c>
    </row>
    <row r="798" spans="1:9" x14ac:dyDescent="0.25">
      <c r="A798" s="40" t="s">
        <v>69</v>
      </c>
      <c r="B798" s="28">
        <v>865</v>
      </c>
      <c r="C798" s="28" t="s">
        <v>35</v>
      </c>
      <c r="D798" s="28" t="s">
        <v>38</v>
      </c>
      <c r="E798" s="41">
        <v>46154</v>
      </c>
      <c r="F798" s="47">
        <v>0.10090277777777777</v>
      </c>
      <c r="G798" s="44">
        <v>6.3</v>
      </c>
      <c r="H798" s="43" t="s">
        <v>1360</v>
      </c>
      <c r="I798" s="40" t="s">
        <v>1361</v>
      </c>
    </row>
    <row r="799" spans="1:9" x14ac:dyDescent="0.25">
      <c r="A799" s="40" t="s">
        <v>69</v>
      </c>
      <c r="B799" s="28">
        <v>865</v>
      </c>
      <c r="C799" s="28" t="s">
        <v>35</v>
      </c>
      <c r="D799" s="28" t="s">
        <v>38</v>
      </c>
      <c r="E799" s="41">
        <v>46154</v>
      </c>
      <c r="F799" s="47">
        <v>0.10857638888888889</v>
      </c>
      <c r="G799" s="44">
        <v>6.3</v>
      </c>
      <c r="H799" s="43" t="s">
        <v>1362</v>
      </c>
      <c r="I799" s="40" t="s">
        <v>1361</v>
      </c>
    </row>
    <row r="800" spans="1:9" x14ac:dyDescent="0.25">
      <c r="A800" s="40" t="s">
        <v>69</v>
      </c>
      <c r="B800" s="28">
        <v>865</v>
      </c>
      <c r="C800" s="28" t="s">
        <v>35</v>
      </c>
      <c r="D800" s="28" t="s">
        <v>38</v>
      </c>
      <c r="E800" s="41">
        <v>46154</v>
      </c>
      <c r="F800" s="47">
        <v>0.1233912037037037</v>
      </c>
      <c r="G800" s="44">
        <v>6.3</v>
      </c>
      <c r="H800" s="43" t="s">
        <v>1363</v>
      </c>
      <c r="I800" s="40" t="s">
        <v>1361</v>
      </c>
    </row>
    <row r="801" spans="1:9" x14ac:dyDescent="0.25">
      <c r="A801" s="40" t="s">
        <v>69</v>
      </c>
      <c r="B801" s="28">
        <v>865</v>
      </c>
      <c r="C801" s="28" t="s">
        <v>35</v>
      </c>
      <c r="D801" s="28" t="s">
        <v>38</v>
      </c>
      <c r="E801" s="41">
        <v>46155</v>
      </c>
      <c r="F801" s="47">
        <v>6.5844907407407408E-2</v>
      </c>
      <c r="G801" s="44">
        <v>6.3</v>
      </c>
      <c r="H801" s="43" t="s">
        <v>1360</v>
      </c>
      <c r="I801" s="40" t="s">
        <v>1361</v>
      </c>
    </row>
    <row r="802" spans="1:9" x14ac:dyDescent="0.25">
      <c r="A802" s="40" t="s">
        <v>69</v>
      </c>
      <c r="B802" s="28">
        <v>865</v>
      </c>
      <c r="C802" s="28" t="s">
        <v>35</v>
      </c>
      <c r="D802" s="28" t="s">
        <v>38</v>
      </c>
      <c r="E802" s="41">
        <v>46155</v>
      </c>
      <c r="F802" s="47">
        <v>7.3240740740740745E-2</v>
      </c>
      <c r="G802" s="44">
        <v>6.3</v>
      </c>
      <c r="H802" s="43" t="s">
        <v>1362</v>
      </c>
      <c r="I802" s="40" t="s">
        <v>1361</v>
      </c>
    </row>
    <row r="803" spans="1:9" x14ac:dyDescent="0.25">
      <c r="A803" s="40" t="s">
        <v>69</v>
      </c>
      <c r="B803" s="28">
        <v>865</v>
      </c>
      <c r="C803" s="28" t="s">
        <v>35</v>
      </c>
      <c r="D803" s="28" t="s">
        <v>38</v>
      </c>
      <c r="E803" s="41">
        <v>46155</v>
      </c>
      <c r="F803" s="47">
        <v>8.8437500000000002E-2</v>
      </c>
      <c r="G803" s="44">
        <v>6.3</v>
      </c>
      <c r="H803" s="43" t="s">
        <v>1363</v>
      </c>
      <c r="I803" s="40" t="s">
        <v>1361</v>
      </c>
    </row>
    <row r="804" spans="1:9" x14ac:dyDescent="0.25">
      <c r="A804" s="40" t="s">
        <v>69</v>
      </c>
      <c r="B804" s="28">
        <v>865</v>
      </c>
      <c r="C804" s="28">
        <v>5670024</v>
      </c>
      <c r="D804" s="28" t="s">
        <v>37</v>
      </c>
      <c r="E804" s="41">
        <v>46157</v>
      </c>
      <c r="F804" s="47">
        <v>0.66031249999999997</v>
      </c>
      <c r="G804" s="44">
        <v>6.3</v>
      </c>
      <c r="H804" s="43" t="s">
        <v>1360</v>
      </c>
      <c r="I804" s="40" t="s">
        <v>1361</v>
      </c>
    </row>
    <row r="805" spans="1:9" x14ac:dyDescent="0.25">
      <c r="A805" s="40" t="s">
        <v>69</v>
      </c>
      <c r="B805" s="28">
        <v>865</v>
      </c>
      <c r="C805" s="28" t="s">
        <v>35</v>
      </c>
      <c r="D805" s="28" t="s">
        <v>38</v>
      </c>
      <c r="E805" s="41">
        <v>46158</v>
      </c>
      <c r="F805" s="47">
        <v>0.37074074074074076</v>
      </c>
      <c r="G805" s="44">
        <v>6.3</v>
      </c>
      <c r="H805" s="43" t="s">
        <v>1364</v>
      </c>
      <c r="I805" s="40" t="s">
        <v>1365</v>
      </c>
    </row>
    <row r="806" spans="1:9" x14ac:dyDescent="0.25">
      <c r="A806" s="40" t="s">
        <v>69</v>
      </c>
      <c r="B806" s="28">
        <v>865</v>
      </c>
      <c r="C806" s="28" t="s">
        <v>590</v>
      </c>
      <c r="D806" s="28"/>
      <c r="E806" s="45">
        <v>46159</v>
      </c>
      <c r="F806" s="48">
        <v>0.49504629629629632</v>
      </c>
      <c r="G806" s="44">
        <v>6.3</v>
      </c>
      <c r="H806" s="43" t="s">
        <v>1360</v>
      </c>
      <c r="I806" s="40" t="s">
        <v>1365</v>
      </c>
    </row>
    <row r="807" spans="1:9" x14ac:dyDescent="0.25">
      <c r="A807" s="40" t="s">
        <v>69</v>
      </c>
      <c r="B807" s="28">
        <v>865</v>
      </c>
      <c r="C807" s="28" t="s">
        <v>590</v>
      </c>
      <c r="D807" s="28"/>
      <c r="E807" s="41">
        <v>46159</v>
      </c>
      <c r="F807" s="47">
        <v>0.50253472222222217</v>
      </c>
      <c r="G807" s="44">
        <v>6.3</v>
      </c>
      <c r="H807" s="43" t="s">
        <v>1362</v>
      </c>
      <c r="I807" s="40" t="s">
        <v>1365</v>
      </c>
    </row>
    <row r="808" spans="1:9" x14ac:dyDescent="0.25">
      <c r="A808" s="40" t="s">
        <v>143</v>
      </c>
      <c r="B808" s="28">
        <v>870</v>
      </c>
      <c r="C808" s="28" t="s">
        <v>591</v>
      </c>
      <c r="D808" s="28"/>
      <c r="E808" s="45">
        <v>46153</v>
      </c>
      <c r="F808" s="48">
        <v>0.96592592592592597</v>
      </c>
      <c r="G808" s="44">
        <v>6.3</v>
      </c>
      <c r="H808" s="43" t="s">
        <v>1360</v>
      </c>
      <c r="I808" s="40" t="s">
        <v>1361</v>
      </c>
    </row>
    <row r="809" spans="1:9" x14ac:dyDescent="0.25">
      <c r="A809" s="40" t="s">
        <v>143</v>
      </c>
      <c r="B809" s="28">
        <v>870</v>
      </c>
      <c r="C809" s="28" t="s">
        <v>591</v>
      </c>
      <c r="D809" s="28"/>
      <c r="E809" s="41">
        <v>46153</v>
      </c>
      <c r="F809" s="47">
        <v>0.97241898148148154</v>
      </c>
      <c r="G809" s="44">
        <v>6.3</v>
      </c>
      <c r="H809" s="43" t="s">
        <v>1368</v>
      </c>
      <c r="I809" s="40" t="s">
        <v>1361</v>
      </c>
    </row>
    <row r="810" spans="1:9" x14ac:dyDescent="0.25">
      <c r="A810" s="40" t="s">
        <v>143</v>
      </c>
      <c r="B810" s="28">
        <v>870</v>
      </c>
      <c r="C810" s="28" t="s">
        <v>35</v>
      </c>
      <c r="D810" s="28" t="s">
        <v>38</v>
      </c>
      <c r="E810" s="41">
        <v>46153</v>
      </c>
      <c r="F810" s="47">
        <v>0.98540509259259257</v>
      </c>
      <c r="G810" s="44">
        <v>6.3</v>
      </c>
      <c r="H810" s="43" t="s">
        <v>1369</v>
      </c>
      <c r="I810" s="40" t="s">
        <v>1361</v>
      </c>
    </row>
    <row r="811" spans="1:9" x14ac:dyDescent="0.25">
      <c r="A811" s="40" t="s">
        <v>143</v>
      </c>
      <c r="B811" s="28">
        <v>870</v>
      </c>
      <c r="C811" s="28" t="s">
        <v>35</v>
      </c>
      <c r="D811" s="28" t="s">
        <v>38</v>
      </c>
      <c r="E811" s="41">
        <v>46153</v>
      </c>
      <c r="F811" s="47">
        <v>0.9899768518518518</v>
      </c>
      <c r="G811" s="44">
        <v>6.3</v>
      </c>
      <c r="H811" s="43" t="s">
        <v>1364</v>
      </c>
      <c r="I811" s="40" t="s">
        <v>1361</v>
      </c>
    </row>
    <row r="812" spans="1:9" x14ac:dyDescent="0.25">
      <c r="A812" s="40" t="s">
        <v>143</v>
      </c>
      <c r="B812" s="28">
        <v>870</v>
      </c>
      <c r="C812" s="28">
        <v>5664109</v>
      </c>
      <c r="D812" s="28"/>
      <c r="E812" s="41">
        <v>46154</v>
      </c>
      <c r="F812" s="47">
        <v>1.5277777777777777E-2</v>
      </c>
      <c r="G812" s="44">
        <v>6.3</v>
      </c>
      <c r="H812" s="43" t="s">
        <v>1360</v>
      </c>
      <c r="I812" s="40" t="s">
        <v>1361</v>
      </c>
    </row>
    <row r="813" spans="1:9" x14ac:dyDescent="0.25">
      <c r="A813" s="40" t="s">
        <v>143</v>
      </c>
      <c r="B813" s="28">
        <v>870</v>
      </c>
      <c r="C813" s="28">
        <v>5664109</v>
      </c>
      <c r="D813" s="28"/>
      <c r="E813" s="45">
        <v>46154</v>
      </c>
      <c r="F813" s="48">
        <v>2.3356481481481482E-2</v>
      </c>
      <c r="G813" s="44">
        <v>6.3</v>
      </c>
      <c r="H813" s="43" t="s">
        <v>1362</v>
      </c>
      <c r="I813" s="40" t="s">
        <v>1361</v>
      </c>
    </row>
    <row r="814" spans="1:9" x14ac:dyDescent="0.25">
      <c r="A814" s="40" t="s">
        <v>143</v>
      </c>
      <c r="B814" s="28">
        <v>870</v>
      </c>
      <c r="C814" s="28">
        <v>5663841</v>
      </c>
      <c r="D814" s="28"/>
      <c r="E814" s="41">
        <v>46154</v>
      </c>
      <c r="F814" s="47">
        <v>0.22905092592592594</v>
      </c>
      <c r="G814" s="44">
        <v>6.3</v>
      </c>
      <c r="H814" s="43" t="s">
        <v>1364</v>
      </c>
      <c r="I814" s="40" t="s">
        <v>1361</v>
      </c>
    </row>
    <row r="815" spans="1:9" x14ac:dyDescent="0.25">
      <c r="A815" s="40" t="s">
        <v>143</v>
      </c>
      <c r="B815" s="28">
        <v>870</v>
      </c>
      <c r="C815" s="28" t="s">
        <v>35</v>
      </c>
      <c r="D815" s="28" t="s">
        <v>38</v>
      </c>
      <c r="E815" s="45">
        <v>46155</v>
      </c>
      <c r="F815" s="48">
        <v>0.18283564814814815</v>
      </c>
      <c r="G815" s="44">
        <v>6.3</v>
      </c>
      <c r="H815" s="43" t="s">
        <v>1360</v>
      </c>
      <c r="I815" s="40" t="s">
        <v>1361</v>
      </c>
    </row>
    <row r="816" spans="1:9" x14ac:dyDescent="0.25">
      <c r="A816" s="40" t="s">
        <v>143</v>
      </c>
      <c r="B816" s="28">
        <v>870</v>
      </c>
      <c r="C816" s="28" t="s">
        <v>35</v>
      </c>
      <c r="D816" s="28" t="s">
        <v>38</v>
      </c>
      <c r="E816" s="45">
        <v>46155</v>
      </c>
      <c r="F816" s="48">
        <v>0.19295138888888888</v>
      </c>
      <c r="G816" s="42">
        <v>6.3</v>
      </c>
      <c r="H816" s="40" t="s">
        <v>1368</v>
      </c>
      <c r="I816" s="40" t="s">
        <v>1361</v>
      </c>
    </row>
    <row r="817" spans="1:9" x14ac:dyDescent="0.25">
      <c r="A817" s="40" t="s">
        <v>143</v>
      </c>
      <c r="B817" s="28">
        <v>870</v>
      </c>
      <c r="C817" s="28">
        <v>5665065</v>
      </c>
      <c r="D817" s="28"/>
      <c r="E817" s="41">
        <v>46155</v>
      </c>
      <c r="F817" s="47">
        <v>0.22357638888888889</v>
      </c>
      <c r="G817" s="42">
        <v>6.3</v>
      </c>
      <c r="H817" s="40" t="s">
        <v>1370</v>
      </c>
      <c r="I817" s="40" t="s">
        <v>1361</v>
      </c>
    </row>
    <row r="818" spans="1:9" x14ac:dyDescent="0.25">
      <c r="A818" s="40" t="s">
        <v>143</v>
      </c>
      <c r="B818" s="28">
        <v>870</v>
      </c>
      <c r="C818" s="28">
        <v>5665065</v>
      </c>
      <c r="D818" s="28"/>
      <c r="E818" s="41">
        <v>46155</v>
      </c>
      <c r="F818" s="47">
        <v>0.2278587962962963</v>
      </c>
      <c r="G818" s="42">
        <v>6.3</v>
      </c>
      <c r="H818" s="40" t="s">
        <v>1364</v>
      </c>
      <c r="I818" s="40" t="s">
        <v>1361</v>
      </c>
    </row>
    <row r="819" spans="1:9" x14ac:dyDescent="0.25">
      <c r="A819" s="40" t="s">
        <v>143</v>
      </c>
      <c r="B819" s="28">
        <v>870</v>
      </c>
      <c r="C819" s="28" t="s">
        <v>35</v>
      </c>
      <c r="D819" s="28" t="s">
        <v>38</v>
      </c>
      <c r="E819" s="41">
        <v>46155</v>
      </c>
      <c r="F819" s="47">
        <v>0.82592592592592595</v>
      </c>
      <c r="G819" s="42">
        <v>6.3</v>
      </c>
      <c r="H819" s="40" t="s">
        <v>1360</v>
      </c>
      <c r="I819" s="40" t="s">
        <v>1361</v>
      </c>
    </row>
    <row r="820" spans="1:9" x14ac:dyDescent="0.25">
      <c r="A820" s="40" t="s">
        <v>143</v>
      </c>
      <c r="B820" s="28">
        <v>870</v>
      </c>
      <c r="C820" s="28" t="s">
        <v>35</v>
      </c>
      <c r="D820" s="28" t="s">
        <v>38</v>
      </c>
      <c r="E820" s="41">
        <v>46155</v>
      </c>
      <c r="F820" s="47">
        <v>0.8405555555555555</v>
      </c>
      <c r="G820" s="44">
        <v>6.3</v>
      </c>
      <c r="H820" s="43" t="s">
        <v>1362</v>
      </c>
      <c r="I820" s="40" t="s">
        <v>1361</v>
      </c>
    </row>
    <row r="821" spans="1:9" x14ac:dyDescent="0.25">
      <c r="A821" s="40" t="s">
        <v>143</v>
      </c>
      <c r="B821" s="28">
        <v>870</v>
      </c>
      <c r="C821" s="28" t="s">
        <v>35</v>
      </c>
      <c r="D821" s="28" t="s">
        <v>38</v>
      </c>
      <c r="E821" s="41">
        <v>46155</v>
      </c>
      <c r="F821" s="47">
        <v>0.86756944444444439</v>
      </c>
      <c r="G821" s="44">
        <v>6.3</v>
      </c>
      <c r="H821" s="43" t="s">
        <v>1369</v>
      </c>
      <c r="I821" s="40" t="s">
        <v>1361</v>
      </c>
    </row>
    <row r="822" spans="1:9" x14ac:dyDescent="0.25">
      <c r="A822" s="40" t="s">
        <v>143</v>
      </c>
      <c r="B822" s="28">
        <v>870</v>
      </c>
      <c r="C822" s="28" t="s">
        <v>35</v>
      </c>
      <c r="D822" s="28" t="s">
        <v>38</v>
      </c>
      <c r="E822" s="41">
        <v>46156</v>
      </c>
      <c r="F822" s="47">
        <v>0.45283564814814814</v>
      </c>
      <c r="G822" s="44">
        <v>6.3</v>
      </c>
      <c r="H822" s="43" t="s">
        <v>1360</v>
      </c>
      <c r="I822" s="40" t="s">
        <v>1361</v>
      </c>
    </row>
    <row r="823" spans="1:9" x14ac:dyDescent="0.25">
      <c r="A823" s="40" t="s">
        <v>143</v>
      </c>
      <c r="B823" s="28">
        <v>870</v>
      </c>
      <c r="C823" s="28" t="s">
        <v>35</v>
      </c>
      <c r="D823" s="28" t="s">
        <v>38</v>
      </c>
      <c r="E823" s="45">
        <v>46156</v>
      </c>
      <c r="F823" s="48">
        <v>0.46104166666666668</v>
      </c>
      <c r="G823" s="44">
        <v>6.3</v>
      </c>
      <c r="H823" s="43" t="s">
        <v>1366</v>
      </c>
      <c r="I823" s="40" t="s">
        <v>1361</v>
      </c>
    </row>
    <row r="824" spans="1:9" x14ac:dyDescent="0.25">
      <c r="A824" s="40" t="s">
        <v>143</v>
      </c>
      <c r="B824" s="28">
        <v>870</v>
      </c>
      <c r="C824" s="28">
        <v>5668092</v>
      </c>
      <c r="D824" s="28"/>
      <c r="E824" s="41">
        <v>46156</v>
      </c>
      <c r="F824" s="47">
        <v>0.5668981481481481</v>
      </c>
      <c r="G824" s="44">
        <v>6.3</v>
      </c>
      <c r="H824" s="43" t="s">
        <v>1370</v>
      </c>
      <c r="I824" s="40" t="s">
        <v>1361</v>
      </c>
    </row>
    <row r="825" spans="1:9" x14ac:dyDescent="0.25">
      <c r="A825" s="40" t="s">
        <v>143</v>
      </c>
      <c r="B825" s="28">
        <v>870</v>
      </c>
      <c r="C825" s="28">
        <v>5668092</v>
      </c>
      <c r="D825" s="28"/>
      <c r="E825" s="41">
        <v>46156</v>
      </c>
      <c r="F825" s="47">
        <v>0.62915509259259261</v>
      </c>
      <c r="G825" s="44">
        <v>6.3</v>
      </c>
      <c r="H825" s="43" t="s">
        <v>1360</v>
      </c>
      <c r="I825" s="40" t="s">
        <v>1361</v>
      </c>
    </row>
    <row r="826" spans="1:9" x14ac:dyDescent="0.25">
      <c r="A826" s="40" t="s">
        <v>143</v>
      </c>
      <c r="B826" s="28">
        <v>870</v>
      </c>
      <c r="C826" s="28" t="s">
        <v>35</v>
      </c>
      <c r="D826" s="28" t="s">
        <v>38</v>
      </c>
      <c r="E826" s="41">
        <v>46156</v>
      </c>
      <c r="F826" s="47">
        <v>0.69327546296296294</v>
      </c>
      <c r="G826" s="44">
        <v>6.3</v>
      </c>
      <c r="H826" s="43" t="s">
        <v>1364</v>
      </c>
      <c r="I826" s="40" t="s">
        <v>1361</v>
      </c>
    </row>
    <row r="827" spans="1:9" x14ac:dyDescent="0.25">
      <c r="A827" s="40" t="s">
        <v>143</v>
      </c>
      <c r="B827" s="28">
        <v>870</v>
      </c>
      <c r="C827" s="28" t="s">
        <v>35</v>
      </c>
      <c r="D827" s="28" t="s">
        <v>38</v>
      </c>
      <c r="E827" s="45">
        <v>46156</v>
      </c>
      <c r="F827" s="48">
        <v>0.92853009259259256</v>
      </c>
      <c r="G827" s="44">
        <v>6.3</v>
      </c>
      <c r="H827" s="43" t="s">
        <v>1364</v>
      </c>
      <c r="I827" s="40" t="s">
        <v>1361</v>
      </c>
    </row>
    <row r="828" spans="1:9" x14ac:dyDescent="0.25">
      <c r="A828" s="40" t="s">
        <v>143</v>
      </c>
      <c r="B828" s="28">
        <v>870</v>
      </c>
      <c r="C828" s="28">
        <v>5669439</v>
      </c>
      <c r="D828" s="28"/>
      <c r="E828" s="41">
        <v>46157</v>
      </c>
      <c r="F828" s="47">
        <v>3.5543981481481482E-2</v>
      </c>
      <c r="G828" s="44">
        <v>6.3</v>
      </c>
      <c r="H828" s="43" t="s">
        <v>1360</v>
      </c>
      <c r="I828" s="40" t="s">
        <v>1361</v>
      </c>
    </row>
    <row r="829" spans="1:9" x14ac:dyDescent="0.25">
      <c r="A829" s="40" t="s">
        <v>143</v>
      </c>
      <c r="B829" s="28">
        <v>870</v>
      </c>
      <c r="C829" s="28">
        <v>5669439</v>
      </c>
      <c r="D829" s="28"/>
      <c r="E829" s="41">
        <v>46157</v>
      </c>
      <c r="F829" s="47">
        <v>4.3564814814814813E-2</v>
      </c>
      <c r="G829" s="44">
        <v>6.3</v>
      </c>
      <c r="H829" s="43" t="s">
        <v>1368</v>
      </c>
      <c r="I829" s="40" t="s">
        <v>1361</v>
      </c>
    </row>
    <row r="830" spans="1:9" x14ac:dyDescent="0.25">
      <c r="A830" s="40" t="s">
        <v>143</v>
      </c>
      <c r="B830" s="28">
        <v>870</v>
      </c>
      <c r="C830" s="28" t="s">
        <v>35</v>
      </c>
      <c r="D830" s="28" t="s">
        <v>38</v>
      </c>
      <c r="E830" s="41">
        <v>46158</v>
      </c>
      <c r="F830" s="47">
        <v>0.36666666666666664</v>
      </c>
      <c r="G830" s="44">
        <v>6.3</v>
      </c>
      <c r="H830" s="43" t="s">
        <v>1360</v>
      </c>
      <c r="I830" s="40" t="s">
        <v>1365</v>
      </c>
    </row>
    <row r="831" spans="1:9" x14ac:dyDescent="0.25">
      <c r="A831" s="40" t="s">
        <v>143</v>
      </c>
      <c r="B831" s="28">
        <v>870</v>
      </c>
      <c r="C831" s="28" t="s">
        <v>35</v>
      </c>
      <c r="D831" s="28" t="s">
        <v>38</v>
      </c>
      <c r="E831" s="41">
        <v>46158</v>
      </c>
      <c r="F831" s="47">
        <v>0.37614583333333335</v>
      </c>
      <c r="G831" s="44">
        <v>6.3</v>
      </c>
      <c r="H831" s="43" t="s">
        <v>1362</v>
      </c>
      <c r="I831" s="40" t="s">
        <v>1365</v>
      </c>
    </row>
    <row r="832" spans="1:9" x14ac:dyDescent="0.25">
      <c r="A832" s="40" t="s">
        <v>143</v>
      </c>
      <c r="B832" s="28">
        <v>870</v>
      </c>
      <c r="C832" s="28" t="s">
        <v>35</v>
      </c>
      <c r="D832" s="28" t="s">
        <v>38</v>
      </c>
      <c r="E832" s="41">
        <v>46158</v>
      </c>
      <c r="F832" s="47">
        <v>0.4487962962962963</v>
      </c>
      <c r="G832" s="44">
        <v>6.3</v>
      </c>
      <c r="H832" s="43" t="s">
        <v>1363</v>
      </c>
      <c r="I832" s="40" t="s">
        <v>1365</v>
      </c>
    </row>
    <row r="833" spans="1:9" x14ac:dyDescent="0.25">
      <c r="A833" s="40" t="s">
        <v>143</v>
      </c>
      <c r="B833" s="28">
        <v>870</v>
      </c>
      <c r="C833" s="28" t="s">
        <v>592</v>
      </c>
      <c r="D833" s="28"/>
      <c r="E833" s="41">
        <v>46158</v>
      </c>
      <c r="F833" s="47">
        <v>0.92009259259259257</v>
      </c>
      <c r="G833" s="44">
        <v>6.3</v>
      </c>
      <c r="H833" s="43" t="s">
        <v>1360</v>
      </c>
      <c r="I833" s="40" t="s">
        <v>1365</v>
      </c>
    </row>
    <row r="834" spans="1:9" x14ac:dyDescent="0.25">
      <c r="A834" s="40" t="s">
        <v>143</v>
      </c>
      <c r="B834" s="28">
        <v>870</v>
      </c>
      <c r="C834" s="28" t="s">
        <v>592</v>
      </c>
      <c r="D834" s="28"/>
      <c r="E834" s="41">
        <v>46158</v>
      </c>
      <c r="F834" s="47">
        <v>0.93011574074074077</v>
      </c>
      <c r="G834" s="44">
        <v>6.3</v>
      </c>
      <c r="H834" s="43" t="s">
        <v>1368</v>
      </c>
      <c r="I834" s="40" t="s">
        <v>1365</v>
      </c>
    </row>
    <row r="835" spans="1:9" x14ac:dyDescent="0.25">
      <c r="A835" s="40" t="s">
        <v>143</v>
      </c>
      <c r="B835" s="28">
        <v>870</v>
      </c>
      <c r="C835" s="28" t="s">
        <v>35</v>
      </c>
      <c r="D835" s="28" t="s">
        <v>38</v>
      </c>
      <c r="E835" s="41">
        <v>46159</v>
      </c>
      <c r="F835" s="47">
        <v>0.27457175925925925</v>
      </c>
      <c r="G835" s="44">
        <v>6.3</v>
      </c>
      <c r="H835" s="43" t="s">
        <v>1368</v>
      </c>
      <c r="I835" s="40" t="s">
        <v>1365</v>
      </c>
    </row>
    <row r="836" spans="1:9" x14ac:dyDescent="0.25">
      <c r="A836" s="40" t="s">
        <v>143</v>
      </c>
      <c r="B836" s="28">
        <v>870</v>
      </c>
      <c r="C836" s="28">
        <v>5673616</v>
      </c>
      <c r="D836" s="28"/>
      <c r="E836" s="41">
        <v>46159</v>
      </c>
      <c r="F836" s="47">
        <v>0.98837962962962966</v>
      </c>
      <c r="G836" s="42">
        <v>6.3</v>
      </c>
      <c r="H836" s="40" t="s">
        <v>1360</v>
      </c>
      <c r="I836" s="40" t="s">
        <v>1365</v>
      </c>
    </row>
    <row r="837" spans="1:9" x14ac:dyDescent="0.25">
      <c r="A837" s="40" t="s">
        <v>143</v>
      </c>
      <c r="B837" s="28">
        <v>870</v>
      </c>
      <c r="C837" s="28">
        <v>5673616</v>
      </c>
      <c r="D837" s="28"/>
      <c r="E837" s="41">
        <v>46159</v>
      </c>
      <c r="F837" s="47">
        <v>0.99737268518518518</v>
      </c>
      <c r="G837" s="42">
        <v>6.3</v>
      </c>
      <c r="H837" s="40" t="s">
        <v>1362</v>
      </c>
      <c r="I837" s="40" t="s">
        <v>1365</v>
      </c>
    </row>
    <row r="838" spans="1:9" x14ac:dyDescent="0.25">
      <c r="A838" s="40" t="s">
        <v>144</v>
      </c>
      <c r="B838" s="28">
        <v>879</v>
      </c>
      <c r="C838" s="28" t="s">
        <v>593</v>
      </c>
      <c r="D838" s="28"/>
      <c r="E838" s="41">
        <v>46154</v>
      </c>
      <c r="F838" s="47">
        <v>0.49967592592592591</v>
      </c>
      <c r="G838" s="42">
        <v>6.3</v>
      </c>
      <c r="H838" s="40" t="s">
        <v>1360</v>
      </c>
      <c r="I838" s="40" t="s">
        <v>1361</v>
      </c>
    </row>
    <row r="839" spans="1:9" x14ac:dyDescent="0.25">
      <c r="A839" s="40" t="s">
        <v>144</v>
      </c>
      <c r="B839" s="28">
        <v>879</v>
      </c>
      <c r="C839" s="28" t="s">
        <v>593</v>
      </c>
      <c r="D839" s="28"/>
      <c r="E839" s="41">
        <v>46154</v>
      </c>
      <c r="F839" s="47">
        <v>0.50969907407407411</v>
      </c>
      <c r="G839" s="42">
        <v>6.3</v>
      </c>
      <c r="H839" s="40" t="s">
        <v>1362</v>
      </c>
      <c r="I839" s="40" t="s">
        <v>1361</v>
      </c>
    </row>
    <row r="840" spans="1:9" x14ac:dyDescent="0.25">
      <c r="A840" s="40" t="s">
        <v>144</v>
      </c>
      <c r="B840" s="28">
        <v>879</v>
      </c>
      <c r="C840" s="28">
        <v>10644703</v>
      </c>
      <c r="D840" s="28"/>
      <c r="E840" s="41">
        <v>46154</v>
      </c>
      <c r="F840" s="47">
        <v>0.62747685185185187</v>
      </c>
      <c r="G840" s="42">
        <v>6.3</v>
      </c>
      <c r="H840" s="40" t="s">
        <v>1360</v>
      </c>
      <c r="I840" s="40" t="s">
        <v>1361</v>
      </c>
    </row>
    <row r="841" spans="1:9" x14ac:dyDescent="0.25">
      <c r="A841" s="40" t="s">
        <v>144</v>
      </c>
      <c r="B841" s="28">
        <v>879</v>
      </c>
      <c r="C841" s="28">
        <v>10644703</v>
      </c>
      <c r="D841" s="28"/>
      <c r="E841" s="41">
        <v>46154</v>
      </c>
      <c r="F841" s="47">
        <v>0.63870370370370366</v>
      </c>
      <c r="G841" s="44">
        <v>6.3</v>
      </c>
      <c r="H841" s="43" t="s">
        <v>1362</v>
      </c>
      <c r="I841" s="40" t="s">
        <v>1361</v>
      </c>
    </row>
    <row r="842" spans="1:9" x14ac:dyDescent="0.25">
      <c r="A842" s="40" t="s">
        <v>144</v>
      </c>
      <c r="B842" s="28">
        <v>879</v>
      </c>
      <c r="C842" s="28">
        <v>5665529</v>
      </c>
      <c r="D842" s="28"/>
      <c r="E842" s="41">
        <v>46154</v>
      </c>
      <c r="F842" s="47">
        <v>0.88974537037037038</v>
      </c>
      <c r="G842" s="44">
        <v>6.3</v>
      </c>
      <c r="H842" s="43" t="s">
        <v>1360</v>
      </c>
      <c r="I842" s="40" t="s">
        <v>1361</v>
      </c>
    </row>
    <row r="843" spans="1:9" x14ac:dyDescent="0.25">
      <c r="A843" s="40" t="s">
        <v>144</v>
      </c>
      <c r="B843" s="28">
        <v>879</v>
      </c>
      <c r="C843" s="28">
        <v>5665529</v>
      </c>
      <c r="D843" s="28"/>
      <c r="E843" s="45">
        <v>46154</v>
      </c>
      <c r="F843" s="48">
        <v>0.89815972222222218</v>
      </c>
      <c r="G843" s="44">
        <v>6.3</v>
      </c>
      <c r="H843" s="43" t="s">
        <v>1362</v>
      </c>
      <c r="I843" s="40" t="s">
        <v>1361</v>
      </c>
    </row>
    <row r="844" spans="1:9" x14ac:dyDescent="0.25">
      <c r="A844" s="40" t="s">
        <v>144</v>
      </c>
      <c r="B844" s="28">
        <v>879</v>
      </c>
      <c r="C844" s="28" t="s">
        <v>35</v>
      </c>
      <c r="D844" s="28" t="s">
        <v>38</v>
      </c>
      <c r="E844" s="41">
        <v>46154</v>
      </c>
      <c r="F844" s="47">
        <v>0.91190972222222222</v>
      </c>
      <c r="G844" s="44">
        <v>6.3</v>
      </c>
      <c r="H844" s="43" t="s">
        <v>1363</v>
      </c>
      <c r="I844" s="40" t="s">
        <v>1361</v>
      </c>
    </row>
    <row r="845" spans="1:9" x14ac:dyDescent="0.25">
      <c r="A845" s="40" t="s">
        <v>144</v>
      </c>
      <c r="B845" s="28">
        <v>879</v>
      </c>
      <c r="C845" s="28" t="s">
        <v>35</v>
      </c>
      <c r="D845" s="28" t="s">
        <v>38</v>
      </c>
      <c r="E845" s="41">
        <v>46154</v>
      </c>
      <c r="F845" s="47">
        <v>0.91749999999999998</v>
      </c>
      <c r="G845" s="44">
        <v>6.3</v>
      </c>
      <c r="H845" s="43" t="s">
        <v>1364</v>
      </c>
      <c r="I845" s="40" t="s">
        <v>1361</v>
      </c>
    </row>
    <row r="846" spans="1:9" x14ac:dyDescent="0.25">
      <c r="A846" s="40" t="s">
        <v>144</v>
      </c>
      <c r="B846" s="28">
        <v>879</v>
      </c>
      <c r="C846" s="28" t="s">
        <v>35</v>
      </c>
      <c r="D846" s="28" t="s">
        <v>38</v>
      </c>
      <c r="E846" s="41">
        <v>46155</v>
      </c>
      <c r="F846" s="47">
        <v>0.68293981481481481</v>
      </c>
      <c r="G846" s="44">
        <v>6.3</v>
      </c>
      <c r="H846" s="43" t="s">
        <v>1363</v>
      </c>
      <c r="I846" s="40" t="s">
        <v>1361</v>
      </c>
    </row>
    <row r="847" spans="1:9" x14ac:dyDescent="0.25">
      <c r="A847" s="40" t="s">
        <v>144</v>
      </c>
      <c r="B847" s="28">
        <v>879</v>
      </c>
      <c r="C847" s="28" t="s">
        <v>35</v>
      </c>
      <c r="D847" s="28" t="s">
        <v>38</v>
      </c>
      <c r="E847" s="45">
        <v>46155</v>
      </c>
      <c r="F847" s="48">
        <v>0.68937499999999996</v>
      </c>
      <c r="G847" s="42">
        <v>6.3</v>
      </c>
      <c r="H847" s="40" t="s">
        <v>1364</v>
      </c>
      <c r="I847" s="40" t="s">
        <v>1361</v>
      </c>
    </row>
    <row r="848" spans="1:9" x14ac:dyDescent="0.25">
      <c r="A848" s="40" t="s">
        <v>144</v>
      </c>
      <c r="B848" s="28">
        <v>879</v>
      </c>
      <c r="C848" s="28" t="s">
        <v>35</v>
      </c>
      <c r="D848" s="28" t="s">
        <v>38</v>
      </c>
      <c r="E848" s="41">
        <v>46155</v>
      </c>
      <c r="F848" s="47">
        <v>0.78822916666666665</v>
      </c>
      <c r="G848" s="42">
        <v>6.3</v>
      </c>
      <c r="H848" s="40" t="s">
        <v>1360</v>
      </c>
      <c r="I848" s="40" t="s">
        <v>1361</v>
      </c>
    </row>
    <row r="849" spans="1:9" x14ac:dyDescent="0.25">
      <c r="A849" s="40" t="s">
        <v>144</v>
      </c>
      <c r="B849" s="28">
        <v>879</v>
      </c>
      <c r="C849" s="28" t="s">
        <v>35</v>
      </c>
      <c r="D849" s="28" t="s">
        <v>38</v>
      </c>
      <c r="E849" s="41">
        <v>46155</v>
      </c>
      <c r="F849" s="47">
        <v>0.83739583333333334</v>
      </c>
      <c r="G849" s="42">
        <v>6.3</v>
      </c>
      <c r="H849" s="40" t="s">
        <v>1364</v>
      </c>
      <c r="I849" s="40" t="s">
        <v>1361</v>
      </c>
    </row>
    <row r="850" spans="1:9" x14ac:dyDescent="0.25">
      <c r="A850" s="40" t="s">
        <v>144</v>
      </c>
      <c r="B850" s="28">
        <v>879</v>
      </c>
      <c r="C850" s="28" t="s">
        <v>594</v>
      </c>
      <c r="D850" s="28"/>
      <c r="E850" s="41">
        <v>46156</v>
      </c>
      <c r="F850" s="47">
        <v>0.61421296296296302</v>
      </c>
      <c r="G850" s="44">
        <v>6.3</v>
      </c>
      <c r="H850" s="43" t="s">
        <v>1360</v>
      </c>
      <c r="I850" s="40" t="s">
        <v>1361</v>
      </c>
    </row>
    <row r="851" spans="1:9" x14ac:dyDescent="0.25">
      <c r="A851" s="40" t="s">
        <v>144</v>
      </c>
      <c r="B851" s="28">
        <v>879</v>
      </c>
      <c r="C851" s="28" t="s">
        <v>594</v>
      </c>
      <c r="D851" s="28"/>
      <c r="E851" s="41">
        <v>46156</v>
      </c>
      <c r="F851" s="47">
        <v>0.62387731481481479</v>
      </c>
      <c r="G851" s="44">
        <v>6.3</v>
      </c>
      <c r="H851" s="43" t="s">
        <v>1362</v>
      </c>
      <c r="I851" s="40" t="s">
        <v>1361</v>
      </c>
    </row>
    <row r="852" spans="1:9" x14ac:dyDescent="0.25">
      <c r="A852" s="40" t="s">
        <v>144</v>
      </c>
      <c r="B852" s="28">
        <v>879</v>
      </c>
      <c r="C852" s="28" t="s">
        <v>35</v>
      </c>
      <c r="D852" s="28" t="s">
        <v>38</v>
      </c>
      <c r="E852" s="41">
        <v>46156</v>
      </c>
      <c r="F852" s="47">
        <v>0.64109953703703704</v>
      </c>
      <c r="G852" s="44">
        <v>6.3</v>
      </c>
      <c r="H852" s="43" t="s">
        <v>1363</v>
      </c>
      <c r="I852" s="40" t="s">
        <v>1361</v>
      </c>
    </row>
    <row r="853" spans="1:9" x14ac:dyDescent="0.25">
      <c r="A853" s="40" t="s">
        <v>144</v>
      </c>
      <c r="B853" s="28">
        <v>879</v>
      </c>
      <c r="C853" s="28" t="s">
        <v>35</v>
      </c>
      <c r="D853" s="28" t="s">
        <v>38</v>
      </c>
      <c r="E853" s="41">
        <v>46156</v>
      </c>
      <c r="F853" s="47">
        <v>0.64854166666666668</v>
      </c>
      <c r="G853" s="44">
        <v>6.3</v>
      </c>
      <c r="H853" s="43" t="s">
        <v>1364</v>
      </c>
      <c r="I853" s="40" t="s">
        <v>1361</v>
      </c>
    </row>
    <row r="854" spans="1:9" x14ac:dyDescent="0.25">
      <c r="A854" s="40" t="s">
        <v>144</v>
      </c>
      <c r="B854" s="28">
        <v>879</v>
      </c>
      <c r="C854" s="28">
        <v>5669151</v>
      </c>
      <c r="D854" s="28"/>
      <c r="E854" s="41">
        <v>46156</v>
      </c>
      <c r="F854" s="47">
        <v>0.85920138888888886</v>
      </c>
      <c r="G854" s="44">
        <v>6.3</v>
      </c>
      <c r="H854" s="43" t="s">
        <v>1360</v>
      </c>
      <c r="I854" s="40" t="s">
        <v>1361</v>
      </c>
    </row>
    <row r="855" spans="1:9" x14ac:dyDescent="0.25">
      <c r="A855" s="40" t="s">
        <v>144</v>
      </c>
      <c r="B855" s="28">
        <v>879</v>
      </c>
      <c r="C855" s="28" t="s">
        <v>35</v>
      </c>
      <c r="D855" s="28" t="s">
        <v>38</v>
      </c>
      <c r="E855" s="41">
        <v>46156</v>
      </c>
      <c r="F855" s="47">
        <v>0.89739583333333328</v>
      </c>
      <c r="G855" s="44">
        <v>6.3</v>
      </c>
      <c r="H855" s="43" t="s">
        <v>1364</v>
      </c>
      <c r="I855" s="40" t="s">
        <v>1361</v>
      </c>
    </row>
    <row r="856" spans="1:9" x14ac:dyDescent="0.25">
      <c r="A856" s="40" t="s">
        <v>144</v>
      </c>
      <c r="B856" s="28">
        <v>879</v>
      </c>
      <c r="C856" s="28">
        <v>5670985</v>
      </c>
      <c r="D856" s="28" t="s">
        <v>36</v>
      </c>
      <c r="E856" s="41">
        <v>46157</v>
      </c>
      <c r="F856" s="47">
        <v>0.90604166666666663</v>
      </c>
      <c r="G856" s="44">
        <v>6.3</v>
      </c>
      <c r="H856" s="43" t="s">
        <v>1360</v>
      </c>
      <c r="I856" s="40" t="s">
        <v>1361</v>
      </c>
    </row>
    <row r="857" spans="1:9" x14ac:dyDescent="0.25">
      <c r="A857" s="40" t="s">
        <v>144</v>
      </c>
      <c r="B857" s="28">
        <v>879</v>
      </c>
      <c r="C857" s="28">
        <v>5670985</v>
      </c>
      <c r="D857" s="28" t="s">
        <v>36</v>
      </c>
      <c r="E857" s="41">
        <v>46157</v>
      </c>
      <c r="F857" s="47">
        <v>0.91447916666666662</v>
      </c>
      <c r="G857" s="44">
        <v>6.3</v>
      </c>
      <c r="H857" s="43" t="s">
        <v>1362</v>
      </c>
      <c r="I857" s="40" t="s">
        <v>1361</v>
      </c>
    </row>
    <row r="858" spans="1:9" x14ac:dyDescent="0.25">
      <c r="A858" s="40" t="s">
        <v>144</v>
      </c>
      <c r="B858" s="28">
        <v>879</v>
      </c>
      <c r="C858" s="28" t="s">
        <v>35</v>
      </c>
      <c r="D858" s="28" t="s">
        <v>38</v>
      </c>
      <c r="E858" s="41">
        <v>46157</v>
      </c>
      <c r="F858" s="47">
        <v>0.93855324074074076</v>
      </c>
      <c r="G858" s="44">
        <v>6.3</v>
      </c>
      <c r="H858" s="43" t="s">
        <v>1363</v>
      </c>
      <c r="I858" s="40" t="s">
        <v>1365</v>
      </c>
    </row>
    <row r="859" spans="1:9" x14ac:dyDescent="0.25">
      <c r="A859" s="40" t="s">
        <v>271</v>
      </c>
      <c r="B859" s="28">
        <v>899</v>
      </c>
      <c r="C859" s="28">
        <v>5662628</v>
      </c>
      <c r="D859" s="28"/>
      <c r="E859" s="41">
        <v>46153</v>
      </c>
      <c r="F859" s="47">
        <v>0.56450231481481483</v>
      </c>
      <c r="G859" s="44">
        <v>6.3</v>
      </c>
      <c r="H859" s="43" t="s">
        <v>1360</v>
      </c>
      <c r="I859" s="40" t="s">
        <v>1361</v>
      </c>
    </row>
    <row r="860" spans="1:9" x14ac:dyDescent="0.25">
      <c r="A860" s="40" t="s">
        <v>271</v>
      </c>
      <c r="B860" s="28">
        <v>899</v>
      </c>
      <c r="C860" s="28">
        <v>5662628</v>
      </c>
      <c r="D860" s="28"/>
      <c r="E860" s="41">
        <v>46153</v>
      </c>
      <c r="F860" s="47">
        <v>0.57322916666666668</v>
      </c>
      <c r="G860" s="44">
        <v>6.3</v>
      </c>
      <c r="H860" s="43" t="s">
        <v>1362</v>
      </c>
      <c r="I860" s="40" t="s">
        <v>1361</v>
      </c>
    </row>
    <row r="861" spans="1:9" x14ac:dyDescent="0.25">
      <c r="A861" s="40" t="s">
        <v>271</v>
      </c>
      <c r="B861" s="28">
        <v>899</v>
      </c>
      <c r="C861" s="28" t="s">
        <v>35</v>
      </c>
      <c r="D861" s="28" t="s">
        <v>38</v>
      </c>
      <c r="E861" s="41">
        <v>46154</v>
      </c>
      <c r="F861" s="47">
        <v>0.76643518518518516</v>
      </c>
      <c r="G861" s="44">
        <v>6.3</v>
      </c>
      <c r="H861" s="43" t="s">
        <v>1364</v>
      </c>
      <c r="I861" s="40" t="s">
        <v>1361</v>
      </c>
    </row>
    <row r="862" spans="1:9" x14ac:dyDescent="0.25">
      <c r="A862" s="40" t="s">
        <v>271</v>
      </c>
      <c r="B862" s="28">
        <v>899</v>
      </c>
      <c r="C862" s="28">
        <v>5666485</v>
      </c>
      <c r="D862" s="28"/>
      <c r="E862" s="41">
        <v>46155</v>
      </c>
      <c r="F862" s="47">
        <v>0.51774305555555555</v>
      </c>
      <c r="G862" s="44">
        <v>6.3</v>
      </c>
      <c r="H862" s="43" t="s">
        <v>1360</v>
      </c>
      <c r="I862" s="40" t="s">
        <v>1361</v>
      </c>
    </row>
    <row r="863" spans="1:9" x14ac:dyDescent="0.25">
      <c r="A863" s="40" t="s">
        <v>271</v>
      </c>
      <c r="B863" s="28">
        <v>899</v>
      </c>
      <c r="C863" s="28">
        <v>5666485</v>
      </c>
      <c r="D863" s="28"/>
      <c r="E863" s="41">
        <v>46155</v>
      </c>
      <c r="F863" s="47">
        <v>0.53266203703703707</v>
      </c>
      <c r="G863" s="44">
        <v>6.3</v>
      </c>
      <c r="H863" s="43" t="s">
        <v>1362</v>
      </c>
      <c r="I863" s="40" t="s">
        <v>1361</v>
      </c>
    </row>
    <row r="864" spans="1:9" x14ac:dyDescent="0.25">
      <c r="A864" s="40" t="s">
        <v>271</v>
      </c>
      <c r="B864" s="28">
        <v>899</v>
      </c>
      <c r="C864" s="28">
        <v>5667884</v>
      </c>
      <c r="D864" s="28"/>
      <c r="E864" s="41">
        <v>46156</v>
      </c>
      <c r="F864" s="47">
        <v>0.32804398148148151</v>
      </c>
      <c r="G864" s="44">
        <v>6.3</v>
      </c>
      <c r="H864" s="43" t="s">
        <v>1360</v>
      </c>
      <c r="I864" s="40" t="s">
        <v>1361</v>
      </c>
    </row>
    <row r="865" spans="1:9" x14ac:dyDescent="0.25">
      <c r="A865" s="40" t="s">
        <v>271</v>
      </c>
      <c r="B865" s="28">
        <v>899</v>
      </c>
      <c r="C865" s="28">
        <v>5668486</v>
      </c>
      <c r="D865" s="28"/>
      <c r="E865" s="41">
        <v>46156</v>
      </c>
      <c r="F865" s="47">
        <v>0.66166666666666663</v>
      </c>
      <c r="G865" s="44">
        <v>6.3</v>
      </c>
      <c r="H865" s="43" t="s">
        <v>1360</v>
      </c>
      <c r="I865" s="40" t="s">
        <v>1361</v>
      </c>
    </row>
    <row r="866" spans="1:9" x14ac:dyDescent="0.25">
      <c r="A866" s="40" t="s">
        <v>271</v>
      </c>
      <c r="B866" s="28">
        <v>899</v>
      </c>
      <c r="C866" s="28">
        <v>5668486</v>
      </c>
      <c r="D866" s="28"/>
      <c r="E866" s="41">
        <v>46156</v>
      </c>
      <c r="F866" s="47">
        <v>0.68016203703703704</v>
      </c>
      <c r="G866" s="44">
        <v>6.3</v>
      </c>
      <c r="H866" s="43" t="s">
        <v>1362</v>
      </c>
      <c r="I866" s="40" t="s">
        <v>1361</v>
      </c>
    </row>
    <row r="867" spans="1:9" x14ac:dyDescent="0.25">
      <c r="A867" s="40" t="s">
        <v>271</v>
      </c>
      <c r="B867" s="28">
        <v>899</v>
      </c>
      <c r="C867" s="28" t="s">
        <v>35</v>
      </c>
      <c r="D867" s="28" t="s">
        <v>38</v>
      </c>
      <c r="E867" s="45">
        <v>46156</v>
      </c>
      <c r="F867" s="48">
        <v>0.75292824074074072</v>
      </c>
      <c r="G867" s="44">
        <v>6.3</v>
      </c>
      <c r="H867" s="43" t="s">
        <v>1364</v>
      </c>
      <c r="I867" s="40" t="s">
        <v>1361</v>
      </c>
    </row>
    <row r="868" spans="1:9" x14ac:dyDescent="0.25">
      <c r="A868" s="40" t="s">
        <v>271</v>
      </c>
      <c r="B868" s="28">
        <v>899</v>
      </c>
      <c r="C868" s="28">
        <v>5669577</v>
      </c>
      <c r="D868" s="28"/>
      <c r="E868" s="41">
        <v>46157</v>
      </c>
      <c r="F868" s="47">
        <v>0.28408564814814813</v>
      </c>
      <c r="G868" s="44">
        <v>6.3</v>
      </c>
      <c r="H868" s="43" t="s">
        <v>1360</v>
      </c>
      <c r="I868" s="40" t="s">
        <v>1361</v>
      </c>
    </row>
    <row r="869" spans="1:9" x14ac:dyDescent="0.25">
      <c r="A869" s="40" t="s">
        <v>271</v>
      </c>
      <c r="B869" s="28">
        <v>899</v>
      </c>
      <c r="C869" s="28">
        <v>5669577</v>
      </c>
      <c r="D869" s="28"/>
      <c r="E869" s="41">
        <v>46157</v>
      </c>
      <c r="F869" s="47">
        <v>0.29306712962962961</v>
      </c>
      <c r="G869" s="42">
        <v>6.3</v>
      </c>
      <c r="H869" s="40" t="s">
        <v>1368</v>
      </c>
      <c r="I869" s="40" t="s">
        <v>1361</v>
      </c>
    </row>
    <row r="870" spans="1:9" x14ac:dyDescent="0.25">
      <c r="A870" s="40" t="s">
        <v>271</v>
      </c>
      <c r="B870" s="28">
        <v>899</v>
      </c>
      <c r="C870" s="28">
        <v>5670807</v>
      </c>
      <c r="D870" s="28"/>
      <c r="E870" s="41">
        <v>46158</v>
      </c>
      <c r="F870" s="47">
        <v>0.40210648148148148</v>
      </c>
      <c r="G870" s="42">
        <v>6.3</v>
      </c>
      <c r="H870" s="40" t="s">
        <v>1360</v>
      </c>
      <c r="I870" s="40" t="s">
        <v>1365</v>
      </c>
    </row>
    <row r="871" spans="1:9" x14ac:dyDescent="0.25">
      <c r="A871" s="40" t="s">
        <v>271</v>
      </c>
      <c r="B871" s="28">
        <v>899</v>
      </c>
      <c r="C871" s="28" t="s">
        <v>595</v>
      </c>
      <c r="D871" s="28"/>
      <c r="E871" s="41">
        <v>46159</v>
      </c>
      <c r="F871" s="47">
        <v>0.52119212962962957</v>
      </c>
      <c r="G871" s="42">
        <v>6.3</v>
      </c>
      <c r="H871" s="40" t="s">
        <v>1360</v>
      </c>
      <c r="I871" s="40" t="s">
        <v>1365</v>
      </c>
    </row>
    <row r="872" spans="1:9" x14ac:dyDescent="0.25">
      <c r="A872" s="40" t="s">
        <v>271</v>
      </c>
      <c r="B872" s="28">
        <v>899</v>
      </c>
      <c r="C872" s="28" t="s">
        <v>595</v>
      </c>
      <c r="D872" s="28"/>
      <c r="E872" s="41">
        <v>46159</v>
      </c>
      <c r="F872" s="47">
        <v>0.52925925925925921</v>
      </c>
      <c r="G872" s="42">
        <v>6.3</v>
      </c>
      <c r="H872" s="40" t="s">
        <v>1368</v>
      </c>
      <c r="I872" s="40" t="s">
        <v>1365</v>
      </c>
    </row>
    <row r="873" spans="1:9" x14ac:dyDescent="0.25">
      <c r="A873" s="40" t="s">
        <v>271</v>
      </c>
      <c r="B873" s="28">
        <v>899</v>
      </c>
      <c r="C873" s="28">
        <v>5673201</v>
      </c>
      <c r="D873" s="28" t="s">
        <v>37</v>
      </c>
      <c r="E873" s="41">
        <v>46159</v>
      </c>
      <c r="F873" s="47">
        <v>0.79099537037037038</v>
      </c>
      <c r="G873" s="44">
        <v>6.3</v>
      </c>
      <c r="H873" s="43" t="s">
        <v>1360</v>
      </c>
      <c r="I873" s="40" t="s">
        <v>1365</v>
      </c>
    </row>
    <row r="874" spans="1:9" x14ac:dyDescent="0.25">
      <c r="A874" s="40" t="s">
        <v>271</v>
      </c>
      <c r="B874" s="28">
        <v>899</v>
      </c>
      <c r="C874" s="28">
        <v>5673201</v>
      </c>
      <c r="D874" s="28" t="s">
        <v>37</v>
      </c>
      <c r="E874" s="41">
        <v>46159</v>
      </c>
      <c r="F874" s="47">
        <v>0.79898148148148151</v>
      </c>
      <c r="G874" s="44">
        <v>6.3</v>
      </c>
      <c r="H874" s="43" t="s">
        <v>1362</v>
      </c>
      <c r="I874" s="40" t="s">
        <v>1365</v>
      </c>
    </row>
    <row r="875" spans="1:9" x14ac:dyDescent="0.25">
      <c r="A875" s="40" t="s">
        <v>182</v>
      </c>
      <c r="B875" s="28">
        <v>917</v>
      </c>
      <c r="C875" s="28">
        <v>5663077</v>
      </c>
      <c r="D875" s="28"/>
      <c r="E875" s="41">
        <v>46154</v>
      </c>
      <c r="F875" s="47">
        <v>0.17824074074074073</v>
      </c>
      <c r="G875" s="44">
        <v>6.3</v>
      </c>
      <c r="H875" s="43" t="s">
        <v>1363</v>
      </c>
      <c r="I875" s="40" t="s">
        <v>1361</v>
      </c>
    </row>
    <row r="876" spans="1:9" x14ac:dyDescent="0.25">
      <c r="A876" s="40" t="s">
        <v>182</v>
      </c>
      <c r="B876" s="28">
        <v>917</v>
      </c>
      <c r="C876" s="28">
        <v>5663077</v>
      </c>
      <c r="D876" s="28"/>
      <c r="E876" s="41">
        <v>46154</v>
      </c>
      <c r="F876" s="47">
        <v>0.1837037037037037</v>
      </c>
      <c r="G876" s="44">
        <v>6.3</v>
      </c>
      <c r="H876" s="43" t="s">
        <v>1364</v>
      </c>
      <c r="I876" s="40" t="s">
        <v>1361</v>
      </c>
    </row>
    <row r="877" spans="1:9" x14ac:dyDescent="0.25">
      <c r="A877" s="40" t="s">
        <v>182</v>
      </c>
      <c r="B877" s="28">
        <v>917</v>
      </c>
      <c r="C877" s="28">
        <v>5665587</v>
      </c>
      <c r="D877" s="28"/>
      <c r="E877" s="41">
        <v>46154</v>
      </c>
      <c r="F877" s="47">
        <v>0.84332175925925923</v>
      </c>
      <c r="G877" s="44">
        <v>6.3</v>
      </c>
      <c r="H877" s="43" t="s">
        <v>1360</v>
      </c>
      <c r="I877" s="40" t="s">
        <v>1361</v>
      </c>
    </row>
    <row r="878" spans="1:9" x14ac:dyDescent="0.25">
      <c r="A878" s="40" t="s">
        <v>182</v>
      </c>
      <c r="B878" s="28">
        <v>917</v>
      </c>
      <c r="C878" s="28">
        <v>5665587</v>
      </c>
      <c r="D878" s="28"/>
      <c r="E878" s="41">
        <v>46154</v>
      </c>
      <c r="F878" s="47">
        <v>0.85222222222222221</v>
      </c>
      <c r="G878" s="44">
        <v>6.3</v>
      </c>
      <c r="H878" s="43" t="s">
        <v>1362</v>
      </c>
      <c r="I878" s="40" t="s">
        <v>1361</v>
      </c>
    </row>
    <row r="879" spans="1:9" x14ac:dyDescent="0.25">
      <c r="A879" s="40" t="s">
        <v>182</v>
      </c>
      <c r="B879" s="28">
        <v>917</v>
      </c>
      <c r="C879" s="28" t="s">
        <v>596</v>
      </c>
      <c r="D879" s="28"/>
      <c r="E879" s="41">
        <v>46155</v>
      </c>
      <c r="F879" s="47">
        <v>0.97972222222222227</v>
      </c>
      <c r="G879" s="44">
        <v>6.3</v>
      </c>
      <c r="H879" s="43" t="s">
        <v>1360</v>
      </c>
      <c r="I879" s="40" t="s">
        <v>1361</v>
      </c>
    </row>
    <row r="880" spans="1:9" x14ac:dyDescent="0.25">
      <c r="A880" s="40" t="s">
        <v>182</v>
      </c>
      <c r="B880" s="28">
        <v>917</v>
      </c>
      <c r="C880" s="28" t="s">
        <v>596</v>
      </c>
      <c r="D880" s="28"/>
      <c r="E880" s="45">
        <v>46155</v>
      </c>
      <c r="F880" s="48">
        <v>0.98898148148148146</v>
      </c>
      <c r="G880" s="44">
        <v>6.3</v>
      </c>
      <c r="H880" s="43" t="s">
        <v>1362</v>
      </c>
      <c r="I880" s="40" t="s">
        <v>1361</v>
      </c>
    </row>
    <row r="881" spans="1:9" x14ac:dyDescent="0.25">
      <c r="A881" s="40" t="s">
        <v>182</v>
      </c>
      <c r="B881" s="28">
        <v>917</v>
      </c>
      <c r="C881" s="28">
        <v>5666540</v>
      </c>
      <c r="D881" s="28"/>
      <c r="E881" s="41">
        <v>46156</v>
      </c>
      <c r="F881" s="47">
        <v>0.17596064814814816</v>
      </c>
      <c r="G881" s="44">
        <v>6.3</v>
      </c>
      <c r="H881" s="43" t="s">
        <v>1369</v>
      </c>
      <c r="I881" s="40" t="s">
        <v>1361</v>
      </c>
    </row>
    <row r="882" spans="1:9" x14ac:dyDescent="0.25">
      <c r="A882" s="40" t="s">
        <v>182</v>
      </c>
      <c r="B882" s="28">
        <v>917</v>
      </c>
      <c r="C882" s="28">
        <v>5666540</v>
      </c>
      <c r="D882" s="28"/>
      <c r="E882" s="45">
        <v>46156</v>
      </c>
      <c r="F882" s="48">
        <v>0.18163194444444444</v>
      </c>
      <c r="G882" s="44">
        <v>6.3</v>
      </c>
      <c r="H882" s="43" t="s">
        <v>1364</v>
      </c>
      <c r="I882" s="40" t="s">
        <v>1361</v>
      </c>
    </row>
    <row r="883" spans="1:9" x14ac:dyDescent="0.25">
      <c r="A883" s="40" t="s">
        <v>182</v>
      </c>
      <c r="B883" s="28">
        <v>917</v>
      </c>
      <c r="C883" s="28">
        <v>5671068</v>
      </c>
      <c r="D883" s="28"/>
      <c r="E883" s="41">
        <v>46157</v>
      </c>
      <c r="F883" s="47">
        <v>0.95694444444444449</v>
      </c>
      <c r="G883" s="44">
        <v>6.3</v>
      </c>
      <c r="H883" s="43" t="s">
        <v>1360</v>
      </c>
      <c r="I883" s="40" t="s">
        <v>1365</v>
      </c>
    </row>
    <row r="884" spans="1:9" x14ac:dyDescent="0.25">
      <c r="A884" s="40" t="s">
        <v>182</v>
      </c>
      <c r="B884" s="28">
        <v>917</v>
      </c>
      <c r="C884" s="28">
        <v>5671109</v>
      </c>
      <c r="D884" s="28"/>
      <c r="E884" s="41">
        <v>46157</v>
      </c>
      <c r="F884" s="47">
        <v>0.99731481481481477</v>
      </c>
      <c r="G884" s="44">
        <v>6.3</v>
      </c>
      <c r="H884" s="43" t="s">
        <v>1369</v>
      </c>
      <c r="I884" s="40" t="s">
        <v>1365</v>
      </c>
    </row>
    <row r="885" spans="1:9" x14ac:dyDescent="0.25">
      <c r="A885" s="40" t="s">
        <v>182</v>
      </c>
      <c r="B885" s="28">
        <v>917</v>
      </c>
      <c r="C885" s="28">
        <v>5671156</v>
      </c>
      <c r="D885" s="28"/>
      <c r="E885" s="41">
        <v>46158</v>
      </c>
      <c r="F885" s="47">
        <v>3.8437499999999999E-2</v>
      </c>
      <c r="G885" s="44">
        <v>6.3</v>
      </c>
      <c r="H885" s="43" t="s">
        <v>1360</v>
      </c>
      <c r="I885" s="40" t="s">
        <v>1365</v>
      </c>
    </row>
    <row r="886" spans="1:9" x14ac:dyDescent="0.25">
      <c r="A886" s="40" t="s">
        <v>182</v>
      </c>
      <c r="B886" s="28">
        <v>917</v>
      </c>
      <c r="C886" s="28">
        <v>5671156</v>
      </c>
      <c r="D886" s="28"/>
      <c r="E886" s="41">
        <v>46158</v>
      </c>
      <c r="F886" s="47">
        <v>4.6192129629629632E-2</v>
      </c>
      <c r="G886" s="44">
        <v>6.3</v>
      </c>
      <c r="H886" s="43" t="s">
        <v>1362</v>
      </c>
      <c r="I886" s="40" t="s">
        <v>1365</v>
      </c>
    </row>
    <row r="887" spans="1:9" x14ac:dyDescent="0.25">
      <c r="A887" s="40" t="s">
        <v>182</v>
      </c>
      <c r="B887" s="28">
        <v>917</v>
      </c>
      <c r="C887" s="28" t="s">
        <v>597</v>
      </c>
      <c r="D887" s="28"/>
      <c r="E887" s="41">
        <v>46158</v>
      </c>
      <c r="F887" s="47">
        <v>0.91749999999999998</v>
      </c>
      <c r="G887" s="42">
        <v>6.3</v>
      </c>
      <c r="H887" s="40" t="s">
        <v>1360</v>
      </c>
      <c r="I887" s="40" t="s">
        <v>1365</v>
      </c>
    </row>
    <row r="888" spans="1:9" x14ac:dyDescent="0.25">
      <c r="A888" s="40" t="s">
        <v>182</v>
      </c>
      <c r="B888" s="28">
        <v>917</v>
      </c>
      <c r="C888" s="28" t="s">
        <v>597</v>
      </c>
      <c r="D888" s="28"/>
      <c r="E888" s="41">
        <v>46158</v>
      </c>
      <c r="F888" s="47">
        <v>0.92563657407407407</v>
      </c>
      <c r="G888" s="42">
        <v>6.3</v>
      </c>
      <c r="H888" s="40" t="s">
        <v>1362</v>
      </c>
      <c r="I888" s="40" t="s">
        <v>1365</v>
      </c>
    </row>
    <row r="889" spans="1:9" x14ac:dyDescent="0.25">
      <c r="A889" s="40" t="s">
        <v>70</v>
      </c>
      <c r="B889" s="28">
        <v>923</v>
      </c>
      <c r="C889" s="28" t="s">
        <v>35</v>
      </c>
      <c r="D889" s="28" t="s">
        <v>38</v>
      </c>
      <c r="E889" s="41">
        <v>46153</v>
      </c>
      <c r="F889" s="47">
        <v>0.21637731481481481</v>
      </c>
      <c r="G889" s="42">
        <v>6.3</v>
      </c>
      <c r="H889" s="40" t="s">
        <v>1360</v>
      </c>
      <c r="I889" s="40" t="s">
        <v>1361</v>
      </c>
    </row>
    <row r="890" spans="1:9" x14ac:dyDescent="0.25">
      <c r="A890" s="40" t="s">
        <v>70</v>
      </c>
      <c r="B890" s="28">
        <v>923</v>
      </c>
      <c r="C890" s="28" t="s">
        <v>35</v>
      </c>
      <c r="D890" s="28" t="s">
        <v>38</v>
      </c>
      <c r="E890" s="41">
        <v>46153</v>
      </c>
      <c r="F890" s="47">
        <v>0.22420138888888888</v>
      </c>
      <c r="G890" s="42">
        <v>6.3</v>
      </c>
      <c r="H890" s="40" t="s">
        <v>1362</v>
      </c>
      <c r="I890" s="40" t="s">
        <v>1361</v>
      </c>
    </row>
    <row r="891" spans="1:9" x14ac:dyDescent="0.25">
      <c r="A891" s="40" t="s">
        <v>70</v>
      </c>
      <c r="B891" s="28">
        <v>923</v>
      </c>
      <c r="C891" s="28">
        <v>5661375</v>
      </c>
      <c r="D891" s="28"/>
      <c r="E891" s="41">
        <v>46153</v>
      </c>
      <c r="F891" s="47">
        <v>0.25399305555555557</v>
      </c>
      <c r="G891" s="42">
        <v>6.3</v>
      </c>
      <c r="H891" s="40" t="s">
        <v>1363</v>
      </c>
      <c r="I891" s="40" t="s">
        <v>1361</v>
      </c>
    </row>
    <row r="892" spans="1:9" x14ac:dyDescent="0.25">
      <c r="A892" s="40" t="s">
        <v>70</v>
      </c>
      <c r="B892" s="28">
        <v>923</v>
      </c>
      <c r="C892" s="28">
        <v>5661375</v>
      </c>
      <c r="D892" s="28"/>
      <c r="E892" s="41">
        <v>46153</v>
      </c>
      <c r="F892" s="47">
        <v>0.25928240740740743</v>
      </c>
      <c r="G892" s="44">
        <v>6.3</v>
      </c>
      <c r="H892" s="43" t="s">
        <v>1364</v>
      </c>
      <c r="I892" s="40" t="s">
        <v>1361</v>
      </c>
    </row>
    <row r="893" spans="1:9" x14ac:dyDescent="0.25">
      <c r="A893" s="40" t="s">
        <v>70</v>
      </c>
      <c r="B893" s="28">
        <v>923</v>
      </c>
      <c r="C893" s="28">
        <v>5663314</v>
      </c>
      <c r="D893" s="28"/>
      <c r="E893" s="41">
        <v>46153</v>
      </c>
      <c r="F893" s="47">
        <v>0.74646990740740737</v>
      </c>
      <c r="G893" s="44">
        <v>6.3</v>
      </c>
      <c r="H893" s="43" t="s">
        <v>1363</v>
      </c>
      <c r="I893" s="40" t="s">
        <v>1361</v>
      </c>
    </row>
    <row r="894" spans="1:9" x14ac:dyDescent="0.25">
      <c r="A894" s="40" t="s">
        <v>70</v>
      </c>
      <c r="B894" s="28">
        <v>923</v>
      </c>
      <c r="C894" s="28">
        <v>5663314</v>
      </c>
      <c r="D894" s="28"/>
      <c r="E894" s="41">
        <v>46153</v>
      </c>
      <c r="F894" s="47">
        <v>0.7592592592592593</v>
      </c>
      <c r="G894" s="44">
        <v>6.3</v>
      </c>
      <c r="H894" s="43" t="s">
        <v>1364</v>
      </c>
      <c r="I894" s="40" t="s">
        <v>1361</v>
      </c>
    </row>
    <row r="895" spans="1:9" x14ac:dyDescent="0.25">
      <c r="A895" s="40" t="s">
        <v>70</v>
      </c>
      <c r="B895" s="28">
        <v>923</v>
      </c>
      <c r="C895" s="28">
        <v>5663515</v>
      </c>
      <c r="D895" s="28"/>
      <c r="E895" s="41">
        <v>46154</v>
      </c>
      <c r="F895" s="47">
        <v>0.22052083333333333</v>
      </c>
      <c r="G895" s="44">
        <v>6.3</v>
      </c>
      <c r="H895" s="43" t="s">
        <v>1369</v>
      </c>
      <c r="I895" s="40" t="s">
        <v>1361</v>
      </c>
    </row>
    <row r="896" spans="1:9" x14ac:dyDescent="0.25">
      <c r="A896" s="40" t="s">
        <v>70</v>
      </c>
      <c r="B896" s="28">
        <v>923</v>
      </c>
      <c r="C896" s="28">
        <v>5663515</v>
      </c>
      <c r="D896" s="28"/>
      <c r="E896" s="41">
        <v>46154</v>
      </c>
      <c r="F896" s="47">
        <v>0.22707175925925926</v>
      </c>
      <c r="G896" s="44">
        <v>6.3</v>
      </c>
      <c r="H896" s="43" t="s">
        <v>1364</v>
      </c>
      <c r="I896" s="40" t="s">
        <v>1361</v>
      </c>
    </row>
    <row r="897" spans="1:9" x14ac:dyDescent="0.25">
      <c r="A897" s="40" t="s">
        <v>70</v>
      </c>
      <c r="B897" s="28">
        <v>923</v>
      </c>
      <c r="C897" s="28">
        <v>5665923</v>
      </c>
      <c r="D897" s="28"/>
      <c r="E897" s="45">
        <v>46155</v>
      </c>
      <c r="F897" s="48">
        <v>6.834490740740741E-2</v>
      </c>
      <c r="G897" s="44">
        <v>6.3</v>
      </c>
      <c r="H897" s="43" t="s">
        <v>1360</v>
      </c>
      <c r="I897" s="40" t="s">
        <v>1361</v>
      </c>
    </row>
    <row r="898" spans="1:9" x14ac:dyDescent="0.25">
      <c r="A898" s="40" t="s">
        <v>70</v>
      </c>
      <c r="B898" s="28">
        <v>923</v>
      </c>
      <c r="C898" s="28" t="s">
        <v>35</v>
      </c>
      <c r="D898" s="28" t="s">
        <v>38</v>
      </c>
      <c r="E898" s="41">
        <v>46155</v>
      </c>
      <c r="F898" s="47">
        <v>9.1076388888888887E-2</v>
      </c>
      <c r="G898" s="44">
        <v>6.3</v>
      </c>
      <c r="H898" s="43" t="s">
        <v>1362</v>
      </c>
      <c r="I898" s="40" t="s">
        <v>1361</v>
      </c>
    </row>
    <row r="899" spans="1:9" x14ac:dyDescent="0.25">
      <c r="A899" s="40" t="s">
        <v>70</v>
      </c>
      <c r="B899" s="28">
        <v>923</v>
      </c>
      <c r="C899" s="28">
        <v>5665208</v>
      </c>
      <c r="D899" s="28"/>
      <c r="E899" s="41">
        <v>46155</v>
      </c>
      <c r="F899" s="47">
        <v>0.2184837962962963</v>
      </c>
      <c r="G899" s="44">
        <v>6.3</v>
      </c>
      <c r="H899" s="43" t="s">
        <v>1363</v>
      </c>
      <c r="I899" s="40" t="s">
        <v>1361</v>
      </c>
    </row>
    <row r="900" spans="1:9" x14ac:dyDescent="0.25">
      <c r="A900" s="40" t="s">
        <v>70</v>
      </c>
      <c r="B900" s="28">
        <v>923</v>
      </c>
      <c r="C900" s="28">
        <v>5665208</v>
      </c>
      <c r="D900" s="28"/>
      <c r="E900" s="41">
        <v>46155</v>
      </c>
      <c r="F900" s="47">
        <v>0.22413194444444445</v>
      </c>
      <c r="G900" s="44">
        <v>6.3</v>
      </c>
      <c r="H900" s="43" t="s">
        <v>1364</v>
      </c>
      <c r="I900" s="40" t="s">
        <v>1361</v>
      </c>
    </row>
    <row r="901" spans="1:9" x14ac:dyDescent="0.25">
      <c r="A901" s="40" t="s">
        <v>70</v>
      </c>
      <c r="B901" s="28">
        <v>923</v>
      </c>
      <c r="C901" s="28">
        <v>5667458</v>
      </c>
      <c r="D901" s="28" t="s">
        <v>37</v>
      </c>
      <c r="E901" s="41">
        <v>46156</v>
      </c>
      <c r="F901" s="47">
        <v>0.19747685185185185</v>
      </c>
      <c r="G901" s="44">
        <v>6.3</v>
      </c>
      <c r="H901" s="43" t="s">
        <v>1363</v>
      </c>
      <c r="I901" s="40" t="s">
        <v>1361</v>
      </c>
    </row>
    <row r="902" spans="1:9" x14ac:dyDescent="0.25">
      <c r="A902" s="40" t="s">
        <v>70</v>
      </c>
      <c r="B902" s="28">
        <v>923</v>
      </c>
      <c r="C902" s="28">
        <v>5667458</v>
      </c>
      <c r="D902" s="28" t="s">
        <v>37</v>
      </c>
      <c r="E902" s="41">
        <v>46156</v>
      </c>
      <c r="F902" s="47">
        <v>0.20246527777777779</v>
      </c>
      <c r="G902" s="44">
        <v>6.3</v>
      </c>
      <c r="H902" s="43" t="s">
        <v>1364</v>
      </c>
      <c r="I902" s="40" t="s">
        <v>1361</v>
      </c>
    </row>
    <row r="903" spans="1:9" x14ac:dyDescent="0.25">
      <c r="A903" s="40" t="s">
        <v>70</v>
      </c>
      <c r="B903" s="28">
        <v>923</v>
      </c>
      <c r="C903" s="28">
        <v>5669082</v>
      </c>
      <c r="D903" s="28"/>
      <c r="E903" s="41">
        <v>46156</v>
      </c>
      <c r="F903" s="47">
        <v>0.84047453703703701</v>
      </c>
      <c r="G903" s="44">
        <v>6.3</v>
      </c>
      <c r="H903" s="43" t="s">
        <v>1360</v>
      </c>
      <c r="I903" s="40" t="s">
        <v>1361</v>
      </c>
    </row>
    <row r="904" spans="1:9" x14ac:dyDescent="0.25">
      <c r="A904" s="40" t="s">
        <v>70</v>
      </c>
      <c r="B904" s="28">
        <v>923</v>
      </c>
      <c r="C904" s="28">
        <v>5669082</v>
      </c>
      <c r="D904" s="28"/>
      <c r="E904" s="41">
        <v>46156</v>
      </c>
      <c r="F904" s="47">
        <v>0.84818287037037032</v>
      </c>
      <c r="G904" s="44">
        <v>6.3</v>
      </c>
      <c r="H904" s="43" t="s">
        <v>1362</v>
      </c>
      <c r="I904" s="40" t="s">
        <v>1361</v>
      </c>
    </row>
    <row r="905" spans="1:9" x14ac:dyDescent="0.25">
      <c r="A905" s="40" t="s">
        <v>70</v>
      </c>
      <c r="B905" s="28">
        <v>923</v>
      </c>
      <c r="C905" s="28" t="s">
        <v>35</v>
      </c>
      <c r="D905" s="28" t="s">
        <v>38</v>
      </c>
      <c r="E905" s="41">
        <v>46156</v>
      </c>
      <c r="F905" s="47">
        <v>0.88697916666666665</v>
      </c>
      <c r="G905" s="44">
        <v>6.3</v>
      </c>
      <c r="H905" s="43" t="s">
        <v>1364</v>
      </c>
      <c r="I905" s="40" t="s">
        <v>1361</v>
      </c>
    </row>
    <row r="906" spans="1:9" x14ac:dyDescent="0.25">
      <c r="A906" s="40" t="s">
        <v>70</v>
      </c>
      <c r="B906" s="28">
        <v>923</v>
      </c>
      <c r="C906" s="28">
        <v>5669407</v>
      </c>
      <c r="D906" s="28"/>
      <c r="E906" s="41">
        <v>46157</v>
      </c>
      <c r="F906" s="47">
        <v>2.3958333333333335E-2</v>
      </c>
      <c r="G906" s="44">
        <v>6.3</v>
      </c>
      <c r="H906" s="43" t="s">
        <v>1360</v>
      </c>
      <c r="I906" s="40" t="s">
        <v>1361</v>
      </c>
    </row>
    <row r="907" spans="1:9" x14ac:dyDescent="0.25">
      <c r="A907" s="40" t="s">
        <v>70</v>
      </c>
      <c r="B907" s="28">
        <v>923</v>
      </c>
      <c r="C907" s="28">
        <v>5670203</v>
      </c>
      <c r="D907" s="28"/>
      <c r="E907" s="41">
        <v>46157</v>
      </c>
      <c r="F907" s="47">
        <v>0.76791666666666669</v>
      </c>
      <c r="G907" s="44">
        <v>6.3</v>
      </c>
      <c r="H907" s="43" t="s">
        <v>1360</v>
      </c>
      <c r="I907" s="40" t="s">
        <v>1361</v>
      </c>
    </row>
    <row r="908" spans="1:9" x14ac:dyDescent="0.25">
      <c r="A908" s="40" t="s">
        <v>70</v>
      </c>
      <c r="B908" s="28">
        <v>923</v>
      </c>
      <c r="C908" s="28" t="s">
        <v>35</v>
      </c>
      <c r="D908" s="28" t="s">
        <v>38</v>
      </c>
      <c r="E908" s="41">
        <v>46157</v>
      </c>
      <c r="F908" s="47">
        <v>0.8579282407407407</v>
      </c>
      <c r="G908" s="44">
        <v>6.3</v>
      </c>
      <c r="H908" s="43" t="s">
        <v>1364</v>
      </c>
      <c r="I908" s="40" t="s">
        <v>1361</v>
      </c>
    </row>
    <row r="909" spans="1:9" x14ac:dyDescent="0.25">
      <c r="A909" s="40" t="s">
        <v>70</v>
      </c>
      <c r="B909" s="28">
        <v>923</v>
      </c>
      <c r="C909" s="28">
        <v>5671240</v>
      </c>
      <c r="D909" s="28"/>
      <c r="E909" s="41">
        <v>46158</v>
      </c>
      <c r="F909" s="47">
        <v>0.36447916666666669</v>
      </c>
      <c r="G909" s="44">
        <v>6.3</v>
      </c>
      <c r="H909" s="43" t="s">
        <v>1364</v>
      </c>
      <c r="I909" s="40" t="s">
        <v>1365</v>
      </c>
    </row>
    <row r="910" spans="1:9" x14ac:dyDescent="0.25">
      <c r="A910" s="40" t="s">
        <v>70</v>
      </c>
      <c r="B910" s="28">
        <v>923</v>
      </c>
      <c r="C910" s="28">
        <v>5671751</v>
      </c>
      <c r="D910" s="28"/>
      <c r="E910" s="41">
        <v>46158</v>
      </c>
      <c r="F910" s="47">
        <v>0.74023148148148143</v>
      </c>
      <c r="G910" s="44">
        <v>6.3</v>
      </c>
      <c r="H910" s="43" t="s">
        <v>1360</v>
      </c>
      <c r="I910" s="40" t="s">
        <v>1365</v>
      </c>
    </row>
    <row r="911" spans="1:9" x14ac:dyDescent="0.25">
      <c r="A911" s="40" t="s">
        <v>70</v>
      </c>
      <c r="B911" s="28">
        <v>923</v>
      </c>
      <c r="C911" s="28">
        <v>5671751</v>
      </c>
      <c r="D911" s="28"/>
      <c r="E911" s="41">
        <v>46158</v>
      </c>
      <c r="F911" s="47">
        <v>0.74858796296296293</v>
      </c>
      <c r="G911" s="44">
        <v>6.3</v>
      </c>
      <c r="H911" s="43" t="s">
        <v>1362</v>
      </c>
      <c r="I911" s="40" t="s">
        <v>1365</v>
      </c>
    </row>
    <row r="912" spans="1:9" x14ac:dyDescent="0.25">
      <c r="A912" s="40" t="s">
        <v>70</v>
      </c>
      <c r="B912" s="28">
        <v>923</v>
      </c>
      <c r="C912" s="28">
        <v>5671775</v>
      </c>
      <c r="D912" s="28"/>
      <c r="E912" s="41">
        <v>46158</v>
      </c>
      <c r="F912" s="47">
        <v>0.84386574074074072</v>
      </c>
      <c r="G912" s="44">
        <v>6.3</v>
      </c>
      <c r="H912" s="43" t="s">
        <v>1363</v>
      </c>
      <c r="I912" s="40" t="s">
        <v>1365</v>
      </c>
    </row>
    <row r="913" spans="1:9" x14ac:dyDescent="0.25">
      <c r="A913" s="40" t="s">
        <v>70</v>
      </c>
      <c r="B913" s="28">
        <v>923</v>
      </c>
      <c r="C913" s="28">
        <v>5671775</v>
      </c>
      <c r="D913" s="28"/>
      <c r="E913" s="45">
        <v>46158</v>
      </c>
      <c r="F913" s="48">
        <v>0.84972222222222227</v>
      </c>
      <c r="G913" s="44">
        <v>6.3</v>
      </c>
      <c r="H913" s="43" t="s">
        <v>1364</v>
      </c>
      <c r="I913" s="40" t="s">
        <v>1365</v>
      </c>
    </row>
    <row r="914" spans="1:9" x14ac:dyDescent="0.25">
      <c r="A914" s="40" t="s">
        <v>70</v>
      </c>
      <c r="B914" s="28">
        <v>923</v>
      </c>
      <c r="C914" s="28" t="s">
        <v>35</v>
      </c>
      <c r="D914" s="28" t="s">
        <v>38</v>
      </c>
      <c r="E914" s="45">
        <v>46159</v>
      </c>
      <c r="F914" s="48">
        <v>0.84171296296296294</v>
      </c>
      <c r="G914" s="44">
        <v>6.3</v>
      </c>
      <c r="H914" s="43" t="s">
        <v>1363</v>
      </c>
      <c r="I914" s="40" t="s">
        <v>1365</v>
      </c>
    </row>
    <row r="915" spans="1:9" x14ac:dyDescent="0.25">
      <c r="A915" s="40" t="s">
        <v>70</v>
      </c>
      <c r="B915" s="28">
        <v>923</v>
      </c>
      <c r="C915" s="28" t="s">
        <v>35</v>
      </c>
      <c r="D915" s="28" t="s">
        <v>38</v>
      </c>
      <c r="E915" s="41">
        <v>46159</v>
      </c>
      <c r="F915" s="47">
        <v>0.84723379629629625</v>
      </c>
      <c r="G915" s="44">
        <v>6.3</v>
      </c>
      <c r="H915" s="43" t="s">
        <v>1364</v>
      </c>
      <c r="I915" s="40" t="s">
        <v>1365</v>
      </c>
    </row>
    <row r="916" spans="1:9" x14ac:dyDescent="0.25">
      <c r="A916" s="40" t="s">
        <v>70</v>
      </c>
      <c r="B916" s="28">
        <v>923</v>
      </c>
      <c r="C916" s="28" t="s">
        <v>35</v>
      </c>
      <c r="D916" s="28" t="s">
        <v>38</v>
      </c>
      <c r="E916" s="41">
        <v>46159</v>
      </c>
      <c r="F916" s="47">
        <v>0.95612268518518517</v>
      </c>
      <c r="G916" s="44">
        <v>6.3</v>
      </c>
      <c r="H916" s="43" t="s">
        <v>1360</v>
      </c>
      <c r="I916" s="40" t="s">
        <v>1365</v>
      </c>
    </row>
    <row r="917" spans="1:9" x14ac:dyDescent="0.25">
      <c r="A917" s="40" t="s">
        <v>70</v>
      </c>
      <c r="B917" s="28">
        <v>923</v>
      </c>
      <c r="C917" s="28" t="s">
        <v>35</v>
      </c>
      <c r="D917" s="28" t="s">
        <v>38</v>
      </c>
      <c r="E917" s="41">
        <v>46159</v>
      </c>
      <c r="F917" s="47">
        <v>0.96329861111111115</v>
      </c>
      <c r="G917" s="44">
        <v>6.3</v>
      </c>
      <c r="H917" s="43" t="s">
        <v>1362</v>
      </c>
      <c r="I917" s="40" t="s">
        <v>1365</v>
      </c>
    </row>
    <row r="918" spans="1:9" x14ac:dyDescent="0.25">
      <c r="A918" s="40" t="s">
        <v>290</v>
      </c>
      <c r="B918" s="28">
        <v>926</v>
      </c>
      <c r="C918" s="28">
        <v>5663447</v>
      </c>
      <c r="D918" s="28"/>
      <c r="E918" s="41">
        <v>46154</v>
      </c>
      <c r="F918" s="47">
        <v>0.33902777777777776</v>
      </c>
      <c r="G918" s="44">
        <v>6.3</v>
      </c>
      <c r="H918" s="43" t="s">
        <v>1360</v>
      </c>
      <c r="I918" s="40" t="s">
        <v>1361</v>
      </c>
    </row>
    <row r="919" spans="1:9" x14ac:dyDescent="0.25">
      <c r="A919" s="40" t="s">
        <v>290</v>
      </c>
      <c r="B919" s="28">
        <v>926</v>
      </c>
      <c r="C919" s="28">
        <v>5663447</v>
      </c>
      <c r="D919" s="28"/>
      <c r="E919" s="41">
        <v>46154</v>
      </c>
      <c r="F919" s="47">
        <v>0.3528472222222222</v>
      </c>
      <c r="G919" s="44">
        <v>6.3</v>
      </c>
      <c r="H919" s="43" t="s">
        <v>1362</v>
      </c>
      <c r="I919" s="40" t="s">
        <v>1361</v>
      </c>
    </row>
    <row r="920" spans="1:9" x14ac:dyDescent="0.25">
      <c r="A920" s="40" t="s">
        <v>290</v>
      </c>
      <c r="B920" s="28">
        <v>926</v>
      </c>
      <c r="C920" s="28" t="s">
        <v>598</v>
      </c>
      <c r="D920" s="28"/>
      <c r="E920" s="41">
        <v>46154</v>
      </c>
      <c r="F920" s="47">
        <v>0.77814814814814814</v>
      </c>
      <c r="G920" s="44">
        <v>6.3</v>
      </c>
      <c r="H920" s="43" t="s">
        <v>1360</v>
      </c>
      <c r="I920" s="40" t="s">
        <v>1361</v>
      </c>
    </row>
    <row r="921" spans="1:9" x14ac:dyDescent="0.25">
      <c r="A921" s="40" t="s">
        <v>290</v>
      </c>
      <c r="B921" s="28">
        <v>926</v>
      </c>
      <c r="C921" s="28" t="s">
        <v>598</v>
      </c>
      <c r="D921" s="28"/>
      <c r="E921" s="41">
        <v>46154</v>
      </c>
      <c r="F921" s="47">
        <v>0.79192129629629626</v>
      </c>
      <c r="G921" s="44">
        <v>6.3</v>
      </c>
      <c r="H921" s="43" t="s">
        <v>1368</v>
      </c>
      <c r="I921" s="40" t="s">
        <v>1361</v>
      </c>
    </row>
    <row r="922" spans="1:9" x14ac:dyDescent="0.25">
      <c r="A922" s="40" t="s">
        <v>290</v>
      </c>
      <c r="B922" s="28">
        <v>926</v>
      </c>
      <c r="C922" s="28" t="s">
        <v>35</v>
      </c>
      <c r="D922" s="28" t="s">
        <v>38</v>
      </c>
      <c r="E922" s="41">
        <v>46155</v>
      </c>
      <c r="F922" s="47">
        <v>0.43734953703703705</v>
      </c>
      <c r="G922" s="44">
        <v>6.3</v>
      </c>
      <c r="H922" s="43" t="s">
        <v>1363</v>
      </c>
      <c r="I922" s="40" t="s">
        <v>1361</v>
      </c>
    </row>
    <row r="923" spans="1:9" x14ac:dyDescent="0.25">
      <c r="A923" s="40" t="s">
        <v>290</v>
      </c>
      <c r="B923" s="28">
        <v>926</v>
      </c>
      <c r="C923" s="28" t="s">
        <v>35</v>
      </c>
      <c r="D923" s="28" t="s">
        <v>38</v>
      </c>
      <c r="E923" s="41">
        <v>46155</v>
      </c>
      <c r="F923" s="47">
        <v>0.44495370370370368</v>
      </c>
      <c r="G923" s="44">
        <v>6.3</v>
      </c>
      <c r="H923" s="43" t="s">
        <v>1364</v>
      </c>
      <c r="I923" s="40" t="s">
        <v>1361</v>
      </c>
    </row>
    <row r="924" spans="1:9" x14ac:dyDescent="0.25">
      <c r="A924" s="40" t="s">
        <v>290</v>
      </c>
      <c r="B924" s="28">
        <v>926</v>
      </c>
      <c r="C924" s="28" t="s">
        <v>35</v>
      </c>
      <c r="D924" s="28" t="s">
        <v>38</v>
      </c>
      <c r="E924" s="41">
        <v>46156</v>
      </c>
      <c r="F924" s="47">
        <v>0.17629629629629628</v>
      </c>
      <c r="G924" s="44">
        <v>6.3</v>
      </c>
      <c r="H924" s="43" t="s">
        <v>1363</v>
      </c>
      <c r="I924" s="40" t="s">
        <v>1361</v>
      </c>
    </row>
    <row r="925" spans="1:9" x14ac:dyDescent="0.25">
      <c r="A925" s="40" t="s">
        <v>290</v>
      </c>
      <c r="B925" s="28">
        <v>926</v>
      </c>
      <c r="C925" s="28" t="s">
        <v>35</v>
      </c>
      <c r="D925" s="28" t="s">
        <v>38</v>
      </c>
      <c r="E925" s="41">
        <v>46156</v>
      </c>
      <c r="F925" s="47">
        <v>0.18181712962962962</v>
      </c>
      <c r="G925" s="44">
        <v>6.3</v>
      </c>
      <c r="H925" s="43" t="s">
        <v>1364</v>
      </c>
      <c r="I925" s="40" t="s">
        <v>1361</v>
      </c>
    </row>
    <row r="926" spans="1:9" x14ac:dyDescent="0.25">
      <c r="A926" s="40" t="s">
        <v>290</v>
      </c>
      <c r="B926" s="28">
        <v>926</v>
      </c>
      <c r="C926" s="28" t="s">
        <v>35</v>
      </c>
      <c r="D926" s="28" t="s">
        <v>38</v>
      </c>
      <c r="E926" s="41">
        <v>46156</v>
      </c>
      <c r="F926" s="47">
        <v>0.67311342592592593</v>
      </c>
      <c r="G926" s="42">
        <v>6.3</v>
      </c>
      <c r="H926" s="40" t="s">
        <v>1364</v>
      </c>
      <c r="I926" s="40" t="s">
        <v>1361</v>
      </c>
    </row>
    <row r="927" spans="1:9" x14ac:dyDescent="0.25">
      <c r="A927" s="40" t="s">
        <v>290</v>
      </c>
      <c r="B927" s="28">
        <v>926</v>
      </c>
      <c r="C927" s="28">
        <v>5670040</v>
      </c>
      <c r="D927" s="28" t="s">
        <v>37</v>
      </c>
      <c r="E927" s="41">
        <v>46157</v>
      </c>
      <c r="F927" s="47">
        <v>0.5849537037037037</v>
      </c>
      <c r="G927" s="42">
        <v>6.3</v>
      </c>
      <c r="H927" s="40" t="s">
        <v>1360</v>
      </c>
      <c r="I927" s="40" t="s">
        <v>1361</v>
      </c>
    </row>
    <row r="928" spans="1:9" x14ac:dyDescent="0.25">
      <c r="A928" s="40" t="s">
        <v>290</v>
      </c>
      <c r="B928" s="28">
        <v>926</v>
      </c>
      <c r="C928" s="28">
        <v>5670040</v>
      </c>
      <c r="D928" s="28" t="s">
        <v>37</v>
      </c>
      <c r="E928" s="41">
        <v>46157</v>
      </c>
      <c r="F928" s="47">
        <v>0.59827546296296297</v>
      </c>
      <c r="G928" s="42">
        <v>6.3</v>
      </c>
      <c r="H928" s="40" t="s">
        <v>1362</v>
      </c>
      <c r="I928" s="40" t="s">
        <v>1361</v>
      </c>
    </row>
    <row r="929" spans="1:9" x14ac:dyDescent="0.25">
      <c r="A929" s="40" t="s">
        <v>290</v>
      </c>
      <c r="B929" s="28">
        <v>926</v>
      </c>
      <c r="C929" s="28">
        <v>5670110</v>
      </c>
      <c r="D929" s="28"/>
      <c r="E929" s="41">
        <v>46157</v>
      </c>
      <c r="F929" s="47">
        <v>0.75013888888888891</v>
      </c>
      <c r="G929" s="44">
        <v>6.3</v>
      </c>
      <c r="H929" s="43" t="s">
        <v>1360</v>
      </c>
      <c r="I929" s="40" t="s">
        <v>1361</v>
      </c>
    </row>
    <row r="930" spans="1:9" x14ac:dyDescent="0.25">
      <c r="A930" s="40" t="s">
        <v>290</v>
      </c>
      <c r="B930" s="28">
        <v>926</v>
      </c>
      <c r="C930" s="28">
        <v>5670110</v>
      </c>
      <c r="D930" s="28"/>
      <c r="E930" s="41">
        <v>46157</v>
      </c>
      <c r="F930" s="47">
        <v>0.76481481481481484</v>
      </c>
      <c r="G930" s="44">
        <v>6.3</v>
      </c>
      <c r="H930" s="43" t="s">
        <v>1362</v>
      </c>
      <c r="I930" s="40" t="s">
        <v>1361</v>
      </c>
    </row>
    <row r="931" spans="1:9" x14ac:dyDescent="0.25">
      <c r="A931" s="40" t="s">
        <v>290</v>
      </c>
      <c r="B931" s="28">
        <v>926</v>
      </c>
      <c r="C931" s="28">
        <v>5671226</v>
      </c>
      <c r="D931" s="28"/>
      <c r="E931" s="41">
        <v>46158</v>
      </c>
      <c r="F931" s="47">
        <v>0.40524305555555556</v>
      </c>
      <c r="G931" s="44">
        <v>6.3</v>
      </c>
      <c r="H931" s="43" t="s">
        <v>1360</v>
      </c>
      <c r="I931" s="40" t="s">
        <v>1365</v>
      </c>
    </row>
    <row r="932" spans="1:9" x14ac:dyDescent="0.25">
      <c r="A932" s="40" t="s">
        <v>290</v>
      </c>
      <c r="B932" s="28">
        <v>926</v>
      </c>
      <c r="C932" s="28">
        <v>5671226</v>
      </c>
      <c r="D932" s="28"/>
      <c r="E932" s="41">
        <v>46158</v>
      </c>
      <c r="F932" s="47">
        <v>0.4153587962962963</v>
      </c>
      <c r="G932" s="44">
        <v>6.3</v>
      </c>
      <c r="H932" s="43" t="s">
        <v>1362</v>
      </c>
      <c r="I932" s="40" t="s">
        <v>1365</v>
      </c>
    </row>
    <row r="933" spans="1:9" x14ac:dyDescent="0.25">
      <c r="A933" s="40" t="s">
        <v>290</v>
      </c>
      <c r="B933" s="28">
        <v>926</v>
      </c>
      <c r="C933" s="28" t="s">
        <v>35</v>
      </c>
      <c r="D933" s="28" t="s">
        <v>38</v>
      </c>
      <c r="E933" s="41">
        <v>46158</v>
      </c>
      <c r="F933" s="47">
        <v>0.4337037037037037</v>
      </c>
      <c r="G933" s="44">
        <v>6.3</v>
      </c>
      <c r="H933" s="43" t="s">
        <v>1369</v>
      </c>
      <c r="I933" s="40" t="s">
        <v>1365</v>
      </c>
    </row>
    <row r="934" spans="1:9" x14ac:dyDescent="0.25">
      <c r="A934" s="40" t="s">
        <v>290</v>
      </c>
      <c r="B934" s="28">
        <v>926</v>
      </c>
      <c r="C934" s="28" t="s">
        <v>35</v>
      </c>
      <c r="D934" s="28" t="s">
        <v>38</v>
      </c>
      <c r="E934" s="41">
        <v>46158</v>
      </c>
      <c r="F934" s="47">
        <v>0.43964120370370369</v>
      </c>
      <c r="G934" s="44">
        <v>6.3</v>
      </c>
      <c r="H934" s="43" t="s">
        <v>1364</v>
      </c>
      <c r="I934" s="40" t="s">
        <v>1365</v>
      </c>
    </row>
    <row r="935" spans="1:9" x14ac:dyDescent="0.25">
      <c r="A935" s="40" t="s">
        <v>176</v>
      </c>
      <c r="B935" s="28">
        <v>927</v>
      </c>
      <c r="C935" s="28">
        <v>5663273</v>
      </c>
      <c r="D935" s="28"/>
      <c r="E935" s="41">
        <v>46154</v>
      </c>
      <c r="F935" s="47">
        <v>0.20699074074074075</v>
      </c>
      <c r="G935" s="44">
        <v>6.3</v>
      </c>
      <c r="H935" s="43" t="s">
        <v>1369</v>
      </c>
      <c r="I935" s="40" t="s">
        <v>1361</v>
      </c>
    </row>
    <row r="936" spans="1:9" x14ac:dyDescent="0.25">
      <c r="A936" s="40" t="s">
        <v>176</v>
      </c>
      <c r="B936" s="28">
        <v>927</v>
      </c>
      <c r="C936" s="28">
        <v>5663273</v>
      </c>
      <c r="D936" s="28"/>
      <c r="E936" s="41">
        <v>46154</v>
      </c>
      <c r="F936" s="47">
        <v>0.21163194444444444</v>
      </c>
      <c r="G936" s="44">
        <v>6.3</v>
      </c>
      <c r="H936" s="43" t="s">
        <v>1364</v>
      </c>
      <c r="I936" s="40" t="s">
        <v>1361</v>
      </c>
    </row>
    <row r="937" spans="1:9" x14ac:dyDescent="0.25">
      <c r="A937" s="40" t="s">
        <v>176</v>
      </c>
      <c r="B937" s="28">
        <v>927</v>
      </c>
      <c r="C937" s="28">
        <v>5667507</v>
      </c>
      <c r="D937" s="28"/>
      <c r="E937" s="45">
        <v>46156</v>
      </c>
      <c r="F937" s="48">
        <v>0.18033564814814815</v>
      </c>
      <c r="G937" s="44">
        <v>6.3</v>
      </c>
      <c r="H937" s="43" t="s">
        <v>1369</v>
      </c>
      <c r="I937" s="40" t="s">
        <v>1361</v>
      </c>
    </row>
    <row r="938" spans="1:9" x14ac:dyDescent="0.25">
      <c r="A938" s="40" t="s">
        <v>176</v>
      </c>
      <c r="B938" s="28">
        <v>927</v>
      </c>
      <c r="C938" s="28">
        <v>5667507</v>
      </c>
      <c r="D938" s="28"/>
      <c r="E938" s="41">
        <v>46156</v>
      </c>
      <c r="F938" s="47">
        <v>0.18512731481481481</v>
      </c>
      <c r="G938" s="44">
        <v>6.3</v>
      </c>
      <c r="H938" s="43" t="s">
        <v>1364</v>
      </c>
      <c r="I938" s="40" t="s">
        <v>1361</v>
      </c>
    </row>
    <row r="939" spans="1:9" x14ac:dyDescent="0.25">
      <c r="A939" s="40" t="s">
        <v>176</v>
      </c>
      <c r="B939" s="28">
        <v>927</v>
      </c>
      <c r="C939" s="28">
        <v>5668710</v>
      </c>
      <c r="D939" s="28"/>
      <c r="E939" s="45">
        <v>46156</v>
      </c>
      <c r="F939" s="48">
        <v>0.84623842592592591</v>
      </c>
      <c r="G939" s="44">
        <v>6.3</v>
      </c>
      <c r="H939" s="43" t="s">
        <v>1360</v>
      </c>
      <c r="I939" s="40" t="s">
        <v>1361</v>
      </c>
    </row>
    <row r="940" spans="1:9" x14ac:dyDescent="0.25">
      <c r="A940" s="40" t="s">
        <v>176</v>
      </c>
      <c r="B940" s="28">
        <v>927</v>
      </c>
      <c r="C940" s="28">
        <v>5668710</v>
      </c>
      <c r="D940" s="28"/>
      <c r="E940" s="41">
        <v>46156</v>
      </c>
      <c r="F940" s="47">
        <v>0.85356481481481483</v>
      </c>
      <c r="G940" s="44">
        <v>6.3</v>
      </c>
      <c r="H940" s="43" t="s">
        <v>1362</v>
      </c>
      <c r="I940" s="40" t="s">
        <v>1361</v>
      </c>
    </row>
    <row r="941" spans="1:9" x14ac:dyDescent="0.25">
      <c r="A941" s="40" t="s">
        <v>176</v>
      </c>
      <c r="B941" s="28">
        <v>927</v>
      </c>
      <c r="C941" s="28" t="s">
        <v>35</v>
      </c>
      <c r="D941" s="28" t="s">
        <v>38</v>
      </c>
      <c r="E941" s="41">
        <v>46156</v>
      </c>
      <c r="F941" s="47">
        <v>0.8743981481481482</v>
      </c>
      <c r="G941" s="44">
        <v>6.3</v>
      </c>
      <c r="H941" s="43" t="s">
        <v>1363</v>
      </c>
      <c r="I941" s="40" t="s">
        <v>1361</v>
      </c>
    </row>
    <row r="942" spans="1:9" x14ac:dyDescent="0.25">
      <c r="A942" s="40" t="s">
        <v>176</v>
      </c>
      <c r="B942" s="28">
        <v>927</v>
      </c>
      <c r="C942" s="28" t="s">
        <v>35</v>
      </c>
      <c r="D942" s="28" t="s">
        <v>38</v>
      </c>
      <c r="E942" s="41">
        <v>46156</v>
      </c>
      <c r="F942" s="47">
        <v>0.88559027777777777</v>
      </c>
      <c r="G942" s="44">
        <v>6.3</v>
      </c>
      <c r="H942" s="43" t="s">
        <v>1364</v>
      </c>
      <c r="I942" s="40" t="s">
        <v>1361</v>
      </c>
    </row>
    <row r="943" spans="1:9" x14ac:dyDescent="0.25">
      <c r="A943" s="40" t="s">
        <v>176</v>
      </c>
      <c r="B943" s="28">
        <v>927</v>
      </c>
      <c r="C943" s="28">
        <v>5669406</v>
      </c>
      <c r="D943" s="28"/>
      <c r="E943" s="41">
        <v>46157</v>
      </c>
      <c r="F943" s="47">
        <v>7.03125E-2</v>
      </c>
      <c r="G943" s="44">
        <v>6.3</v>
      </c>
      <c r="H943" s="43" t="s">
        <v>1363</v>
      </c>
      <c r="I943" s="40" t="s">
        <v>1361</v>
      </c>
    </row>
    <row r="944" spans="1:9" x14ac:dyDescent="0.25">
      <c r="A944" s="40" t="s">
        <v>176</v>
      </c>
      <c r="B944" s="28">
        <v>927</v>
      </c>
      <c r="C944" s="28">
        <v>5669406</v>
      </c>
      <c r="D944" s="28"/>
      <c r="E944" s="41">
        <v>46157</v>
      </c>
      <c r="F944" s="47">
        <v>7.542824074074074E-2</v>
      </c>
      <c r="G944" s="44">
        <v>6.3</v>
      </c>
      <c r="H944" s="43" t="s">
        <v>1364</v>
      </c>
      <c r="I944" s="40" t="s">
        <v>1361</v>
      </c>
    </row>
    <row r="945" spans="1:9" x14ac:dyDescent="0.25">
      <c r="A945" s="40" t="s">
        <v>176</v>
      </c>
      <c r="B945" s="28">
        <v>927</v>
      </c>
      <c r="C945" s="28">
        <v>5669506</v>
      </c>
      <c r="D945" s="28"/>
      <c r="E945" s="41">
        <v>46157</v>
      </c>
      <c r="F945" s="47">
        <v>0.14730324074074075</v>
      </c>
      <c r="G945" s="44">
        <v>6.3</v>
      </c>
      <c r="H945" s="43" t="s">
        <v>1363</v>
      </c>
      <c r="I945" s="40" t="s">
        <v>1361</v>
      </c>
    </row>
    <row r="946" spans="1:9" x14ac:dyDescent="0.25">
      <c r="A946" s="40" t="s">
        <v>176</v>
      </c>
      <c r="B946" s="28">
        <v>927</v>
      </c>
      <c r="C946" s="28">
        <v>5669506</v>
      </c>
      <c r="D946" s="28"/>
      <c r="E946" s="41">
        <v>46157</v>
      </c>
      <c r="F946" s="47">
        <v>0.15212962962962964</v>
      </c>
      <c r="G946" s="44">
        <v>6.3</v>
      </c>
      <c r="H946" s="43" t="s">
        <v>1364</v>
      </c>
      <c r="I946" s="40" t="s">
        <v>1361</v>
      </c>
    </row>
    <row r="947" spans="1:9" x14ac:dyDescent="0.25">
      <c r="A947" s="40" t="s">
        <v>176</v>
      </c>
      <c r="B947" s="28">
        <v>927</v>
      </c>
      <c r="C947" s="28" t="s">
        <v>35</v>
      </c>
      <c r="D947" s="28" t="s">
        <v>38</v>
      </c>
      <c r="E947" s="41">
        <v>46157</v>
      </c>
      <c r="F947" s="47">
        <v>0.21628472222222223</v>
      </c>
      <c r="G947" s="44">
        <v>6.3</v>
      </c>
      <c r="H947" s="43" t="s">
        <v>1369</v>
      </c>
      <c r="I947" s="40" t="s">
        <v>1361</v>
      </c>
    </row>
    <row r="948" spans="1:9" x14ac:dyDescent="0.25">
      <c r="A948" s="40" t="s">
        <v>176</v>
      </c>
      <c r="B948" s="28">
        <v>927</v>
      </c>
      <c r="C948" s="28" t="s">
        <v>35</v>
      </c>
      <c r="D948" s="28" t="s">
        <v>38</v>
      </c>
      <c r="E948" s="41">
        <v>46157</v>
      </c>
      <c r="F948" s="47">
        <v>0.22373842592592594</v>
      </c>
      <c r="G948" s="44">
        <v>6.3</v>
      </c>
      <c r="H948" s="43" t="s">
        <v>1364</v>
      </c>
      <c r="I948" s="40" t="s">
        <v>1361</v>
      </c>
    </row>
    <row r="949" spans="1:9" x14ac:dyDescent="0.25">
      <c r="A949" s="40" t="s">
        <v>176</v>
      </c>
      <c r="B949" s="28">
        <v>927</v>
      </c>
      <c r="C949" s="28" t="s">
        <v>599</v>
      </c>
      <c r="D949" s="28"/>
      <c r="E949" s="41">
        <v>46159</v>
      </c>
      <c r="F949" s="47">
        <v>0.52916666666666667</v>
      </c>
      <c r="G949" s="44">
        <v>6.3</v>
      </c>
      <c r="H949" s="43" t="s">
        <v>1360</v>
      </c>
      <c r="I949" s="40" t="s">
        <v>1365</v>
      </c>
    </row>
    <row r="950" spans="1:9" x14ac:dyDescent="0.25">
      <c r="A950" s="40" t="s">
        <v>176</v>
      </c>
      <c r="B950" s="28">
        <v>927</v>
      </c>
      <c r="C950" s="28" t="s">
        <v>599</v>
      </c>
      <c r="D950" s="28"/>
      <c r="E950" s="41">
        <v>46159</v>
      </c>
      <c r="F950" s="47">
        <v>0.53622685185185182</v>
      </c>
      <c r="G950" s="44">
        <v>6.3</v>
      </c>
      <c r="H950" s="43" t="s">
        <v>1362</v>
      </c>
      <c r="I950" s="40" t="s">
        <v>1365</v>
      </c>
    </row>
    <row r="951" spans="1:9" x14ac:dyDescent="0.25">
      <c r="A951" s="40" t="s">
        <v>176</v>
      </c>
      <c r="B951" s="28">
        <v>927</v>
      </c>
      <c r="C951" s="28" t="s">
        <v>35</v>
      </c>
      <c r="D951" s="28" t="s">
        <v>38</v>
      </c>
      <c r="E951" s="45">
        <v>46159</v>
      </c>
      <c r="F951" s="48">
        <v>0.5540856481481482</v>
      </c>
      <c r="G951" s="44">
        <v>6.3</v>
      </c>
      <c r="H951" s="43" t="s">
        <v>1363</v>
      </c>
      <c r="I951" s="40" t="s">
        <v>1365</v>
      </c>
    </row>
    <row r="952" spans="1:9" x14ac:dyDescent="0.25">
      <c r="A952" s="40" t="s">
        <v>176</v>
      </c>
      <c r="B952" s="28">
        <v>927</v>
      </c>
      <c r="C952" s="28" t="s">
        <v>35</v>
      </c>
      <c r="D952" s="28" t="s">
        <v>38</v>
      </c>
      <c r="E952" s="41">
        <v>46159</v>
      </c>
      <c r="F952" s="47">
        <v>0.5593055555555555</v>
      </c>
      <c r="G952" s="44">
        <v>6.3</v>
      </c>
      <c r="H952" s="43" t="s">
        <v>1364</v>
      </c>
      <c r="I952" s="40" t="s">
        <v>1365</v>
      </c>
    </row>
    <row r="953" spans="1:9" x14ac:dyDescent="0.25">
      <c r="A953" s="40" t="s">
        <v>402</v>
      </c>
      <c r="B953" s="28">
        <v>951</v>
      </c>
      <c r="C953" s="28" t="s">
        <v>35</v>
      </c>
      <c r="D953" s="28" t="s">
        <v>38</v>
      </c>
      <c r="E953" s="41">
        <v>46153</v>
      </c>
      <c r="F953" s="47">
        <v>0.82938657407407412</v>
      </c>
      <c r="G953" s="44">
        <v>6.3</v>
      </c>
      <c r="H953" s="43" t="s">
        <v>1363</v>
      </c>
      <c r="I953" s="40" t="s">
        <v>1361</v>
      </c>
    </row>
    <row r="954" spans="1:9" x14ac:dyDescent="0.25">
      <c r="A954" s="40" t="s">
        <v>402</v>
      </c>
      <c r="B954" s="28">
        <v>951</v>
      </c>
      <c r="C954" s="28" t="s">
        <v>35</v>
      </c>
      <c r="D954" s="28" t="s">
        <v>38</v>
      </c>
      <c r="E954" s="45">
        <v>46153</v>
      </c>
      <c r="F954" s="48">
        <v>0.84054398148148146</v>
      </c>
      <c r="G954" s="44">
        <v>6.3</v>
      </c>
      <c r="H954" s="43" t="s">
        <v>1364</v>
      </c>
      <c r="I954" s="40" t="s">
        <v>1361</v>
      </c>
    </row>
    <row r="955" spans="1:9" x14ac:dyDescent="0.25">
      <c r="A955" s="40" t="s">
        <v>402</v>
      </c>
      <c r="B955" s="28">
        <v>951</v>
      </c>
      <c r="C955" s="28" t="s">
        <v>35</v>
      </c>
      <c r="D955" s="28" t="s">
        <v>38</v>
      </c>
      <c r="E955" s="41">
        <v>46154</v>
      </c>
      <c r="F955" s="47">
        <v>0.61303240740740739</v>
      </c>
      <c r="G955" s="44">
        <v>6.3</v>
      </c>
      <c r="H955" s="43" t="s">
        <v>1363</v>
      </c>
      <c r="I955" s="40" t="s">
        <v>1361</v>
      </c>
    </row>
    <row r="956" spans="1:9" x14ac:dyDescent="0.25">
      <c r="A956" s="40" t="s">
        <v>402</v>
      </c>
      <c r="B956" s="28">
        <v>951</v>
      </c>
      <c r="C956" s="28" t="s">
        <v>35</v>
      </c>
      <c r="D956" s="28" t="s">
        <v>38</v>
      </c>
      <c r="E956" s="41">
        <v>46154</v>
      </c>
      <c r="F956" s="47">
        <v>0.62666666666666671</v>
      </c>
      <c r="G956" s="44">
        <v>6.3</v>
      </c>
      <c r="H956" s="43" t="s">
        <v>1364</v>
      </c>
      <c r="I956" s="40" t="s">
        <v>1361</v>
      </c>
    </row>
    <row r="957" spans="1:9" x14ac:dyDescent="0.25">
      <c r="A957" s="40" t="s">
        <v>402</v>
      </c>
      <c r="B957" s="28">
        <v>951</v>
      </c>
      <c r="C957" s="28">
        <v>5668780</v>
      </c>
      <c r="D957" s="28"/>
      <c r="E957" s="41">
        <v>46156</v>
      </c>
      <c r="F957" s="47">
        <v>0.88378472222222226</v>
      </c>
      <c r="G957" s="44">
        <v>6.3</v>
      </c>
      <c r="H957" s="43" t="s">
        <v>1360</v>
      </c>
      <c r="I957" s="40" t="s">
        <v>1361</v>
      </c>
    </row>
    <row r="958" spans="1:9" x14ac:dyDescent="0.25">
      <c r="A958" s="40" t="s">
        <v>402</v>
      </c>
      <c r="B958" s="28">
        <v>951</v>
      </c>
      <c r="C958" s="28">
        <v>5668780</v>
      </c>
      <c r="D958" s="28"/>
      <c r="E958" s="41">
        <v>46156</v>
      </c>
      <c r="F958" s="47">
        <v>0.88997685185185182</v>
      </c>
      <c r="G958" s="44">
        <v>6.3</v>
      </c>
      <c r="H958" s="43" t="s">
        <v>1362</v>
      </c>
      <c r="I958" s="40" t="s">
        <v>1361</v>
      </c>
    </row>
    <row r="959" spans="1:9" x14ac:dyDescent="0.25">
      <c r="A959" s="40" t="s">
        <v>402</v>
      </c>
      <c r="B959" s="28">
        <v>951</v>
      </c>
      <c r="C959" s="28">
        <v>5671253</v>
      </c>
      <c r="D959" s="28"/>
      <c r="E959" s="41">
        <v>46158</v>
      </c>
      <c r="F959" s="47">
        <v>0.32689814814814816</v>
      </c>
      <c r="G959" s="44">
        <v>6.3</v>
      </c>
      <c r="H959" s="43" t="s">
        <v>1363</v>
      </c>
      <c r="I959" s="40" t="s">
        <v>1365</v>
      </c>
    </row>
    <row r="960" spans="1:9" x14ac:dyDescent="0.25">
      <c r="A960" s="40" t="s">
        <v>402</v>
      </c>
      <c r="B960" s="28">
        <v>951</v>
      </c>
      <c r="C960" s="28">
        <v>5671253</v>
      </c>
      <c r="D960" s="28"/>
      <c r="E960" s="41">
        <v>46158</v>
      </c>
      <c r="F960" s="47">
        <v>0.33302083333333332</v>
      </c>
      <c r="G960" s="44">
        <v>6.3</v>
      </c>
      <c r="H960" s="43" t="s">
        <v>1364</v>
      </c>
      <c r="I960" s="40" t="s">
        <v>1365</v>
      </c>
    </row>
    <row r="961" spans="1:9" x14ac:dyDescent="0.25">
      <c r="A961" s="40" t="s">
        <v>402</v>
      </c>
      <c r="B961" s="28">
        <v>951</v>
      </c>
      <c r="C961" s="28">
        <v>5671333</v>
      </c>
      <c r="D961" s="28"/>
      <c r="E961" s="41">
        <v>46158</v>
      </c>
      <c r="F961" s="47">
        <v>0.43151620370370369</v>
      </c>
      <c r="G961" s="44">
        <v>6.3</v>
      </c>
      <c r="H961" s="43" t="s">
        <v>1360</v>
      </c>
      <c r="I961" s="40" t="s">
        <v>1365</v>
      </c>
    </row>
    <row r="962" spans="1:9" x14ac:dyDescent="0.25">
      <c r="A962" s="40" t="s">
        <v>402</v>
      </c>
      <c r="B962" s="28">
        <v>951</v>
      </c>
      <c r="C962" s="28">
        <v>5671333</v>
      </c>
      <c r="D962" s="28"/>
      <c r="E962" s="41">
        <v>46158</v>
      </c>
      <c r="F962" s="47">
        <v>0.44355324074074076</v>
      </c>
      <c r="G962" s="44">
        <v>6.3</v>
      </c>
      <c r="H962" s="43" t="s">
        <v>1362</v>
      </c>
      <c r="I962" s="40" t="s">
        <v>1365</v>
      </c>
    </row>
    <row r="963" spans="1:9" x14ac:dyDescent="0.25">
      <c r="A963" s="40" t="s">
        <v>402</v>
      </c>
      <c r="B963" s="28">
        <v>951</v>
      </c>
      <c r="C963" s="28">
        <v>5671333</v>
      </c>
      <c r="D963" s="28" t="s">
        <v>36</v>
      </c>
      <c r="E963" s="41">
        <v>46158</v>
      </c>
      <c r="F963" s="47">
        <v>0.44802083333333331</v>
      </c>
      <c r="G963" s="44">
        <v>6.3</v>
      </c>
      <c r="H963" s="43" t="s">
        <v>1362</v>
      </c>
      <c r="I963" s="40" t="s">
        <v>1365</v>
      </c>
    </row>
    <row r="964" spans="1:9" x14ac:dyDescent="0.25">
      <c r="A964" s="40" t="s">
        <v>402</v>
      </c>
      <c r="B964" s="28">
        <v>951</v>
      </c>
      <c r="C964" s="28" t="s">
        <v>35</v>
      </c>
      <c r="D964" s="28" t="s">
        <v>38</v>
      </c>
      <c r="E964" s="41">
        <v>46158</v>
      </c>
      <c r="F964" s="47">
        <v>0.47920138888888891</v>
      </c>
      <c r="G964" s="44">
        <v>6.3</v>
      </c>
      <c r="H964" s="43" t="s">
        <v>1363</v>
      </c>
      <c r="I964" s="40" t="s">
        <v>1365</v>
      </c>
    </row>
    <row r="965" spans="1:9" x14ac:dyDescent="0.25">
      <c r="A965" s="40" t="s">
        <v>402</v>
      </c>
      <c r="B965" s="28">
        <v>951</v>
      </c>
      <c r="C965" s="28" t="s">
        <v>35</v>
      </c>
      <c r="D965" s="28" t="s">
        <v>38</v>
      </c>
      <c r="E965" s="41">
        <v>46158</v>
      </c>
      <c r="F965" s="47">
        <v>0.4849074074074074</v>
      </c>
      <c r="G965" s="44">
        <v>6.3</v>
      </c>
      <c r="H965" s="43" t="s">
        <v>1364</v>
      </c>
      <c r="I965" s="40" t="s">
        <v>1365</v>
      </c>
    </row>
    <row r="966" spans="1:9" x14ac:dyDescent="0.25">
      <c r="A966" s="40" t="s">
        <v>402</v>
      </c>
      <c r="B966" s="28">
        <v>951</v>
      </c>
      <c r="C966" s="28">
        <v>5671361</v>
      </c>
      <c r="D966" s="28"/>
      <c r="E966" s="41">
        <v>46158</v>
      </c>
      <c r="F966" s="47">
        <v>0.52809027777777773</v>
      </c>
      <c r="G966" s="44">
        <v>6.3</v>
      </c>
      <c r="H966" s="43" t="s">
        <v>1360</v>
      </c>
      <c r="I966" s="40" t="s">
        <v>1365</v>
      </c>
    </row>
    <row r="967" spans="1:9" x14ac:dyDescent="0.25">
      <c r="A967" s="40" t="s">
        <v>402</v>
      </c>
      <c r="B967" s="28">
        <v>951</v>
      </c>
      <c r="C967" s="28">
        <v>5671361</v>
      </c>
      <c r="D967" s="28"/>
      <c r="E967" s="41">
        <v>46158</v>
      </c>
      <c r="F967" s="47">
        <v>0.54033564814814816</v>
      </c>
      <c r="G967" s="44">
        <v>6.3</v>
      </c>
      <c r="H967" s="43" t="s">
        <v>1362</v>
      </c>
      <c r="I967" s="40" t="s">
        <v>1365</v>
      </c>
    </row>
    <row r="968" spans="1:9" x14ac:dyDescent="0.25">
      <c r="A968" s="40" t="s">
        <v>402</v>
      </c>
      <c r="B968" s="28">
        <v>951</v>
      </c>
      <c r="C968" s="28">
        <v>5671414</v>
      </c>
      <c r="D968" s="28"/>
      <c r="E968" s="41">
        <v>46158</v>
      </c>
      <c r="F968" s="47">
        <v>0.58103009259259264</v>
      </c>
      <c r="G968" s="44">
        <v>6.3</v>
      </c>
      <c r="H968" s="43" t="s">
        <v>1363</v>
      </c>
      <c r="I968" s="40" t="s">
        <v>1365</v>
      </c>
    </row>
    <row r="969" spans="1:9" x14ac:dyDescent="0.25">
      <c r="A969" s="40" t="s">
        <v>402</v>
      </c>
      <c r="B969" s="28">
        <v>951</v>
      </c>
      <c r="C969" s="28">
        <v>5671414</v>
      </c>
      <c r="D969" s="28"/>
      <c r="E969" s="41">
        <v>46158</v>
      </c>
      <c r="F969" s="47">
        <v>0.59407407407407409</v>
      </c>
      <c r="G969" s="44">
        <v>6.3</v>
      </c>
      <c r="H969" s="43" t="s">
        <v>1364</v>
      </c>
      <c r="I969" s="40" t="s">
        <v>1365</v>
      </c>
    </row>
    <row r="970" spans="1:9" x14ac:dyDescent="0.25">
      <c r="A970" s="40" t="s">
        <v>402</v>
      </c>
      <c r="B970" s="28">
        <v>951</v>
      </c>
      <c r="C970" s="28" t="s">
        <v>35</v>
      </c>
      <c r="D970" s="28" t="s">
        <v>38</v>
      </c>
      <c r="E970" s="41">
        <v>46159</v>
      </c>
      <c r="F970" s="47">
        <v>4.0567129629629627E-2</v>
      </c>
      <c r="G970" s="42">
        <v>6.3</v>
      </c>
      <c r="H970" s="40" t="s">
        <v>1360</v>
      </c>
      <c r="I970" s="40" t="s">
        <v>1365</v>
      </c>
    </row>
    <row r="971" spans="1:9" x14ac:dyDescent="0.25">
      <c r="A971" s="40" t="s">
        <v>402</v>
      </c>
      <c r="B971" s="28">
        <v>951</v>
      </c>
      <c r="C971" s="28" t="s">
        <v>35</v>
      </c>
      <c r="D971" s="28" t="s">
        <v>38</v>
      </c>
      <c r="E971" s="45">
        <v>46159</v>
      </c>
      <c r="F971" s="48">
        <v>4.6180555555555558E-2</v>
      </c>
      <c r="G971" s="42">
        <v>6.3</v>
      </c>
      <c r="H971" s="40" t="s">
        <v>1362</v>
      </c>
      <c r="I971" s="40" t="s">
        <v>1365</v>
      </c>
    </row>
    <row r="972" spans="1:9" x14ac:dyDescent="0.25">
      <c r="A972" s="40" t="s">
        <v>251</v>
      </c>
      <c r="B972" s="28">
        <v>952</v>
      </c>
      <c r="C972" s="28">
        <v>5661835</v>
      </c>
      <c r="D972" s="28"/>
      <c r="E972" s="41">
        <v>46153</v>
      </c>
      <c r="F972" s="47">
        <v>0.2323263888888889</v>
      </c>
      <c r="G972" s="42">
        <v>6.3</v>
      </c>
      <c r="H972" s="40" t="s">
        <v>1369</v>
      </c>
      <c r="I972" s="40" t="s">
        <v>1361</v>
      </c>
    </row>
    <row r="973" spans="1:9" x14ac:dyDescent="0.25">
      <c r="A973" s="40" t="s">
        <v>251</v>
      </c>
      <c r="B973" s="28">
        <v>952</v>
      </c>
      <c r="C973" s="28">
        <v>5661835</v>
      </c>
      <c r="D973" s="28"/>
      <c r="E973" s="41">
        <v>46153</v>
      </c>
      <c r="F973" s="47">
        <v>0.2371412037037037</v>
      </c>
      <c r="G973" s="42">
        <v>6.3</v>
      </c>
      <c r="H973" s="40" t="s">
        <v>1364</v>
      </c>
      <c r="I973" s="40" t="s">
        <v>1361</v>
      </c>
    </row>
    <row r="974" spans="1:9" x14ac:dyDescent="0.25">
      <c r="A974" s="40" t="s">
        <v>251</v>
      </c>
      <c r="B974" s="28">
        <v>952</v>
      </c>
      <c r="C974" s="28" t="s">
        <v>35</v>
      </c>
      <c r="D974" s="28" t="s">
        <v>38</v>
      </c>
      <c r="E974" s="45">
        <v>46157</v>
      </c>
      <c r="F974" s="48">
        <v>0.27515046296296297</v>
      </c>
      <c r="G974" s="44">
        <v>6.3</v>
      </c>
      <c r="H974" s="43" t="s">
        <v>1360</v>
      </c>
      <c r="I974" s="40" t="s">
        <v>1361</v>
      </c>
    </row>
    <row r="975" spans="1:9" x14ac:dyDescent="0.25">
      <c r="A975" s="40" t="s">
        <v>251</v>
      </c>
      <c r="B975" s="28">
        <v>952</v>
      </c>
      <c r="C975" s="28" t="s">
        <v>35</v>
      </c>
      <c r="D975" s="28" t="s">
        <v>38</v>
      </c>
      <c r="E975" s="41">
        <v>46157</v>
      </c>
      <c r="F975" s="47">
        <v>0.28733796296296299</v>
      </c>
      <c r="G975" s="44">
        <v>6.3</v>
      </c>
      <c r="H975" s="43" t="s">
        <v>1362</v>
      </c>
      <c r="I975" s="40" t="s">
        <v>1361</v>
      </c>
    </row>
    <row r="976" spans="1:9" x14ac:dyDescent="0.25">
      <c r="A976" s="40" t="s">
        <v>251</v>
      </c>
      <c r="B976" s="28">
        <v>952</v>
      </c>
      <c r="C976" s="28">
        <v>5668505</v>
      </c>
      <c r="D976" s="28"/>
      <c r="E976" s="41">
        <v>46157</v>
      </c>
      <c r="F976" s="47">
        <v>0.33739583333333334</v>
      </c>
      <c r="G976" s="44">
        <v>6.3</v>
      </c>
      <c r="H976" s="43" t="s">
        <v>1363</v>
      </c>
      <c r="I976" s="40" t="s">
        <v>1361</v>
      </c>
    </row>
    <row r="977" spans="1:9" x14ac:dyDescent="0.25">
      <c r="A977" s="40" t="s">
        <v>251</v>
      </c>
      <c r="B977" s="28">
        <v>952</v>
      </c>
      <c r="C977" s="28">
        <v>5668505</v>
      </c>
      <c r="D977" s="28"/>
      <c r="E977" s="41">
        <v>46157</v>
      </c>
      <c r="F977" s="47">
        <v>0.3513310185185185</v>
      </c>
      <c r="G977" s="44">
        <v>6.3</v>
      </c>
      <c r="H977" s="43" t="s">
        <v>1364</v>
      </c>
      <c r="I977" s="40" t="s">
        <v>1361</v>
      </c>
    </row>
    <row r="978" spans="1:9" x14ac:dyDescent="0.25">
      <c r="A978" s="40" t="s">
        <v>403</v>
      </c>
      <c r="B978" s="28">
        <v>957</v>
      </c>
      <c r="C978" s="28">
        <v>5661137</v>
      </c>
      <c r="D978" s="28"/>
      <c r="E978" s="45">
        <v>46153</v>
      </c>
      <c r="F978" s="48">
        <v>0.51589120370370367</v>
      </c>
      <c r="G978" s="44">
        <v>6.3</v>
      </c>
      <c r="H978" s="43" t="s">
        <v>1363</v>
      </c>
      <c r="I978" s="40" t="s">
        <v>1361</v>
      </c>
    </row>
    <row r="979" spans="1:9" x14ac:dyDescent="0.25">
      <c r="A979" s="40" t="s">
        <v>403</v>
      </c>
      <c r="B979" s="28">
        <v>957</v>
      </c>
      <c r="C979" s="28">
        <v>5661137</v>
      </c>
      <c r="D979" s="28"/>
      <c r="E979" s="41">
        <v>46153</v>
      </c>
      <c r="F979" s="47">
        <v>0.52144675925925921</v>
      </c>
      <c r="G979" s="44">
        <v>6.3</v>
      </c>
      <c r="H979" s="43" t="s">
        <v>1364</v>
      </c>
      <c r="I979" s="40" t="s">
        <v>1361</v>
      </c>
    </row>
    <row r="980" spans="1:9" x14ac:dyDescent="0.25">
      <c r="A980" s="40" t="s">
        <v>403</v>
      </c>
      <c r="B980" s="28">
        <v>957</v>
      </c>
      <c r="C980" s="28">
        <v>5662970</v>
      </c>
      <c r="D980" s="28"/>
      <c r="E980" s="41">
        <v>46154</v>
      </c>
      <c r="F980" s="47">
        <v>0.22921296296296295</v>
      </c>
      <c r="G980" s="44">
        <v>6.3</v>
      </c>
      <c r="H980" s="43" t="s">
        <v>1369</v>
      </c>
      <c r="I980" s="40" t="s">
        <v>1361</v>
      </c>
    </row>
    <row r="981" spans="1:9" x14ac:dyDescent="0.25">
      <c r="A981" s="40" t="s">
        <v>403</v>
      </c>
      <c r="B981" s="28">
        <v>957</v>
      </c>
      <c r="C981" s="28">
        <v>5662970</v>
      </c>
      <c r="D981" s="28"/>
      <c r="E981" s="41">
        <v>46154</v>
      </c>
      <c r="F981" s="47">
        <v>0.23453703703703704</v>
      </c>
      <c r="G981" s="44">
        <v>6.3</v>
      </c>
      <c r="H981" s="43" t="s">
        <v>1364</v>
      </c>
      <c r="I981" s="40" t="s">
        <v>1361</v>
      </c>
    </row>
    <row r="982" spans="1:9" x14ac:dyDescent="0.25">
      <c r="A982" s="40" t="s">
        <v>403</v>
      </c>
      <c r="B982" s="28">
        <v>957</v>
      </c>
      <c r="C982" s="28">
        <v>5661186</v>
      </c>
      <c r="D982" s="28"/>
      <c r="E982" s="41">
        <v>46154</v>
      </c>
      <c r="F982" s="47">
        <v>0.39513888888888887</v>
      </c>
      <c r="G982" s="44">
        <v>6.3</v>
      </c>
      <c r="H982" s="43" t="s">
        <v>1360</v>
      </c>
      <c r="I982" s="40" t="s">
        <v>1361</v>
      </c>
    </row>
    <row r="983" spans="1:9" x14ac:dyDescent="0.25">
      <c r="A983" s="40" t="s">
        <v>403</v>
      </c>
      <c r="B983" s="28">
        <v>957</v>
      </c>
      <c r="C983" s="28">
        <v>5661186</v>
      </c>
      <c r="D983" s="28"/>
      <c r="E983" s="41">
        <v>46154</v>
      </c>
      <c r="F983" s="47">
        <v>0.40807870370370369</v>
      </c>
      <c r="G983" s="44">
        <v>6.3</v>
      </c>
      <c r="H983" s="43" t="s">
        <v>1362</v>
      </c>
      <c r="I983" s="40" t="s">
        <v>1361</v>
      </c>
    </row>
    <row r="984" spans="1:9" x14ac:dyDescent="0.25">
      <c r="A984" s="40" t="s">
        <v>403</v>
      </c>
      <c r="B984" s="28">
        <v>957</v>
      </c>
      <c r="C984" s="28">
        <v>5662422</v>
      </c>
      <c r="D984" s="28" t="s">
        <v>37</v>
      </c>
      <c r="E984" s="41">
        <v>46154</v>
      </c>
      <c r="F984" s="47">
        <v>0.47097222222222224</v>
      </c>
      <c r="G984" s="44">
        <v>6.3</v>
      </c>
      <c r="H984" s="43" t="s">
        <v>1363</v>
      </c>
      <c r="I984" s="40" t="s">
        <v>1361</v>
      </c>
    </row>
    <row r="985" spans="1:9" x14ac:dyDescent="0.25">
      <c r="A985" s="40" t="s">
        <v>403</v>
      </c>
      <c r="B985" s="28">
        <v>957</v>
      </c>
      <c r="C985" s="28">
        <v>5662422</v>
      </c>
      <c r="D985" s="28" t="s">
        <v>37</v>
      </c>
      <c r="E985" s="41">
        <v>46154</v>
      </c>
      <c r="F985" s="47">
        <v>0.47665509259259259</v>
      </c>
      <c r="G985" s="44">
        <v>6.3</v>
      </c>
      <c r="H985" s="43" t="s">
        <v>1364</v>
      </c>
      <c r="I985" s="40" t="s">
        <v>1361</v>
      </c>
    </row>
    <row r="986" spans="1:9" x14ac:dyDescent="0.25">
      <c r="A986" s="40" t="s">
        <v>403</v>
      </c>
      <c r="B986" s="28">
        <v>957</v>
      </c>
      <c r="C986" s="28">
        <v>5668302</v>
      </c>
      <c r="D986" s="28"/>
      <c r="E986" s="41">
        <v>46157</v>
      </c>
      <c r="F986" s="47">
        <v>0.48479166666666668</v>
      </c>
      <c r="G986" s="44">
        <v>6.3</v>
      </c>
      <c r="H986" s="43" t="s">
        <v>1363</v>
      </c>
      <c r="I986" s="40" t="s">
        <v>1361</v>
      </c>
    </row>
    <row r="987" spans="1:9" x14ac:dyDescent="0.25">
      <c r="A987" s="40" t="s">
        <v>403</v>
      </c>
      <c r="B987" s="28">
        <v>957</v>
      </c>
      <c r="C987" s="28">
        <v>5668302</v>
      </c>
      <c r="D987" s="28"/>
      <c r="E987" s="45">
        <v>46157</v>
      </c>
      <c r="F987" s="48">
        <v>0.49055555555555558</v>
      </c>
      <c r="G987" s="44">
        <v>6.3</v>
      </c>
      <c r="H987" s="43" t="s">
        <v>1364</v>
      </c>
      <c r="I987" s="40" t="s">
        <v>1361</v>
      </c>
    </row>
    <row r="988" spans="1:9" x14ac:dyDescent="0.25">
      <c r="A988" s="40" t="s">
        <v>403</v>
      </c>
      <c r="B988" s="28">
        <v>957</v>
      </c>
      <c r="C988" s="28">
        <v>5670490</v>
      </c>
      <c r="D988" s="28"/>
      <c r="E988" s="41">
        <v>46158</v>
      </c>
      <c r="F988" s="47">
        <v>0.5339814814814815</v>
      </c>
      <c r="G988" s="44">
        <v>6.3</v>
      </c>
      <c r="H988" s="43" t="s">
        <v>1363</v>
      </c>
      <c r="I988" s="40" t="s">
        <v>1365</v>
      </c>
    </row>
    <row r="989" spans="1:9" x14ac:dyDescent="0.25">
      <c r="A989" s="40" t="s">
        <v>403</v>
      </c>
      <c r="B989" s="28">
        <v>957</v>
      </c>
      <c r="C989" s="28">
        <v>5670490</v>
      </c>
      <c r="D989" s="28"/>
      <c r="E989" s="41">
        <v>46158</v>
      </c>
      <c r="F989" s="47">
        <v>0.54178240740740746</v>
      </c>
      <c r="G989" s="44">
        <v>6.3</v>
      </c>
      <c r="H989" s="43" t="s">
        <v>1364</v>
      </c>
      <c r="I989" s="40" t="s">
        <v>1365</v>
      </c>
    </row>
    <row r="990" spans="1:9" x14ac:dyDescent="0.25">
      <c r="A990" s="40" t="s">
        <v>403</v>
      </c>
      <c r="B990" s="28">
        <v>957</v>
      </c>
      <c r="C990" s="28">
        <v>5670479</v>
      </c>
      <c r="D990" s="28"/>
      <c r="E990" s="41">
        <v>46158</v>
      </c>
      <c r="F990" s="47">
        <v>0.89134259259259263</v>
      </c>
      <c r="G990" s="44">
        <v>6.3</v>
      </c>
      <c r="H990" s="43" t="s">
        <v>1360</v>
      </c>
      <c r="I990" s="40" t="s">
        <v>1365</v>
      </c>
    </row>
    <row r="991" spans="1:9" x14ac:dyDescent="0.25">
      <c r="A991" s="40" t="s">
        <v>403</v>
      </c>
      <c r="B991" s="28">
        <v>957</v>
      </c>
      <c r="C991" s="28">
        <v>5670479</v>
      </c>
      <c r="D991" s="28"/>
      <c r="E991" s="41">
        <v>46158</v>
      </c>
      <c r="F991" s="47">
        <v>0.89908564814814818</v>
      </c>
      <c r="G991" s="44">
        <v>6.3</v>
      </c>
      <c r="H991" s="43" t="s">
        <v>1362</v>
      </c>
      <c r="I991" s="40" t="s">
        <v>1365</v>
      </c>
    </row>
    <row r="992" spans="1:9" x14ac:dyDescent="0.25">
      <c r="A992" s="40" t="s">
        <v>403</v>
      </c>
      <c r="B992" s="28">
        <v>957</v>
      </c>
      <c r="C992" s="28">
        <v>5671527</v>
      </c>
      <c r="D992" s="28"/>
      <c r="E992" s="41">
        <v>46159</v>
      </c>
      <c r="F992" s="47">
        <v>0.52212962962962961</v>
      </c>
      <c r="G992" s="42">
        <v>6.3</v>
      </c>
      <c r="H992" s="40" t="s">
        <v>1363</v>
      </c>
      <c r="I992" s="40" t="s">
        <v>1365</v>
      </c>
    </row>
    <row r="993" spans="1:9" x14ac:dyDescent="0.25">
      <c r="A993" s="40" t="s">
        <v>403</v>
      </c>
      <c r="B993" s="28">
        <v>957</v>
      </c>
      <c r="C993" s="28">
        <v>5671527</v>
      </c>
      <c r="D993" s="28"/>
      <c r="E993" s="41">
        <v>46159</v>
      </c>
      <c r="F993" s="47">
        <v>0.5275347222222222</v>
      </c>
      <c r="G993" s="42">
        <v>6.3</v>
      </c>
      <c r="H993" s="40" t="s">
        <v>1364</v>
      </c>
      <c r="I993" s="40" t="s">
        <v>1365</v>
      </c>
    </row>
    <row r="994" spans="1:9" x14ac:dyDescent="0.25">
      <c r="A994" s="40" t="s">
        <v>403</v>
      </c>
      <c r="B994" s="28">
        <v>957</v>
      </c>
      <c r="C994" s="28">
        <v>5672129</v>
      </c>
      <c r="D994" s="28" t="s">
        <v>37</v>
      </c>
      <c r="E994" s="45">
        <v>46159</v>
      </c>
      <c r="F994" s="48">
        <v>0.85826388888888894</v>
      </c>
      <c r="G994" s="42">
        <v>6.3</v>
      </c>
      <c r="H994" s="40" t="s">
        <v>1363</v>
      </c>
      <c r="I994" s="40" t="s">
        <v>1365</v>
      </c>
    </row>
    <row r="995" spans="1:9" x14ac:dyDescent="0.25">
      <c r="A995" s="40" t="s">
        <v>403</v>
      </c>
      <c r="B995" s="28">
        <v>957</v>
      </c>
      <c r="C995" s="28">
        <v>5672129</v>
      </c>
      <c r="D995" s="28" t="s">
        <v>37</v>
      </c>
      <c r="E995" s="41">
        <v>46159</v>
      </c>
      <c r="F995" s="47">
        <v>0.86383101851851851</v>
      </c>
      <c r="G995" s="42">
        <v>6.3</v>
      </c>
      <c r="H995" s="40" t="s">
        <v>1364</v>
      </c>
      <c r="I995" s="40" t="s">
        <v>1365</v>
      </c>
    </row>
    <row r="996" spans="1:9" x14ac:dyDescent="0.25">
      <c r="A996" s="40" t="s">
        <v>71</v>
      </c>
      <c r="B996" s="28">
        <v>985</v>
      </c>
      <c r="C996" s="28">
        <v>5662301</v>
      </c>
      <c r="D996" s="28"/>
      <c r="E996" s="41">
        <v>46153</v>
      </c>
      <c r="F996" s="47">
        <v>0.3056828703703704</v>
      </c>
      <c r="G996" s="44">
        <v>6.3</v>
      </c>
      <c r="H996" s="43" t="s">
        <v>1360</v>
      </c>
      <c r="I996" s="40" t="s">
        <v>1361</v>
      </c>
    </row>
    <row r="997" spans="1:9" x14ac:dyDescent="0.25">
      <c r="A997" s="40" t="s">
        <v>71</v>
      </c>
      <c r="B997" s="28">
        <v>985</v>
      </c>
      <c r="C997" s="28">
        <v>5662301</v>
      </c>
      <c r="D997" s="28"/>
      <c r="E997" s="41">
        <v>46153</v>
      </c>
      <c r="F997" s="47">
        <v>0.3213078703703704</v>
      </c>
      <c r="G997" s="44">
        <v>6.3</v>
      </c>
      <c r="H997" s="43" t="s">
        <v>1362</v>
      </c>
      <c r="I997" s="40" t="s">
        <v>1361</v>
      </c>
    </row>
    <row r="998" spans="1:9" x14ac:dyDescent="0.25">
      <c r="A998" s="40" t="s">
        <v>71</v>
      </c>
      <c r="B998" s="28">
        <v>985</v>
      </c>
      <c r="C998" s="28">
        <v>5658555</v>
      </c>
      <c r="D998" s="28"/>
      <c r="E998" s="41">
        <v>46153</v>
      </c>
      <c r="F998" s="47">
        <v>0.37258101851851849</v>
      </c>
      <c r="G998" s="44">
        <v>6.3</v>
      </c>
      <c r="H998" s="43" t="s">
        <v>1363</v>
      </c>
      <c r="I998" s="40" t="s">
        <v>1361</v>
      </c>
    </row>
    <row r="999" spans="1:9" x14ac:dyDescent="0.25">
      <c r="A999" s="40" t="s">
        <v>71</v>
      </c>
      <c r="B999" s="28">
        <v>985</v>
      </c>
      <c r="C999" s="28">
        <v>5658555</v>
      </c>
      <c r="D999" s="28"/>
      <c r="E999" s="41">
        <v>46153</v>
      </c>
      <c r="F999" s="47">
        <v>0.38792824074074073</v>
      </c>
      <c r="G999" s="44">
        <v>6.3</v>
      </c>
      <c r="H999" s="43" t="s">
        <v>1364</v>
      </c>
      <c r="I999" s="40" t="s">
        <v>1361</v>
      </c>
    </row>
    <row r="1000" spans="1:9" x14ac:dyDescent="0.25">
      <c r="A1000" s="40" t="s">
        <v>71</v>
      </c>
      <c r="B1000" s="28">
        <v>985</v>
      </c>
      <c r="C1000" s="28">
        <v>5665565</v>
      </c>
      <c r="D1000" s="28"/>
      <c r="E1000" s="41">
        <v>46155</v>
      </c>
      <c r="F1000" s="47">
        <v>0.32365740740740739</v>
      </c>
      <c r="G1000" s="44">
        <v>6.3</v>
      </c>
      <c r="H1000" s="43" t="s">
        <v>1363</v>
      </c>
      <c r="I1000" s="40" t="s">
        <v>1361</v>
      </c>
    </row>
    <row r="1001" spans="1:9" x14ac:dyDescent="0.25">
      <c r="A1001" s="40" t="s">
        <v>71</v>
      </c>
      <c r="B1001" s="28">
        <v>985</v>
      </c>
      <c r="C1001" s="28">
        <v>5665565</v>
      </c>
      <c r="D1001" s="28"/>
      <c r="E1001" s="41">
        <v>46155</v>
      </c>
      <c r="F1001" s="47">
        <v>0.34459490740740739</v>
      </c>
      <c r="G1001" s="44">
        <v>6.3</v>
      </c>
      <c r="H1001" s="43" t="s">
        <v>1364</v>
      </c>
      <c r="I1001" s="40" t="s">
        <v>1361</v>
      </c>
    </row>
    <row r="1002" spans="1:9" x14ac:dyDescent="0.25">
      <c r="A1002" s="40" t="s">
        <v>71</v>
      </c>
      <c r="B1002" s="28">
        <v>985</v>
      </c>
      <c r="C1002" s="28" t="s">
        <v>600</v>
      </c>
      <c r="D1002" s="28"/>
      <c r="E1002" s="41">
        <v>46157</v>
      </c>
      <c r="F1002" s="47">
        <v>0.2694097222222222</v>
      </c>
      <c r="G1002" s="42">
        <v>6.3</v>
      </c>
      <c r="H1002" s="40" t="s">
        <v>1360</v>
      </c>
      <c r="I1002" s="40" t="s">
        <v>1361</v>
      </c>
    </row>
    <row r="1003" spans="1:9" x14ac:dyDescent="0.25">
      <c r="A1003" s="40" t="s">
        <v>71</v>
      </c>
      <c r="B1003" s="28">
        <v>985</v>
      </c>
      <c r="C1003" s="28" t="s">
        <v>600</v>
      </c>
      <c r="D1003" s="28"/>
      <c r="E1003" s="45">
        <v>46157</v>
      </c>
      <c r="F1003" s="48">
        <v>0.28153935185185186</v>
      </c>
      <c r="G1003" s="42">
        <v>6.3</v>
      </c>
      <c r="H1003" s="40" t="s">
        <v>1362</v>
      </c>
      <c r="I1003" s="40" t="s">
        <v>1361</v>
      </c>
    </row>
    <row r="1004" spans="1:9" x14ac:dyDescent="0.25">
      <c r="A1004" s="40" t="s">
        <v>71</v>
      </c>
      <c r="B1004" s="28">
        <v>985</v>
      </c>
      <c r="C1004" s="28" t="s">
        <v>35</v>
      </c>
      <c r="D1004" s="28" t="s">
        <v>38</v>
      </c>
      <c r="E1004" s="41">
        <v>46158</v>
      </c>
      <c r="F1004" s="47">
        <v>0.9853587962962963</v>
      </c>
      <c r="G1004" s="42">
        <v>6.3</v>
      </c>
      <c r="H1004" s="40" t="s">
        <v>1364</v>
      </c>
      <c r="I1004" s="40" t="s">
        <v>1365</v>
      </c>
    </row>
    <row r="1005" spans="1:9" x14ac:dyDescent="0.25">
      <c r="A1005" s="40" t="s">
        <v>71</v>
      </c>
      <c r="B1005" s="28">
        <v>985</v>
      </c>
      <c r="C1005" s="28">
        <v>5672989</v>
      </c>
      <c r="D1005" s="28"/>
      <c r="E1005" s="41">
        <v>46159</v>
      </c>
      <c r="F1005" s="47">
        <v>0.92325231481481485</v>
      </c>
      <c r="G1005" s="42">
        <v>6.3</v>
      </c>
      <c r="H1005" s="40" t="s">
        <v>1360</v>
      </c>
      <c r="I1005" s="40" t="s">
        <v>1365</v>
      </c>
    </row>
    <row r="1006" spans="1:9" x14ac:dyDescent="0.25">
      <c r="A1006" s="40" t="s">
        <v>71</v>
      </c>
      <c r="B1006" s="28">
        <v>985</v>
      </c>
      <c r="C1006" s="28">
        <v>5672989</v>
      </c>
      <c r="D1006" s="28"/>
      <c r="E1006" s="41">
        <v>46159</v>
      </c>
      <c r="F1006" s="47">
        <v>0.93171296296296291</v>
      </c>
      <c r="G1006" s="42">
        <v>6.3</v>
      </c>
      <c r="H1006" s="40" t="s">
        <v>1362</v>
      </c>
      <c r="I1006" s="40" t="s">
        <v>1365</v>
      </c>
    </row>
    <row r="1007" spans="1:9" x14ac:dyDescent="0.25">
      <c r="A1007" s="40" t="s">
        <v>71</v>
      </c>
      <c r="B1007" s="28">
        <v>985</v>
      </c>
      <c r="C1007" s="28" t="s">
        <v>35</v>
      </c>
      <c r="D1007" s="28" t="s">
        <v>38</v>
      </c>
      <c r="E1007" s="41">
        <v>46159</v>
      </c>
      <c r="F1007" s="47">
        <v>0.97358796296296302</v>
      </c>
      <c r="G1007" s="44">
        <v>6.3</v>
      </c>
      <c r="H1007" s="43" t="s">
        <v>1369</v>
      </c>
      <c r="I1007" s="40" t="s">
        <v>1365</v>
      </c>
    </row>
    <row r="1008" spans="1:9" x14ac:dyDescent="0.25">
      <c r="A1008" s="40" t="s">
        <v>71</v>
      </c>
      <c r="B1008" s="28">
        <v>985</v>
      </c>
      <c r="C1008" s="28" t="s">
        <v>35</v>
      </c>
      <c r="D1008" s="28" t="s">
        <v>38</v>
      </c>
      <c r="E1008" s="41">
        <v>46159</v>
      </c>
      <c r="F1008" s="47">
        <v>0.97962962962962963</v>
      </c>
      <c r="G1008" s="44">
        <v>6.3</v>
      </c>
      <c r="H1008" s="43" t="s">
        <v>1364</v>
      </c>
      <c r="I1008" s="40" t="s">
        <v>1365</v>
      </c>
    </row>
    <row r="1009" spans="1:9" x14ac:dyDescent="0.25">
      <c r="A1009" s="40" t="s">
        <v>72</v>
      </c>
      <c r="B1009" s="28">
        <v>988</v>
      </c>
      <c r="C1009" s="28">
        <v>5662217</v>
      </c>
      <c r="D1009" s="28"/>
      <c r="E1009" s="45">
        <v>46153</v>
      </c>
      <c r="F1009" s="48">
        <v>7.9652777777777781E-2</v>
      </c>
      <c r="G1009" s="44">
        <v>6.3</v>
      </c>
      <c r="H1009" s="43" t="s">
        <v>1360</v>
      </c>
      <c r="I1009" s="40" t="s">
        <v>1361</v>
      </c>
    </row>
    <row r="1010" spans="1:9" x14ac:dyDescent="0.25">
      <c r="A1010" s="40" t="s">
        <v>72</v>
      </c>
      <c r="B1010" s="28">
        <v>988</v>
      </c>
      <c r="C1010" s="28">
        <v>5662217</v>
      </c>
      <c r="D1010" s="28"/>
      <c r="E1010" s="41">
        <v>46153</v>
      </c>
      <c r="F1010" s="47">
        <v>8.7141203703703707E-2</v>
      </c>
      <c r="G1010" s="44">
        <v>6.3</v>
      </c>
      <c r="H1010" s="43" t="s">
        <v>1362</v>
      </c>
      <c r="I1010" s="40" t="s">
        <v>1361</v>
      </c>
    </row>
    <row r="1011" spans="1:9" x14ac:dyDescent="0.25">
      <c r="A1011" s="40" t="s">
        <v>72</v>
      </c>
      <c r="B1011" s="28">
        <v>988</v>
      </c>
      <c r="C1011" s="28">
        <v>5661931</v>
      </c>
      <c r="D1011" s="28"/>
      <c r="E1011" s="41">
        <v>46153</v>
      </c>
      <c r="F1011" s="47">
        <v>0.16549768518518518</v>
      </c>
      <c r="G1011" s="44">
        <v>6.3</v>
      </c>
      <c r="H1011" s="43" t="s">
        <v>1363</v>
      </c>
      <c r="I1011" s="40" t="s">
        <v>1361</v>
      </c>
    </row>
    <row r="1012" spans="1:9" x14ac:dyDescent="0.25">
      <c r="A1012" s="40" t="s">
        <v>72</v>
      </c>
      <c r="B1012" s="28">
        <v>988</v>
      </c>
      <c r="C1012" s="28">
        <v>5661931</v>
      </c>
      <c r="D1012" s="28"/>
      <c r="E1012" s="41">
        <v>46153</v>
      </c>
      <c r="F1012" s="47">
        <v>0.17079861111111111</v>
      </c>
      <c r="G1012" s="44">
        <v>6.3</v>
      </c>
      <c r="H1012" s="43" t="s">
        <v>1364</v>
      </c>
      <c r="I1012" s="40" t="s">
        <v>1361</v>
      </c>
    </row>
    <row r="1013" spans="1:9" x14ac:dyDescent="0.25">
      <c r="A1013" s="40" t="s">
        <v>72</v>
      </c>
      <c r="B1013" s="28">
        <v>988</v>
      </c>
      <c r="C1013" s="28">
        <v>5663904</v>
      </c>
      <c r="D1013" s="28"/>
      <c r="E1013" s="41">
        <v>46153</v>
      </c>
      <c r="F1013" s="47">
        <v>0.92851851851851852</v>
      </c>
      <c r="G1013" s="44">
        <v>6.3</v>
      </c>
      <c r="H1013" s="43" t="s">
        <v>1360</v>
      </c>
      <c r="I1013" s="40" t="s">
        <v>1361</v>
      </c>
    </row>
    <row r="1014" spans="1:9" x14ac:dyDescent="0.25">
      <c r="A1014" s="40" t="s">
        <v>72</v>
      </c>
      <c r="B1014" s="28">
        <v>988</v>
      </c>
      <c r="C1014" s="28">
        <v>5663904</v>
      </c>
      <c r="D1014" s="28"/>
      <c r="E1014" s="41">
        <v>46153</v>
      </c>
      <c r="F1014" s="47">
        <v>0.93587962962962967</v>
      </c>
      <c r="G1014" s="44">
        <v>6.3</v>
      </c>
      <c r="H1014" s="43" t="s">
        <v>1362</v>
      </c>
      <c r="I1014" s="40" t="s">
        <v>1361</v>
      </c>
    </row>
    <row r="1015" spans="1:9" x14ac:dyDescent="0.25">
      <c r="A1015" s="40" t="s">
        <v>72</v>
      </c>
      <c r="B1015" s="28">
        <v>988</v>
      </c>
      <c r="C1015" s="28" t="s">
        <v>35</v>
      </c>
      <c r="D1015" s="28" t="s">
        <v>38</v>
      </c>
      <c r="E1015" s="41">
        <v>46157</v>
      </c>
      <c r="F1015" s="47">
        <v>7.9745370370370369E-3</v>
      </c>
      <c r="G1015" s="44">
        <v>6.3</v>
      </c>
      <c r="H1015" s="43" t="s">
        <v>1360</v>
      </c>
      <c r="I1015" s="40" t="s">
        <v>1361</v>
      </c>
    </row>
    <row r="1016" spans="1:9" x14ac:dyDescent="0.25">
      <c r="A1016" s="40" t="s">
        <v>72</v>
      </c>
      <c r="B1016" s="28">
        <v>988</v>
      </c>
      <c r="C1016" s="28" t="s">
        <v>35</v>
      </c>
      <c r="D1016" s="28" t="s">
        <v>38</v>
      </c>
      <c r="E1016" s="41">
        <v>46157</v>
      </c>
      <c r="F1016" s="47">
        <v>1.474537037037037E-2</v>
      </c>
      <c r="G1016" s="44">
        <v>6.3</v>
      </c>
      <c r="H1016" s="43" t="s">
        <v>1368</v>
      </c>
      <c r="I1016" s="40" t="s">
        <v>1361</v>
      </c>
    </row>
    <row r="1017" spans="1:9" x14ac:dyDescent="0.25">
      <c r="A1017" s="40" t="s">
        <v>72</v>
      </c>
      <c r="B1017" s="28">
        <v>988</v>
      </c>
      <c r="C1017" s="28">
        <v>5670565</v>
      </c>
      <c r="D1017" s="28"/>
      <c r="E1017" s="41">
        <v>46157</v>
      </c>
      <c r="F1017" s="47">
        <v>0.85362268518518514</v>
      </c>
      <c r="G1017" s="44">
        <v>6.3</v>
      </c>
      <c r="H1017" s="43" t="s">
        <v>1360</v>
      </c>
      <c r="I1017" s="40" t="s">
        <v>1361</v>
      </c>
    </row>
    <row r="1018" spans="1:9" x14ac:dyDescent="0.25">
      <c r="A1018" s="40" t="s">
        <v>72</v>
      </c>
      <c r="B1018" s="28">
        <v>988</v>
      </c>
      <c r="C1018" s="28">
        <v>5670565</v>
      </c>
      <c r="D1018" s="28"/>
      <c r="E1018" s="41">
        <v>46157</v>
      </c>
      <c r="F1018" s="47">
        <v>0.86469907407407409</v>
      </c>
      <c r="G1018" s="44">
        <v>6.3</v>
      </c>
      <c r="H1018" s="43" t="s">
        <v>1362</v>
      </c>
      <c r="I1018" s="40" t="s">
        <v>1361</v>
      </c>
    </row>
    <row r="1019" spans="1:9" x14ac:dyDescent="0.25">
      <c r="A1019" s="40" t="s">
        <v>72</v>
      </c>
      <c r="B1019" s="28">
        <v>988</v>
      </c>
      <c r="C1019" s="28" t="s">
        <v>35</v>
      </c>
      <c r="D1019" s="28" t="s">
        <v>38</v>
      </c>
      <c r="E1019" s="41">
        <v>46159</v>
      </c>
      <c r="F1019" s="47">
        <v>0.58158564814814817</v>
      </c>
      <c r="G1019" s="44">
        <v>6.3</v>
      </c>
      <c r="H1019" s="43" t="s">
        <v>1368</v>
      </c>
      <c r="I1019" s="40" t="s">
        <v>1365</v>
      </c>
    </row>
    <row r="1020" spans="1:9" x14ac:dyDescent="0.25">
      <c r="A1020" s="40" t="s">
        <v>72</v>
      </c>
      <c r="B1020" s="28">
        <v>988</v>
      </c>
      <c r="C1020" s="28" t="s">
        <v>35</v>
      </c>
      <c r="D1020" s="28" t="s">
        <v>38</v>
      </c>
      <c r="E1020" s="41">
        <v>46159</v>
      </c>
      <c r="F1020" s="47">
        <v>0.82769675925925923</v>
      </c>
      <c r="G1020" s="44">
        <v>6.3</v>
      </c>
      <c r="H1020" s="43" t="s">
        <v>1369</v>
      </c>
      <c r="I1020" s="40" t="s">
        <v>1365</v>
      </c>
    </row>
    <row r="1021" spans="1:9" x14ac:dyDescent="0.25">
      <c r="A1021" s="40" t="s">
        <v>302</v>
      </c>
      <c r="B1021" s="28">
        <v>1146</v>
      </c>
      <c r="C1021" s="28">
        <v>5665236</v>
      </c>
      <c r="D1021" s="28"/>
      <c r="E1021" s="45">
        <v>46155</v>
      </c>
      <c r="F1021" s="48">
        <v>0.19443287037037038</v>
      </c>
      <c r="G1021" s="44">
        <v>6.3</v>
      </c>
      <c r="H1021" s="43" t="s">
        <v>1363</v>
      </c>
      <c r="I1021" s="40" t="s">
        <v>1361</v>
      </c>
    </row>
    <row r="1022" spans="1:9" x14ac:dyDescent="0.25">
      <c r="A1022" s="40" t="s">
        <v>302</v>
      </c>
      <c r="B1022" s="28">
        <v>1146</v>
      </c>
      <c r="C1022" s="28">
        <v>5665236</v>
      </c>
      <c r="D1022" s="28"/>
      <c r="E1022" s="41">
        <v>46155</v>
      </c>
      <c r="F1022" s="47">
        <v>0.19944444444444445</v>
      </c>
      <c r="G1022" s="44">
        <v>6.3</v>
      </c>
      <c r="H1022" s="43" t="s">
        <v>1364</v>
      </c>
      <c r="I1022" s="40" t="s">
        <v>1361</v>
      </c>
    </row>
    <row r="1023" spans="1:9" x14ac:dyDescent="0.25">
      <c r="A1023" s="40" t="s">
        <v>302</v>
      </c>
      <c r="B1023" s="28">
        <v>1146</v>
      </c>
      <c r="C1023" s="28" t="s">
        <v>601</v>
      </c>
      <c r="D1023" s="28"/>
      <c r="E1023" s="41">
        <v>46156</v>
      </c>
      <c r="F1023" s="47">
        <v>1.6527777777777777E-2</v>
      </c>
      <c r="G1023" s="44">
        <v>6.3</v>
      </c>
      <c r="H1023" s="43" t="s">
        <v>1360</v>
      </c>
      <c r="I1023" s="40" t="s">
        <v>1361</v>
      </c>
    </row>
    <row r="1024" spans="1:9" x14ac:dyDescent="0.25">
      <c r="A1024" s="40" t="s">
        <v>302</v>
      </c>
      <c r="B1024" s="28">
        <v>1146</v>
      </c>
      <c r="C1024" s="28" t="s">
        <v>601</v>
      </c>
      <c r="D1024" s="28"/>
      <c r="E1024" s="41">
        <v>46156</v>
      </c>
      <c r="F1024" s="47">
        <v>2.3692129629629629E-2</v>
      </c>
      <c r="G1024" s="44">
        <v>6.3</v>
      </c>
      <c r="H1024" s="43" t="s">
        <v>1362</v>
      </c>
      <c r="I1024" s="40" t="s">
        <v>1361</v>
      </c>
    </row>
    <row r="1025" spans="1:9" x14ac:dyDescent="0.25">
      <c r="A1025" s="40" t="s">
        <v>302</v>
      </c>
      <c r="B1025" s="28">
        <v>1146</v>
      </c>
      <c r="C1025" s="28" t="s">
        <v>602</v>
      </c>
      <c r="D1025" s="28"/>
      <c r="E1025" s="41">
        <v>46156</v>
      </c>
      <c r="F1025" s="47">
        <v>0.20155092592592594</v>
      </c>
      <c r="G1025" s="44">
        <v>6.3</v>
      </c>
      <c r="H1025" s="43" t="s">
        <v>1360</v>
      </c>
      <c r="I1025" s="40" t="s">
        <v>1361</v>
      </c>
    </row>
    <row r="1026" spans="1:9" x14ac:dyDescent="0.25">
      <c r="A1026" s="40" t="s">
        <v>302</v>
      </c>
      <c r="B1026" s="28">
        <v>1146</v>
      </c>
      <c r="C1026" s="28" t="s">
        <v>602</v>
      </c>
      <c r="D1026" s="28"/>
      <c r="E1026" s="45">
        <v>46156</v>
      </c>
      <c r="F1026" s="48">
        <v>0.20832175925925925</v>
      </c>
      <c r="G1026" s="44">
        <v>6.3</v>
      </c>
      <c r="H1026" s="43" t="s">
        <v>1362</v>
      </c>
      <c r="I1026" s="40" t="s">
        <v>1361</v>
      </c>
    </row>
    <row r="1027" spans="1:9" x14ac:dyDescent="0.25">
      <c r="A1027" s="40" t="s">
        <v>302</v>
      </c>
      <c r="B1027" s="28">
        <v>1146</v>
      </c>
      <c r="C1027" s="28">
        <v>5669198</v>
      </c>
      <c r="D1027" s="28"/>
      <c r="E1027" s="41">
        <v>46156</v>
      </c>
      <c r="F1027" s="47">
        <v>0.88413194444444443</v>
      </c>
      <c r="G1027" s="44">
        <v>6.3</v>
      </c>
      <c r="H1027" s="43" t="s">
        <v>1360</v>
      </c>
      <c r="I1027" s="40" t="s">
        <v>1361</v>
      </c>
    </row>
    <row r="1028" spans="1:9" x14ac:dyDescent="0.25">
      <c r="A1028" s="40" t="s">
        <v>302</v>
      </c>
      <c r="B1028" s="28">
        <v>1146</v>
      </c>
      <c r="C1028" s="28">
        <v>5667974</v>
      </c>
      <c r="D1028" s="28"/>
      <c r="E1028" s="41">
        <v>46157</v>
      </c>
      <c r="F1028" s="47">
        <v>0.22784722222222223</v>
      </c>
      <c r="G1028" s="44">
        <v>6.3</v>
      </c>
      <c r="H1028" s="43" t="s">
        <v>1363</v>
      </c>
      <c r="I1028" s="40" t="s">
        <v>1361</v>
      </c>
    </row>
    <row r="1029" spans="1:9" x14ac:dyDescent="0.25">
      <c r="A1029" s="40" t="s">
        <v>302</v>
      </c>
      <c r="B1029" s="28">
        <v>1146</v>
      </c>
      <c r="C1029" s="28">
        <v>5667974</v>
      </c>
      <c r="D1029" s="28"/>
      <c r="E1029" s="41">
        <v>46157</v>
      </c>
      <c r="F1029" s="47">
        <v>0.23363425925925926</v>
      </c>
      <c r="G1029" s="44">
        <v>6.3</v>
      </c>
      <c r="H1029" s="43" t="s">
        <v>1364</v>
      </c>
      <c r="I1029" s="40" t="s">
        <v>1361</v>
      </c>
    </row>
    <row r="1030" spans="1:9" x14ac:dyDescent="0.25">
      <c r="A1030" s="40" t="s">
        <v>302</v>
      </c>
      <c r="B1030" s="28">
        <v>1146</v>
      </c>
      <c r="C1030" s="28" t="s">
        <v>35</v>
      </c>
      <c r="D1030" s="28" t="s">
        <v>38</v>
      </c>
      <c r="E1030" s="41">
        <v>46159</v>
      </c>
      <c r="F1030" s="47">
        <v>4.9050925925925928E-2</v>
      </c>
      <c r="G1030" s="44">
        <v>6.3</v>
      </c>
      <c r="H1030" s="43" t="s">
        <v>1360</v>
      </c>
      <c r="I1030" s="40" t="s">
        <v>1365</v>
      </c>
    </row>
    <row r="1031" spans="1:9" x14ac:dyDescent="0.25">
      <c r="A1031" s="40" t="s">
        <v>302</v>
      </c>
      <c r="B1031" s="28">
        <v>1146</v>
      </c>
      <c r="C1031" s="28" t="s">
        <v>35</v>
      </c>
      <c r="D1031" s="28" t="s">
        <v>38</v>
      </c>
      <c r="E1031" s="41">
        <v>46159</v>
      </c>
      <c r="F1031" s="47">
        <v>5.5011574074074074E-2</v>
      </c>
      <c r="G1031" s="44">
        <v>6.3</v>
      </c>
      <c r="H1031" s="43" t="s">
        <v>1368</v>
      </c>
      <c r="I1031" s="40" t="s">
        <v>1365</v>
      </c>
    </row>
    <row r="1032" spans="1:9" x14ac:dyDescent="0.25">
      <c r="A1032" s="40" t="s">
        <v>302</v>
      </c>
      <c r="B1032" s="28">
        <v>1146</v>
      </c>
      <c r="C1032" s="28" t="s">
        <v>603</v>
      </c>
      <c r="D1032" s="28"/>
      <c r="E1032" s="45">
        <v>46159</v>
      </c>
      <c r="F1032" s="48">
        <v>0.22311342592592592</v>
      </c>
      <c r="G1032" s="44">
        <v>6.3</v>
      </c>
      <c r="H1032" s="43" t="s">
        <v>1360</v>
      </c>
      <c r="I1032" s="40" t="s">
        <v>1365</v>
      </c>
    </row>
    <row r="1033" spans="1:9" x14ac:dyDescent="0.25">
      <c r="A1033" s="40" t="s">
        <v>302</v>
      </c>
      <c r="B1033" s="28">
        <v>1146</v>
      </c>
      <c r="C1033" s="28" t="s">
        <v>603</v>
      </c>
      <c r="D1033" s="28"/>
      <c r="E1033" s="41">
        <v>46159</v>
      </c>
      <c r="F1033" s="47">
        <v>0.22966435185185186</v>
      </c>
      <c r="G1033" s="44">
        <v>6.3</v>
      </c>
      <c r="H1033" s="43" t="s">
        <v>1362</v>
      </c>
      <c r="I1033" s="40" t="s">
        <v>1365</v>
      </c>
    </row>
    <row r="1034" spans="1:9" x14ac:dyDescent="0.25">
      <c r="A1034" s="40" t="s">
        <v>302</v>
      </c>
      <c r="B1034" s="28">
        <v>1146</v>
      </c>
      <c r="C1034" s="28" t="s">
        <v>604</v>
      </c>
      <c r="D1034" s="28"/>
      <c r="E1034" s="41">
        <v>46159</v>
      </c>
      <c r="F1034" s="47">
        <v>0.98585648148148153</v>
      </c>
      <c r="G1034" s="42">
        <v>6.3</v>
      </c>
      <c r="H1034" s="40" t="s">
        <v>1360</v>
      </c>
      <c r="I1034" s="40" t="s">
        <v>1365</v>
      </c>
    </row>
    <row r="1035" spans="1:9" x14ac:dyDescent="0.25">
      <c r="A1035" s="40" t="s">
        <v>302</v>
      </c>
      <c r="B1035" s="28">
        <v>1146</v>
      </c>
      <c r="C1035" s="28" t="s">
        <v>604</v>
      </c>
      <c r="D1035" s="28"/>
      <c r="E1035" s="41">
        <v>46159</v>
      </c>
      <c r="F1035" s="47">
        <v>0.99259259259259258</v>
      </c>
      <c r="G1035" s="42">
        <v>6.3</v>
      </c>
      <c r="H1035" s="40" t="s">
        <v>1362</v>
      </c>
      <c r="I1035" s="40" t="s">
        <v>1365</v>
      </c>
    </row>
    <row r="1036" spans="1:9" x14ac:dyDescent="0.25">
      <c r="A1036" s="40" t="s">
        <v>404</v>
      </c>
      <c r="B1036" s="28">
        <v>1209</v>
      </c>
      <c r="C1036" s="28">
        <v>5663281</v>
      </c>
      <c r="D1036" s="28"/>
      <c r="E1036" s="41">
        <v>46153</v>
      </c>
      <c r="F1036" s="47">
        <v>0.79468749999999999</v>
      </c>
      <c r="G1036" s="44">
        <v>6.3</v>
      </c>
      <c r="H1036" s="43" t="s">
        <v>1360</v>
      </c>
      <c r="I1036" s="40" t="s">
        <v>1361</v>
      </c>
    </row>
    <row r="1037" spans="1:9" x14ac:dyDescent="0.25">
      <c r="A1037" s="40" t="s">
        <v>404</v>
      </c>
      <c r="B1037" s="28">
        <v>1209</v>
      </c>
      <c r="C1037" s="28">
        <v>5662638</v>
      </c>
      <c r="D1037" s="28"/>
      <c r="E1037" s="45">
        <v>46153</v>
      </c>
      <c r="F1037" s="48">
        <v>0.85537037037037034</v>
      </c>
      <c r="G1037" s="44">
        <v>6.3</v>
      </c>
      <c r="H1037" s="43" t="s">
        <v>1363</v>
      </c>
      <c r="I1037" s="40" t="s">
        <v>1361</v>
      </c>
    </row>
    <row r="1038" spans="1:9" x14ac:dyDescent="0.25">
      <c r="A1038" s="40" t="s">
        <v>404</v>
      </c>
      <c r="B1038" s="28">
        <v>1209</v>
      </c>
      <c r="C1038" s="28">
        <v>5668854</v>
      </c>
      <c r="D1038" s="28"/>
      <c r="E1038" s="41">
        <v>46156</v>
      </c>
      <c r="F1038" s="47">
        <v>0.81893518518518515</v>
      </c>
      <c r="G1038" s="44">
        <v>6.3</v>
      </c>
      <c r="H1038" s="43" t="s">
        <v>1368</v>
      </c>
      <c r="I1038" s="40" t="s">
        <v>1361</v>
      </c>
    </row>
    <row r="1039" spans="1:9" x14ac:dyDescent="0.25">
      <c r="A1039" s="40" t="s">
        <v>280</v>
      </c>
      <c r="B1039" s="28">
        <v>1226</v>
      </c>
      <c r="C1039" s="28">
        <v>5666891</v>
      </c>
      <c r="D1039" s="28"/>
      <c r="E1039" s="41">
        <v>46155</v>
      </c>
      <c r="F1039" s="47">
        <v>0.67519675925925926</v>
      </c>
      <c r="G1039" s="44">
        <v>6.3</v>
      </c>
      <c r="H1039" s="43" t="s">
        <v>1360</v>
      </c>
      <c r="I1039" s="40" t="s">
        <v>1361</v>
      </c>
    </row>
    <row r="1040" spans="1:9" x14ac:dyDescent="0.25">
      <c r="A1040" s="40" t="s">
        <v>280</v>
      </c>
      <c r="B1040" s="28">
        <v>1226</v>
      </c>
      <c r="C1040" s="28">
        <v>5666891</v>
      </c>
      <c r="D1040" s="28"/>
      <c r="E1040" s="41">
        <v>46155</v>
      </c>
      <c r="F1040" s="47">
        <v>0.68380787037037039</v>
      </c>
      <c r="G1040" s="44">
        <v>6.3</v>
      </c>
      <c r="H1040" s="43" t="s">
        <v>1362</v>
      </c>
      <c r="I1040" s="40" t="s">
        <v>1361</v>
      </c>
    </row>
    <row r="1041" spans="1:9" x14ac:dyDescent="0.25">
      <c r="A1041" s="40" t="s">
        <v>280</v>
      </c>
      <c r="B1041" s="28">
        <v>1226</v>
      </c>
      <c r="C1041" s="28" t="s">
        <v>605</v>
      </c>
      <c r="D1041" s="28"/>
      <c r="E1041" s="41">
        <v>46156</v>
      </c>
      <c r="F1041" s="47">
        <v>0.95861111111111108</v>
      </c>
      <c r="G1041" s="44">
        <v>6.3</v>
      </c>
      <c r="H1041" s="43" t="s">
        <v>1360</v>
      </c>
      <c r="I1041" s="40" t="s">
        <v>1361</v>
      </c>
    </row>
    <row r="1042" spans="1:9" x14ac:dyDescent="0.25">
      <c r="A1042" s="40" t="s">
        <v>280</v>
      </c>
      <c r="B1042" s="28">
        <v>1226</v>
      </c>
      <c r="C1042" s="28" t="s">
        <v>605</v>
      </c>
      <c r="D1042" s="28"/>
      <c r="E1042" s="41">
        <v>46156</v>
      </c>
      <c r="F1042" s="47">
        <v>0.9663194444444444</v>
      </c>
      <c r="G1042" s="44">
        <v>6.3</v>
      </c>
      <c r="H1042" s="43" t="s">
        <v>1362</v>
      </c>
      <c r="I1042" s="40" t="s">
        <v>1361</v>
      </c>
    </row>
    <row r="1043" spans="1:9" x14ac:dyDescent="0.25">
      <c r="A1043" s="40" t="s">
        <v>280</v>
      </c>
      <c r="B1043" s="28">
        <v>1226</v>
      </c>
      <c r="C1043" s="28" t="s">
        <v>35</v>
      </c>
      <c r="D1043" s="28" t="s">
        <v>38</v>
      </c>
      <c r="E1043" s="41">
        <v>46156</v>
      </c>
      <c r="F1043" s="47">
        <v>0.98648148148148151</v>
      </c>
      <c r="G1043" s="44">
        <v>6.3</v>
      </c>
      <c r="H1043" s="43" t="s">
        <v>1363</v>
      </c>
      <c r="I1043" s="40" t="s">
        <v>1361</v>
      </c>
    </row>
    <row r="1044" spans="1:9" x14ac:dyDescent="0.25">
      <c r="A1044" s="40" t="s">
        <v>280</v>
      </c>
      <c r="B1044" s="28">
        <v>1226</v>
      </c>
      <c r="C1044" s="28" t="s">
        <v>35</v>
      </c>
      <c r="D1044" s="28" t="s">
        <v>38</v>
      </c>
      <c r="E1044" s="41">
        <v>46156</v>
      </c>
      <c r="F1044" s="47">
        <v>0.9916666666666667</v>
      </c>
      <c r="G1044" s="44">
        <v>6.3</v>
      </c>
      <c r="H1044" s="43" t="s">
        <v>1364</v>
      </c>
      <c r="I1044" s="40" t="s">
        <v>1361</v>
      </c>
    </row>
    <row r="1045" spans="1:9" x14ac:dyDescent="0.25">
      <c r="A1045" s="40" t="s">
        <v>280</v>
      </c>
      <c r="B1045" s="28">
        <v>1226</v>
      </c>
      <c r="C1045" s="28" t="s">
        <v>606</v>
      </c>
      <c r="D1045" s="28"/>
      <c r="E1045" s="41">
        <v>46157</v>
      </c>
      <c r="F1045" s="47">
        <v>1.7314814814814814E-2</v>
      </c>
      <c r="G1045" s="44">
        <v>6.3</v>
      </c>
      <c r="H1045" s="43" t="s">
        <v>1360</v>
      </c>
      <c r="I1045" s="40" t="s">
        <v>1361</v>
      </c>
    </row>
    <row r="1046" spans="1:9" x14ac:dyDescent="0.25">
      <c r="A1046" s="40" t="s">
        <v>280</v>
      </c>
      <c r="B1046" s="28">
        <v>1226</v>
      </c>
      <c r="C1046" s="28" t="s">
        <v>606</v>
      </c>
      <c r="D1046" s="28"/>
      <c r="E1046" s="45">
        <v>46157</v>
      </c>
      <c r="F1046" s="48">
        <v>2.8657407407407406E-2</v>
      </c>
      <c r="G1046" s="44">
        <v>6.3</v>
      </c>
      <c r="H1046" s="43" t="s">
        <v>1362</v>
      </c>
      <c r="I1046" s="40" t="s">
        <v>1361</v>
      </c>
    </row>
    <row r="1047" spans="1:9" x14ac:dyDescent="0.25">
      <c r="A1047" s="40" t="s">
        <v>280</v>
      </c>
      <c r="B1047" s="28">
        <v>1226</v>
      </c>
      <c r="C1047" s="28" t="s">
        <v>35</v>
      </c>
      <c r="D1047" s="28" t="s">
        <v>38</v>
      </c>
      <c r="E1047" s="41">
        <v>46157</v>
      </c>
      <c r="F1047" s="47">
        <v>3.892361111111111E-2</v>
      </c>
      <c r="G1047" s="44">
        <v>6.3</v>
      </c>
      <c r="H1047" s="43" t="s">
        <v>1363</v>
      </c>
      <c r="I1047" s="40" t="s">
        <v>1361</v>
      </c>
    </row>
    <row r="1048" spans="1:9" x14ac:dyDescent="0.25">
      <c r="A1048" s="40" t="s">
        <v>280</v>
      </c>
      <c r="B1048" s="28">
        <v>1226</v>
      </c>
      <c r="C1048" s="28">
        <v>5671059</v>
      </c>
      <c r="D1048" s="28"/>
      <c r="E1048" s="41">
        <v>46157</v>
      </c>
      <c r="F1048" s="47">
        <v>0.9538888888888889</v>
      </c>
      <c r="G1048" s="44">
        <v>6.3</v>
      </c>
      <c r="H1048" s="43" t="s">
        <v>1360</v>
      </c>
      <c r="I1048" s="40" t="s">
        <v>1361</v>
      </c>
    </row>
    <row r="1049" spans="1:9" x14ac:dyDescent="0.25">
      <c r="A1049" s="40" t="s">
        <v>280</v>
      </c>
      <c r="B1049" s="28">
        <v>1226</v>
      </c>
      <c r="C1049" s="28">
        <v>5671059</v>
      </c>
      <c r="D1049" s="28"/>
      <c r="E1049" s="41">
        <v>46157</v>
      </c>
      <c r="F1049" s="47">
        <v>0.96090277777777777</v>
      </c>
      <c r="G1049" s="44">
        <v>6.3</v>
      </c>
      <c r="H1049" s="43" t="s">
        <v>1362</v>
      </c>
      <c r="I1049" s="40" t="s">
        <v>1361</v>
      </c>
    </row>
    <row r="1050" spans="1:9" x14ac:dyDescent="0.25">
      <c r="A1050" s="40" t="s">
        <v>280</v>
      </c>
      <c r="B1050" s="28">
        <v>1226</v>
      </c>
      <c r="C1050" s="28">
        <v>5671166</v>
      </c>
      <c r="D1050" s="28"/>
      <c r="E1050" s="41">
        <v>46158</v>
      </c>
      <c r="F1050" s="47">
        <v>4.8599537037037038E-2</v>
      </c>
      <c r="G1050" s="44">
        <v>6.3</v>
      </c>
      <c r="H1050" s="43" t="s">
        <v>1360</v>
      </c>
      <c r="I1050" s="40" t="s">
        <v>1365</v>
      </c>
    </row>
    <row r="1051" spans="1:9" x14ac:dyDescent="0.25">
      <c r="A1051" s="40" t="s">
        <v>280</v>
      </c>
      <c r="B1051" s="28">
        <v>1226</v>
      </c>
      <c r="C1051" s="28">
        <v>5671166</v>
      </c>
      <c r="D1051" s="28"/>
      <c r="E1051" s="41">
        <v>46158</v>
      </c>
      <c r="F1051" s="47">
        <v>5.5856481481481479E-2</v>
      </c>
      <c r="G1051" s="44">
        <v>6.3</v>
      </c>
      <c r="H1051" s="43" t="s">
        <v>1362</v>
      </c>
      <c r="I1051" s="40" t="s">
        <v>1365</v>
      </c>
    </row>
    <row r="1052" spans="1:9" x14ac:dyDescent="0.25">
      <c r="A1052" s="40" t="s">
        <v>280</v>
      </c>
      <c r="B1052" s="28">
        <v>1226</v>
      </c>
      <c r="C1052" s="28" t="s">
        <v>35</v>
      </c>
      <c r="D1052" s="28" t="s">
        <v>38</v>
      </c>
      <c r="E1052" s="45">
        <v>46158</v>
      </c>
      <c r="F1052" s="48">
        <v>7.1863425925925928E-2</v>
      </c>
      <c r="G1052" s="44">
        <v>6.3</v>
      </c>
      <c r="H1052" s="43" t="s">
        <v>1363</v>
      </c>
      <c r="I1052" s="40" t="s">
        <v>1365</v>
      </c>
    </row>
    <row r="1053" spans="1:9" x14ac:dyDescent="0.25">
      <c r="A1053" s="40" t="s">
        <v>73</v>
      </c>
      <c r="B1053" s="28">
        <v>1401</v>
      </c>
      <c r="C1053" s="28" t="s">
        <v>35</v>
      </c>
      <c r="D1053" s="28" t="s">
        <v>38</v>
      </c>
      <c r="E1053" s="41">
        <v>46153</v>
      </c>
      <c r="F1053" s="47">
        <v>0.64172453703703702</v>
      </c>
      <c r="G1053" s="44">
        <v>6.3</v>
      </c>
      <c r="H1053" s="43" t="s">
        <v>1364</v>
      </c>
      <c r="I1053" s="40" t="s">
        <v>1361</v>
      </c>
    </row>
    <row r="1054" spans="1:9" x14ac:dyDescent="0.25">
      <c r="A1054" s="40" t="s">
        <v>73</v>
      </c>
      <c r="B1054" s="28">
        <v>1401</v>
      </c>
      <c r="C1054" s="28">
        <v>5667453</v>
      </c>
      <c r="D1054" s="28"/>
      <c r="E1054" s="41">
        <v>46155</v>
      </c>
      <c r="F1054" s="47">
        <v>0.89559027777777778</v>
      </c>
      <c r="G1054" s="44">
        <v>6.3</v>
      </c>
      <c r="H1054" s="43" t="s">
        <v>1360</v>
      </c>
      <c r="I1054" s="40" t="s">
        <v>1361</v>
      </c>
    </row>
    <row r="1055" spans="1:9" x14ac:dyDescent="0.25">
      <c r="A1055" s="40" t="s">
        <v>73</v>
      </c>
      <c r="B1055" s="28">
        <v>1401</v>
      </c>
      <c r="C1055" s="28">
        <v>5667453</v>
      </c>
      <c r="D1055" s="28"/>
      <c r="E1055" s="41">
        <v>46155</v>
      </c>
      <c r="F1055" s="47">
        <v>0.9026967592592593</v>
      </c>
      <c r="G1055" s="44">
        <v>6.3</v>
      </c>
      <c r="H1055" s="43" t="s">
        <v>1362</v>
      </c>
      <c r="I1055" s="40" t="s">
        <v>1361</v>
      </c>
    </row>
    <row r="1056" spans="1:9" x14ac:dyDescent="0.25">
      <c r="A1056" s="40" t="s">
        <v>73</v>
      </c>
      <c r="B1056" s="28">
        <v>1401</v>
      </c>
      <c r="C1056" s="28" t="s">
        <v>35</v>
      </c>
      <c r="D1056" s="28" t="s">
        <v>38</v>
      </c>
      <c r="E1056" s="41">
        <v>46155</v>
      </c>
      <c r="F1056" s="47">
        <v>0.92659722222222218</v>
      </c>
      <c r="G1056" s="44">
        <v>6.3</v>
      </c>
      <c r="H1056" s="43" t="s">
        <v>1364</v>
      </c>
      <c r="I1056" s="40" t="s">
        <v>1361</v>
      </c>
    </row>
    <row r="1057" spans="1:9" x14ac:dyDescent="0.25">
      <c r="A1057" s="40" t="s">
        <v>73</v>
      </c>
      <c r="B1057" s="28">
        <v>1401</v>
      </c>
      <c r="C1057" s="28">
        <v>5670078</v>
      </c>
      <c r="D1057" s="28" t="s">
        <v>37</v>
      </c>
      <c r="E1057" s="41">
        <v>46157</v>
      </c>
      <c r="F1057" s="47">
        <v>0.94281250000000005</v>
      </c>
      <c r="G1057" s="44">
        <v>6.3</v>
      </c>
      <c r="H1057" s="43" t="s">
        <v>1360</v>
      </c>
      <c r="I1057" s="40" t="s">
        <v>1361</v>
      </c>
    </row>
    <row r="1058" spans="1:9" x14ac:dyDescent="0.25">
      <c r="A1058" s="40" t="s">
        <v>73</v>
      </c>
      <c r="B1058" s="28">
        <v>1401</v>
      </c>
      <c r="C1058" s="28">
        <v>5670078</v>
      </c>
      <c r="D1058" s="28" t="s">
        <v>37</v>
      </c>
      <c r="E1058" s="41">
        <v>46157</v>
      </c>
      <c r="F1058" s="47">
        <v>0.94995370370370369</v>
      </c>
      <c r="G1058" s="44">
        <v>6.3</v>
      </c>
      <c r="H1058" s="43" t="s">
        <v>1362</v>
      </c>
      <c r="I1058" s="40" t="s">
        <v>1361</v>
      </c>
    </row>
    <row r="1059" spans="1:9" x14ac:dyDescent="0.25">
      <c r="A1059" s="40" t="s">
        <v>73</v>
      </c>
      <c r="B1059" s="28">
        <v>1401</v>
      </c>
      <c r="C1059" s="28" t="s">
        <v>35</v>
      </c>
      <c r="D1059" s="28" t="s">
        <v>38</v>
      </c>
      <c r="E1059" s="41">
        <v>46157</v>
      </c>
      <c r="F1059" s="47">
        <v>0.96468750000000003</v>
      </c>
      <c r="G1059" s="44">
        <v>6.3</v>
      </c>
      <c r="H1059" s="43" t="s">
        <v>1363</v>
      </c>
      <c r="I1059" s="40" t="s">
        <v>1361</v>
      </c>
    </row>
    <row r="1060" spans="1:9" x14ac:dyDescent="0.25">
      <c r="A1060" s="40" t="s">
        <v>73</v>
      </c>
      <c r="B1060" s="28">
        <v>1401</v>
      </c>
      <c r="C1060" s="28" t="s">
        <v>35</v>
      </c>
      <c r="D1060" s="28" t="s">
        <v>38</v>
      </c>
      <c r="E1060" s="41">
        <v>46157</v>
      </c>
      <c r="F1060" s="47">
        <v>0.97004629629629635</v>
      </c>
      <c r="G1060" s="44">
        <v>6.3</v>
      </c>
      <c r="H1060" s="43" t="s">
        <v>1364</v>
      </c>
      <c r="I1060" s="40" t="s">
        <v>1361</v>
      </c>
    </row>
    <row r="1061" spans="1:9" x14ac:dyDescent="0.25">
      <c r="A1061" s="40" t="s">
        <v>73</v>
      </c>
      <c r="B1061" s="28">
        <v>1401</v>
      </c>
      <c r="C1061" s="28" t="s">
        <v>607</v>
      </c>
      <c r="D1061" s="28"/>
      <c r="E1061" s="41">
        <v>46158</v>
      </c>
      <c r="F1061" s="47">
        <v>0.96135416666666662</v>
      </c>
      <c r="G1061" s="44">
        <v>6.3</v>
      </c>
      <c r="H1061" s="43" t="s">
        <v>1360</v>
      </c>
      <c r="I1061" s="40" t="s">
        <v>1365</v>
      </c>
    </row>
    <row r="1062" spans="1:9" x14ac:dyDescent="0.25">
      <c r="A1062" s="40" t="s">
        <v>73</v>
      </c>
      <c r="B1062" s="28">
        <v>1401</v>
      </c>
      <c r="C1062" s="28" t="s">
        <v>607</v>
      </c>
      <c r="D1062" s="28"/>
      <c r="E1062" s="41">
        <v>46158</v>
      </c>
      <c r="F1062" s="47">
        <v>0.96787037037037038</v>
      </c>
      <c r="G1062" s="44">
        <v>6.3</v>
      </c>
      <c r="H1062" s="43" t="s">
        <v>1362</v>
      </c>
      <c r="I1062" s="40" t="s">
        <v>1365</v>
      </c>
    </row>
    <row r="1063" spans="1:9" x14ac:dyDescent="0.25">
      <c r="A1063" s="40" t="s">
        <v>73</v>
      </c>
      <c r="B1063" s="28">
        <v>1401</v>
      </c>
      <c r="C1063" s="28" t="s">
        <v>608</v>
      </c>
      <c r="D1063" s="28"/>
      <c r="E1063" s="41">
        <v>46159</v>
      </c>
      <c r="F1063" s="47">
        <v>0.72591435185185182</v>
      </c>
      <c r="G1063" s="42">
        <v>6.3</v>
      </c>
      <c r="H1063" s="40" t="s">
        <v>1360</v>
      </c>
      <c r="I1063" s="40" t="s">
        <v>1365</v>
      </c>
    </row>
    <row r="1064" spans="1:9" x14ac:dyDescent="0.25">
      <c r="A1064" s="40" t="s">
        <v>73</v>
      </c>
      <c r="B1064" s="28">
        <v>1401</v>
      </c>
      <c r="C1064" s="28" t="s">
        <v>608</v>
      </c>
      <c r="D1064" s="28"/>
      <c r="E1064" s="41">
        <v>46159</v>
      </c>
      <c r="F1064" s="47">
        <v>0.75218750000000001</v>
      </c>
      <c r="G1064" s="42">
        <v>6.3</v>
      </c>
      <c r="H1064" s="40" t="s">
        <v>1364</v>
      </c>
      <c r="I1064" s="40" t="s">
        <v>1365</v>
      </c>
    </row>
    <row r="1065" spans="1:9" x14ac:dyDescent="0.25">
      <c r="A1065" s="40" t="s">
        <v>212</v>
      </c>
      <c r="B1065" s="28">
        <v>1410</v>
      </c>
      <c r="C1065" s="28" t="s">
        <v>609</v>
      </c>
      <c r="D1065" s="28"/>
      <c r="E1065" s="41">
        <v>46156</v>
      </c>
      <c r="F1065" s="47">
        <v>0.71309027777777778</v>
      </c>
      <c r="G1065" s="42">
        <v>6.3</v>
      </c>
      <c r="H1065" s="40" t="s">
        <v>1360</v>
      </c>
      <c r="I1065" s="40" t="s">
        <v>1361</v>
      </c>
    </row>
    <row r="1066" spans="1:9" x14ac:dyDescent="0.25">
      <c r="A1066" s="40" t="s">
        <v>212</v>
      </c>
      <c r="B1066" s="28">
        <v>1410</v>
      </c>
      <c r="C1066" s="28" t="s">
        <v>609</v>
      </c>
      <c r="D1066" s="28"/>
      <c r="E1066" s="41">
        <v>46156</v>
      </c>
      <c r="F1066" s="47">
        <v>0.73149305555555555</v>
      </c>
      <c r="G1066" s="44">
        <v>6.3</v>
      </c>
      <c r="H1066" s="43" t="s">
        <v>1362</v>
      </c>
      <c r="I1066" s="40" t="s">
        <v>1361</v>
      </c>
    </row>
    <row r="1067" spans="1:9" x14ac:dyDescent="0.25">
      <c r="A1067" s="40" t="s">
        <v>212</v>
      </c>
      <c r="B1067" s="28">
        <v>1410</v>
      </c>
      <c r="C1067" s="28">
        <v>5669645</v>
      </c>
      <c r="D1067" s="28"/>
      <c r="E1067" s="41">
        <v>46157</v>
      </c>
      <c r="F1067" s="47">
        <v>0.83788194444444442</v>
      </c>
      <c r="G1067" s="44">
        <v>6.3</v>
      </c>
      <c r="H1067" s="43" t="s">
        <v>1360</v>
      </c>
      <c r="I1067" s="40" t="s">
        <v>1361</v>
      </c>
    </row>
    <row r="1068" spans="1:9" x14ac:dyDescent="0.25">
      <c r="A1068" s="40" t="s">
        <v>212</v>
      </c>
      <c r="B1068" s="28">
        <v>1410</v>
      </c>
      <c r="C1068" s="28">
        <v>5669645</v>
      </c>
      <c r="D1068" s="28"/>
      <c r="E1068" s="41">
        <v>46157</v>
      </c>
      <c r="F1068" s="47">
        <v>0.84576388888888887</v>
      </c>
      <c r="G1068" s="44">
        <v>6.3</v>
      </c>
      <c r="H1068" s="43" t="s">
        <v>1368</v>
      </c>
      <c r="I1068" s="40" t="s">
        <v>1361</v>
      </c>
    </row>
    <row r="1069" spans="1:9" x14ac:dyDescent="0.25">
      <c r="A1069" s="40" t="s">
        <v>212</v>
      </c>
      <c r="B1069" s="28">
        <v>1410</v>
      </c>
      <c r="C1069" s="28" t="s">
        <v>35</v>
      </c>
      <c r="D1069" s="28" t="s">
        <v>38</v>
      </c>
      <c r="E1069" s="41">
        <v>46157</v>
      </c>
      <c r="F1069" s="47">
        <v>0.88262731481481482</v>
      </c>
      <c r="G1069" s="44">
        <v>6.3</v>
      </c>
      <c r="H1069" s="43" t="s">
        <v>1370</v>
      </c>
      <c r="I1069" s="40" t="s">
        <v>1361</v>
      </c>
    </row>
    <row r="1070" spans="1:9" x14ac:dyDescent="0.25">
      <c r="A1070" s="40" t="s">
        <v>212</v>
      </c>
      <c r="B1070" s="28">
        <v>1410</v>
      </c>
      <c r="C1070" s="28" t="s">
        <v>610</v>
      </c>
      <c r="D1070" s="28"/>
      <c r="E1070" s="41">
        <v>46158</v>
      </c>
      <c r="F1070" s="47">
        <v>8.7152777777777784E-3</v>
      </c>
      <c r="G1070" s="44">
        <v>6.3</v>
      </c>
      <c r="H1070" s="43" t="s">
        <v>1360</v>
      </c>
      <c r="I1070" s="40" t="s">
        <v>1365</v>
      </c>
    </row>
    <row r="1071" spans="1:9" x14ac:dyDescent="0.25">
      <c r="A1071" s="40" t="s">
        <v>212</v>
      </c>
      <c r="B1071" s="28">
        <v>1410</v>
      </c>
      <c r="C1071" s="28" t="s">
        <v>610</v>
      </c>
      <c r="D1071" s="28"/>
      <c r="E1071" s="41">
        <v>46158</v>
      </c>
      <c r="F1071" s="47">
        <v>1.6747685185185185E-2</v>
      </c>
      <c r="G1071" s="44">
        <v>6.3</v>
      </c>
      <c r="H1071" s="43" t="s">
        <v>1368</v>
      </c>
      <c r="I1071" s="40" t="s">
        <v>1365</v>
      </c>
    </row>
    <row r="1072" spans="1:9" x14ac:dyDescent="0.25">
      <c r="A1072" s="40" t="s">
        <v>74</v>
      </c>
      <c r="B1072" s="28">
        <v>1411</v>
      </c>
      <c r="C1072" s="28">
        <v>5667639</v>
      </c>
      <c r="D1072" s="28"/>
      <c r="E1072" s="41">
        <v>46155</v>
      </c>
      <c r="F1072" s="47">
        <v>0.9936342592592593</v>
      </c>
      <c r="G1072" s="44">
        <v>6.3</v>
      </c>
      <c r="H1072" s="43" t="s">
        <v>1360</v>
      </c>
      <c r="I1072" s="40" t="s">
        <v>1361</v>
      </c>
    </row>
    <row r="1073" spans="1:9" x14ac:dyDescent="0.25">
      <c r="A1073" s="40" t="s">
        <v>74</v>
      </c>
      <c r="B1073" s="28">
        <v>1411</v>
      </c>
      <c r="C1073" s="28">
        <v>5667639</v>
      </c>
      <c r="D1073" s="28"/>
      <c r="E1073" s="41">
        <v>46156</v>
      </c>
      <c r="F1073" s="47">
        <v>2.5694444444444445E-3</v>
      </c>
      <c r="G1073" s="44">
        <v>6.3</v>
      </c>
      <c r="H1073" s="43" t="s">
        <v>1362</v>
      </c>
      <c r="I1073" s="40" t="s">
        <v>1361</v>
      </c>
    </row>
    <row r="1074" spans="1:9" x14ac:dyDescent="0.25">
      <c r="A1074" s="40" t="s">
        <v>74</v>
      </c>
      <c r="B1074" s="28">
        <v>1411</v>
      </c>
      <c r="C1074" s="28">
        <v>5668989</v>
      </c>
      <c r="D1074" s="28"/>
      <c r="E1074" s="41">
        <v>46156</v>
      </c>
      <c r="F1074" s="47">
        <v>0.82017361111111109</v>
      </c>
      <c r="G1074" s="44">
        <v>6.3</v>
      </c>
      <c r="H1074" s="43" t="s">
        <v>1360</v>
      </c>
      <c r="I1074" s="40" t="s">
        <v>1361</v>
      </c>
    </row>
    <row r="1075" spans="1:9" x14ac:dyDescent="0.25">
      <c r="A1075" s="40" t="s">
        <v>74</v>
      </c>
      <c r="B1075" s="28">
        <v>1411</v>
      </c>
      <c r="C1075" s="28">
        <v>5668989</v>
      </c>
      <c r="D1075" s="28"/>
      <c r="E1075" s="41">
        <v>46156</v>
      </c>
      <c r="F1075" s="47">
        <v>0.82885416666666667</v>
      </c>
      <c r="G1075" s="44">
        <v>6.3</v>
      </c>
      <c r="H1075" s="43" t="s">
        <v>1362</v>
      </c>
      <c r="I1075" s="40" t="s">
        <v>1361</v>
      </c>
    </row>
    <row r="1076" spans="1:9" x14ac:dyDescent="0.25">
      <c r="A1076" s="40" t="s">
        <v>74</v>
      </c>
      <c r="B1076" s="28">
        <v>1411</v>
      </c>
      <c r="C1076" s="28" t="s">
        <v>611</v>
      </c>
      <c r="D1076" s="28"/>
      <c r="E1076" s="45">
        <v>46156</v>
      </c>
      <c r="F1076" s="48">
        <v>0.93831018518518516</v>
      </c>
      <c r="G1076" s="44">
        <v>6.3</v>
      </c>
      <c r="H1076" s="43" t="s">
        <v>1360</v>
      </c>
      <c r="I1076" s="40" t="s">
        <v>1361</v>
      </c>
    </row>
    <row r="1077" spans="1:9" x14ac:dyDescent="0.25">
      <c r="A1077" s="40" t="s">
        <v>74</v>
      </c>
      <c r="B1077" s="28">
        <v>1411</v>
      </c>
      <c r="C1077" s="28" t="s">
        <v>611</v>
      </c>
      <c r="D1077" s="28"/>
      <c r="E1077" s="41">
        <v>46156</v>
      </c>
      <c r="F1077" s="47">
        <v>0.94512731481481482</v>
      </c>
      <c r="G1077" s="44">
        <v>6.3</v>
      </c>
      <c r="H1077" s="43" t="s">
        <v>1362</v>
      </c>
      <c r="I1077" s="40" t="s">
        <v>1361</v>
      </c>
    </row>
    <row r="1078" spans="1:9" x14ac:dyDescent="0.25">
      <c r="A1078" s="40" t="s">
        <v>74</v>
      </c>
      <c r="B1078" s="28">
        <v>1411</v>
      </c>
      <c r="C1078" s="28" t="s">
        <v>35</v>
      </c>
      <c r="D1078" s="28" t="s">
        <v>38</v>
      </c>
      <c r="E1078" s="41">
        <v>46157</v>
      </c>
      <c r="F1078" s="47">
        <v>0.25131944444444443</v>
      </c>
      <c r="G1078" s="44">
        <v>6.3</v>
      </c>
      <c r="H1078" s="43" t="s">
        <v>1360</v>
      </c>
      <c r="I1078" s="40" t="s">
        <v>1361</v>
      </c>
    </row>
    <row r="1079" spans="1:9" x14ac:dyDescent="0.25">
      <c r="A1079" s="40" t="s">
        <v>74</v>
      </c>
      <c r="B1079" s="28">
        <v>1411</v>
      </c>
      <c r="C1079" s="28" t="s">
        <v>612</v>
      </c>
      <c r="D1079" s="28"/>
      <c r="E1079" s="41">
        <v>46159</v>
      </c>
      <c r="F1079" s="47">
        <v>0.79100694444444442</v>
      </c>
      <c r="G1079" s="44">
        <v>6.3</v>
      </c>
      <c r="H1079" s="43" t="s">
        <v>1360</v>
      </c>
      <c r="I1079" s="40" t="s">
        <v>1365</v>
      </c>
    </row>
    <row r="1080" spans="1:9" x14ac:dyDescent="0.25">
      <c r="A1080" s="40" t="s">
        <v>74</v>
      </c>
      <c r="B1080" s="28">
        <v>1411</v>
      </c>
      <c r="C1080" s="28" t="s">
        <v>612</v>
      </c>
      <c r="D1080" s="28"/>
      <c r="E1080" s="41">
        <v>46159</v>
      </c>
      <c r="F1080" s="47">
        <v>0.7984606481481481</v>
      </c>
      <c r="G1080" s="44">
        <v>6.3</v>
      </c>
      <c r="H1080" s="43" t="s">
        <v>1362</v>
      </c>
      <c r="I1080" s="40" t="s">
        <v>1365</v>
      </c>
    </row>
    <row r="1081" spans="1:9" x14ac:dyDescent="0.25">
      <c r="A1081" s="40" t="s">
        <v>75</v>
      </c>
      <c r="B1081" s="28">
        <v>1416</v>
      </c>
      <c r="C1081" s="28">
        <v>5665273</v>
      </c>
      <c r="D1081" s="28"/>
      <c r="E1081" s="41">
        <v>46154</v>
      </c>
      <c r="F1081" s="47">
        <v>0.88446759259259256</v>
      </c>
      <c r="G1081" s="44">
        <v>6.3</v>
      </c>
      <c r="H1081" s="43" t="s">
        <v>1360</v>
      </c>
      <c r="I1081" s="40" t="s">
        <v>1361</v>
      </c>
    </row>
    <row r="1082" spans="1:9" x14ac:dyDescent="0.25">
      <c r="A1082" s="40" t="s">
        <v>75</v>
      </c>
      <c r="B1082" s="28">
        <v>1416</v>
      </c>
      <c r="C1082" s="28">
        <v>5665273</v>
      </c>
      <c r="D1082" s="28"/>
      <c r="E1082" s="41">
        <v>46154</v>
      </c>
      <c r="F1082" s="47">
        <v>0.8918518518518519</v>
      </c>
      <c r="G1082" s="44">
        <v>6.3</v>
      </c>
      <c r="H1082" s="43" t="s">
        <v>1362</v>
      </c>
      <c r="I1082" s="40" t="s">
        <v>1361</v>
      </c>
    </row>
    <row r="1083" spans="1:9" x14ac:dyDescent="0.25">
      <c r="A1083" s="40" t="s">
        <v>75</v>
      </c>
      <c r="B1083" s="28">
        <v>1416</v>
      </c>
      <c r="C1083" s="28" t="s">
        <v>35</v>
      </c>
      <c r="D1083" s="28" t="s">
        <v>38</v>
      </c>
      <c r="E1083" s="41">
        <v>46154</v>
      </c>
      <c r="F1083" s="47">
        <v>0.91028935185185189</v>
      </c>
      <c r="G1083" s="44">
        <v>6.3</v>
      </c>
      <c r="H1083" s="43" t="s">
        <v>1369</v>
      </c>
      <c r="I1083" s="40" t="s">
        <v>1361</v>
      </c>
    </row>
    <row r="1084" spans="1:9" x14ac:dyDescent="0.25">
      <c r="A1084" s="40" t="s">
        <v>75</v>
      </c>
      <c r="B1084" s="28">
        <v>1416</v>
      </c>
      <c r="C1084" s="28" t="s">
        <v>35</v>
      </c>
      <c r="D1084" s="28" t="s">
        <v>38</v>
      </c>
      <c r="E1084" s="41">
        <v>46155</v>
      </c>
      <c r="F1084" s="47">
        <v>0.87271990740740746</v>
      </c>
      <c r="G1084" s="44">
        <v>6.3</v>
      </c>
      <c r="H1084" s="43" t="s">
        <v>1369</v>
      </c>
      <c r="I1084" s="40" t="s">
        <v>1361</v>
      </c>
    </row>
    <row r="1085" spans="1:9" x14ac:dyDescent="0.25">
      <c r="A1085" s="40" t="s">
        <v>75</v>
      </c>
      <c r="B1085" s="28">
        <v>1416</v>
      </c>
      <c r="C1085" s="28" t="s">
        <v>35</v>
      </c>
      <c r="D1085" s="28" t="s">
        <v>38</v>
      </c>
      <c r="E1085" s="41">
        <v>46155</v>
      </c>
      <c r="F1085" s="47">
        <v>0.87929398148148152</v>
      </c>
      <c r="G1085" s="44">
        <v>6.3</v>
      </c>
      <c r="H1085" s="43" t="s">
        <v>1364</v>
      </c>
      <c r="I1085" s="40" t="s">
        <v>1361</v>
      </c>
    </row>
    <row r="1086" spans="1:9" x14ac:dyDescent="0.25">
      <c r="A1086" s="40" t="s">
        <v>75</v>
      </c>
      <c r="B1086" s="28">
        <v>1416</v>
      </c>
      <c r="C1086" s="28">
        <v>5667510</v>
      </c>
      <c r="D1086" s="28"/>
      <c r="E1086" s="41">
        <v>46155</v>
      </c>
      <c r="F1086" s="47">
        <v>0.92017361111111107</v>
      </c>
      <c r="G1086" s="42">
        <v>6.3</v>
      </c>
      <c r="H1086" s="40" t="s">
        <v>1360</v>
      </c>
      <c r="I1086" s="40" t="s">
        <v>1361</v>
      </c>
    </row>
    <row r="1087" spans="1:9" x14ac:dyDescent="0.25">
      <c r="A1087" s="40" t="s">
        <v>75</v>
      </c>
      <c r="B1087" s="28">
        <v>1416</v>
      </c>
      <c r="C1087" s="28">
        <v>5667510</v>
      </c>
      <c r="D1087" s="28"/>
      <c r="E1087" s="41">
        <v>46155</v>
      </c>
      <c r="F1087" s="47">
        <v>0.92650462962962965</v>
      </c>
      <c r="G1087" s="42">
        <v>6.3</v>
      </c>
      <c r="H1087" s="40" t="s">
        <v>1368</v>
      </c>
      <c r="I1087" s="40" t="s">
        <v>1361</v>
      </c>
    </row>
    <row r="1088" spans="1:9" x14ac:dyDescent="0.25">
      <c r="A1088" s="40" t="s">
        <v>75</v>
      </c>
      <c r="B1088" s="28">
        <v>1416</v>
      </c>
      <c r="C1088" s="28" t="s">
        <v>35</v>
      </c>
      <c r="D1088" s="28" t="s">
        <v>38</v>
      </c>
      <c r="E1088" s="41">
        <v>46156</v>
      </c>
      <c r="F1088" s="47">
        <v>0.7965740740740741</v>
      </c>
      <c r="G1088" s="42">
        <v>6.3</v>
      </c>
      <c r="H1088" s="40" t="s">
        <v>1363</v>
      </c>
      <c r="I1088" s="40" t="s">
        <v>1361</v>
      </c>
    </row>
    <row r="1089" spans="1:9" x14ac:dyDescent="0.25">
      <c r="A1089" s="40" t="s">
        <v>75</v>
      </c>
      <c r="B1089" s="28">
        <v>1416</v>
      </c>
      <c r="C1089" s="28" t="s">
        <v>35</v>
      </c>
      <c r="D1089" s="28" t="s">
        <v>38</v>
      </c>
      <c r="E1089" s="45">
        <v>46156</v>
      </c>
      <c r="F1089" s="48">
        <v>0.81193287037037032</v>
      </c>
      <c r="G1089" s="42">
        <v>6.3</v>
      </c>
      <c r="H1089" s="40" t="s">
        <v>1364</v>
      </c>
      <c r="I1089" s="40" t="s">
        <v>1361</v>
      </c>
    </row>
    <row r="1090" spans="1:9" x14ac:dyDescent="0.25">
      <c r="A1090" s="40" t="s">
        <v>75</v>
      </c>
      <c r="B1090" s="28">
        <v>1416</v>
      </c>
      <c r="C1090" s="28" t="s">
        <v>613</v>
      </c>
      <c r="D1090" s="28"/>
      <c r="E1090" s="41">
        <v>46157</v>
      </c>
      <c r="F1090" s="47">
        <v>0.58756944444444448</v>
      </c>
      <c r="G1090" s="42">
        <v>6.3</v>
      </c>
      <c r="H1090" s="40" t="s">
        <v>1360</v>
      </c>
      <c r="I1090" s="40" t="s">
        <v>1361</v>
      </c>
    </row>
    <row r="1091" spans="1:9" x14ac:dyDescent="0.25">
      <c r="A1091" s="40" t="s">
        <v>75</v>
      </c>
      <c r="B1091" s="28">
        <v>1416</v>
      </c>
      <c r="C1091" s="28" t="s">
        <v>613</v>
      </c>
      <c r="D1091" s="28"/>
      <c r="E1091" s="45">
        <v>46157</v>
      </c>
      <c r="F1091" s="48">
        <v>0.60063657407407411</v>
      </c>
      <c r="G1091" s="44">
        <v>6.3</v>
      </c>
      <c r="H1091" s="43" t="s">
        <v>1368</v>
      </c>
      <c r="I1091" s="40" t="s">
        <v>1361</v>
      </c>
    </row>
    <row r="1092" spans="1:9" x14ac:dyDescent="0.25">
      <c r="A1092" s="40" t="s">
        <v>75</v>
      </c>
      <c r="B1092" s="28">
        <v>1416</v>
      </c>
      <c r="C1092" s="28" t="s">
        <v>35</v>
      </c>
      <c r="D1092" s="28" t="s">
        <v>38</v>
      </c>
      <c r="E1092" s="41">
        <v>46157</v>
      </c>
      <c r="F1092" s="47">
        <v>0.62913194444444442</v>
      </c>
      <c r="G1092" s="44">
        <v>6.3</v>
      </c>
      <c r="H1092" s="43" t="s">
        <v>1369</v>
      </c>
      <c r="I1092" s="40" t="s">
        <v>1361</v>
      </c>
    </row>
    <row r="1093" spans="1:9" x14ac:dyDescent="0.25">
      <c r="A1093" s="40" t="s">
        <v>75</v>
      </c>
      <c r="B1093" s="28">
        <v>1416</v>
      </c>
      <c r="C1093" s="28" t="s">
        <v>35</v>
      </c>
      <c r="D1093" s="28" t="s">
        <v>38</v>
      </c>
      <c r="E1093" s="45">
        <v>46157</v>
      </c>
      <c r="F1093" s="48">
        <v>0.63861111111111113</v>
      </c>
      <c r="G1093" s="44">
        <v>6.3</v>
      </c>
      <c r="H1093" s="43" t="s">
        <v>1364</v>
      </c>
      <c r="I1093" s="40" t="s">
        <v>1361</v>
      </c>
    </row>
    <row r="1094" spans="1:9" x14ac:dyDescent="0.25">
      <c r="A1094" s="40" t="s">
        <v>75</v>
      </c>
      <c r="B1094" s="28">
        <v>1416</v>
      </c>
      <c r="C1094" s="28" t="s">
        <v>614</v>
      </c>
      <c r="D1094" s="28"/>
      <c r="E1094" s="41">
        <v>46159</v>
      </c>
      <c r="F1094" s="47">
        <v>0.66023148148148147</v>
      </c>
      <c r="G1094" s="44">
        <v>6.3</v>
      </c>
      <c r="H1094" s="43" t="s">
        <v>1360</v>
      </c>
      <c r="I1094" s="40" t="s">
        <v>1365</v>
      </c>
    </row>
    <row r="1095" spans="1:9" x14ac:dyDescent="0.25">
      <c r="A1095" s="40" t="s">
        <v>75</v>
      </c>
      <c r="B1095" s="28">
        <v>1416</v>
      </c>
      <c r="C1095" s="28" t="s">
        <v>614</v>
      </c>
      <c r="D1095" s="28"/>
      <c r="E1095" s="41">
        <v>46159</v>
      </c>
      <c r="F1095" s="47">
        <v>0.66754629629629625</v>
      </c>
      <c r="G1095" s="44">
        <v>6.3</v>
      </c>
      <c r="H1095" s="43" t="s">
        <v>1362</v>
      </c>
      <c r="I1095" s="40" t="s">
        <v>1365</v>
      </c>
    </row>
    <row r="1096" spans="1:9" x14ac:dyDescent="0.25">
      <c r="A1096" s="40" t="s">
        <v>75</v>
      </c>
      <c r="B1096" s="28">
        <v>1416</v>
      </c>
      <c r="C1096" s="28">
        <v>5673229</v>
      </c>
      <c r="D1096" s="28"/>
      <c r="E1096" s="41">
        <v>46159</v>
      </c>
      <c r="F1096" s="47">
        <v>0.88194444444444442</v>
      </c>
      <c r="G1096" s="44">
        <v>6.3</v>
      </c>
      <c r="H1096" s="43" t="s">
        <v>1363</v>
      </c>
      <c r="I1096" s="40" t="s">
        <v>1365</v>
      </c>
    </row>
    <row r="1097" spans="1:9" x14ac:dyDescent="0.25">
      <c r="A1097" s="40" t="s">
        <v>75</v>
      </c>
      <c r="B1097" s="28">
        <v>1416</v>
      </c>
      <c r="C1097" s="28">
        <v>5673229</v>
      </c>
      <c r="D1097" s="28"/>
      <c r="E1097" s="41">
        <v>46159</v>
      </c>
      <c r="F1097" s="47">
        <v>0.88767361111111109</v>
      </c>
      <c r="G1097" s="44">
        <v>6.3</v>
      </c>
      <c r="H1097" s="43" t="s">
        <v>1364</v>
      </c>
      <c r="I1097" s="40" t="s">
        <v>1365</v>
      </c>
    </row>
    <row r="1098" spans="1:9" x14ac:dyDescent="0.25">
      <c r="A1098" s="40" t="s">
        <v>331</v>
      </c>
      <c r="B1098" s="28">
        <v>1420</v>
      </c>
      <c r="C1098" s="28">
        <v>5661327</v>
      </c>
      <c r="D1098" s="28"/>
      <c r="E1098" s="41">
        <v>46153</v>
      </c>
      <c r="F1098" s="47">
        <v>0.13230324074074074</v>
      </c>
      <c r="G1098" s="44">
        <v>6.3</v>
      </c>
      <c r="H1098" s="43" t="s">
        <v>1363</v>
      </c>
      <c r="I1098" s="40" t="s">
        <v>1361</v>
      </c>
    </row>
    <row r="1099" spans="1:9" x14ac:dyDescent="0.25">
      <c r="A1099" s="40" t="s">
        <v>331</v>
      </c>
      <c r="B1099" s="28">
        <v>1420</v>
      </c>
      <c r="C1099" s="28">
        <v>5661327</v>
      </c>
      <c r="D1099" s="28"/>
      <c r="E1099" s="41">
        <v>46153</v>
      </c>
      <c r="F1099" s="47">
        <v>0.13755787037037037</v>
      </c>
      <c r="G1099" s="44">
        <v>6.3</v>
      </c>
      <c r="H1099" s="43" t="s">
        <v>1364</v>
      </c>
      <c r="I1099" s="40" t="s">
        <v>1361</v>
      </c>
    </row>
    <row r="1100" spans="1:9" x14ac:dyDescent="0.25">
      <c r="A1100" s="40" t="s">
        <v>331</v>
      </c>
      <c r="B1100" s="28">
        <v>1420</v>
      </c>
      <c r="C1100" s="28">
        <v>5661268</v>
      </c>
      <c r="D1100" s="28" t="s">
        <v>37</v>
      </c>
      <c r="E1100" s="41">
        <v>46153</v>
      </c>
      <c r="F1100" s="47">
        <v>0.24225694444444446</v>
      </c>
      <c r="G1100" s="44">
        <v>6.3</v>
      </c>
      <c r="H1100" s="43" t="s">
        <v>1363</v>
      </c>
      <c r="I1100" s="40" t="s">
        <v>1361</v>
      </c>
    </row>
    <row r="1101" spans="1:9" x14ac:dyDescent="0.25">
      <c r="A1101" s="40" t="s">
        <v>331</v>
      </c>
      <c r="B1101" s="28">
        <v>1420</v>
      </c>
      <c r="C1101" s="28">
        <v>5661268</v>
      </c>
      <c r="D1101" s="28" t="s">
        <v>37</v>
      </c>
      <c r="E1101" s="41">
        <v>46153</v>
      </c>
      <c r="F1101" s="47">
        <v>0.24729166666666666</v>
      </c>
      <c r="G1101" s="44">
        <v>6.3</v>
      </c>
      <c r="H1101" s="43" t="s">
        <v>1364</v>
      </c>
      <c r="I1101" s="40" t="s">
        <v>1361</v>
      </c>
    </row>
    <row r="1102" spans="1:9" x14ac:dyDescent="0.25">
      <c r="A1102" s="40" t="s">
        <v>331</v>
      </c>
      <c r="B1102" s="28">
        <v>1420</v>
      </c>
      <c r="C1102" s="28">
        <v>5664674</v>
      </c>
      <c r="D1102" s="28"/>
      <c r="E1102" s="41">
        <v>46155</v>
      </c>
      <c r="F1102" s="47">
        <v>0.21392361111111111</v>
      </c>
      <c r="G1102" s="44">
        <v>6.3</v>
      </c>
      <c r="H1102" s="43" t="s">
        <v>1363</v>
      </c>
      <c r="I1102" s="40" t="s">
        <v>1361</v>
      </c>
    </row>
    <row r="1103" spans="1:9" x14ac:dyDescent="0.25">
      <c r="A1103" s="40" t="s">
        <v>331</v>
      </c>
      <c r="B1103" s="28">
        <v>1420</v>
      </c>
      <c r="C1103" s="28">
        <v>5664674</v>
      </c>
      <c r="D1103" s="28"/>
      <c r="E1103" s="41">
        <v>46155</v>
      </c>
      <c r="F1103" s="47">
        <v>0.21947916666666667</v>
      </c>
      <c r="G1103" s="44">
        <v>6.3</v>
      </c>
      <c r="H1103" s="43" t="s">
        <v>1364</v>
      </c>
      <c r="I1103" s="40" t="s">
        <v>1361</v>
      </c>
    </row>
    <row r="1104" spans="1:9" x14ac:dyDescent="0.25">
      <c r="A1104" s="40" t="s">
        <v>331</v>
      </c>
      <c r="B1104" s="28">
        <v>1420</v>
      </c>
      <c r="C1104" s="28">
        <v>5666353</v>
      </c>
      <c r="D1104" s="28"/>
      <c r="E1104" s="45">
        <v>46155</v>
      </c>
      <c r="F1104" s="48">
        <v>0.89541666666666664</v>
      </c>
      <c r="G1104" s="44">
        <v>6.3</v>
      </c>
      <c r="H1104" s="43" t="s">
        <v>1360</v>
      </c>
      <c r="I1104" s="40" t="s">
        <v>1361</v>
      </c>
    </row>
    <row r="1105" spans="1:9" x14ac:dyDescent="0.25">
      <c r="A1105" s="40" t="s">
        <v>331</v>
      </c>
      <c r="B1105" s="28">
        <v>1420</v>
      </c>
      <c r="C1105" s="28">
        <v>5666353</v>
      </c>
      <c r="D1105" s="28"/>
      <c r="E1105" s="41">
        <v>46155</v>
      </c>
      <c r="F1105" s="47">
        <v>0.90265046296296292</v>
      </c>
      <c r="G1105" s="44">
        <v>6.3</v>
      </c>
      <c r="H1105" s="43" t="s">
        <v>1362</v>
      </c>
      <c r="I1105" s="40" t="s">
        <v>1361</v>
      </c>
    </row>
    <row r="1106" spans="1:9" x14ac:dyDescent="0.25">
      <c r="A1106" s="40" t="s">
        <v>331</v>
      </c>
      <c r="B1106" s="28">
        <v>1420</v>
      </c>
      <c r="C1106" s="28">
        <v>5669097</v>
      </c>
      <c r="D1106" s="28"/>
      <c r="E1106" s="45">
        <v>46157</v>
      </c>
      <c r="F1106" s="48">
        <v>0.40771990740740743</v>
      </c>
      <c r="G1106" s="44">
        <v>6.3</v>
      </c>
      <c r="H1106" s="43" t="s">
        <v>1364</v>
      </c>
      <c r="I1106" s="40" t="s">
        <v>1361</v>
      </c>
    </row>
    <row r="1107" spans="1:9" x14ac:dyDescent="0.25">
      <c r="A1107" s="40" t="s">
        <v>331</v>
      </c>
      <c r="B1107" s="28">
        <v>1420</v>
      </c>
      <c r="C1107" s="28">
        <v>5669446</v>
      </c>
      <c r="D1107" s="28"/>
      <c r="E1107" s="41">
        <v>46157</v>
      </c>
      <c r="F1107" s="47">
        <v>0.69986111111111116</v>
      </c>
      <c r="G1107" s="42">
        <v>6.3</v>
      </c>
      <c r="H1107" s="40" t="s">
        <v>1369</v>
      </c>
      <c r="I1107" s="40" t="s">
        <v>1361</v>
      </c>
    </row>
    <row r="1108" spans="1:9" x14ac:dyDescent="0.25">
      <c r="A1108" s="40" t="s">
        <v>331</v>
      </c>
      <c r="B1108" s="28">
        <v>1420</v>
      </c>
      <c r="C1108" s="28">
        <v>5669446</v>
      </c>
      <c r="D1108" s="28"/>
      <c r="E1108" s="41">
        <v>46157</v>
      </c>
      <c r="F1108" s="47">
        <v>0.71748842592592588</v>
      </c>
      <c r="G1108" s="42">
        <v>6.3</v>
      </c>
      <c r="H1108" s="40" t="s">
        <v>1364</v>
      </c>
      <c r="I1108" s="40" t="s">
        <v>1361</v>
      </c>
    </row>
    <row r="1109" spans="1:9" x14ac:dyDescent="0.25">
      <c r="A1109" s="40" t="s">
        <v>331</v>
      </c>
      <c r="B1109" s="28">
        <v>1420</v>
      </c>
      <c r="C1109" s="28">
        <v>5672764</v>
      </c>
      <c r="D1109" s="28"/>
      <c r="E1109" s="45">
        <v>46159</v>
      </c>
      <c r="F1109" s="48">
        <v>0.61263888888888884</v>
      </c>
      <c r="G1109" s="42">
        <v>6.3</v>
      </c>
      <c r="H1109" s="40" t="s">
        <v>1360</v>
      </c>
      <c r="I1109" s="40" t="s">
        <v>1365</v>
      </c>
    </row>
    <row r="1110" spans="1:9" x14ac:dyDescent="0.25">
      <c r="A1110" s="40" t="s">
        <v>331</v>
      </c>
      <c r="B1110" s="28">
        <v>1420</v>
      </c>
      <c r="C1110" s="28">
        <v>5672764</v>
      </c>
      <c r="D1110" s="28"/>
      <c r="E1110" s="41">
        <v>46159</v>
      </c>
      <c r="F1110" s="47">
        <v>0.61994212962962958</v>
      </c>
      <c r="G1110" s="42">
        <v>6.3</v>
      </c>
      <c r="H1110" s="40" t="s">
        <v>1362</v>
      </c>
      <c r="I1110" s="40" t="s">
        <v>1365</v>
      </c>
    </row>
    <row r="1111" spans="1:9" x14ac:dyDescent="0.25">
      <c r="A1111" s="40" t="s">
        <v>331</v>
      </c>
      <c r="B1111" s="28">
        <v>1420</v>
      </c>
      <c r="C1111" s="28" t="s">
        <v>615</v>
      </c>
      <c r="D1111" s="28"/>
      <c r="E1111" s="41">
        <v>46159</v>
      </c>
      <c r="F1111" s="47">
        <v>0.74768518518518523</v>
      </c>
      <c r="G1111" s="42">
        <v>6.3</v>
      </c>
      <c r="H1111" s="40" t="s">
        <v>1360</v>
      </c>
      <c r="I1111" s="40" t="s">
        <v>1365</v>
      </c>
    </row>
    <row r="1112" spans="1:9" x14ac:dyDescent="0.25">
      <c r="A1112" s="40" t="s">
        <v>331</v>
      </c>
      <c r="B1112" s="28">
        <v>1420</v>
      </c>
      <c r="C1112" s="28" t="s">
        <v>615</v>
      </c>
      <c r="D1112" s="28"/>
      <c r="E1112" s="41">
        <v>46159</v>
      </c>
      <c r="F1112" s="47">
        <v>0.75516203703703699</v>
      </c>
      <c r="G1112" s="42">
        <v>6.3</v>
      </c>
      <c r="H1112" s="40" t="s">
        <v>1362</v>
      </c>
      <c r="I1112" s="40" t="s">
        <v>1365</v>
      </c>
    </row>
    <row r="1113" spans="1:9" x14ac:dyDescent="0.25">
      <c r="A1113" s="40" t="s">
        <v>331</v>
      </c>
      <c r="B1113" s="28">
        <v>1420</v>
      </c>
      <c r="C1113" s="28">
        <v>5673177</v>
      </c>
      <c r="D1113" s="28"/>
      <c r="E1113" s="41">
        <v>46159</v>
      </c>
      <c r="F1113" s="47">
        <v>0.78196759259259263</v>
      </c>
      <c r="G1113" s="44">
        <v>6.3</v>
      </c>
      <c r="H1113" s="43" t="s">
        <v>1363</v>
      </c>
      <c r="I1113" s="40" t="s">
        <v>1365</v>
      </c>
    </row>
    <row r="1114" spans="1:9" x14ac:dyDescent="0.25">
      <c r="A1114" s="40" t="s">
        <v>331</v>
      </c>
      <c r="B1114" s="28">
        <v>1420</v>
      </c>
      <c r="C1114" s="28">
        <v>5673177</v>
      </c>
      <c r="D1114" s="28"/>
      <c r="E1114" s="41">
        <v>46159</v>
      </c>
      <c r="F1114" s="47">
        <v>0.78753472222222221</v>
      </c>
      <c r="G1114" s="44">
        <v>6.3</v>
      </c>
      <c r="H1114" s="43" t="s">
        <v>1364</v>
      </c>
      <c r="I1114" s="40" t="s">
        <v>1365</v>
      </c>
    </row>
    <row r="1115" spans="1:9" x14ac:dyDescent="0.25">
      <c r="A1115" s="40" t="s">
        <v>331</v>
      </c>
      <c r="B1115" s="28">
        <v>1420</v>
      </c>
      <c r="C1115" s="28" t="s">
        <v>616</v>
      </c>
      <c r="D1115" s="28"/>
      <c r="E1115" s="41">
        <v>46159</v>
      </c>
      <c r="F1115" s="47">
        <v>0.97077546296296291</v>
      </c>
      <c r="G1115" s="44">
        <v>6.3</v>
      </c>
      <c r="H1115" s="43" t="s">
        <v>1360</v>
      </c>
      <c r="I1115" s="40" t="s">
        <v>1365</v>
      </c>
    </row>
    <row r="1116" spans="1:9" x14ac:dyDescent="0.25">
      <c r="A1116" s="40" t="s">
        <v>331</v>
      </c>
      <c r="B1116" s="28">
        <v>1420</v>
      </c>
      <c r="C1116" s="28" t="s">
        <v>616</v>
      </c>
      <c r="D1116" s="28"/>
      <c r="E1116" s="41">
        <v>46159</v>
      </c>
      <c r="F1116" s="47">
        <v>0.97810185185185183</v>
      </c>
      <c r="G1116" s="44">
        <v>6.3</v>
      </c>
      <c r="H1116" s="43" t="s">
        <v>1362</v>
      </c>
      <c r="I1116" s="40" t="s">
        <v>1365</v>
      </c>
    </row>
    <row r="1117" spans="1:9" x14ac:dyDescent="0.25">
      <c r="A1117" s="40" t="s">
        <v>370</v>
      </c>
      <c r="B1117" s="28">
        <v>1422</v>
      </c>
      <c r="C1117" s="28">
        <v>5664147</v>
      </c>
      <c r="D1117" s="28"/>
      <c r="E1117" s="41">
        <v>46154</v>
      </c>
      <c r="F1117" s="47">
        <v>4.0902777777777781E-2</v>
      </c>
      <c r="G1117" s="44">
        <v>6.3</v>
      </c>
      <c r="H1117" s="43" t="s">
        <v>1360</v>
      </c>
      <c r="I1117" s="40" t="s">
        <v>1361</v>
      </c>
    </row>
    <row r="1118" spans="1:9" x14ac:dyDescent="0.25">
      <c r="A1118" s="40" t="s">
        <v>370</v>
      </c>
      <c r="B1118" s="28">
        <v>1422</v>
      </c>
      <c r="C1118" s="28">
        <v>5664147</v>
      </c>
      <c r="D1118" s="28"/>
      <c r="E1118" s="41">
        <v>46154</v>
      </c>
      <c r="F1118" s="47">
        <v>4.6516203703703705E-2</v>
      </c>
      <c r="G1118" s="44">
        <v>6.3</v>
      </c>
      <c r="H1118" s="43" t="s">
        <v>1368</v>
      </c>
      <c r="I1118" s="40" t="s">
        <v>1361</v>
      </c>
    </row>
    <row r="1119" spans="1:9" x14ac:dyDescent="0.25">
      <c r="A1119" s="40" t="s">
        <v>370</v>
      </c>
      <c r="B1119" s="28">
        <v>1422</v>
      </c>
      <c r="C1119" s="28">
        <v>5663950</v>
      </c>
      <c r="D1119" s="28"/>
      <c r="E1119" s="41">
        <v>46154</v>
      </c>
      <c r="F1119" s="47">
        <v>0.17680555555555555</v>
      </c>
      <c r="G1119" s="44">
        <v>6.3</v>
      </c>
      <c r="H1119" s="43" t="s">
        <v>1369</v>
      </c>
      <c r="I1119" s="40" t="s">
        <v>1361</v>
      </c>
    </row>
    <row r="1120" spans="1:9" x14ac:dyDescent="0.25">
      <c r="A1120" s="40" t="s">
        <v>370</v>
      </c>
      <c r="B1120" s="28">
        <v>1422</v>
      </c>
      <c r="C1120" s="28">
        <v>5663950</v>
      </c>
      <c r="D1120" s="28"/>
      <c r="E1120" s="41">
        <v>46154</v>
      </c>
      <c r="F1120" s="47">
        <v>0.18184027777777778</v>
      </c>
      <c r="G1120" s="44">
        <v>6.3</v>
      </c>
      <c r="H1120" s="43" t="s">
        <v>1364</v>
      </c>
      <c r="I1120" s="40" t="s">
        <v>1361</v>
      </c>
    </row>
    <row r="1121" spans="1:9" x14ac:dyDescent="0.25">
      <c r="A1121" s="40" t="s">
        <v>370</v>
      </c>
      <c r="B1121" s="28">
        <v>1422</v>
      </c>
      <c r="C1121" s="28" t="s">
        <v>617</v>
      </c>
      <c r="D1121" s="28"/>
      <c r="E1121" s="41">
        <v>46154</v>
      </c>
      <c r="F1121" s="47">
        <v>0.89262731481481483</v>
      </c>
      <c r="G1121" s="44">
        <v>6.3</v>
      </c>
      <c r="H1121" s="43" t="s">
        <v>1360</v>
      </c>
      <c r="I1121" s="40" t="s">
        <v>1361</v>
      </c>
    </row>
    <row r="1122" spans="1:9" x14ac:dyDescent="0.25">
      <c r="A1122" s="40" t="s">
        <v>370</v>
      </c>
      <c r="B1122" s="28">
        <v>1422</v>
      </c>
      <c r="C1122" s="28" t="s">
        <v>617</v>
      </c>
      <c r="D1122" s="28"/>
      <c r="E1122" s="45">
        <v>46154</v>
      </c>
      <c r="F1122" s="48">
        <v>0.89961805555555552</v>
      </c>
      <c r="G1122" s="44">
        <v>6.3</v>
      </c>
      <c r="H1122" s="43" t="s">
        <v>1362</v>
      </c>
      <c r="I1122" s="40" t="s">
        <v>1361</v>
      </c>
    </row>
    <row r="1123" spans="1:9" x14ac:dyDescent="0.25">
      <c r="A1123" s="40" t="s">
        <v>370</v>
      </c>
      <c r="B1123" s="28">
        <v>1422</v>
      </c>
      <c r="C1123" s="28">
        <v>5665437</v>
      </c>
      <c r="D1123" s="28"/>
      <c r="E1123" s="41">
        <v>46155</v>
      </c>
      <c r="F1123" s="47">
        <v>0.15177083333333333</v>
      </c>
      <c r="G1123" s="44">
        <v>6.3</v>
      </c>
      <c r="H1123" s="43" t="s">
        <v>1363</v>
      </c>
      <c r="I1123" s="40" t="s">
        <v>1361</v>
      </c>
    </row>
    <row r="1124" spans="1:9" x14ac:dyDescent="0.25">
      <c r="A1124" s="40" t="s">
        <v>370</v>
      </c>
      <c r="B1124" s="28">
        <v>1422</v>
      </c>
      <c r="C1124" s="28">
        <v>5665437</v>
      </c>
      <c r="D1124" s="28"/>
      <c r="E1124" s="45">
        <v>46155</v>
      </c>
      <c r="F1124" s="48">
        <v>0.15748842592592593</v>
      </c>
      <c r="G1124" s="44">
        <v>6.3</v>
      </c>
      <c r="H1124" s="43" t="s">
        <v>1364</v>
      </c>
      <c r="I1124" s="40" t="s">
        <v>1361</v>
      </c>
    </row>
    <row r="1125" spans="1:9" x14ac:dyDescent="0.25">
      <c r="A1125" s="40" t="s">
        <v>370</v>
      </c>
      <c r="B1125" s="28">
        <v>1422</v>
      </c>
      <c r="C1125" s="28">
        <v>5667249</v>
      </c>
      <c r="D1125" s="28"/>
      <c r="E1125" s="41">
        <v>46156</v>
      </c>
      <c r="F1125" s="47">
        <v>0.23090277777777779</v>
      </c>
      <c r="G1125" s="44">
        <v>6.3</v>
      </c>
      <c r="H1125" s="43" t="s">
        <v>1363</v>
      </c>
      <c r="I1125" s="40" t="s">
        <v>1361</v>
      </c>
    </row>
    <row r="1126" spans="1:9" x14ac:dyDescent="0.25">
      <c r="A1126" s="40" t="s">
        <v>370</v>
      </c>
      <c r="B1126" s="28">
        <v>1422</v>
      </c>
      <c r="C1126" s="28">
        <v>5667249</v>
      </c>
      <c r="D1126" s="28"/>
      <c r="E1126" s="41">
        <v>46156</v>
      </c>
      <c r="F1126" s="47">
        <v>0.23666666666666666</v>
      </c>
      <c r="G1126" s="44">
        <v>6.3</v>
      </c>
      <c r="H1126" s="43" t="s">
        <v>1364</v>
      </c>
      <c r="I1126" s="40" t="s">
        <v>1361</v>
      </c>
    </row>
    <row r="1127" spans="1:9" x14ac:dyDescent="0.25">
      <c r="A1127" s="40" t="s">
        <v>370</v>
      </c>
      <c r="B1127" s="28">
        <v>1422</v>
      </c>
      <c r="C1127" s="28">
        <v>5669260</v>
      </c>
      <c r="D1127" s="28"/>
      <c r="E1127" s="41">
        <v>46156</v>
      </c>
      <c r="F1127" s="47">
        <v>0.91177083333333331</v>
      </c>
      <c r="G1127" s="44">
        <v>6.3</v>
      </c>
      <c r="H1127" s="43" t="s">
        <v>1360</v>
      </c>
      <c r="I1127" s="40" t="s">
        <v>1361</v>
      </c>
    </row>
    <row r="1128" spans="1:9" x14ac:dyDescent="0.25">
      <c r="A1128" s="40" t="s">
        <v>370</v>
      </c>
      <c r="B1128" s="28">
        <v>1422</v>
      </c>
      <c r="C1128" s="28">
        <v>5669260</v>
      </c>
      <c r="D1128" s="28"/>
      <c r="E1128" s="41">
        <v>46156</v>
      </c>
      <c r="F1128" s="47">
        <v>0.91880787037037037</v>
      </c>
      <c r="G1128" s="44">
        <v>6.3</v>
      </c>
      <c r="H1128" s="43" t="s">
        <v>1362</v>
      </c>
      <c r="I1128" s="40" t="s">
        <v>1361</v>
      </c>
    </row>
    <row r="1129" spans="1:9" x14ac:dyDescent="0.25">
      <c r="A1129" s="40" t="s">
        <v>370</v>
      </c>
      <c r="B1129" s="28">
        <v>1422</v>
      </c>
      <c r="C1129" s="28" t="s">
        <v>35</v>
      </c>
      <c r="D1129" s="28" t="s">
        <v>38</v>
      </c>
      <c r="E1129" s="41">
        <v>46158</v>
      </c>
      <c r="F1129" s="47">
        <v>0.37268518518518517</v>
      </c>
      <c r="G1129" s="44">
        <v>6.3</v>
      </c>
      <c r="H1129" s="43" t="s">
        <v>1363</v>
      </c>
      <c r="I1129" s="40" t="s">
        <v>1365</v>
      </c>
    </row>
    <row r="1130" spans="1:9" x14ac:dyDescent="0.25">
      <c r="A1130" s="40" t="s">
        <v>370</v>
      </c>
      <c r="B1130" s="28">
        <v>1422</v>
      </c>
      <c r="C1130" s="28" t="s">
        <v>35</v>
      </c>
      <c r="D1130" s="28" t="s">
        <v>38</v>
      </c>
      <c r="E1130" s="41">
        <v>46158</v>
      </c>
      <c r="F1130" s="47">
        <v>0.37930555555555556</v>
      </c>
      <c r="G1130" s="44">
        <v>6.3</v>
      </c>
      <c r="H1130" s="43" t="s">
        <v>1364</v>
      </c>
      <c r="I1130" s="40" t="s">
        <v>1365</v>
      </c>
    </row>
    <row r="1131" spans="1:9" x14ac:dyDescent="0.25">
      <c r="A1131" s="40" t="s">
        <v>171</v>
      </c>
      <c r="B1131" s="28">
        <v>1424</v>
      </c>
      <c r="C1131" s="28">
        <v>5662011</v>
      </c>
      <c r="D1131" s="28"/>
      <c r="E1131" s="41">
        <v>46153</v>
      </c>
      <c r="F1131" s="47">
        <v>0.19915509259259259</v>
      </c>
      <c r="G1131" s="44">
        <v>6.3</v>
      </c>
      <c r="H1131" s="43" t="s">
        <v>1363</v>
      </c>
      <c r="I1131" s="40" t="s">
        <v>1361</v>
      </c>
    </row>
    <row r="1132" spans="1:9" x14ac:dyDescent="0.25">
      <c r="A1132" s="40" t="s">
        <v>171</v>
      </c>
      <c r="B1132" s="28">
        <v>1424</v>
      </c>
      <c r="C1132" s="28">
        <v>5662011</v>
      </c>
      <c r="D1132" s="28"/>
      <c r="E1132" s="41">
        <v>46153</v>
      </c>
      <c r="F1132" s="47">
        <v>0.20370370370370369</v>
      </c>
      <c r="G1132" s="44">
        <v>6.3</v>
      </c>
      <c r="H1132" s="43" t="s">
        <v>1364</v>
      </c>
      <c r="I1132" s="40" t="s">
        <v>1361</v>
      </c>
    </row>
    <row r="1133" spans="1:9" x14ac:dyDescent="0.25">
      <c r="A1133" s="40" t="s">
        <v>171</v>
      </c>
      <c r="B1133" s="28">
        <v>1424</v>
      </c>
      <c r="C1133" s="28">
        <v>5665686</v>
      </c>
      <c r="D1133" s="28"/>
      <c r="E1133" s="45">
        <v>46155</v>
      </c>
      <c r="F1133" s="48">
        <v>0.20704861111111111</v>
      </c>
      <c r="G1133" s="44">
        <v>6.3</v>
      </c>
      <c r="H1133" s="43" t="s">
        <v>1364</v>
      </c>
      <c r="I1133" s="40" t="s">
        <v>1361</v>
      </c>
    </row>
    <row r="1134" spans="1:9" x14ac:dyDescent="0.25">
      <c r="A1134" s="40" t="s">
        <v>171</v>
      </c>
      <c r="B1134" s="28">
        <v>1424</v>
      </c>
      <c r="C1134" s="28">
        <v>5666198</v>
      </c>
      <c r="D1134" s="28"/>
      <c r="E1134" s="45">
        <v>46155</v>
      </c>
      <c r="F1134" s="48">
        <v>0.38489583333333333</v>
      </c>
      <c r="G1134" s="44">
        <v>6.3</v>
      </c>
      <c r="H1134" s="43" t="s">
        <v>1363</v>
      </c>
      <c r="I1134" s="40" t="s">
        <v>1361</v>
      </c>
    </row>
    <row r="1135" spans="1:9" x14ac:dyDescent="0.25">
      <c r="A1135" s="40" t="s">
        <v>171</v>
      </c>
      <c r="B1135" s="28">
        <v>1424</v>
      </c>
      <c r="C1135" s="28">
        <v>5666198</v>
      </c>
      <c r="D1135" s="28"/>
      <c r="E1135" s="45">
        <v>46155</v>
      </c>
      <c r="F1135" s="48">
        <v>0.39780092592592592</v>
      </c>
      <c r="G1135" s="44">
        <v>6.3</v>
      </c>
      <c r="H1135" s="43" t="s">
        <v>1364</v>
      </c>
      <c r="I1135" s="40" t="s">
        <v>1361</v>
      </c>
    </row>
    <row r="1136" spans="1:9" x14ac:dyDescent="0.25">
      <c r="A1136" s="40" t="s">
        <v>171</v>
      </c>
      <c r="B1136" s="28">
        <v>1424</v>
      </c>
      <c r="C1136" s="28" t="s">
        <v>35</v>
      </c>
      <c r="D1136" s="28" t="s">
        <v>38</v>
      </c>
      <c r="E1136" s="41">
        <v>46155</v>
      </c>
      <c r="F1136" s="47">
        <v>0.93300925925925926</v>
      </c>
      <c r="G1136" s="44">
        <v>6.3</v>
      </c>
      <c r="H1136" s="43" t="s">
        <v>1360</v>
      </c>
      <c r="I1136" s="40" t="s">
        <v>1361</v>
      </c>
    </row>
    <row r="1137" spans="1:9" x14ac:dyDescent="0.25">
      <c r="A1137" s="40" t="s">
        <v>171</v>
      </c>
      <c r="B1137" s="28">
        <v>1424</v>
      </c>
      <c r="C1137" s="28" t="s">
        <v>35</v>
      </c>
      <c r="D1137" s="28" t="s">
        <v>38</v>
      </c>
      <c r="E1137" s="41">
        <v>46155</v>
      </c>
      <c r="F1137" s="47">
        <v>0.94078703703703703</v>
      </c>
      <c r="G1137" s="44">
        <v>6.3</v>
      </c>
      <c r="H1137" s="43" t="s">
        <v>1362</v>
      </c>
      <c r="I1137" s="40" t="s">
        <v>1361</v>
      </c>
    </row>
    <row r="1138" spans="1:9" x14ac:dyDescent="0.25">
      <c r="A1138" s="40" t="s">
        <v>171</v>
      </c>
      <c r="B1138" s="28">
        <v>1424</v>
      </c>
      <c r="C1138" s="28">
        <v>5668152</v>
      </c>
      <c r="D1138" s="28"/>
      <c r="E1138" s="41">
        <v>46156</v>
      </c>
      <c r="F1138" s="47">
        <v>0.64704861111111112</v>
      </c>
      <c r="G1138" s="42">
        <v>6.3</v>
      </c>
      <c r="H1138" s="40" t="s">
        <v>1370</v>
      </c>
      <c r="I1138" s="40" t="s">
        <v>1361</v>
      </c>
    </row>
    <row r="1139" spans="1:9" x14ac:dyDescent="0.25">
      <c r="A1139" s="40" t="s">
        <v>171</v>
      </c>
      <c r="B1139" s="28">
        <v>1424</v>
      </c>
      <c r="C1139" s="28">
        <v>5668152</v>
      </c>
      <c r="D1139" s="28"/>
      <c r="E1139" s="41">
        <v>46156</v>
      </c>
      <c r="F1139" s="47">
        <v>0.75631944444444443</v>
      </c>
      <c r="G1139" s="42">
        <v>6.3</v>
      </c>
      <c r="H1139" s="40" t="s">
        <v>1367</v>
      </c>
      <c r="I1139" s="40" t="s">
        <v>1361</v>
      </c>
    </row>
    <row r="1140" spans="1:9" x14ac:dyDescent="0.25">
      <c r="A1140" s="40" t="s">
        <v>171</v>
      </c>
      <c r="B1140" s="28">
        <v>1424</v>
      </c>
      <c r="C1140" s="28" t="s">
        <v>35</v>
      </c>
      <c r="D1140" s="28" t="s">
        <v>38</v>
      </c>
      <c r="E1140" s="41">
        <v>46157</v>
      </c>
      <c r="F1140" s="47">
        <v>0.22983796296296297</v>
      </c>
      <c r="G1140" s="42">
        <v>6.3</v>
      </c>
      <c r="H1140" s="40" t="s">
        <v>1370</v>
      </c>
      <c r="I1140" s="40" t="s">
        <v>1361</v>
      </c>
    </row>
    <row r="1141" spans="1:9" x14ac:dyDescent="0.25">
      <c r="A1141" s="40" t="s">
        <v>171</v>
      </c>
      <c r="B1141" s="28">
        <v>1424</v>
      </c>
      <c r="C1141" s="28" t="s">
        <v>35</v>
      </c>
      <c r="D1141" s="28" t="s">
        <v>38</v>
      </c>
      <c r="E1141" s="41">
        <v>46157</v>
      </c>
      <c r="F1141" s="47">
        <v>0.23578703703703704</v>
      </c>
      <c r="G1141" s="42">
        <v>6.3</v>
      </c>
      <c r="H1141" s="40" t="s">
        <v>1364</v>
      </c>
      <c r="I1141" s="40" t="s">
        <v>1361</v>
      </c>
    </row>
    <row r="1142" spans="1:9" x14ac:dyDescent="0.25">
      <c r="A1142" s="40" t="s">
        <v>171</v>
      </c>
      <c r="B1142" s="28">
        <v>1424</v>
      </c>
      <c r="C1142" s="28" t="s">
        <v>35</v>
      </c>
      <c r="D1142" s="28" t="s">
        <v>38</v>
      </c>
      <c r="E1142" s="41">
        <v>46159</v>
      </c>
      <c r="F1142" s="47">
        <v>0.96622685185185186</v>
      </c>
      <c r="G1142" s="44">
        <v>6.3</v>
      </c>
      <c r="H1142" s="43" t="s">
        <v>1360</v>
      </c>
      <c r="I1142" s="40" t="s">
        <v>1365</v>
      </c>
    </row>
    <row r="1143" spans="1:9" x14ac:dyDescent="0.25">
      <c r="A1143" s="40" t="s">
        <v>171</v>
      </c>
      <c r="B1143" s="28">
        <v>1424</v>
      </c>
      <c r="C1143" s="28" t="s">
        <v>35</v>
      </c>
      <c r="D1143" s="28" t="s">
        <v>38</v>
      </c>
      <c r="E1143" s="41">
        <v>46159</v>
      </c>
      <c r="F1143" s="47">
        <v>0.97346064814814814</v>
      </c>
      <c r="G1143" s="44">
        <v>6.3</v>
      </c>
      <c r="H1143" s="43" t="s">
        <v>1362</v>
      </c>
      <c r="I1143" s="40" t="s">
        <v>1365</v>
      </c>
    </row>
    <row r="1144" spans="1:9" x14ac:dyDescent="0.25">
      <c r="A1144" s="40" t="s">
        <v>181</v>
      </c>
      <c r="B1144" s="28">
        <v>1425</v>
      </c>
      <c r="C1144" s="28">
        <v>10666018</v>
      </c>
      <c r="D1144" s="28" t="s">
        <v>36</v>
      </c>
      <c r="E1144" s="41">
        <v>46156</v>
      </c>
      <c r="F1144" s="47">
        <v>0.85290509259259262</v>
      </c>
      <c r="G1144" s="44">
        <v>6.3</v>
      </c>
      <c r="H1144" s="43" t="s">
        <v>1360</v>
      </c>
      <c r="I1144" s="40" t="s">
        <v>1361</v>
      </c>
    </row>
    <row r="1145" spans="1:9" x14ac:dyDescent="0.25">
      <c r="A1145" s="40" t="s">
        <v>181</v>
      </c>
      <c r="B1145" s="28">
        <v>1425</v>
      </c>
      <c r="C1145" s="28">
        <v>10666018</v>
      </c>
      <c r="D1145" s="28" t="s">
        <v>36</v>
      </c>
      <c r="E1145" s="45">
        <v>46156</v>
      </c>
      <c r="F1145" s="48">
        <v>0.86084490740740738</v>
      </c>
      <c r="G1145" s="44">
        <v>6.3</v>
      </c>
      <c r="H1145" s="43" t="s">
        <v>1362</v>
      </c>
      <c r="I1145" s="40" t="s">
        <v>1361</v>
      </c>
    </row>
    <row r="1146" spans="1:9" x14ac:dyDescent="0.25">
      <c r="A1146" s="40" t="s">
        <v>181</v>
      </c>
      <c r="B1146" s="28">
        <v>1425</v>
      </c>
      <c r="C1146" s="28" t="s">
        <v>618</v>
      </c>
      <c r="D1146" s="28"/>
      <c r="E1146" s="41">
        <v>46157</v>
      </c>
      <c r="F1146" s="47">
        <v>0.14026620370370371</v>
      </c>
      <c r="G1146" s="44">
        <v>6.3</v>
      </c>
      <c r="H1146" s="43" t="s">
        <v>1363</v>
      </c>
      <c r="I1146" s="40" t="s">
        <v>1361</v>
      </c>
    </row>
    <row r="1147" spans="1:9" x14ac:dyDescent="0.25">
      <c r="A1147" s="40" t="s">
        <v>181</v>
      </c>
      <c r="B1147" s="28">
        <v>1425</v>
      </c>
      <c r="C1147" s="28" t="s">
        <v>618</v>
      </c>
      <c r="D1147" s="28"/>
      <c r="E1147" s="45">
        <v>46157</v>
      </c>
      <c r="F1147" s="48">
        <v>0.14557870370370371</v>
      </c>
      <c r="G1147" s="44">
        <v>6.3</v>
      </c>
      <c r="H1147" s="43" t="s">
        <v>1364</v>
      </c>
      <c r="I1147" s="40" t="s">
        <v>1361</v>
      </c>
    </row>
    <row r="1148" spans="1:9" x14ac:dyDescent="0.25">
      <c r="A1148" s="40" t="s">
        <v>181</v>
      </c>
      <c r="B1148" s="28">
        <v>1425</v>
      </c>
      <c r="C1148" s="28" t="s">
        <v>619</v>
      </c>
      <c r="D1148" s="28"/>
      <c r="E1148" s="41">
        <v>46157</v>
      </c>
      <c r="F1148" s="47">
        <v>0.8244097222222222</v>
      </c>
      <c r="G1148" s="44">
        <v>6.3</v>
      </c>
      <c r="H1148" s="43" t="s">
        <v>1360</v>
      </c>
      <c r="I1148" s="40" t="s">
        <v>1361</v>
      </c>
    </row>
    <row r="1149" spans="1:9" x14ac:dyDescent="0.25">
      <c r="A1149" s="40" t="s">
        <v>181</v>
      </c>
      <c r="B1149" s="28">
        <v>1425</v>
      </c>
      <c r="C1149" s="28" t="s">
        <v>619</v>
      </c>
      <c r="D1149" s="28"/>
      <c r="E1149" s="41">
        <v>46157</v>
      </c>
      <c r="F1149" s="47">
        <v>0.8344907407407407</v>
      </c>
      <c r="G1149" s="44">
        <v>6.3</v>
      </c>
      <c r="H1149" s="43" t="s">
        <v>1368</v>
      </c>
      <c r="I1149" s="40" t="s">
        <v>1361</v>
      </c>
    </row>
    <row r="1150" spans="1:9" x14ac:dyDescent="0.25">
      <c r="A1150" s="40" t="s">
        <v>181</v>
      </c>
      <c r="B1150" s="28">
        <v>1425</v>
      </c>
      <c r="C1150" s="28" t="s">
        <v>620</v>
      </c>
      <c r="D1150" s="28"/>
      <c r="E1150" s="41">
        <v>46157</v>
      </c>
      <c r="F1150" s="47">
        <v>0.93957175925925929</v>
      </c>
      <c r="G1150" s="44">
        <v>6.3</v>
      </c>
      <c r="H1150" s="43" t="s">
        <v>1369</v>
      </c>
      <c r="I1150" s="40" t="s">
        <v>1361</v>
      </c>
    </row>
    <row r="1151" spans="1:9" x14ac:dyDescent="0.25">
      <c r="A1151" s="40" t="s">
        <v>181</v>
      </c>
      <c r="B1151" s="28">
        <v>1425</v>
      </c>
      <c r="C1151" s="28" t="s">
        <v>620</v>
      </c>
      <c r="D1151" s="28"/>
      <c r="E1151" s="45">
        <v>46157</v>
      </c>
      <c r="F1151" s="48">
        <v>0.94472222222222224</v>
      </c>
      <c r="G1151" s="44">
        <v>6.3</v>
      </c>
      <c r="H1151" s="43" t="s">
        <v>1364</v>
      </c>
      <c r="I1151" s="40" t="s">
        <v>1361</v>
      </c>
    </row>
    <row r="1152" spans="1:9" x14ac:dyDescent="0.25">
      <c r="A1152" s="40" t="s">
        <v>181</v>
      </c>
      <c r="B1152" s="28">
        <v>1425</v>
      </c>
      <c r="C1152" s="28" t="s">
        <v>621</v>
      </c>
      <c r="D1152" s="28"/>
      <c r="E1152" s="41">
        <v>46158</v>
      </c>
      <c r="F1152" s="47">
        <v>7.2916666666666668E-3</v>
      </c>
      <c r="G1152" s="44">
        <v>6.3</v>
      </c>
      <c r="H1152" s="43" t="s">
        <v>1360</v>
      </c>
      <c r="I1152" s="40" t="s">
        <v>1365</v>
      </c>
    </row>
    <row r="1153" spans="1:9" x14ac:dyDescent="0.25">
      <c r="A1153" s="40" t="s">
        <v>181</v>
      </c>
      <c r="B1153" s="28">
        <v>1425</v>
      </c>
      <c r="C1153" s="28" t="s">
        <v>622</v>
      </c>
      <c r="D1153" s="28"/>
      <c r="E1153" s="41">
        <v>46159</v>
      </c>
      <c r="F1153" s="47">
        <v>0.88885416666666661</v>
      </c>
      <c r="G1153" s="44">
        <v>6.3</v>
      </c>
      <c r="H1153" s="43" t="s">
        <v>1360</v>
      </c>
      <c r="I1153" s="40" t="s">
        <v>1365</v>
      </c>
    </row>
    <row r="1154" spans="1:9" x14ac:dyDescent="0.25">
      <c r="A1154" s="40" t="s">
        <v>181</v>
      </c>
      <c r="B1154" s="28">
        <v>1425</v>
      </c>
      <c r="C1154" s="28" t="s">
        <v>622</v>
      </c>
      <c r="D1154" s="28"/>
      <c r="E1154" s="45">
        <v>46159</v>
      </c>
      <c r="F1154" s="48">
        <v>0.89571759259259254</v>
      </c>
      <c r="G1154" s="44">
        <v>6.3</v>
      </c>
      <c r="H1154" s="43" t="s">
        <v>1368</v>
      </c>
      <c r="I1154" s="40" t="s">
        <v>1365</v>
      </c>
    </row>
    <row r="1155" spans="1:9" x14ac:dyDescent="0.25">
      <c r="A1155" s="40" t="s">
        <v>181</v>
      </c>
      <c r="B1155" s="28">
        <v>1425</v>
      </c>
      <c r="C1155" s="28" t="s">
        <v>623</v>
      </c>
      <c r="D1155" s="28"/>
      <c r="E1155" s="41">
        <v>46159</v>
      </c>
      <c r="F1155" s="47">
        <v>0.94903935185185184</v>
      </c>
      <c r="G1155" s="44">
        <v>6.3</v>
      </c>
      <c r="H1155" s="43" t="s">
        <v>1363</v>
      </c>
      <c r="I1155" s="40" t="s">
        <v>1365</v>
      </c>
    </row>
    <row r="1156" spans="1:9" x14ac:dyDescent="0.25">
      <c r="A1156" s="40" t="s">
        <v>181</v>
      </c>
      <c r="B1156" s="28">
        <v>1425</v>
      </c>
      <c r="C1156" s="28" t="s">
        <v>623</v>
      </c>
      <c r="D1156" s="28"/>
      <c r="E1156" s="41">
        <v>46159</v>
      </c>
      <c r="F1156" s="47">
        <v>0.9545717592592593</v>
      </c>
      <c r="G1156" s="44">
        <v>6.3</v>
      </c>
      <c r="H1156" s="43" t="s">
        <v>1364</v>
      </c>
      <c r="I1156" s="40" t="s">
        <v>1365</v>
      </c>
    </row>
    <row r="1157" spans="1:9" x14ac:dyDescent="0.25">
      <c r="A1157" s="40" t="s">
        <v>76</v>
      </c>
      <c r="B1157" s="28">
        <v>1429</v>
      </c>
      <c r="C1157" s="28">
        <v>5662204</v>
      </c>
      <c r="D1157" s="28"/>
      <c r="E1157" s="41">
        <v>46153</v>
      </c>
      <c r="F1157" s="47">
        <v>6.2337962962962963E-2</v>
      </c>
      <c r="G1157" s="44">
        <v>6.3</v>
      </c>
      <c r="H1157" s="43" t="s">
        <v>1360</v>
      </c>
      <c r="I1157" s="40" t="s">
        <v>1361</v>
      </c>
    </row>
    <row r="1158" spans="1:9" x14ac:dyDescent="0.25">
      <c r="A1158" s="40" t="s">
        <v>76</v>
      </c>
      <c r="B1158" s="28">
        <v>1429</v>
      </c>
      <c r="C1158" s="28">
        <v>5662204</v>
      </c>
      <c r="D1158" s="28"/>
      <c r="E1158" s="41">
        <v>46153</v>
      </c>
      <c r="F1158" s="47">
        <v>6.8854166666666661E-2</v>
      </c>
      <c r="G1158" s="44">
        <v>6.3</v>
      </c>
      <c r="H1158" s="43" t="s">
        <v>1362</v>
      </c>
      <c r="I1158" s="40" t="s">
        <v>1361</v>
      </c>
    </row>
    <row r="1159" spans="1:9" x14ac:dyDescent="0.25">
      <c r="A1159" s="40" t="s">
        <v>76</v>
      </c>
      <c r="B1159" s="28">
        <v>1429</v>
      </c>
      <c r="C1159" s="28">
        <v>5660573</v>
      </c>
      <c r="D1159" s="28"/>
      <c r="E1159" s="41">
        <v>46153</v>
      </c>
      <c r="F1159" s="47">
        <v>0.21927083333333333</v>
      </c>
      <c r="G1159" s="44">
        <v>6.3</v>
      </c>
      <c r="H1159" s="43" t="s">
        <v>1363</v>
      </c>
      <c r="I1159" s="40" t="s">
        <v>1361</v>
      </c>
    </row>
    <row r="1160" spans="1:9" x14ac:dyDescent="0.25">
      <c r="A1160" s="40" t="s">
        <v>76</v>
      </c>
      <c r="B1160" s="28">
        <v>1429</v>
      </c>
      <c r="C1160" s="28">
        <v>5660573</v>
      </c>
      <c r="D1160" s="28"/>
      <c r="E1160" s="41">
        <v>46153</v>
      </c>
      <c r="F1160" s="47">
        <v>0.22462962962962962</v>
      </c>
      <c r="G1160" s="44">
        <v>6.3</v>
      </c>
      <c r="H1160" s="43" t="s">
        <v>1364</v>
      </c>
      <c r="I1160" s="40" t="s">
        <v>1361</v>
      </c>
    </row>
    <row r="1161" spans="1:9" x14ac:dyDescent="0.25">
      <c r="A1161" s="40" t="s">
        <v>76</v>
      </c>
      <c r="B1161" s="28">
        <v>1429</v>
      </c>
      <c r="C1161" s="28">
        <v>5664083</v>
      </c>
      <c r="D1161" s="28"/>
      <c r="E1161" s="41">
        <v>46153</v>
      </c>
      <c r="F1161" s="47">
        <v>0.99400462962962965</v>
      </c>
      <c r="G1161" s="44">
        <v>6.3</v>
      </c>
      <c r="H1161" s="43" t="s">
        <v>1360</v>
      </c>
      <c r="I1161" s="40" t="s">
        <v>1361</v>
      </c>
    </row>
    <row r="1162" spans="1:9" x14ac:dyDescent="0.25">
      <c r="A1162" s="40" t="s">
        <v>76</v>
      </c>
      <c r="B1162" s="28">
        <v>1429</v>
      </c>
      <c r="C1162" s="28">
        <v>5664083</v>
      </c>
      <c r="D1162" s="28"/>
      <c r="E1162" s="45">
        <v>46154</v>
      </c>
      <c r="F1162" s="48">
        <v>6.5972222222222224E-4</v>
      </c>
      <c r="G1162" s="44">
        <v>6.3</v>
      </c>
      <c r="H1162" s="43" t="s">
        <v>1362</v>
      </c>
      <c r="I1162" s="40" t="s">
        <v>1361</v>
      </c>
    </row>
    <row r="1163" spans="1:9" x14ac:dyDescent="0.25">
      <c r="A1163" s="40" t="s">
        <v>76</v>
      </c>
      <c r="B1163" s="28">
        <v>1429</v>
      </c>
      <c r="C1163" s="28" t="s">
        <v>35</v>
      </c>
      <c r="D1163" s="28" t="s">
        <v>38</v>
      </c>
      <c r="E1163" s="41">
        <v>46154</v>
      </c>
      <c r="F1163" s="47">
        <v>6.9791666666666665E-3</v>
      </c>
      <c r="G1163" s="44">
        <v>6.3</v>
      </c>
      <c r="H1163" s="43" t="s">
        <v>1363</v>
      </c>
      <c r="I1163" s="40" t="s">
        <v>1361</v>
      </c>
    </row>
    <row r="1164" spans="1:9" x14ac:dyDescent="0.25">
      <c r="A1164" s="40" t="s">
        <v>76</v>
      </c>
      <c r="B1164" s="28">
        <v>1429</v>
      </c>
      <c r="C1164" s="28">
        <v>5663348</v>
      </c>
      <c r="D1164" s="28"/>
      <c r="E1164" s="41">
        <v>46154</v>
      </c>
      <c r="F1164" s="47">
        <v>0.15368055555555554</v>
      </c>
      <c r="G1164" s="44">
        <v>6.3</v>
      </c>
      <c r="H1164" s="43" t="s">
        <v>1363</v>
      </c>
      <c r="I1164" s="40" t="s">
        <v>1361</v>
      </c>
    </row>
    <row r="1165" spans="1:9" x14ac:dyDescent="0.25">
      <c r="A1165" s="40" t="s">
        <v>76</v>
      </c>
      <c r="B1165" s="28">
        <v>1429</v>
      </c>
      <c r="C1165" s="28">
        <v>5663348</v>
      </c>
      <c r="D1165" s="28"/>
      <c r="E1165" s="45">
        <v>46154</v>
      </c>
      <c r="F1165" s="48">
        <v>0.15899305555555557</v>
      </c>
      <c r="G1165" s="44">
        <v>6.3</v>
      </c>
      <c r="H1165" s="43" t="s">
        <v>1364</v>
      </c>
      <c r="I1165" s="40" t="s">
        <v>1361</v>
      </c>
    </row>
    <row r="1166" spans="1:9" x14ac:dyDescent="0.25">
      <c r="A1166" s="40" t="s">
        <v>76</v>
      </c>
      <c r="B1166" s="28">
        <v>1429</v>
      </c>
      <c r="C1166" s="28">
        <v>5666491</v>
      </c>
      <c r="D1166" s="28"/>
      <c r="E1166" s="41">
        <v>46156</v>
      </c>
      <c r="F1166" s="47">
        <v>0.16737268518518519</v>
      </c>
      <c r="G1166" s="44">
        <v>6.3</v>
      </c>
      <c r="H1166" s="43" t="s">
        <v>1364</v>
      </c>
      <c r="I1166" s="40" t="s">
        <v>1361</v>
      </c>
    </row>
    <row r="1167" spans="1:9" x14ac:dyDescent="0.25">
      <c r="A1167" s="40" t="s">
        <v>76</v>
      </c>
      <c r="B1167" s="28">
        <v>1429</v>
      </c>
      <c r="C1167" s="28">
        <v>5666338</v>
      </c>
      <c r="D1167" s="28"/>
      <c r="E1167" s="41">
        <v>46156</v>
      </c>
      <c r="F1167" s="47">
        <v>0.81392361111111111</v>
      </c>
      <c r="G1167" s="44">
        <v>6.3</v>
      </c>
      <c r="H1167" s="43" t="s">
        <v>1360</v>
      </c>
      <c r="I1167" s="40" t="s">
        <v>1361</v>
      </c>
    </row>
    <row r="1168" spans="1:9" x14ac:dyDescent="0.25">
      <c r="A1168" s="40" t="s">
        <v>76</v>
      </c>
      <c r="B1168" s="28">
        <v>1429</v>
      </c>
      <c r="C1168" s="28">
        <v>5666338</v>
      </c>
      <c r="D1168" s="28"/>
      <c r="E1168" s="41">
        <v>46156</v>
      </c>
      <c r="F1168" s="47">
        <v>0.82329861111111113</v>
      </c>
      <c r="G1168" s="44">
        <v>6.3</v>
      </c>
      <c r="H1168" s="43" t="s">
        <v>1362</v>
      </c>
      <c r="I1168" s="40" t="s">
        <v>1361</v>
      </c>
    </row>
    <row r="1169" spans="1:9" x14ac:dyDescent="0.25">
      <c r="A1169" s="40" t="s">
        <v>76</v>
      </c>
      <c r="B1169" s="28">
        <v>1429</v>
      </c>
      <c r="C1169" s="28" t="s">
        <v>35</v>
      </c>
      <c r="D1169" s="28" t="s">
        <v>38</v>
      </c>
      <c r="E1169" s="41">
        <v>46156</v>
      </c>
      <c r="F1169" s="47">
        <v>0.84416666666666662</v>
      </c>
      <c r="G1169" s="44">
        <v>6.3</v>
      </c>
      <c r="H1169" s="43" t="s">
        <v>1363</v>
      </c>
      <c r="I1169" s="40" t="s">
        <v>1361</v>
      </c>
    </row>
    <row r="1170" spans="1:9" x14ac:dyDescent="0.25">
      <c r="A1170" s="40" t="s">
        <v>76</v>
      </c>
      <c r="B1170" s="28">
        <v>1429</v>
      </c>
      <c r="C1170" s="28" t="s">
        <v>35</v>
      </c>
      <c r="D1170" s="28" t="s">
        <v>38</v>
      </c>
      <c r="E1170" s="41">
        <v>46156</v>
      </c>
      <c r="F1170" s="47">
        <v>0.85600694444444447</v>
      </c>
      <c r="G1170" s="44">
        <v>6.3</v>
      </c>
      <c r="H1170" s="43" t="s">
        <v>1364</v>
      </c>
      <c r="I1170" s="40" t="s">
        <v>1361</v>
      </c>
    </row>
    <row r="1171" spans="1:9" x14ac:dyDescent="0.25">
      <c r="A1171" s="40" t="s">
        <v>76</v>
      </c>
      <c r="B1171" s="28">
        <v>1429</v>
      </c>
      <c r="C1171" s="28" t="s">
        <v>624</v>
      </c>
      <c r="D1171" s="28"/>
      <c r="E1171" s="41">
        <v>46157</v>
      </c>
      <c r="F1171" s="47">
        <v>2.9953703703703705E-2</v>
      </c>
      <c r="G1171" s="44">
        <v>6.3</v>
      </c>
      <c r="H1171" s="43" t="s">
        <v>1360</v>
      </c>
      <c r="I1171" s="40" t="s">
        <v>1361</v>
      </c>
    </row>
    <row r="1172" spans="1:9" x14ac:dyDescent="0.25">
      <c r="A1172" s="40" t="s">
        <v>76</v>
      </c>
      <c r="B1172" s="28">
        <v>1429</v>
      </c>
      <c r="C1172" s="28" t="s">
        <v>624</v>
      </c>
      <c r="D1172" s="28"/>
      <c r="E1172" s="41">
        <v>46157</v>
      </c>
      <c r="F1172" s="47">
        <v>3.8935185185185184E-2</v>
      </c>
      <c r="G1172" s="44">
        <v>6.3</v>
      </c>
      <c r="H1172" s="43" t="s">
        <v>1362</v>
      </c>
      <c r="I1172" s="40" t="s">
        <v>1361</v>
      </c>
    </row>
    <row r="1173" spans="1:9" x14ac:dyDescent="0.25">
      <c r="A1173" s="40" t="s">
        <v>76</v>
      </c>
      <c r="B1173" s="28">
        <v>1429</v>
      </c>
      <c r="C1173" s="28">
        <v>5669469</v>
      </c>
      <c r="D1173" s="28" t="s">
        <v>37</v>
      </c>
      <c r="E1173" s="41">
        <v>46157</v>
      </c>
      <c r="F1173" s="47">
        <v>0.23959490740740741</v>
      </c>
      <c r="G1173" s="44">
        <v>6.3</v>
      </c>
      <c r="H1173" s="43" t="s">
        <v>1363</v>
      </c>
      <c r="I1173" s="40" t="s">
        <v>1361</v>
      </c>
    </row>
    <row r="1174" spans="1:9" x14ac:dyDescent="0.25">
      <c r="A1174" s="40" t="s">
        <v>76</v>
      </c>
      <c r="B1174" s="28">
        <v>1429</v>
      </c>
      <c r="C1174" s="28">
        <v>5669469</v>
      </c>
      <c r="D1174" s="28" t="s">
        <v>37</v>
      </c>
      <c r="E1174" s="41">
        <v>46157</v>
      </c>
      <c r="F1174" s="47">
        <v>0.24505787037037038</v>
      </c>
      <c r="G1174" s="44">
        <v>6.3</v>
      </c>
      <c r="H1174" s="43" t="s">
        <v>1364</v>
      </c>
      <c r="I1174" s="40" t="s">
        <v>1361</v>
      </c>
    </row>
    <row r="1175" spans="1:9" x14ac:dyDescent="0.25">
      <c r="A1175" s="40" t="s">
        <v>76</v>
      </c>
      <c r="B1175" s="28">
        <v>1429</v>
      </c>
      <c r="C1175" s="28">
        <v>5668221</v>
      </c>
      <c r="D1175" s="28"/>
      <c r="E1175" s="41">
        <v>46157</v>
      </c>
      <c r="F1175" s="47">
        <v>0.93148148148148147</v>
      </c>
      <c r="G1175" s="44">
        <v>6.3</v>
      </c>
      <c r="H1175" s="43" t="s">
        <v>1360</v>
      </c>
      <c r="I1175" s="40" t="s">
        <v>1365</v>
      </c>
    </row>
    <row r="1176" spans="1:9" x14ac:dyDescent="0.25">
      <c r="A1176" s="40" t="s">
        <v>76</v>
      </c>
      <c r="B1176" s="28">
        <v>1429</v>
      </c>
      <c r="C1176" s="28">
        <v>5668221</v>
      </c>
      <c r="D1176" s="28"/>
      <c r="E1176" s="41">
        <v>46157</v>
      </c>
      <c r="F1176" s="47">
        <v>0.93849537037037034</v>
      </c>
      <c r="G1176" s="44">
        <v>6.3</v>
      </c>
      <c r="H1176" s="43" t="s">
        <v>1362</v>
      </c>
      <c r="I1176" s="40" t="s">
        <v>1361</v>
      </c>
    </row>
    <row r="1177" spans="1:9" x14ac:dyDescent="0.25">
      <c r="A1177" s="40" t="s">
        <v>76</v>
      </c>
      <c r="B1177" s="28">
        <v>1429</v>
      </c>
      <c r="C1177" s="28">
        <v>5671100</v>
      </c>
      <c r="D1177" s="28" t="s">
        <v>37</v>
      </c>
      <c r="E1177" s="41">
        <v>46157</v>
      </c>
      <c r="F1177" s="47">
        <v>0.99009259259259264</v>
      </c>
      <c r="G1177" s="44">
        <v>6.3</v>
      </c>
      <c r="H1177" s="43" t="s">
        <v>1360</v>
      </c>
      <c r="I1177" s="40" t="s">
        <v>1365</v>
      </c>
    </row>
    <row r="1178" spans="1:9" x14ac:dyDescent="0.25">
      <c r="A1178" s="40" t="s">
        <v>76</v>
      </c>
      <c r="B1178" s="28">
        <v>1429</v>
      </c>
      <c r="C1178" s="28">
        <v>5671100</v>
      </c>
      <c r="D1178" s="28" t="s">
        <v>37</v>
      </c>
      <c r="E1178" s="41">
        <v>46157</v>
      </c>
      <c r="F1178" s="47">
        <v>0.99907407407407411</v>
      </c>
      <c r="G1178" s="44">
        <v>6.3</v>
      </c>
      <c r="H1178" s="43" t="s">
        <v>1362</v>
      </c>
      <c r="I1178" s="40" t="s">
        <v>1365</v>
      </c>
    </row>
    <row r="1179" spans="1:9" x14ac:dyDescent="0.25">
      <c r="A1179" s="40" t="s">
        <v>76</v>
      </c>
      <c r="B1179" s="28">
        <v>1429</v>
      </c>
      <c r="C1179" s="28">
        <v>5671169</v>
      </c>
      <c r="D1179" s="28"/>
      <c r="E1179" s="41">
        <v>46158</v>
      </c>
      <c r="F1179" s="47">
        <v>5.4884259259259258E-2</v>
      </c>
      <c r="G1179" s="44">
        <v>6.3</v>
      </c>
      <c r="H1179" s="43" t="s">
        <v>1360</v>
      </c>
      <c r="I1179" s="40" t="s">
        <v>1365</v>
      </c>
    </row>
    <row r="1180" spans="1:9" x14ac:dyDescent="0.25">
      <c r="A1180" s="40" t="s">
        <v>76</v>
      </c>
      <c r="B1180" s="28">
        <v>1429</v>
      </c>
      <c r="C1180" s="28">
        <v>5671169</v>
      </c>
      <c r="D1180" s="28"/>
      <c r="E1180" s="45">
        <v>46158</v>
      </c>
      <c r="F1180" s="48">
        <v>6.2442129629629632E-2</v>
      </c>
      <c r="G1180" s="44">
        <v>6.3</v>
      </c>
      <c r="H1180" s="43" t="s">
        <v>1362</v>
      </c>
      <c r="I1180" s="40" t="s">
        <v>1365</v>
      </c>
    </row>
    <row r="1181" spans="1:9" x14ac:dyDescent="0.25">
      <c r="A1181" s="40" t="s">
        <v>76</v>
      </c>
      <c r="B1181" s="28">
        <v>1429</v>
      </c>
      <c r="C1181" s="28" t="s">
        <v>625</v>
      </c>
      <c r="D1181" s="28"/>
      <c r="E1181" s="45">
        <v>46159</v>
      </c>
      <c r="F1181" s="48">
        <v>1.9189814814814816E-2</v>
      </c>
      <c r="G1181" s="44">
        <v>6.3</v>
      </c>
      <c r="H1181" s="43" t="s">
        <v>1360</v>
      </c>
      <c r="I1181" s="40" t="s">
        <v>1365</v>
      </c>
    </row>
    <row r="1182" spans="1:9" x14ac:dyDescent="0.25">
      <c r="A1182" s="40" t="s">
        <v>76</v>
      </c>
      <c r="B1182" s="28">
        <v>1429</v>
      </c>
      <c r="C1182" s="28" t="s">
        <v>625</v>
      </c>
      <c r="D1182" s="28"/>
      <c r="E1182" s="41">
        <v>46159</v>
      </c>
      <c r="F1182" s="47">
        <v>2.5787037037037035E-2</v>
      </c>
      <c r="G1182" s="44">
        <v>6.3</v>
      </c>
      <c r="H1182" s="43" t="s">
        <v>1362</v>
      </c>
      <c r="I1182" s="40" t="s">
        <v>1365</v>
      </c>
    </row>
    <row r="1183" spans="1:9" x14ac:dyDescent="0.25">
      <c r="A1183" s="40" t="s">
        <v>76</v>
      </c>
      <c r="B1183" s="28">
        <v>1429</v>
      </c>
      <c r="C1183" s="28" t="s">
        <v>35</v>
      </c>
      <c r="D1183" s="28" t="s">
        <v>38</v>
      </c>
      <c r="E1183" s="41">
        <v>46159</v>
      </c>
      <c r="F1183" s="47">
        <v>0.90991898148148154</v>
      </c>
      <c r="G1183" s="44">
        <v>6.3</v>
      </c>
      <c r="H1183" s="43" t="s">
        <v>1360</v>
      </c>
      <c r="I1183" s="40" t="s">
        <v>1365</v>
      </c>
    </row>
    <row r="1184" spans="1:9" x14ac:dyDescent="0.25">
      <c r="A1184" s="40" t="s">
        <v>76</v>
      </c>
      <c r="B1184" s="28">
        <v>1429</v>
      </c>
      <c r="C1184" s="28" t="s">
        <v>35</v>
      </c>
      <c r="D1184" s="28" t="s">
        <v>38</v>
      </c>
      <c r="E1184" s="45">
        <v>46159</v>
      </c>
      <c r="F1184" s="48">
        <v>0.91680555555555554</v>
      </c>
      <c r="G1184" s="44">
        <v>6.3</v>
      </c>
      <c r="H1184" s="43" t="s">
        <v>1362</v>
      </c>
      <c r="I1184" s="40" t="s">
        <v>1365</v>
      </c>
    </row>
    <row r="1185" spans="1:9" x14ac:dyDescent="0.25">
      <c r="A1185" s="40" t="s">
        <v>405</v>
      </c>
      <c r="B1185" s="28">
        <v>1437</v>
      </c>
      <c r="C1185" s="28">
        <v>5668755</v>
      </c>
      <c r="D1185" s="28"/>
      <c r="E1185" s="45">
        <v>46156</v>
      </c>
      <c r="F1185" s="48">
        <v>0.71429398148148149</v>
      </c>
      <c r="G1185" s="44">
        <v>6.3</v>
      </c>
      <c r="H1185" s="43" t="s">
        <v>1360</v>
      </c>
      <c r="I1185" s="40" t="s">
        <v>1361</v>
      </c>
    </row>
    <row r="1186" spans="1:9" x14ac:dyDescent="0.25">
      <c r="A1186" s="40" t="s">
        <v>405</v>
      </c>
      <c r="B1186" s="28">
        <v>1437</v>
      </c>
      <c r="C1186" s="28">
        <v>5668755</v>
      </c>
      <c r="D1186" s="28"/>
      <c r="E1186" s="45">
        <v>46156</v>
      </c>
      <c r="F1186" s="48">
        <v>0.73237268518518517</v>
      </c>
      <c r="G1186" s="44">
        <v>6.3</v>
      </c>
      <c r="H1186" s="43" t="s">
        <v>1362</v>
      </c>
      <c r="I1186" s="40" t="s">
        <v>1361</v>
      </c>
    </row>
    <row r="1187" spans="1:9" x14ac:dyDescent="0.25">
      <c r="A1187" s="40" t="s">
        <v>405</v>
      </c>
      <c r="B1187" s="28">
        <v>1437</v>
      </c>
      <c r="C1187" s="28" t="s">
        <v>35</v>
      </c>
      <c r="D1187" s="28" t="s">
        <v>38</v>
      </c>
      <c r="E1187" s="41">
        <v>46156</v>
      </c>
      <c r="F1187" s="47">
        <v>0.76322916666666663</v>
      </c>
      <c r="G1187" s="44">
        <v>6.3</v>
      </c>
      <c r="H1187" s="43" t="s">
        <v>1363</v>
      </c>
      <c r="I1187" s="40" t="s">
        <v>1361</v>
      </c>
    </row>
    <row r="1188" spans="1:9" x14ac:dyDescent="0.25">
      <c r="A1188" s="40" t="s">
        <v>405</v>
      </c>
      <c r="B1188" s="28">
        <v>1437</v>
      </c>
      <c r="C1188" s="28" t="s">
        <v>35</v>
      </c>
      <c r="D1188" s="28" t="s">
        <v>38</v>
      </c>
      <c r="E1188" s="41">
        <v>46156</v>
      </c>
      <c r="F1188" s="47">
        <v>0.77834490740740736</v>
      </c>
      <c r="G1188" s="44">
        <v>6.3</v>
      </c>
      <c r="H1188" s="43" t="s">
        <v>1364</v>
      </c>
      <c r="I1188" s="40" t="s">
        <v>1361</v>
      </c>
    </row>
    <row r="1189" spans="1:9" x14ac:dyDescent="0.25">
      <c r="A1189" s="40" t="s">
        <v>405</v>
      </c>
      <c r="B1189" s="28">
        <v>1437</v>
      </c>
      <c r="C1189" s="28" t="s">
        <v>626</v>
      </c>
      <c r="D1189" s="28"/>
      <c r="E1189" s="41">
        <v>46158</v>
      </c>
      <c r="F1189" s="47">
        <v>0.51915509259259263</v>
      </c>
      <c r="G1189" s="44">
        <v>6.3</v>
      </c>
      <c r="H1189" s="43" t="s">
        <v>1360</v>
      </c>
      <c r="I1189" s="40" t="s">
        <v>1365</v>
      </c>
    </row>
    <row r="1190" spans="1:9" x14ac:dyDescent="0.25">
      <c r="A1190" s="40" t="s">
        <v>405</v>
      </c>
      <c r="B1190" s="28">
        <v>1437</v>
      </c>
      <c r="C1190" s="28" t="s">
        <v>626</v>
      </c>
      <c r="D1190" s="28"/>
      <c r="E1190" s="41">
        <v>46158</v>
      </c>
      <c r="F1190" s="47">
        <v>0.53214120370370366</v>
      </c>
      <c r="G1190" s="44">
        <v>6.3</v>
      </c>
      <c r="H1190" s="43" t="s">
        <v>1362</v>
      </c>
      <c r="I1190" s="40" t="s">
        <v>1365</v>
      </c>
    </row>
    <row r="1191" spans="1:9" x14ac:dyDescent="0.25">
      <c r="A1191" s="40" t="s">
        <v>406</v>
      </c>
      <c r="B1191" s="28">
        <v>1441</v>
      </c>
      <c r="C1191" s="28">
        <v>5664169</v>
      </c>
      <c r="D1191" s="28" t="s">
        <v>37</v>
      </c>
      <c r="E1191" s="41">
        <v>46154</v>
      </c>
      <c r="F1191" s="47">
        <v>5.6678240740740737E-2</v>
      </c>
      <c r="G1191" s="44">
        <v>6.3</v>
      </c>
      <c r="H1191" s="43" t="s">
        <v>1360</v>
      </c>
      <c r="I1191" s="40" t="s">
        <v>1361</v>
      </c>
    </row>
    <row r="1192" spans="1:9" x14ac:dyDescent="0.25">
      <c r="A1192" s="40" t="s">
        <v>406</v>
      </c>
      <c r="B1192" s="28">
        <v>1441</v>
      </c>
      <c r="C1192" s="28" t="s">
        <v>35</v>
      </c>
      <c r="D1192" s="28" t="s">
        <v>38</v>
      </c>
      <c r="E1192" s="41">
        <v>46154</v>
      </c>
      <c r="F1192" s="47">
        <v>8.7615740740740744E-2</v>
      </c>
      <c r="G1192" s="44">
        <v>6.3</v>
      </c>
      <c r="H1192" s="43" t="s">
        <v>1364</v>
      </c>
      <c r="I1192" s="40" t="s">
        <v>1361</v>
      </c>
    </row>
    <row r="1193" spans="1:9" x14ac:dyDescent="0.25">
      <c r="A1193" s="40" t="s">
        <v>406</v>
      </c>
      <c r="B1193" s="28">
        <v>1441</v>
      </c>
      <c r="C1193" s="28">
        <v>5669683</v>
      </c>
      <c r="D1193" s="28"/>
      <c r="E1193" s="41">
        <v>46157</v>
      </c>
      <c r="F1193" s="47">
        <v>0.77202546296296293</v>
      </c>
      <c r="G1193" s="44">
        <v>6.3</v>
      </c>
      <c r="H1193" s="43" t="s">
        <v>1360</v>
      </c>
      <c r="I1193" s="40" t="s">
        <v>1361</v>
      </c>
    </row>
    <row r="1194" spans="1:9" x14ac:dyDescent="0.25">
      <c r="A1194" s="40" t="s">
        <v>406</v>
      </c>
      <c r="B1194" s="28">
        <v>1441</v>
      </c>
      <c r="C1194" s="28">
        <v>5669683</v>
      </c>
      <c r="D1194" s="28"/>
      <c r="E1194" s="41">
        <v>46157</v>
      </c>
      <c r="F1194" s="47">
        <v>0.78417824074074072</v>
      </c>
      <c r="G1194" s="44">
        <v>6.3</v>
      </c>
      <c r="H1194" s="43" t="s">
        <v>1362</v>
      </c>
      <c r="I1194" s="40" t="s">
        <v>1361</v>
      </c>
    </row>
    <row r="1195" spans="1:9" x14ac:dyDescent="0.25">
      <c r="A1195" s="40" t="s">
        <v>406</v>
      </c>
      <c r="B1195" s="28">
        <v>1441</v>
      </c>
      <c r="C1195" s="28" t="s">
        <v>627</v>
      </c>
      <c r="D1195" s="28"/>
      <c r="E1195" s="41">
        <v>46158</v>
      </c>
      <c r="F1195" s="47">
        <v>0.71295138888888887</v>
      </c>
      <c r="G1195" s="44">
        <v>6.3</v>
      </c>
      <c r="H1195" s="43" t="s">
        <v>1360</v>
      </c>
      <c r="I1195" s="40" t="s">
        <v>1365</v>
      </c>
    </row>
    <row r="1196" spans="1:9" x14ac:dyDescent="0.25">
      <c r="A1196" s="40" t="s">
        <v>406</v>
      </c>
      <c r="B1196" s="28">
        <v>1441</v>
      </c>
      <c r="C1196" s="28" t="s">
        <v>627</v>
      </c>
      <c r="D1196" s="28"/>
      <c r="E1196" s="41">
        <v>46158</v>
      </c>
      <c r="F1196" s="47">
        <v>0.71960648148148143</v>
      </c>
      <c r="G1196" s="44">
        <v>6.3</v>
      </c>
      <c r="H1196" s="43" t="s">
        <v>1362</v>
      </c>
      <c r="I1196" s="40" t="s">
        <v>1365</v>
      </c>
    </row>
    <row r="1197" spans="1:9" x14ac:dyDescent="0.25">
      <c r="A1197" s="40" t="s">
        <v>406</v>
      </c>
      <c r="B1197" s="28">
        <v>1441</v>
      </c>
      <c r="C1197" s="28" t="s">
        <v>628</v>
      </c>
      <c r="D1197" s="28"/>
      <c r="E1197" s="41">
        <v>46158</v>
      </c>
      <c r="F1197" s="47">
        <v>0.96489583333333329</v>
      </c>
      <c r="G1197" s="44">
        <v>6.3</v>
      </c>
      <c r="H1197" s="43" t="s">
        <v>1360</v>
      </c>
      <c r="I1197" s="40" t="s">
        <v>1365</v>
      </c>
    </row>
    <row r="1198" spans="1:9" x14ac:dyDescent="0.25">
      <c r="A1198" s="40" t="s">
        <v>406</v>
      </c>
      <c r="B1198" s="28">
        <v>1441</v>
      </c>
      <c r="C1198" s="28" t="s">
        <v>628</v>
      </c>
      <c r="D1198" s="28"/>
      <c r="E1198" s="41">
        <v>46158</v>
      </c>
      <c r="F1198" s="47">
        <v>0.97193287037037035</v>
      </c>
      <c r="G1198" s="44">
        <v>6.3</v>
      </c>
      <c r="H1198" s="43" t="s">
        <v>1362</v>
      </c>
      <c r="I1198" s="40" t="s">
        <v>1365</v>
      </c>
    </row>
    <row r="1199" spans="1:9" x14ac:dyDescent="0.25">
      <c r="A1199" s="40" t="s">
        <v>406</v>
      </c>
      <c r="B1199" s="28">
        <v>1441</v>
      </c>
      <c r="C1199" s="28" t="s">
        <v>35</v>
      </c>
      <c r="D1199" s="28" t="s">
        <v>38</v>
      </c>
      <c r="E1199" s="41">
        <v>46158</v>
      </c>
      <c r="F1199" s="47">
        <v>0.98768518518518522</v>
      </c>
      <c r="G1199" s="44">
        <v>6.3</v>
      </c>
      <c r="H1199" s="43" t="s">
        <v>1363</v>
      </c>
      <c r="I1199" s="40" t="s">
        <v>1365</v>
      </c>
    </row>
    <row r="1200" spans="1:9" x14ac:dyDescent="0.25">
      <c r="A1200" s="40" t="s">
        <v>406</v>
      </c>
      <c r="B1200" s="28">
        <v>1441</v>
      </c>
      <c r="C1200" s="28" t="s">
        <v>35</v>
      </c>
      <c r="D1200" s="28" t="s">
        <v>38</v>
      </c>
      <c r="E1200" s="45">
        <v>46158</v>
      </c>
      <c r="F1200" s="48">
        <v>0.99438657407407405</v>
      </c>
      <c r="G1200" s="44">
        <v>6.3</v>
      </c>
      <c r="H1200" s="43" t="s">
        <v>1364</v>
      </c>
      <c r="I1200" s="40" t="s">
        <v>1365</v>
      </c>
    </row>
    <row r="1201" spans="1:9" x14ac:dyDescent="0.25">
      <c r="A1201" s="40" t="s">
        <v>406</v>
      </c>
      <c r="B1201" s="28">
        <v>1441</v>
      </c>
      <c r="C1201" s="28" t="s">
        <v>35</v>
      </c>
      <c r="D1201" s="28" t="s">
        <v>38</v>
      </c>
      <c r="E1201" s="41">
        <v>46159</v>
      </c>
      <c r="F1201" s="47">
        <v>0.48879629629629628</v>
      </c>
      <c r="G1201" s="44">
        <v>6.3</v>
      </c>
      <c r="H1201" s="43" t="s">
        <v>1360</v>
      </c>
      <c r="I1201" s="40" t="s">
        <v>1365</v>
      </c>
    </row>
    <row r="1202" spans="1:9" x14ac:dyDescent="0.25">
      <c r="A1202" s="40" t="s">
        <v>406</v>
      </c>
      <c r="B1202" s="28">
        <v>1441</v>
      </c>
      <c r="C1202" s="28" t="s">
        <v>35</v>
      </c>
      <c r="D1202" s="28" t="s">
        <v>38</v>
      </c>
      <c r="E1202" s="41">
        <v>46159</v>
      </c>
      <c r="F1202" s="47">
        <v>0.49538194444444444</v>
      </c>
      <c r="G1202" s="44">
        <v>6.3</v>
      </c>
      <c r="H1202" s="43" t="s">
        <v>1368</v>
      </c>
      <c r="I1202" s="40" t="s">
        <v>1365</v>
      </c>
    </row>
    <row r="1203" spans="1:9" x14ac:dyDescent="0.25">
      <c r="A1203" s="40" t="s">
        <v>406</v>
      </c>
      <c r="B1203" s="28">
        <v>1441</v>
      </c>
      <c r="C1203" s="28" t="s">
        <v>629</v>
      </c>
      <c r="D1203" s="28"/>
      <c r="E1203" s="41">
        <v>46159</v>
      </c>
      <c r="F1203" s="47">
        <v>0.62315972222222227</v>
      </c>
      <c r="G1203" s="44">
        <v>6.3</v>
      </c>
      <c r="H1203" s="43" t="s">
        <v>1360</v>
      </c>
      <c r="I1203" s="40" t="s">
        <v>1365</v>
      </c>
    </row>
    <row r="1204" spans="1:9" x14ac:dyDescent="0.25">
      <c r="A1204" s="40" t="s">
        <v>406</v>
      </c>
      <c r="B1204" s="28">
        <v>1441</v>
      </c>
      <c r="C1204" s="28" t="s">
        <v>629</v>
      </c>
      <c r="D1204" s="28"/>
      <c r="E1204" s="41">
        <v>46159</v>
      </c>
      <c r="F1204" s="47">
        <v>0.63048611111111108</v>
      </c>
      <c r="G1204" s="44">
        <v>6.3</v>
      </c>
      <c r="H1204" s="43" t="s">
        <v>1362</v>
      </c>
      <c r="I1204" s="40" t="s">
        <v>1365</v>
      </c>
    </row>
    <row r="1205" spans="1:9" x14ac:dyDescent="0.25">
      <c r="A1205" s="40" t="s">
        <v>77</v>
      </c>
      <c r="B1205" s="28">
        <v>1443</v>
      </c>
      <c r="C1205" s="28" t="s">
        <v>35</v>
      </c>
      <c r="D1205" s="28" t="s">
        <v>38</v>
      </c>
      <c r="E1205" s="41">
        <v>46153</v>
      </c>
      <c r="F1205" s="47">
        <v>0.18600694444444443</v>
      </c>
      <c r="G1205" s="44">
        <v>6.3</v>
      </c>
      <c r="H1205" s="43" t="s">
        <v>1363</v>
      </c>
      <c r="I1205" s="40" t="s">
        <v>1361</v>
      </c>
    </row>
    <row r="1206" spans="1:9" x14ac:dyDescent="0.25">
      <c r="A1206" s="40" t="s">
        <v>77</v>
      </c>
      <c r="B1206" s="28">
        <v>1443</v>
      </c>
      <c r="C1206" s="28" t="s">
        <v>35</v>
      </c>
      <c r="D1206" s="28" t="s">
        <v>38</v>
      </c>
      <c r="E1206" s="41">
        <v>46153</v>
      </c>
      <c r="F1206" s="47">
        <v>0.19075231481481481</v>
      </c>
      <c r="G1206" s="44">
        <v>6.3</v>
      </c>
      <c r="H1206" s="43" t="s">
        <v>1364</v>
      </c>
      <c r="I1206" s="40" t="s">
        <v>1361</v>
      </c>
    </row>
    <row r="1207" spans="1:9" x14ac:dyDescent="0.25">
      <c r="A1207" s="40" t="s">
        <v>77</v>
      </c>
      <c r="B1207" s="28">
        <v>1443</v>
      </c>
      <c r="C1207" s="28" t="s">
        <v>35</v>
      </c>
      <c r="D1207" s="28" t="s">
        <v>38</v>
      </c>
      <c r="E1207" s="41">
        <v>46153</v>
      </c>
      <c r="F1207" s="47">
        <v>0.9186805555555555</v>
      </c>
      <c r="G1207" s="44">
        <v>6.3</v>
      </c>
      <c r="H1207" s="43" t="s">
        <v>1363</v>
      </c>
      <c r="I1207" s="40" t="s">
        <v>1361</v>
      </c>
    </row>
    <row r="1208" spans="1:9" x14ac:dyDescent="0.25">
      <c r="A1208" s="40" t="s">
        <v>77</v>
      </c>
      <c r="B1208" s="28">
        <v>1443</v>
      </c>
      <c r="C1208" s="28" t="s">
        <v>35</v>
      </c>
      <c r="D1208" s="28" t="s">
        <v>38</v>
      </c>
      <c r="E1208" s="45">
        <v>46153</v>
      </c>
      <c r="F1208" s="48">
        <v>0.92415509259259254</v>
      </c>
      <c r="G1208" s="44">
        <v>6.3</v>
      </c>
      <c r="H1208" s="43" t="s">
        <v>1364</v>
      </c>
      <c r="I1208" s="40" t="s">
        <v>1361</v>
      </c>
    </row>
    <row r="1209" spans="1:9" x14ac:dyDescent="0.25">
      <c r="A1209" s="40" t="s">
        <v>77</v>
      </c>
      <c r="B1209" s="28">
        <v>1443</v>
      </c>
      <c r="C1209" s="28">
        <v>5664164</v>
      </c>
      <c r="D1209" s="28"/>
      <c r="E1209" s="41">
        <v>46154</v>
      </c>
      <c r="F1209" s="47">
        <v>5.4675925925925926E-2</v>
      </c>
      <c r="G1209" s="44">
        <v>6.3</v>
      </c>
      <c r="H1209" s="43" t="s">
        <v>1360</v>
      </c>
      <c r="I1209" s="40" t="s">
        <v>1361</v>
      </c>
    </row>
    <row r="1210" spans="1:9" x14ac:dyDescent="0.25">
      <c r="A1210" s="40" t="s">
        <v>77</v>
      </c>
      <c r="B1210" s="28">
        <v>1443</v>
      </c>
      <c r="C1210" s="28">
        <v>5664164</v>
      </c>
      <c r="D1210" s="28"/>
      <c r="E1210" s="41">
        <v>46154</v>
      </c>
      <c r="F1210" s="47">
        <v>6.1064814814814815E-2</v>
      </c>
      <c r="G1210" s="44">
        <v>6.3</v>
      </c>
      <c r="H1210" s="43" t="s">
        <v>1362</v>
      </c>
      <c r="I1210" s="40" t="s">
        <v>1361</v>
      </c>
    </row>
    <row r="1211" spans="1:9" x14ac:dyDescent="0.25">
      <c r="A1211" s="40" t="s">
        <v>77</v>
      </c>
      <c r="B1211" s="28">
        <v>1443</v>
      </c>
      <c r="C1211" s="28" t="s">
        <v>35</v>
      </c>
      <c r="D1211" s="28" t="s">
        <v>38</v>
      </c>
      <c r="E1211" s="41">
        <v>46154</v>
      </c>
      <c r="F1211" s="47">
        <v>6.9502314814814808E-2</v>
      </c>
      <c r="G1211" s="44">
        <v>6.3</v>
      </c>
      <c r="H1211" s="43" t="s">
        <v>1363</v>
      </c>
      <c r="I1211" s="40" t="s">
        <v>1361</v>
      </c>
    </row>
    <row r="1212" spans="1:9" x14ac:dyDescent="0.25">
      <c r="A1212" s="40" t="s">
        <v>77</v>
      </c>
      <c r="B1212" s="28">
        <v>1443</v>
      </c>
      <c r="C1212" s="28" t="s">
        <v>35</v>
      </c>
      <c r="D1212" s="28" t="s">
        <v>38</v>
      </c>
      <c r="E1212" s="41">
        <v>46154</v>
      </c>
      <c r="F1212" s="47">
        <v>7.4918981481481475E-2</v>
      </c>
      <c r="G1212" s="44">
        <v>6.3</v>
      </c>
      <c r="H1212" s="43" t="s">
        <v>1364</v>
      </c>
      <c r="I1212" s="40" t="s">
        <v>1361</v>
      </c>
    </row>
    <row r="1213" spans="1:9" x14ac:dyDescent="0.25">
      <c r="A1213" s="40" t="s">
        <v>77</v>
      </c>
      <c r="B1213" s="28">
        <v>1443</v>
      </c>
      <c r="C1213" s="28">
        <v>5666434</v>
      </c>
      <c r="D1213" s="28" t="s">
        <v>36</v>
      </c>
      <c r="E1213" s="41">
        <v>46157</v>
      </c>
      <c r="F1213" s="47">
        <v>0.84552083333333339</v>
      </c>
      <c r="G1213" s="44">
        <v>6.3</v>
      </c>
      <c r="H1213" s="43" t="s">
        <v>1363</v>
      </c>
      <c r="I1213" s="40" t="s">
        <v>1361</v>
      </c>
    </row>
    <row r="1214" spans="1:9" x14ac:dyDescent="0.25">
      <c r="A1214" s="40" t="s">
        <v>77</v>
      </c>
      <c r="B1214" s="28">
        <v>1443</v>
      </c>
      <c r="C1214" s="28">
        <v>5666434</v>
      </c>
      <c r="D1214" s="28" t="s">
        <v>36</v>
      </c>
      <c r="E1214" s="41">
        <v>46157</v>
      </c>
      <c r="F1214" s="47">
        <v>0.86144675925925929</v>
      </c>
      <c r="G1214" s="42">
        <v>6.3</v>
      </c>
      <c r="H1214" s="40" t="s">
        <v>1364</v>
      </c>
      <c r="I1214" s="40" t="s">
        <v>1361</v>
      </c>
    </row>
    <row r="1215" spans="1:9" x14ac:dyDescent="0.25">
      <c r="A1215" s="40" t="s">
        <v>77</v>
      </c>
      <c r="B1215" s="28">
        <v>1443</v>
      </c>
      <c r="C1215" s="28">
        <v>5672542</v>
      </c>
      <c r="D1215" s="28"/>
      <c r="E1215" s="45">
        <v>46159</v>
      </c>
      <c r="F1215" s="48">
        <v>0.92245370370370372</v>
      </c>
      <c r="G1215" s="42">
        <v>6.3</v>
      </c>
      <c r="H1215" s="40" t="s">
        <v>1360</v>
      </c>
      <c r="I1215" s="40" t="s">
        <v>1365</v>
      </c>
    </row>
    <row r="1216" spans="1:9" x14ac:dyDescent="0.25">
      <c r="A1216" s="40" t="s">
        <v>77</v>
      </c>
      <c r="B1216" s="28">
        <v>1443</v>
      </c>
      <c r="C1216" s="28">
        <v>5672542</v>
      </c>
      <c r="D1216" s="28"/>
      <c r="E1216" s="41">
        <v>46159</v>
      </c>
      <c r="F1216" s="47">
        <v>0.9287037037037037</v>
      </c>
      <c r="G1216" s="44">
        <v>6.3</v>
      </c>
      <c r="H1216" s="43" t="s">
        <v>1362</v>
      </c>
      <c r="I1216" s="40" t="s">
        <v>1365</v>
      </c>
    </row>
    <row r="1217" spans="1:9" x14ac:dyDescent="0.25">
      <c r="A1217" s="40" t="s">
        <v>223</v>
      </c>
      <c r="B1217" s="28">
        <v>1445</v>
      </c>
      <c r="C1217" s="28" t="s">
        <v>630</v>
      </c>
      <c r="D1217" s="28"/>
      <c r="E1217" s="41">
        <v>46153</v>
      </c>
      <c r="F1217" s="47">
        <v>0.80439814814814814</v>
      </c>
      <c r="G1217" s="44">
        <v>6.3</v>
      </c>
      <c r="H1217" s="43" t="s">
        <v>1360</v>
      </c>
      <c r="I1217" s="40" t="s">
        <v>1361</v>
      </c>
    </row>
    <row r="1218" spans="1:9" x14ac:dyDescent="0.25">
      <c r="A1218" s="40" t="s">
        <v>223</v>
      </c>
      <c r="B1218" s="28">
        <v>1445</v>
      </c>
      <c r="C1218" s="28" t="s">
        <v>630</v>
      </c>
      <c r="D1218" s="28"/>
      <c r="E1218" s="41">
        <v>46153</v>
      </c>
      <c r="F1218" s="47">
        <v>0.81475694444444446</v>
      </c>
      <c r="G1218" s="44">
        <v>6.3</v>
      </c>
      <c r="H1218" s="43" t="s">
        <v>1362</v>
      </c>
      <c r="I1218" s="40" t="s">
        <v>1361</v>
      </c>
    </row>
    <row r="1219" spans="1:9" x14ac:dyDescent="0.25">
      <c r="A1219" s="40" t="s">
        <v>223</v>
      </c>
      <c r="B1219" s="28">
        <v>1445</v>
      </c>
      <c r="C1219" s="28" t="s">
        <v>35</v>
      </c>
      <c r="D1219" s="28" t="s">
        <v>38</v>
      </c>
      <c r="E1219" s="41">
        <v>46153</v>
      </c>
      <c r="F1219" s="47">
        <v>0.85159722222222223</v>
      </c>
      <c r="G1219" s="44">
        <v>6.3</v>
      </c>
      <c r="H1219" s="43" t="s">
        <v>1363</v>
      </c>
      <c r="I1219" s="40" t="s">
        <v>1361</v>
      </c>
    </row>
    <row r="1220" spans="1:9" x14ac:dyDescent="0.25">
      <c r="A1220" s="40" t="s">
        <v>223</v>
      </c>
      <c r="B1220" s="28">
        <v>1445</v>
      </c>
      <c r="C1220" s="28" t="s">
        <v>35</v>
      </c>
      <c r="D1220" s="28" t="s">
        <v>38</v>
      </c>
      <c r="E1220" s="41">
        <v>46154</v>
      </c>
      <c r="F1220" s="47">
        <v>0.37594907407407407</v>
      </c>
      <c r="G1220" s="44">
        <v>6.3</v>
      </c>
      <c r="H1220" s="43" t="s">
        <v>1364</v>
      </c>
      <c r="I1220" s="40" t="s">
        <v>1361</v>
      </c>
    </row>
    <row r="1221" spans="1:9" x14ac:dyDescent="0.25">
      <c r="A1221" s="40" t="s">
        <v>223</v>
      </c>
      <c r="B1221" s="28">
        <v>1445</v>
      </c>
      <c r="C1221" s="28">
        <v>5664606</v>
      </c>
      <c r="D1221" s="28"/>
      <c r="E1221" s="45">
        <v>46154</v>
      </c>
      <c r="F1221" s="48">
        <v>0.48641203703703706</v>
      </c>
      <c r="G1221" s="44">
        <v>6.3</v>
      </c>
      <c r="H1221" s="43" t="s">
        <v>1360</v>
      </c>
      <c r="I1221" s="40" t="s">
        <v>1361</v>
      </c>
    </row>
    <row r="1222" spans="1:9" x14ac:dyDescent="0.25">
      <c r="A1222" s="40" t="s">
        <v>223</v>
      </c>
      <c r="B1222" s="28">
        <v>1445</v>
      </c>
      <c r="C1222" s="28" t="s">
        <v>35</v>
      </c>
      <c r="D1222" s="28" t="s">
        <v>38</v>
      </c>
      <c r="E1222" s="41">
        <v>46154</v>
      </c>
      <c r="F1222" s="47">
        <v>0.51700231481481485</v>
      </c>
      <c r="G1222" s="44">
        <v>6.3</v>
      </c>
      <c r="H1222" s="43" t="s">
        <v>1363</v>
      </c>
      <c r="I1222" s="40" t="s">
        <v>1361</v>
      </c>
    </row>
    <row r="1223" spans="1:9" x14ac:dyDescent="0.25">
      <c r="A1223" s="40" t="s">
        <v>223</v>
      </c>
      <c r="B1223" s="28">
        <v>1445</v>
      </c>
      <c r="C1223" s="28" t="s">
        <v>35</v>
      </c>
      <c r="D1223" s="28" t="s">
        <v>38</v>
      </c>
      <c r="E1223" s="41">
        <v>46154</v>
      </c>
      <c r="F1223" s="47">
        <v>0.53571759259259255</v>
      </c>
      <c r="G1223" s="44">
        <v>6.3</v>
      </c>
      <c r="H1223" s="43" t="s">
        <v>1364</v>
      </c>
      <c r="I1223" s="40" t="s">
        <v>1361</v>
      </c>
    </row>
    <row r="1224" spans="1:9" x14ac:dyDescent="0.25">
      <c r="A1224" s="40" t="s">
        <v>223</v>
      </c>
      <c r="B1224" s="28">
        <v>1445</v>
      </c>
      <c r="C1224" s="28" t="s">
        <v>35</v>
      </c>
      <c r="D1224" s="28" t="s">
        <v>38</v>
      </c>
      <c r="E1224" s="41">
        <v>46156</v>
      </c>
      <c r="F1224" s="47">
        <v>0.37884259259259262</v>
      </c>
      <c r="G1224" s="44">
        <v>6.3</v>
      </c>
      <c r="H1224" s="43" t="s">
        <v>1364</v>
      </c>
      <c r="I1224" s="40" t="s">
        <v>1361</v>
      </c>
    </row>
    <row r="1225" spans="1:9" x14ac:dyDescent="0.25">
      <c r="A1225" s="40" t="s">
        <v>223</v>
      </c>
      <c r="B1225" s="28">
        <v>1445</v>
      </c>
      <c r="C1225" s="28">
        <v>5668756</v>
      </c>
      <c r="D1225" s="28"/>
      <c r="E1225" s="41">
        <v>46156</v>
      </c>
      <c r="F1225" s="47">
        <v>0.71456018518518516</v>
      </c>
      <c r="G1225" s="44">
        <v>6.3</v>
      </c>
      <c r="H1225" s="43" t="s">
        <v>1360</v>
      </c>
      <c r="I1225" s="40" t="s">
        <v>1361</v>
      </c>
    </row>
    <row r="1226" spans="1:9" x14ac:dyDescent="0.25">
      <c r="A1226" s="40" t="s">
        <v>223</v>
      </c>
      <c r="B1226" s="28">
        <v>1445</v>
      </c>
      <c r="C1226" s="28">
        <v>5668756</v>
      </c>
      <c r="D1226" s="28"/>
      <c r="E1226" s="41">
        <v>46156</v>
      </c>
      <c r="F1226" s="47">
        <v>0.73127314814814814</v>
      </c>
      <c r="G1226" s="44">
        <v>6.3</v>
      </c>
      <c r="H1226" s="43" t="s">
        <v>1362</v>
      </c>
      <c r="I1226" s="40" t="s">
        <v>1361</v>
      </c>
    </row>
    <row r="1227" spans="1:9" x14ac:dyDescent="0.25">
      <c r="A1227" s="40" t="s">
        <v>223</v>
      </c>
      <c r="B1227" s="28">
        <v>1445</v>
      </c>
      <c r="C1227" s="28">
        <v>5667977</v>
      </c>
      <c r="D1227" s="28"/>
      <c r="E1227" s="41">
        <v>46156</v>
      </c>
      <c r="F1227" s="47">
        <v>0.88402777777777775</v>
      </c>
      <c r="G1227" s="44">
        <v>6.3</v>
      </c>
      <c r="H1227" s="43" t="s">
        <v>1360</v>
      </c>
      <c r="I1227" s="40" t="s">
        <v>1361</v>
      </c>
    </row>
    <row r="1228" spans="1:9" x14ac:dyDescent="0.25">
      <c r="A1228" s="40" t="s">
        <v>223</v>
      </c>
      <c r="B1228" s="28">
        <v>1445</v>
      </c>
      <c r="C1228" s="28">
        <v>5667977</v>
      </c>
      <c r="D1228" s="28"/>
      <c r="E1228" s="45">
        <v>46156</v>
      </c>
      <c r="F1228" s="48">
        <v>0.89045138888888886</v>
      </c>
      <c r="G1228" s="44">
        <v>6.3</v>
      </c>
      <c r="H1228" s="43" t="s">
        <v>1362</v>
      </c>
      <c r="I1228" s="40" t="s">
        <v>1361</v>
      </c>
    </row>
    <row r="1229" spans="1:9" x14ac:dyDescent="0.25">
      <c r="A1229" s="40" t="s">
        <v>223</v>
      </c>
      <c r="B1229" s="28">
        <v>1445</v>
      </c>
      <c r="C1229" s="28" t="s">
        <v>35</v>
      </c>
      <c r="D1229" s="28" t="s">
        <v>38</v>
      </c>
      <c r="E1229" s="41">
        <v>46156</v>
      </c>
      <c r="F1229" s="47">
        <v>0.92600694444444442</v>
      </c>
      <c r="G1229" s="44">
        <v>6.3</v>
      </c>
      <c r="H1229" s="43" t="s">
        <v>1363</v>
      </c>
      <c r="I1229" s="40" t="s">
        <v>1361</v>
      </c>
    </row>
    <row r="1230" spans="1:9" x14ac:dyDescent="0.25">
      <c r="A1230" s="40" t="s">
        <v>223</v>
      </c>
      <c r="B1230" s="28">
        <v>1445</v>
      </c>
      <c r="C1230" s="28" t="s">
        <v>35</v>
      </c>
      <c r="D1230" s="28" t="s">
        <v>38</v>
      </c>
      <c r="E1230" s="41">
        <v>46156</v>
      </c>
      <c r="F1230" s="47">
        <v>0.93244212962962958</v>
      </c>
      <c r="G1230" s="44">
        <v>6.3</v>
      </c>
      <c r="H1230" s="43" t="s">
        <v>1364</v>
      </c>
      <c r="I1230" s="40" t="s">
        <v>1361</v>
      </c>
    </row>
    <row r="1231" spans="1:9" x14ac:dyDescent="0.25">
      <c r="A1231" s="40" t="s">
        <v>223</v>
      </c>
      <c r="B1231" s="28">
        <v>1445</v>
      </c>
      <c r="C1231" s="28">
        <v>5668924</v>
      </c>
      <c r="D1231" s="28" t="s">
        <v>37</v>
      </c>
      <c r="E1231" s="41">
        <v>46157</v>
      </c>
      <c r="F1231" s="47">
        <v>0.17067129629629629</v>
      </c>
      <c r="G1231" s="44">
        <v>6.3</v>
      </c>
      <c r="H1231" s="43" t="s">
        <v>1369</v>
      </c>
      <c r="I1231" s="40" t="s">
        <v>1361</v>
      </c>
    </row>
    <row r="1232" spans="1:9" x14ac:dyDescent="0.25">
      <c r="A1232" s="40" t="s">
        <v>223</v>
      </c>
      <c r="B1232" s="28">
        <v>1445</v>
      </c>
      <c r="C1232" s="28">
        <v>5668924</v>
      </c>
      <c r="D1232" s="28" t="s">
        <v>37</v>
      </c>
      <c r="E1232" s="41">
        <v>46157</v>
      </c>
      <c r="F1232" s="47">
        <v>0.17577546296296295</v>
      </c>
      <c r="G1232" s="44">
        <v>6.3</v>
      </c>
      <c r="H1232" s="43" t="s">
        <v>1364</v>
      </c>
      <c r="I1232" s="40" t="s">
        <v>1361</v>
      </c>
    </row>
    <row r="1233" spans="1:9" x14ac:dyDescent="0.25">
      <c r="A1233" s="40" t="s">
        <v>223</v>
      </c>
      <c r="B1233" s="28">
        <v>1445</v>
      </c>
      <c r="C1233" s="28" t="s">
        <v>35</v>
      </c>
      <c r="D1233" s="28" t="s">
        <v>38</v>
      </c>
      <c r="E1233" s="41">
        <v>46157</v>
      </c>
      <c r="F1233" s="47">
        <v>0.48280092592592594</v>
      </c>
      <c r="G1233" s="44">
        <v>6.3</v>
      </c>
      <c r="H1233" s="43" t="s">
        <v>1360</v>
      </c>
      <c r="I1233" s="40" t="s">
        <v>1361</v>
      </c>
    </row>
    <row r="1234" spans="1:9" x14ac:dyDescent="0.25">
      <c r="A1234" s="40" t="s">
        <v>223</v>
      </c>
      <c r="B1234" s="28">
        <v>1445</v>
      </c>
      <c r="C1234" s="28" t="s">
        <v>35</v>
      </c>
      <c r="D1234" s="28" t="s">
        <v>38</v>
      </c>
      <c r="E1234" s="41">
        <v>46157</v>
      </c>
      <c r="F1234" s="47">
        <v>0.49266203703703704</v>
      </c>
      <c r="G1234" s="44">
        <v>6.3</v>
      </c>
      <c r="H1234" s="43" t="s">
        <v>1362</v>
      </c>
      <c r="I1234" s="40" t="s">
        <v>1361</v>
      </c>
    </row>
    <row r="1235" spans="1:9" x14ac:dyDescent="0.25">
      <c r="A1235" s="40" t="s">
        <v>223</v>
      </c>
      <c r="B1235" s="28">
        <v>1445</v>
      </c>
      <c r="C1235" s="28" t="s">
        <v>631</v>
      </c>
      <c r="D1235" s="28"/>
      <c r="E1235" s="41">
        <v>46157</v>
      </c>
      <c r="F1235" s="47">
        <v>0.99817129629629631</v>
      </c>
      <c r="G1235" s="44">
        <v>6.3</v>
      </c>
      <c r="H1235" s="43" t="s">
        <v>1360</v>
      </c>
      <c r="I1235" s="40" t="s">
        <v>1365</v>
      </c>
    </row>
    <row r="1236" spans="1:9" x14ac:dyDescent="0.25">
      <c r="A1236" s="40" t="s">
        <v>223</v>
      </c>
      <c r="B1236" s="28">
        <v>1445</v>
      </c>
      <c r="C1236" s="28" t="s">
        <v>631</v>
      </c>
      <c r="D1236" s="28"/>
      <c r="E1236" s="41">
        <v>46158</v>
      </c>
      <c r="F1236" s="47">
        <v>4.2476851851851851E-3</v>
      </c>
      <c r="G1236" s="44">
        <v>6.3</v>
      </c>
      <c r="H1236" s="43" t="s">
        <v>1368</v>
      </c>
      <c r="I1236" s="40" t="s">
        <v>1365</v>
      </c>
    </row>
    <row r="1237" spans="1:9" x14ac:dyDescent="0.25">
      <c r="A1237" s="40" t="s">
        <v>223</v>
      </c>
      <c r="B1237" s="28">
        <v>1445</v>
      </c>
      <c r="C1237" s="28" t="s">
        <v>35</v>
      </c>
      <c r="D1237" s="28" t="s">
        <v>38</v>
      </c>
      <c r="E1237" s="41">
        <v>46158</v>
      </c>
      <c r="F1237" s="47">
        <v>2.5914351851851852E-2</v>
      </c>
      <c r="G1237" s="44">
        <v>6.3</v>
      </c>
      <c r="H1237" s="43" t="s">
        <v>1369</v>
      </c>
      <c r="I1237" s="40" t="s">
        <v>1365</v>
      </c>
    </row>
    <row r="1238" spans="1:9" x14ac:dyDescent="0.25">
      <c r="A1238" s="40" t="s">
        <v>223</v>
      </c>
      <c r="B1238" s="28">
        <v>1445</v>
      </c>
      <c r="C1238" s="28" t="s">
        <v>35</v>
      </c>
      <c r="D1238" s="28" t="s">
        <v>38</v>
      </c>
      <c r="E1238" s="41">
        <v>46158</v>
      </c>
      <c r="F1238" s="47">
        <v>0.3988888888888889</v>
      </c>
      <c r="G1238" s="44">
        <v>6.3</v>
      </c>
      <c r="H1238" s="43" t="s">
        <v>1364</v>
      </c>
      <c r="I1238" s="40" t="s">
        <v>1365</v>
      </c>
    </row>
    <row r="1239" spans="1:9" x14ac:dyDescent="0.25">
      <c r="A1239" s="40" t="s">
        <v>223</v>
      </c>
      <c r="B1239" s="28">
        <v>1445</v>
      </c>
      <c r="C1239" s="28" t="s">
        <v>632</v>
      </c>
      <c r="D1239" s="28"/>
      <c r="E1239" s="41">
        <v>46158</v>
      </c>
      <c r="F1239" s="47">
        <v>0.64953703703703702</v>
      </c>
      <c r="G1239" s="44">
        <v>6.3</v>
      </c>
      <c r="H1239" s="43" t="s">
        <v>1360</v>
      </c>
      <c r="I1239" s="40" t="s">
        <v>1365</v>
      </c>
    </row>
    <row r="1240" spans="1:9" x14ac:dyDescent="0.25">
      <c r="A1240" s="40" t="s">
        <v>223</v>
      </c>
      <c r="B1240" s="28">
        <v>1445</v>
      </c>
      <c r="C1240" s="28" t="s">
        <v>632</v>
      </c>
      <c r="D1240" s="28"/>
      <c r="E1240" s="41">
        <v>46158</v>
      </c>
      <c r="F1240" s="47">
        <v>0.65994212962962961</v>
      </c>
      <c r="G1240" s="44">
        <v>6.3</v>
      </c>
      <c r="H1240" s="43" t="s">
        <v>1362</v>
      </c>
      <c r="I1240" s="40" t="s">
        <v>1365</v>
      </c>
    </row>
    <row r="1241" spans="1:9" x14ac:dyDescent="0.25">
      <c r="A1241" s="40" t="s">
        <v>223</v>
      </c>
      <c r="B1241" s="28">
        <v>1445</v>
      </c>
      <c r="C1241" s="28">
        <v>5671714</v>
      </c>
      <c r="D1241" s="28"/>
      <c r="E1241" s="41">
        <v>46158</v>
      </c>
      <c r="F1241" s="47">
        <v>0.70245370370370375</v>
      </c>
      <c r="G1241" s="44">
        <v>6.3</v>
      </c>
      <c r="H1241" s="43" t="s">
        <v>1363</v>
      </c>
      <c r="I1241" s="40" t="s">
        <v>1365</v>
      </c>
    </row>
    <row r="1242" spans="1:9" x14ac:dyDescent="0.25">
      <c r="A1242" s="40" t="s">
        <v>223</v>
      </c>
      <c r="B1242" s="28">
        <v>1445</v>
      </c>
      <c r="C1242" s="28">
        <v>5671714</v>
      </c>
      <c r="D1242" s="28"/>
      <c r="E1242" s="41">
        <v>46158</v>
      </c>
      <c r="F1242" s="47">
        <v>0.71913194444444439</v>
      </c>
      <c r="G1242" s="44">
        <v>6.3</v>
      </c>
      <c r="H1242" s="43" t="s">
        <v>1364</v>
      </c>
      <c r="I1242" s="40" t="s">
        <v>1365</v>
      </c>
    </row>
    <row r="1243" spans="1:9" x14ac:dyDescent="0.25">
      <c r="A1243" s="40" t="s">
        <v>223</v>
      </c>
      <c r="B1243" s="28">
        <v>1445</v>
      </c>
      <c r="C1243" s="28" t="s">
        <v>35</v>
      </c>
      <c r="D1243" s="28" t="s">
        <v>38</v>
      </c>
      <c r="E1243" s="41">
        <v>46159</v>
      </c>
      <c r="F1243" s="47">
        <v>0.82658564814814817</v>
      </c>
      <c r="G1243" s="44">
        <v>6.3</v>
      </c>
      <c r="H1243" s="43" t="s">
        <v>1363</v>
      </c>
      <c r="I1243" s="40" t="s">
        <v>1365</v>
      </c>
    </row>
    <row r="1244" spans="1:9" x14ac:dyDescent="0.25">
      <c r="A1244" s="40" t="s">
        <v>78</v>
      </c>
      <c r="B1244" s="28">
        <v>1447</v>
      </c>
      <c r="C1244" s="28">
        <v>5669111</v>
      </c>
      <c r="D1244" s="28"/>
      <c r="E1244" s="41">
        <v>46156</v>
      </c>
      <c r="F1244" s="47">
        <v>0.84702546296296299</v>
      </c>
      <c r="G1244" s="44">
        <v>6.3</v>
      </c>
      <c r="H1244" s="43" t="s">
        <v>1360</v>
      </c>
      <c r="I1244" s="40" t="s">
        <v>1361</v>
      </c>
    </row>
    <row r="1245" spans="1:9" x14ac:dyDescent="0.25">
      <c r="A1245" s="40" t="s">
        <v>78</v>
      </c>
      <c r="B1245" s="28">
        <v>1447</v>
      </c>
      <c r="C1245" s="28">
        <v>5669111</v>
      </c>
      <c r="D1245" s="28"/>
      <c r="E1245" s="41">
        <v>46156</v>
      </c>
      <c r="F1245" s="47">
        <v>0.8550578703703704</v>
      </c>
      <c r="G1245" s="44">
        <v>6.3</v>
      </c>
      <c r="H1245" s="43" t="s">
        <v>1362</v>
      </c>
      <c r="I1245" s="40" t="s">
        <v>1361</v>
      </c>
    </row>
    <row r="1246" spans="1:9" x14ac:dyDescent="0.25">
      <c r="A1246" s="40" t="s">
        <v>78</v>
      </c>
      <c r="B1246" s="28">
        <v>1447</v>
      </c>
      <c r="C1246" s="28" t="s">
        <v>35</v>
      </c>
      <c r="D1246" s="28" t="s">
        <v>38</v>
      </c>
      <c r="E1246" s="41">
        <v>46156</v>
      </c>
      <c r="F1246" s="47">
        <v>0.88598379629629631</v>
      </c>
      <c r="G1246" s="44">
        <v>6.3</v>
      </c>
      <c r="H1246" s="43" t="s">
        <v>1369</v>
      </c>
      <c r="I1246" s="40" t="s">
        <v>1361</v>
      </c>
    </row>
    <row r="1247" spans="1:9" x14ac:dyDescent="0.25">
      <c r="A1247" s="40" t="s">
        <v>78</v>
      </c>
      <c r="B1247" s="28">
        <v>1447</v>
      </c>
      <c r="C1247" s="28" t="s">
        <v>35</v>
      </c>
      <c r="D1247" s="28" t="s">
        <v>38</v>
      </c>
      <c r="E1247" s="41">
        <v>46156</v>
      </c>
      <c r="F1247" s="47">
        <v>0.89557870370370374</v>
      </c>
      <c r="G1247" s="44">
        <v>6.3</v>
      </c>
      <c r="H1247" s="43" t="s">
        <v>1364</v>
      </c>
      <c r="I1247" s="40" t="s">
        <v>1361</v>
      </c>
    </row>
    <row r="1248" spans="1:9" x14ac:dyDescent="0.25">
      <c r="A1248" s="40" t="s">
        <v>78</v>
      </c>
      <c r="B1248" s="28">
        <v>1447</v>
      </c>
      <c r="C1248" s="28">
        <v>5669390</v>
      </c>
      <c r="D1248" s="28"/>
      <c r="E1248" s="41">
        <v>46157</v>
      </c>
      <c r="F1248" s="47">
        <v>8.8425925925925929E-3</v>
      </c>
      <c r="G1248" s="44">
        <v>6.3</v>
      </c>
      <c r="H1248" s="43" t="s">
        <v>1360</v>
      </c>
      <c r="I1248" s="40" t="s">
        <v>1361</v>
      </c>
    </row>
    <row r="1249" spans="1:9" x14ac:dyDescent="0.25">
      <c r="A1249" s="40" t="s">
        <v>78</v>
      </c>
      <c r="B1249" s="28">
        <v>1447</v>
      </c>
      <c r="C1249" s="28">
        <v>5669390</v>
      </c>
      <c r="D1249" s="28"/>
      <c r="E1249" s="41">
        <v>46157</v>
      </c>
      <c r="F1249" s="47">
        <v>1.6493055555555556E-2</v>
      </c>
      <c r="G1249" s="44">
        <v>6.3</v>
      </c>
      <c r="H1249" s="43" t="s">
        <v>1368</v>
      </c>
      <c r="I1249" s="40" t="s">
        <v>1361</v>
      </c>
    </row>
    <row r="1250" spans="1:9" x14ac:dyDescent="0.25">
      <c r="A1250" s="40" t="s">
        <v>78</v>
      </c>
      <c r="B1250" s="28">
        <v>1447</v>
      </c>
      <c r="C1250" s="28" t="s">
        <v>35</v>
      </c>
      <c r="D1250" s="28" t="s">
        <v>38</v>
      </c>
      <c r="E1250" s="41">
        <v>46157</v>
      </c>
      <c r="F1250" s="47">
        <v>5.2499999999999998E-2</v>
      </c>
      <c r="G1250" s="44">
        <v>6.3</v>
      </c>
      <c r="H1250" s="43" t="s">
        <v>1370</v>
      </c>
      <c r="I1250" s="40" t="s">
        <v>1361</v>
      </c>
    </row>
    <row r="1251" spans="1:9" x14ac:dyDescent="0.25">
      <c r="A1251" s="40" t="s">
        <v>78</v>
      </c>
      <c r="B1251" s="28">
        <v>1447</v>
      </c>
      <c r="C1251" s="28">
        <v>5670743</v>
      </c>
      <c r="D1251" s="28"/>
      <c r="E1251" s="41">
        <v>46157</v>
      </c>
      <c r="F1251" s="47">
        <v>0.90346064814814819</v>
      </c>
      <c r="G1251" s="44">
        <v>6.3</v>
      </c>
      <c r="H1251" s="43" t="s">
        <v>1360</v>
      </c>
      <c r="I1251" s="40" t="s">
        <v>1361</v>
      </c>
    </row>
    <row r="1252" spans="1:9" x14ac:dyDescent="0.25">
      <c r="A1252" s="40" t="s">
        <v>78</v>
      </c>
      <c r="B1252" s="28">
        <v>1447</v>
      </c>
      <c r="C1252" s="28">
        <v>5670743</v>
      </c>
      <c r="D1252" s="28"/>
      <c r="E1252" s="45">
        <v>46157</v>
      </c>
      <c r="F1252" s="48">
        <v>0.91118055555555555</v>
      </c>
      <c r="G1252" s="44">
        <v>6.3</v>
      </c>
      <c r="H1252" s="43" t="s">
        <v>1362</v>
      </c>
      <c r="I1252" s="40" t="s">
        <v>1361</v>
      </c>
    </row>
    <row r="1253" spans="1:9" x14ac:dyDescent="0.25">
      <c r="A1253" s="40" t="s">
        <v>78</v>
      </c>
      <c r="B1253" s="28">
        <v>1447</v>
      </c>
      <c r="C1253" s="28" t="s">
        <v>35</v>
      </c>
      <c r="D1253" s="28" t="s">
        <v>38</v>
      </c>
      <c r="E1253" s="41">
        <v>46157</v>
      </c>
      <c r="F1253" s="47">
        <v>0.92663194444444441</v>
      </c>
      <c r="G1253" s="44">
        <v>6.3</v>
      </c>
      <c r="H1253" s="43" t="s">
        <v>1363</v>
      </c>
      <c r="I1253" s="40" t="s">
        <v>1361</v>
      </c>
    </row>
    <row r="1254" spans="1:9" x14ac:dyDescent="0.25">
      <c r="A1254" s="40" t="s">
        <v>78</v>
      </c>
      <c r="B1254" s="28">
        <v>1447</v>
      </c>
      <c r="C1254" s="28" t="s">
        <v>35</v>
      </c>
      <c r="D1254" s="28" t="s">
        <v>38</v>
      </c>
      <c r="E1254" s="41">
        <v>46157</v>
      </c>
      <c r="F1254" s="47">
        <v>0.93184027777777778</v>
      </c>
      <c r="G1254" s="44">
        <v>6.3</v>
      </c>
      <c r="H1254" s="43" t="s">
        <v>1364</v>
      </c>
      <c r="I1254" s="40" t="s">
        <v>1361</v>
      </c>
    </row>
    <row r="1255" spans="1:9" x14ac:dyDescent="0.25">
      <c r="A1255" s="40" t="s">
        <v>78</v>
      </c>
      <c r="B1255" s="28">
        <v>1447</v>
      </c>
      <c r="C1255" s="28">
        <v>5671076</v>
      </c>
      <c r="D1255" s="28"/>
      <c r="E1255" s="45">
        <v>46157</v>
      </c>
      <c r="F1255" s="48">
        <v>0.96725694444444443</v>
      </c>
      <c r="G1255" s="44">
        <v>6.3</v>
      </c>
      <c r="H1255" s="43" t="s">
        <v>1360</v>
      </c>
      <c r="I1255" s="40" t="s">
        <v>1361</v>
      </c>
    </row>
    <row r="1256" spans="1:9" x14ac:dyDescent="0.25">
      <c r="A1256" s="40" t="s">
        <v>78</v>
      </c>
      <c r="B1256" s="28">
        <v>1447</v>
      </c>
      <c r="C1256" s="28">
        <v>5671076</v>
      </c>
      <c r="D1256" s="28"/>
      <c r="E1256" s="41">
        <v>46157</v>
      </c>
      <c r="F1256" s="47">
        <v>0.97670138888888891</v>
      </c>
      <c r="G1256" s="44">
        <v>6.3</v>
      </c>
      <c r="H1256" s="43" t="s">
        <v>1362</v>
      </c>
      <c r="I1256" s="40" t="s">
        <v>1361</v>
      </c>
    </row>
    <row r="1257" spans="1:9" x14ac:dyDescent="0.25">
      <c r="A1257" s="40" t="s">
        <v>78</v>
      </c>
      <c r="B1257" s="28">
        <v>1447</v>
      </c>
      <c r="C1257" s="28" t="s">
        <v>35</v>
      </c>
      <c r="D1257" s="28" t="s">
        <v>38</v>
      </c>
      <c r="E1257" s="41">
        <v>46158</v>
      </c>
      <c r="F1257" s="47">
        <v>1.1979166666666667E-2</v>
      </c>
      <c r="G1257" s="44">
        <v>6.3</v>
      </c>
      <c r="H1257" s="43" t="s">
        <v>1369</v>
      </c>
      <c r="I1257" s="40" t="s">
        <v>1365</v>
      </c>
    </row>
    <row r="1258" spans="1:9" x14ac:dyDescent="0.25">
      <c r="A1258" s="40" t="s">
        <v>78</v>
      </c>
      <c r="B1258" s="28">
        <v>1447</v>
      </c>
      <c r="C1258" s="28" t="s">
        <v>35</v>
      </c>
      <c r="D1258" s="28" t="s">
        <v>38</v>
      </c>
      <c r="E1258" s="41">
        <v>46159</v>
      </c>
      <c r="F1258" s="47">
        <v>0.81751157407407404</v>
      </c>
      <c r="G1258" s="44">
        <v>6.3</v>
      </c>
      <c r="H1258" s="43" t="s">
        <v>1363</v>
      </c>
      <c r="I1258" s="40" t="s">
        <v>1365</v>
      </c>
    </row>
    <row r="1259" spans="1:9" x14ac:dyDescent="0.25">
      <c r="A1259" s="40" t="s">
        <v>371</v>
      </c>
      <c r="B1259" s="28">
        <v>1453</v>
      </c>
      <c r="C1259" s="28">
        <v>5663778</v>
      </c>
      <c r="D1259" s="28" t="s">
        <v>37</v>
      </c>
      <c r="E1259" s="41">
        <v>46154</v>
      </c>
      <c r="F1259" s="47">
        <v>0.13854166666666667</v>
      </c>
      <c r="G1259" s="42">
        <v>6.3</v>
      </c>
      <c r="H1259" s="40" t="s">
        <v>1370</v>
      </c>
      <c r="I1259" s="40" t="s">
        <v>1361</v>
      </c>
    </row>
    <row r="1260" spans="1:9" x14ac:dyDescent="0.25">
      <c r="A1260" s="40" t="s">
        <v>371</v>
      </c>
      <c r="B1260" s="28">
        <v>1453</v>
      </c>
      <c r="C1260" s="28">
        <v>5663778</v>
      </c>
      <c r="D1260" s="28" t="s">
        <v>37</v>
      </c>
      <c r="E1260" s="41">
        <v>46154</v>
      </c>
      <c r="F1260" s="47">
        <v>0.1426273148148148</v>
      </c>
      <c r="G1260" s="42">
        <v>6.3</v>
      </c>
      <c r="H1260" s="40" t="s">
        <v>1364</v>
      </c>
      <c r="I1260" s="40" t="s">
        <v>1361</v>
      </c>
    </row>
    <row r="1261" spans="1:9" x14ac:dyDescent="0.25">
      <c r="A1261" s="40" t="s">
        <v>371</v>
      </c>
      <c r="B1261" s="28">
        <v>1453</v>
      </c>
      <c r="C1261" s="28">
        <v>5663731</v>
      </c>
      <c r="D1261" s="28"/>
      <c r="E1261" s="41">
        <v>46154</v>
      </c>
      <c r="F1261" s="47">
        <v>0.22190972222222222</v>
      </c>
      <c r="G1261" s="42">
        <v>6.3</v>
      </c>
      <c r="H1261" s="40" t="s">
        <v>1363</v>
      </c>
      <c r="I1261" s="40" t="s">
        <v>1361</v>
      </c>
    </row>
    <row r="1262" spans="1:9" x14ac:dyDescent="0.25">
      <c r="A1262" s="40" t="s">
        <v>371</v>
      </c>
      <c r="B1262" s="28">
        <v>1453</v>
      </c>
      <c r="C1262" s="28">
        <v>5663731</v>
      </c>
      <c r="D1262" s="28"/>
      <c r="E1262" s="41">
        <v>46154</v>
      </c>
      <c r="F1262" s="47">
        <v>0.22710648148148149</v>
      </c>
      <c r="G1262" s="44">
        <v>6.3</v>
      </c>
      <c r="H1262" s="43" t="s">
        <v>1364</v>
      </c>
      <c r="I1262" s="40" t="s">
        <v>1361</v>
      </c>
    </row>
    <row r="1263" spans="1:9" x14ac:dyDescent="0.25">
      <c r="A1263" s="40" t="s">
        <v>371</v>
      </c>
      <c r="B1263" s="28">
        <v>1453</v>
      </c>
      <c r="C1263" s="28" t="s">
        <v>633</v>
      </c>
      <c r="D1263" s="28"/>
      <c r="E1263" s="41">
        <v>46155</v>
      </c>
      <c r="F1263" s="47">
        <v>9.9340277777777777E-2</v>
      </c>
      <c r="G1263" s="44">
        <v>6.3</v>
      </c>
      <c r="H1263" s="43" t="s">
        <v>1360</v>
      </c>
      <c r="I1263" s="40" t="s">
        <v>1361</v>
      </c>
    </row>
    <row r="1264" spans="1:9" x14ac:dyDescent="0.25">
      <c r="A1264" s="40" t="s">
        <v>371</v>
      </c>
      <c r="B1264" s="28">
        <v>1453</v>
      </c>
      <c r="C1264" s="28" t="s">
        <v>633</v>
      </c>
      <c r="D1264" s="28"/>
      <c r="E1264" s="41">
        <v>46155</v>
      </c>
      <c r="F1264" s="47">
        <v>0.10623842592592593</v>
      </c>
      <c r="G1264" s="44">
        <v>6.3</v>
      </c>
      <c r="H1264" s="43" t="s">
        <v>1362</v>
      </c>
      <c r="I1264" s="40" t="s">
        <v>1361</v>
      </c>
    </row>
    <row r="1265" spans="1:9" x14ac:dyDescent="0.25">
      <c r="A1265" s="40" t="s">
        <v>371</v>
      </c>
      <c r="B1265" s="28">
        <v>1453</v>
      </c>
      <c r="C1265" s="28">
        <v>5665841</v>
      </c>
      <c r="D1265" s="28"/>
      <c r="E1265" s="41">
        <v>46155</v>
      </c>
      <c r="F1265" s="47">
        <v>0.27969907407407407</v>
      </c>
      <c r="G1265" s="44">
        <v>6.3</v>
      </c>
      <c r="H1265" s="43" t="s">
        <v>1364</v>
      </c>
      <c r="I1265" s="40" t="s">
        <v>1361</v>
      </c>
    </row>
    <row r="1266" spans="1:9" x14ac:dyDescent="0.25">
      <c r="A1266" s="40" t="s">
        <v>371</v>
      </c>
      <c r="B1266" s="28">
        <v>1453</v>
      </c>
      <c r="C1266" s="28" t="s">
        <v>634</v>
      </c>
      <c r="D1266" s="28"/>
      <c r="E1266" s="41">
        <v>46158</v>
      </c>
      <c r="F1266" s="47">
        <v>5.7870370370370373E-5</v>
      </c>
      <c r="G1266" s="44">
        <v>6.3</v>
      </c>
      <c r="H1266" s="43" t="s">
        <v>1360</v>
      </c>
      <c r="I1266" s="40" t="s">
        <v>1365</v>
      </c>
    </row>
    <row r="1267" spans="1:9" x14ac:dyDescent="0.25">
      <c r="A1267" s="40" t="s">
        <v>371</v>
      </c>
      <c r="B1267" s="28">
        <v>1453</v>
      </c>
      <c r="C1267" s="28" t="s">
        <v>634</v>
      </c>
      <c r="D1267" s="28"/>
      <c r="E1267" s="41">
        <v>46158</v>
      </c>
      <c r="F1267" s="47">
        <v>6.1805555555555555E-3</v>
      </c>
      <c r="G1267" s="44">
        <v>6.3</v>
      </c>
      <c r="H1267" s="43" t="s">
        <v>1368</v>
      </c>
      <c r="I1267" s="40" t="s">
        <v>1365</v>
      </c>
    </row>
    <row r="1268" spans="1:9" x14ac:dyDescent="0.25">
      <c r="A1268" s="40" t="s">
        <v>371</v>
      </c>
      <c r="B1268" s="28">
        <v>1453</v>
      </c>
      <c r="C1268" s="28" t="s">
        <v>35</v>
      </c>
      <c r="D1268" s="28" t="s">
        <v>38</v>
      </c>
      <c r="E1268" s="41">
        <v>46158</v>
      </c>
      <c r="F1268" s="47">
        <v>2.8958333333333332E-2</v>
      </c>
      <c r="G1268" s="44">
        <v>6.3</v>
      </c>
      <c r="H1268" s="43" t="s">
        <v>1363</v>
      </c>
      <c r="I1268" s="40" t="s">
        <v>1365</v>
      </c>
    </row>
    <row r="1269" spans="1:9" x14ac:dyDescent="0.25">
      <c r="A1269" s="40" t="s">
        <v>371</v>
      </c>
      <c r="B1269" s="28">
        <v>1453</v>
      </c>
      <c r="C1269" s="28" t="s">
        <v>635</v>
      </c>
      <c r="D1269" s="28"/>
      <c r="E1269" s="41">
        <v>46159</v>
      </c>
      <c r="F1269" s="47">
        <v>4.5023148148148149E-3</v>
      </c>
      <c r="G1269" s="44">
        <v>6.3</v>
      </c>
      <c r="H1269" s="43" t="s">
        <v>1360</v>
      </c>
      <c r="I1269" s="40" t="s">
        <v>1365</v>
      </c>
    </row>
    <row r="1270" spans="1:9" x14ac:dyDescent="0.25">
      <c r="A1270" s="40" t="s">
        <v>371</v>
      </c>
      <c r="B1270" s="28">
        <v>1453</v>
      </c>
      <c r="C1270" s="28" t="s">
        <v>635</v>
      </c>
      <c r="D1270" s="28"/>
      <c r="E1270" s="45">
        <v>46159</v>
      </c>
      <c r="F1270" s="48">
        <v>1.1307870370370371E-2</v>
      </c>
      <c r="G1270" s="42">
        <v>6.3</v>
      </c>
      <c r="H1270" s="40" t="s">
        <v>1362</v>
      </c>
      <c r="I1270" s="40" t="s">
        <v>1365</v>
      </c>
    </row>
    <row r="1271" spans="1:9" x14ac:dyDescent="0.25">
      <c r="A1271" s="40" t="s">
        <v>371</v>
      </c>
      <c r="B1271" s="28">
        <v>1453</v>
      </c>
      <c r="C1271" s="28">
        <v>5670808</v>
      </c>
      <c r="D1271" s="28"/>
      <c r="E1271" s="41">
        <v>46159</v>
      </c>
      <c r="F1271" s="47">
        <v>0.23040509259259259</v>
      </c>
      <c r="G1271" s="42">
        <v>6.3</v>
      </c>
      <c r="H1271" s="40" t="s">
        <v>1360</v>
      </c>
      <c r="I1271" s="40" t="s">
        <v>1365</v>
      </c>
    </row>
    <row r="1272" spans="1:9" x14ac:dyDescent="0.25">
      <c r="A1272" s="40" t="s">
        <v>371</v>
      </c>
      <c r="B1272" s="28">
        <v>1453</v>
      </c>
      <c r="C1272" s="28">
        <v>5670808</v>
      </c>
      <c r="D1272" s="28"/>
      <c r="E1272" s="41">
        <v>46159</v>
      </c>
      <c r="F1272" s="47">
        <v>0.23663194444444444</v>
      </c>
      <c r="G1272" s="44">
        <v>6.3</v>
      </c>
      <c r="H1272" s="43" t="s">
        <v>1362</v>
      </c>
      <c r="I1272" s="40" t="s">
        <v>1365</v>
      </c>
    </row>
    <row r="1273" spans="1:9" x14ac:dyDescent="0.25">
      <c r="A1273" s="40" t="s">
        <v>371</v>
      </c>
      <c r="B1273" s="28">
        <v>1453</v>
      </c>
      <c r="C1273" s="28">
        <v>5672230</v>
      </c>
      <c r="D1273" s="28" t="s">
        <v>37</v>
      </c>
      <c r="E1273" s="41">
        <v>46159</v>
      </c>
      <c r="F1273" s="47">
        <v>0.25784722222222223</v>
      </c>
      <c r="G1273" s="44">
        <v>6.3</v>
      </c>
      <c r="H1273" s="43" t="s">
        <v>1363</v>
      </c>
      <c r="I1273" s="40" t="s">
        <v>1365</v>
      </c>
    </row>
    <row r="1274" spans="1:9" x14ac:dyDescent="0.25">
      <c r="A1274" s="40" t="s">
        <v>371</v>
      </c>
      <c r="B1274" s="28">
        <v>1453</v>
      </c>
      <c r="C1274" s="28">
        <v>5672230</v>
      </c>
      <c r="D1274" s="28" t="s">
        <v>37</v>
      </c>
      <c r="E1274" s="45">
        <v>46159</v>
      </c>
      <c r="F1274" s="48">
        <v>0.26248842592592592</v>
      </c>
      <c r="G1274" s="44">
        <v>6.3</v>
      </c>
      <c r="H1274" s="43" t="s">
        <v>1364</v>
      </c>
      <c r="I1274" s="40" t="s">
        <v>1365</v>
      </c>
    </row>
    <row r="1275" spans="1:9" x14ac:dyDescent="0.25">
      <c r="A1275" s="40" t="s">
        <v>371</v>
      </c>
      <c r="B1275" s="28">
        <v>1453</v>
      </c>
      <c r="C1275" s="28">
        <v>5672412</v>
      </c>
      <c r="D1275" s="28"/>
      <c r="E1275" s="41">
        <v>46159</v>
      </c>
      <c r="F1275" s="47">
        <v>0.44616898148148149</v>
      </c>
      <c r="G1275" s="44">
        <v>6.3</v>
      </c>
      <c r="H1275" s="43" t="s">
        <v>1360</v>
      </c>
      <c r="I1275" s="40" t="s">
        <v>1365</v>
      </c>
    </row>
    <row r="1276" spans="1:9" x14ac:dyDescent="0.25">
      <c r="A1276" s="40" t="s">
        <v>371</v>
      </c>
      <c r="B1276" s="28">
        <v>1453</v>
      </c>
      <c r="C1276" s="28">
        <v>5672412</v>
      </c>
      <c r="D1276" s="28"/>
      <c r="E1276" s="41">
        <v>46159</v>
      </c>
      <c r="F1276" s="47">
        <v>0.45296296296296296</v>
      </c>
      <c r="G1276" s="44">
        <v>6.3</v>
      </c>
      <c r="H1276" s="43" t="s">
        <v>1362</v>
      </c>
      <c r="I1276" s="40" t="s">
        <v>1365</v>
      </c>
    </row>
    <row r="1277" spans="1:9" x14ac:dyDescent="0.25">
      <c r="A1277" s="40" t="s">
        <v>136</v>
      </c>
      <c r="B1277" s="28">
        <v>1458</v>
      </c>
      <c r="C1277" s="28">
        <v>5662635</v>
      </c>
      <c r="D1277" s="28"/>
      <c r="E1277" s="41">
        <v>46153</v>
      </c>
      <c r="F1277" s="47">
        <v>0.64258101851851857</v>
      </c>
      <c r="G1277" s="44">
        <v>6.3</v>
      </c>
      <c r="H1277" s="43" t="s">
        <v>1360</v>
      </c>
      <c r="I1277" s="40" t="s">
        <v>1361</v>
      </c>
    </row>
    <row r="1278" spans="1:9" x14ac:dyDescent="0.25">
      <c r="A1278" s="40" t="s">
        <v>136</v>
      </c>
      <c r="B1278" s="28">
        <v>1458</v>
      </c>
      <c r="C1278" s="28">
        <v>5662635</v>
      </c>
      <c r="D1278" s="28"/>
      <c r="E1278" s="41">
        <v>46153</v>
      </c>
      <c r="F1278" s="47">
        <v>0.65025462962962965</v>
      </c>
      <c r="G1278" s="44">
        <v>6.3</v>
      </c>
      <c r="H1278" s="43" t="s">
        <v>1362</v>
      </c>
      <c r="I1278" s="40" t="s">
        <v>1361</v>
      </c>
    </row>
    <row r="1279" spans="1:9" x14ac:dyDescent="0.25">
      <c r="A1279" s="40" t="s">
        <v>136</v>
      </c>
      <c r="B1279" s="28">
        <v>1458</v>
      </c>
      <c r="C1279" s="28" t="s">
        <v>636</v>
      </c>
      <c r="D1279" s="28"/>
      <c r="E1279" s="41">
        <v>46154</v>
      </c>
      <c r="F1279" s="47">
        <v>0.64067129629629627</v>
      </c>
      <c r="G1279" s="44">
        <v>6.3</v>
      </c>
      <c r="H1279" s="43" t="s">
        <v>1360</v>
      </c>
      <c r="I1279" s="40" t="s">
        <v>1361</v>
      </c>
    </row>
    <row r="1280" spans="1:9" x14ac:dyDescent="0.25">
      <c r="A1280" s="40" t="s">
        <v>136</v>
      </c>
      <c r="B1280" s="28">
        <v>1458</v>
      </c>
      <c r="C1280" s="28" t="s">
        <v>636</v>
      </c>
      <c r="D1280" s="28"/>
      <c r="E1280" s="41">
        <v>46154</v>
      </c>
      <c r="F1280" s="47">
        <v>0.65388888888888885</v>
      </c>
      <c r="G1280" s="44">
        <v>6.3</v>
      </c>
      <c r="H1280" s="43" t="s">
        <v>1362</v>
      </c>
      <c r="I1280" s="40" t="s">
        <v>1361</v>
      </c>
    </row>
    <row r="1281" spans="1:9" x14ac:dyDescent="0.25">
      <c r="A1281" s="40" t="s">
        <v>136</v>
      </c>
      <c r="B1281" s="28">
        <v>1458</v>
      </c>
      <c r="C1281" s="28">
        <v>5645254</v>
      </c>
      <c r="D1281" s="28"/>
      <c r="E1281" s="41">
        <v>46154</v>
      </c>
      <c r="F1281" s="47">
        <v>0.92302083333333329</v>
      </c>
      <c r="G1281" s="44">
        <v>6.3</v>
      </c>
      <c r="H1281" s="43" t="s">
        <v>1360</v>
      </c>
      <c r="I1281" s="40" t="s">
        <v>1361</v>
      </c>
    </row>
    <row r="1282" spans="1:9" x14ac:dyDescent="0.25">
      <c r="A1282" s="40" t="s">
        <v>136</v>
      </c>
      <c r="B1282" s="28">
        <v>1458</v>
      </c>
      <c r="C1282" s="28">
        <v>5645254</v>
      </c>
      <c r="D1282" s="28"/>
      <c r="E1282" s="45">
        <v>46154</v>
      </c>
      <c r="F1282" s="48">
        <v>0.92918981481481477</v>
      </c>
      <c r="G1282" s="44">
        <v>6.3</v>
      </c>
      <c r="H1282" s="43" t="s">
        <v>1368</v>
      </c>
      <c r="I1282" s="40" t="s">
        <v>1361</v>
      </c>
    </row>
    <row r="1283" spans="1:9" x14ac:dyDescent="0.25">
      <c r="A1283" s="40" t="s">
        <v>136</v>
      </c>
      <c r="B1283" s="28">
        <v>1458</v>
      </c>
      <c r="C1283" s="28">
        <v>5668226</v>
      </c>
      <c r="D1283" s="28"/>
      <c r="E1283" s="41">
        <v>46156</v>
      </c>
      <c r="F1283" s="47">
        <v>0.67214120370370367</v>
      </c>
      <c r="G1283" s="44">
        <v>6.3</v>
      </c>
      <c r="H1283" s="43" t="s">
        <v>1360</v>
      </c>
      <c r="I1283" s="40" t="s">
        <v>1361</v>
      </c>
    </row>
    <row r="1284" spans="1:9" x14ac:dyDescent="0.25">
      <c r="A1284" s="40" t="s">
        <v>136</v>
      </c>
      <c r="B1284" s="28">
        <v>1458</v>
      </c>
      <c r="C1284" s="28">
        <v>5668226</v>
      </c>
      <c r="D1284" s="28"/>
      <c r="E1284" s="45">
        <v>46156</v>
      </c>
      <c r="F1284" s="48">
        <v>0.68706018518518519</v>
      </c>
      <c r="G1284" s="44">
        <v>6.3</v>
      </c>
      <c r="H1284" s="43" t="s">
        <v>1362</v>
      </c>
      <c r="I1284" s="40" t="s">
        <v>1361</v>
      </c>
    </row>
    <row r="1285" spans="1:9" x14ac:dyDescent="0.25">
      <c r="A1285" s="40" t="s">
        <v>136</v>
      </c>
      <c r="B1285" s="28">
        <v>1458</v>
      </c>
      <c r="C1285" s="28">
        <v>5672541</v>
      </c>
      <c r="D1285" s="28"/>
      <c r="E1285" s="41">
        <v>46159</v>
      </c>
      <c r="F1285" s="47">
        <v>0.55378472222222219</v>
      </c>
      <c r="G1285" s="44">
        <v>6.3</v>
      </c>
      <c r="H1285" s="43" t="s">
        <v>1360</v>
      </c>
      <c r="I1285" s="40" t="s">
        <v>1365</v>
      </c>
    </row>
    <row r="1286" spans="1:9" x14ac:dyDescent="0.25">
      <c r="A1286" s="40" t="s">
        <v>136</v>
      </c>
      <c r="B1286" s="28">
        <v>1458</v>
      </c>
      <c r="C1286" s="28">
        <v>5672541</v>
      </c>
      <c r="D1286" s="28"/>
      <c r="E1286" s="45">
        <v>46159</v>
      </c>
      <c r="F1286" s="48">
        <v>0.5618981481481482</v>
      </c>
      <c r="G1286" s="44">
        <v>6.3</v>
      </c>
      <c r="H1286" s="43" t="s">
        <v>1368</v>
      </c>
      <c r="I1286" s="40" t="s">
        <v>1365</v>
      </c>
    </row>
    <row r="1287" spans="1:9" x14ac:dyDescent="0.25">
      <c r="A1287" s="40" t="s">
        <v>136</v>
      </c>
      <c r="B1287" s="28">
        <v>1458</v>
      </c>
      <c r="C1287" s="28" t="s">
        <v>35</v>
      </c>
      <c r="D1287" s="28" t="s">
        <v>38</v>
      </c>
      <c r="E1287" s="41">
        <v>46159</v>
      </c>
      <c r="F1287" s="47">
        <v>0.65879629629629632</v>
      </c>
      <c r="G1287" s="44">
        <v>6.3</v>
      </c>
      <c r="H1287" s="43" t="s">
        <v>1364</v>
      </c>
      <c r="I1287" s="40" t="s">
        <v>1365</v>
      </c>
    </row>
    <row r="1288" spans="1:9" x14ac:dyDescent="0.25">
      <c r="A1288" s="40" t="s">
        <v>329</v>
      </c>
      <c r="B1288" s="28">
        <v>1466</v>
      </c>
      <c r="C1288" s="28">
        <v>5661720</v>
      </c>
      <c r="D1288" s="28"/>
      <c r="E1288" s="45">
        <v>46153</v>
      </c>
      <c r="F1288" s="48">
        <v>3.3217592592592591E-3</v>
      </c>
      <c r="G1288" s="42">
        <v>6.3</v>
      </c>
      <c r="H1288" s="40" t="s">
        <v>1362</v>
      </c>
      <c r="I1288" s="40" t="s">
        <v>1361</v>
      </c>
    </row>
    <row r="1289" spans="1:9" x14ac:dyDescent="0.25">
      <c r="A1289" s="40" t="s">
        <v>329</v>
      </c>
      <c r="B1289" s="28">
        <v>1466</v>
      </c>
      <c r="C1289" s="28" t="s">
        <v>637</v>
      </c>
      <c r="D1289" s="28"/>
      <c r="E1289" s="41">
        <v>46156</v>
      </c>
      <c r="F1289" s="47">
        <v>0.94762731481481477</v>
      </c>
      <c r="G1289" s="42">
        <v>6.3</v>
      </c>
      <c r="H1289" s="40" t="s">
        <v>1360</v>
      </c>
      <c r="I1289" s="40" t="s">
        <v>1361</v>
      </c>
    </row>
    <row r="1290" spans="1:9" x14ac:dyDescent="0.25">
      <c r="A1290" s="40" t="s">
        <v>329</v>
      </c>
      <c r="B1290" s="28">
        <v>1466</v>
      </c>
      <c r="C1290" s="28" t="s">
        <v>637</v>
      </c>
      <c r="D1290" s="28"/>
      <c r="E1290" s="41">
        <v>46156</v>
      </c>
      <c r="F1290" s="47">
        <v>0.95521990740740736</v>
      </c>
      <c r="G1290" s="42">
        <v>6.3</v>
      </c>
      <c r="H1290" s="40" t="s">
        <v>1362</v>
      </c>
      <c r="I1290" s="40" t="s">
        <v>1361</v>
      </c>
    </row>
    <row r="1291" spans="1:9" x14ac:dyDescent="0.25">
      <c r="A1291" s="40" t="s">
        <v>329</v>
      </c>
      <c r="B1291" s="28">
        <v>1466</v>
      </c>
      <c r="C1291" s="28">
        <v>5671047</v>
      </c>
      <c r="D1291" s="28"/>
      <c r="E1291" s="41">
        <v>46157</v>
      </c>
      <c r="F1291" s="47">
        <v>0.95212962962962966</v>
      </c>
      <c r="G1291" s="42">
        <v>6.3</v>
      </c>
      <c r="H1291" s="40" t="s">
        <v>1360</v>
      </c>
      <c r="I1291" s="40" t="s">
        <v>1361</v>
      </c>
    </row>
    <row r="1292" spans="1:9" x14ac:dyDescent="0.25">
      <c r="A1292" s="40" t="s">
        <v>329</v>
      </c>
      <c r="B1292" s="28">
        <v>1466</v>
      </c>
      <c r="C1292" s="28">
        <v>5671047</v>
      </c>
      <c r="D1292" s="28"/>
      <c r="E1292" s="41">
        <v>46157</v>
      </c>
      <c r="F1292" s="47">
        <v>0.96052083333333338</v>
      </c>
      <c r="G1292" s="42">
        <v>6.3</v>
      </c>
      <c r="H1292" s="40" t="s">
        <v>1362</v>
      </c>
      <c r="I1292" s="40" t="s">
        <v>1361</v>
      </c>
    </row>
    <row r="1293" spans="1:9" x14ac:dyDescent="0.25">
      <c r="A1293" s="40" t="s">
        <v>329</v>
      </c>
      <c r="B1293" s="28">
        <v>1466</v>
      </c>
      <c r="C1293" s="28">
        <v>5670218</v>
      </c>
      <c r="D1293" s="28"/>
      <c r="E1293" s="41">
        <v>46158</v>
      </c>
      <c r="F1293" s="47">
        <v>2.6319444444444444E-2</v>
      </c>
      <c r="G1293" s="42">
        <v>6.3</v>
      </c>
      <c r="H1293" s="40" t="s">
        <v>1360</v>
      </c>
      <c r="I1293" s="40" t="s">
        <v>1365</v>
      </c>
    </row>
    <row r="1294" spans="1:9" x14ac:dyDescent="0.25">
      <c r="A1294" s="40" t="s">
        <v>329</v>
      </c>
      <c r="B1294" s="28">
        <v>1466</v>
      </c>
      <c r="C1294" s="28">
        <v>5670218</v>
      </c>
      <c r="D1294" s="28"/>
      <c r="E1294" s="45">
        <v>46158</v>
      </c>
      <c r="F1294" s="48">
        <v>3.3773148148148149E-2</v>
      </c>
      <c r="G1294" s="42">
        <v>6.3</v>
      </c>
      <c r="H1294" s="40" t="s">
        <v>1362</v>
      </c>
      <c r="I1294" s="40" t="s">
        <v>1365</v>
      </c>
    </row>
    <row r="1295" spans="1:9" x14ac:dyDescent="0.25">
      <c r="A1295" s="40" t="s">
        <v>329</v>
      </c>
      <c r="B1295" s="28">
        <v>1466</v>
      </c>
      <c r="C1295" s="28" t="s">
        <v>638</v>
      </c>
      <c r="D1295" s="28"/>
      <c r="E1295" s="41">
        <v>46158</v>
      </c>
      <c r="F1295" s="47">
        <v>0.98487268518518523</v>
      </c>
      <c r="G1295" s="44">
        <v>6.3</v>
      </c>
      <c r="H1295" s="43" t="s">
        <v>1360</v>
      </c>
      <c r="I1295" s="40" t="s">
        <v>1365</v>
      </c>
    </row>
    <row r="1296" spans="1:9" x14ac:dyDescent="0.25">
      <c r="A1296" s="40" t="s">
        <v>329</v>
      </c>
      <c r="B1296" s="28">
        <v>1466</v>
      </c>
      <c r="C1296" s="28" t="s">
        <v>638</v>
      </c>
      <c r="D1296" s="28"/>
      <c r="E1296" s="45">
        <v>46158</v>
      </c>
      <c r="F1296" s="48">
        <v>0.99250000000000005</v>
      </c>
      <c r="G1296" s="44">
        <v>6.3</v>
      </c>
      <c r="H1296" s="43" t="s">
        <v>1362</v>
      </c>
      <c r="I1296" s="40" t="s">
        <v>1365</v>
      </c>
    </row>
    <row r="1297" spans="1:9" x14ac:dyDescent="0.25">
      <c r="A1297" s="40" t="s">
        <v>329</v>
      </c>
      <c r="B1297" s="28">
        <v>1466</v>
      </c>
      <c r="C1297" s="28" t="s">
        <v>639</v>
      </c>
      <c r="D1297" s="28"/>
      <c r="E1297" s="41">
        <v>46159</v>
      </c>
      <c r="F1297" s="47">
        <v>0.90320601851851856</v>
      </c>
      <c r="G1297" s="44">
        <v>6.3</v>
      </c>
      <c r="H1297" s="43" t="s">
        <v>1360</v>
      </c>
      <c r="I1297" s="40" t="s">
        <v>1365</v>
      </c>
    </row>
    <row r="1298" spans="1:9" x14ac:dyDescent="0.25">
      <c r="A1298" s="40" t="s">
        <v>329</v>
      </c>
      <c r="B1298" s="28">
        <v>1466</v>
      </c>
      <c r="C1298" s="28" t="s">
        <v>639</v>
      </c>
      <c r="D1298" s="28"/>
      <c r="E1298" s="41">
        <v>46159</v>
      </c>
      <c r="F1298" s="47">
        <v>0.91077546296296297</v>
      </c>
      <c r="G1298" s="44">
        <v>6.3</v>
      </c>
      <c r="H1298" s="43" t="s">
        <v>1362</v>
      </c>
      <c r="I1298" s="40" t="s">
        <v>1365</v>
      </c>
    </row>
    <row r="1299" spans="1:9" x14ac:dyDescent="0.25">
      <c r="A1299" s="40" t="s">
        <v>329</v>
      </c>
      <c r="B1299" s="28">
        <v>1466</v>
      </c>
      <c r="C1299" s="28">
        <v>5673600</v>
      </c>
      <c r="D1299" s="28"/>
      <c r="E1299" s="41">
        <v>46159</v>
      </c>
      <c r="F1299" s="47">
        <v>0.98059027777777774</v>
      </c>
      <c r="G1299" s="44">
        <v>6.3</v>
      </c>
      <c r="H1299" s="43" t="s">
        <v>1360</v>
      </c>
      <c r="I1299" s="40" t="s">
        <v>1365</v>
      </c>
    </row>
    <row r="1300" spans="1:9" x14ac:dyDescent="0.25">
      <c r="A1300" s="40" t="s">
        <v>329</v>
      </c>
      <c r="B1300" s="28">
        <v>1466</v>
      </c>
      <c r="C1300" s="28">
        <v>5673600</v>
      </c>
      <c r="D1300" s="28"/>
      <c r="E1300" s="41">
        <v>46159</v>
      </c>
      <c r="F1300" s="47">
        <v>0.98806712962962961</v>
      </c>
      <c r="G1300" s="44">
        <v>6.3</v>
      </c>
      <c r="H1300" s="43" t="s">
        <v>1362</v>
      </c>
      <c r="I1300" s="40" t="s">
        <v>1365</v>
      </c>
    </row>
    <row r="1301" spans="1:9" x14ac:dyDescent="0.25">
      <c r="A1301" s="40" t="s">
        <v>79</v>
      </c>
      <c r="B1301" s="28">
        <v>1468</v>
      </c>
      <c r="C1301" s="28">
        <v>5668781</v>
      </c>
      <c r="D1301" s="28"/>
      <c r="E1301" s="41">
        <v>46156</v>
      </c>
      <c r="F1301" s="47">
        <v>0.88484953703703706</v>
      </c>
      <c r="G1301" s="44">
        <v>6.3</v>
      </c>
      <c r="H1301" s="43" t="s">
        <v>1360</v>
      </c>
      <c r="I1301" s="40" t="s">
        <v>1361</v>
      </c>
    </row>
    <row r="1302" spans="1:9" x14ac:dyDescent="0.25">
      <c r="A1302" s="40" t="s">
        <v>79</v>
      </c>
      <c r="B1302" s="28">
        <v>1468</v>
      </c>
      <c r="C1302" s="28">
        <v>5668190</v>
      </c>
      <c r="D1302" s="28"/>
      <c r="E1302" s="41">
        <v>46156</v>
      </c>
      <c r="F1302" s="47">
        <v>0.96516203703703707</v>
      </c>
      <c r="G1302" s="44">
        <v>6.3</v>
      </c>
      <c r="H1302" s="43" t="s">
        <v>1360</v>
      </c>
      <c r="I1302" s="40" t="s">
        <v>1361</v>
      </c>
    </row>
    <row r="1303" spans="1:9" x14ac:dyDescent="0.25">
      <c r="A1303" s="40" t="s">
        <v>79</v>
      </c>
      <c r="B1303" s="28">
        <v>1468</v>
      </c>
      <c r="C1303" s="28">
        <v>5668190</v>
      </c>
      <c r="D1303" s="28"/>
      <c r="E1303" s="41">
        <v>46156</v>
      </c>
      <c r="F1303" s="47">
        <v>0.97199074074074077</v>
      </c>
      <c r="G1303" s="44">
        <v>6.3</v>
      </c>
      <c r="H1303" s="43" t="s">
        <v>1362</v>
      </c>
      <c r="I1303" s="40" t="s">
        <v>1361</v>
      </c>
    </row>
    <row r="1304" spans="1:9" x14ac:dyDescent="0.25">
      <c r="A1304" s="40" t="s">
        <v>79</v>
      </c>
      <c r="B1304" s="28">
        <v>1468</v>
      </c>
      <c r="C1304" s="28">
        <v>5622186</v>
      </c>
      <c r="D1304" s="28"/>
      <c r="E1304" s="45">
        <v>46157</v>
      </c>
      <c r="F1304" s="48">
        <v>0.8178819444444444</v>
      </c>
      <c r="G1304" s="44">
        <v>6.3</v>
      </c>
      <c r="H1304" s="43" t="s">
        <v>1360</v>
      </c>
      <c r="I1304" s="40" t="s">
        <v>1361</v>
      </c>
    </row>
    <row r="1305" spans="1:9" x14ac:dyDescent="0.25">
      <c r="A1305" s="40" t="s">
        <v>79</v>
      </c>
      <c r="B1305" s="28">
        <v>1468</v>
      </c>
      <c r="C1305" s="28">
        <v>5622186</v>
      </c>
      <c r="D1305" s="28"/>
      <c r="E1305" s="41">
        <v>46157</v>
      </c>
      <c r="F1305" s="47">
        <v>0.84002314814814816</v>
      </c>
      <c r="G1305" s="44">
        <v>6.3</v>
      </c>
      <c r="H1305" s="43" t="s">
        <v>1362</v>
      </c>
      <c r="I1305" s="40" t="s">
        <v>1361</v>
      </c>
    </row>
    <row r="1306" spans="1:9" x14ac:dyDescent="0.25">
      <c r="A1306" s="40" t="s">
        <v>79</v>
      </c>
      <c r="B1306" s="28">
        <v>1468</v>
      </c>
      <c r="C1306" s="28">
        <v>5670152</v>
      </c>
      <c r="D1306" s="28"/>
      <c r="E1306" s="41">
        <v>46157</v>
      </c>
      <c r="F1306" s="47">
        <v>0.92929398148148146</v>
      </c>
      <c r="G1306" s="44">
        <v>6.3</v>
      </c>
      <c r="H1306" s="43" t="s">
        <v>1360</v>
      </c>
      <c r="I1306" s="40" t="s">
        <v>1361</v>
      </c>
    </row>
    <row r="1307" spans="1:9" x14ac:dyDescent="0.25">
      <c r="A1307" s="40" t="s">
        <v>79</v>
      </c>
      <c r="B1307" s="28">
        <v>1468</v>
      </c>
      <c r="C1307" s="28">
        <v>5670152</v>
      </c>
      <c r="D1307" s="28"/>
      <c r="E1307" s="41">
        <v>46157</v>
      </c>
      <c r="F1307" s="47">
        <v>0.93655092592592593</v>
      </c>
      <c r="G1307" s="44">
        <v>6.3</v>
      </c>
      <c r="H1307" s="43" t="s">
        <v>1362</v>
      </c>
      <c r="I1307" s="40" t="s">
        <v>1361</v>
      </c>
    </row>
    <row r="1308" spans="1:9" x14ac:dyDescent="0.25">
      <c r="A1308" s="40" t="s">
        <v>79</v>
      </c>
      <c r="B1308" s="28">
        <v>1468</v>
      </c>
      <c r="C1308" s="28">
        <v>5672101</v>
      </c>
      <c r="D1308" s="28"/>
      <c r="E1308" s="41">
        <v>46158</v>
      </c>
      <c r="F1308" s="47">
        <v>0.96133101851851854</v>
      </c>
      <c r="G1308" s="44">
        <v>6.3</v>
      </c>
      <c r="H1308" s="43" t="s">
        <v>1360</v>
      </c>
      <c r="I1308" s="40" t="s">
        <v>1365</v>
      </c>
    </row>
    <row r="1309" spans="1:9" x14ac:dyDescent="0.25">
      <c r="A1309" s="40" t="s">
        <v>79</v>
      </c>
      <c r="B1309" s="28">
        <v>1468</v>
      </c>
      <c r="C1309" s="28">
        <v>5672101</v>
      </c>
      <c r="D1309" s="28"/>
      <c r="E1309" s="41">
        <v>46158</v>
      </c>
      <c r="F1309" s="47">
        <v>0.96777777777777774</v>
      </c>
      <c r="G1309" s="44">
        <v>6.3</v>
      </c>
      <c r="H1309" s="43" t="s">
        <v>1362</v>
      </c>
      <c r="I1309" s="40" t="s">
        <v>1365</v>
      </c>
    </row>
    <row r="1310" spans="1:9" x14ac:dyDescent="0.25">
      <c r="A1310" s="40" t="s">
        <v>80</v>
      </c>
      <c r="B1310" s="28">
        <v>1470</v>
      </c>
      <c r="C1310" s="28" t="s">
        <v>640</v>
      </c>
      <c r="D1310" s="28"/>
      <c r="E1310" s="45">
        <v>46153</v>
      </c>
      <c r="F1310" s="48">
        <v>0.36721064814814813</v>
      </c>
      <c r="G1310" s="44">
        <v>6.3</v>
      </c>
      <c r="H1310" s="43" t="s">
        <v>1360</v>
      </c>
      <c r="I1310" s="40" t="s">
        <v>1361</v>
      </c>
    </row>
    <row r="1311" spans="1:9" x14ac:dyDescent="0.25">
      <c r="A1311" s="40" t="s">
        <v>80</v>
      </c>
      <c r="B1311" s="28">
        <v>1470</v>
      </c>
      <c r="C1311" s="28" t="s">
        <v>640</v>
      </c>
      <c r="D1311" s="28"/>
      <c r="E1311" s="41">
        <v>46153</v>
      </c>
      <c r="F1311" s="47">
        <v>0.3787847222222222</v>
      </c>
      <c r="G1311" s="44">
        <v>6.3</v>
      </c>
      <c r="H1311" s="43" t="s">
        <v>1362</v>
      </c>
      <c r="I1311" s="40" t="s">
        <v>1361</v>
      </c>
    </row>
    <row r="1312" spans="1:9" x14ac:dyDescent="0.25">
      <c r="A1312" s="40" t="s">
        <v>80</v>
      </c>
      <c r="B1312" s="28">
        <v>1470</v>
      </c>
      <c r="C1312" s="28" t="s">
        <v>641</v>
      </c>
      <c r="D1312" s="28"/>
      <c r="E1312" s="41">
        <v>46153</v>
      </c>
      <c r="F1312" s="47">
        <v>0.59553240740740743</v>
      </c>
      <c r="G1312" s="44">
        <v>6.3</v>
      </c>
      <c r="H1312" s="43" t="s">
        <v>1360</v>
      </c>
      <c r="I1312" s="40" t="s">
        <v>1361</v>
      </c>
    </row>
    <row r="1313" spans="1:9" x14ac:dyDescent="0.25">
      <c r="A1313" s="40" t="s">
        <v>270</v>
      </c>
      <c r="B1313" s="28">
        <v>1472</v>
      </c>
      <c r="C1313" s="28" t="s">
        <v>35</v>
      </c>
      <c r="D1313" s="28" t="s">
        <v>38</v>
      </c>
      <c r="E1313" s="41">
        <v>46155</v>
      </c>
      <c r="F1313" s="47">
        <v>0.85289351851851847</v>
      </c>
      <c r="G1313" s="44">
        <v>6.3</v>
      </c>
      <c r="H1313" s="43" t="s">
        <v>1360</v>
      </c>
      <c r="I1313" s="40" t="s">
        <v>1361</v>
      </c>
    </row>
    <row r="1314" spans="1:9" x14ac:dyDescent="0.25">
      <c r="A1314" s="40" t="s">
        <v>270</v>
      </c>
      <c r="B1314" s="28">
        <v>1472</v>
      </c>
      <c r="C1314" s="28" t="s">
        <v>35</v>
      </c>
      <c r="D1314" s="28" t="s">
        <v>38</v>
      </c>
      <c r="E1314" s="41">
        <v>46155</v>
      </c>
      <c r="F1314" s="47">
        <v>0.86076388888888888</v>
      </c>
      <c r="G1314" s="42">
        <v>6.3</v>
      </c>
      <c r="H1314" s="40" t="s">
        <v>1362</v>
      </c>
      <c r="I1314" s="40" t="s">
        <v>1361</v>
      </c>
    </row>
    <row r="1315" spans="1:9" x14ac:dyDescent="0.25">
      <c r="A1315" s="40" t="s">
        <v>270</v>
      </c>
      <c r="B1315" s="28">
        <v>1472</v>
      </c>
      <c r="C1315" s="28" t="s">
        <v>35</v>
      </c>
      <c r="D1315" s="28" t="s">
        <v>38</v>
      </c>
      <c r="E1315" s="41">
        <v>46155</v>
      </c>
      <c r="F1315" s="47">
        <v>0.87900462962962966</v>
      </c>
      <c r="G1315" s="42">
        <v>6.3</v>
      </c>
      <c r="H1315" s="40" t="s">
        <v>1363</v>
      </c>
      <c r="I1315" s="40" t="s">
        <v>1361</v>
      </c>
    </row>
    <row r="1316" spans="1:9" x14ac:dyDescent="0.25">
      <c r="A1316" s="40" t="s">
        <v>270</v>
      </c>
      <c r="B1316" s="28">
        <v>1472</v>
      </c>
      <c r="C1316" s="28">
        <v>5641964</v>
      </c>
      <c r="D1316" s="28"/>
      <c r="E1316" s="41">
        <v>46157</v>
      </c>
      <c r="F1316" s="47">
        <v>0.22780092592592593</v>
      </c>
      <c r="G1316" s="42">
        <v>6.3</v>
      </c>
      <c r="H1316" s="40" t="s">
        <v>1367</v>
      </c>
      <c r="I1316" s="40" t="s">
        <v>1361</v>
      </c>
    </row>
    <row r="1317" spans="1:9" x14ac:dyDescent="0.25">
      <c r="A1317" s="40" t="s">
        <v>270</v>
      </c>
      <c r="B1317" s="28">
        <v>1472</v>
      </c>
      <c r="C1317" s="28">
        <v>5641964</v>
      </c>
      <c r="D1317" s="28"/>
      <c r="E1317" s="41">
        <v>46157</v>
      </c>
      <c r="F1317" s="47">
        <v>0.23060185185185186</v>
      </c>
      <c r="G1317" s="42">
        <v>6.3</v>
      </c>
      <c r="H1317" s="40" t="s">
        <v>1364</v>
      </c>
      <c r="I1317" s="40" t="s">
        <v>1361</v>
      </c>
    </row>
    <row r="1318" spans="1:9" x14ac:dyDescent="0.25">
      <c r="A1318" s="40" t="s">
        <v>270</v>
      </c>
      <c r="B1318" s="28">
        <v>1472</v>
      </c>
      <c r="C1318" s="28" t="s">
        <v>642</v>
      </c>
      <c r="D1318" s="28"/>
      <c r="E1318" s="41">
        <v>46157</v>
      </c>
      <c r="F1318" s="47">
        <v>0.84901620370370368</v>
      </c>
      <c r="G1318" s="44">
        <v>6.3</v>
      </c>
      <c r="H1318" s="43" t="s">
        <v>1360</v>
      </c>
      <c r="I1318" s="40" t="s">
        <v>1361</v>
      </c>
    </row>
    <row r="1319" spans="1:9" x14ac:dyDescent="0.25">
      <c r="A1319" s="40" t="s">
        <v>270</v>
      </c>
      <c r="B1319" s="28">
        <v>1472</v>
      </c>
      <c r="C1319" s="28" t="s">
        <v>642</v>
      </c>
      <c r="D1319" s="28"/>
      <c r="E1319" s="41">
        <v>46157</v>
      </c>
      <c r="F1319" s="47">
        <v>0.86042824074074076</v>
      </c>
      <c r="G1319" s="44">
        <v>6.3</v>
      </c>
      <c r="H1319" s="43" t="s">
        <v>1362</v>
      </c>
      <c r="I1319" s="40" t="s">
        <v>1361</v>
      </c>
    </row>
    <row r="1320" spans="1:9" x14ac:dyDescent="0.25">
      <c r="A1320" s="40" t="s">
        <v>270</v>
      </c>
      <c r="B1320" s="28">
        <v>1472</v>
      </c>
      <c r="C1320" s="28" t="s">
        <v>643</v>
      </c>
      <c r="D1320" s="28"/>
      <c r="E1320" s="41">
        <v>46159</v>
      </c>
      <c r="F1320" s="47">
        <v>5.9432870370370372E-2</v>
      </c>
      <c r="G1320" s="44">
        <v>6.3</v>
      </c>
      <c r="H1320" s="43" t="s">
        <v>1360</v>
      </c>
      <c r="I1320" s="40" t="s">
        <v>1365</v>
      </c>
    </row>
    <row r="1321" spans="1:9" x14ac:dyDescent="0.25">
      <c r="A1321" s="40" t="s">
        <v>270</v>
      </c>
      <c r="B1321" s="28">
        <v>1472</v>
      </c>
      <c r="C1321" s="28" t="s">
        <v>643</v>
      </c>
      <c r="D1321" s="28"/>
      <c r="E1321" s="41">
        <v>46159</v>
      </c>
      <c r="F1321" s="47">
        <v>6.5798611111111113E-2</v>
      </c>
      <c r="G1321" s="44">
        <v>6.3</v>
      </c>
      <c r="H1321" s="43" t="s">
        <v>1362</v>
      </c>
      <c r="I1321" s="40" t="s">
        <v>1365</v>
      </c>
    </row>
    <row r="1322" spans="1:9" x14ac:dyDescent="0.25">
      <c r="A1322" s="40" t="s">
        <v>270</v>
      </c>
      <c r="B1322" s="28">
        <v>1472</v>
      </c>
      <c r="C1322" s="28" t="s">
        <v>644</v>
      </c>
      <c r="D1322" s="28"/>
      <c r="E1322" s="41">
        <v>46159</v>
      </c>
      <c r="F1322" s="47">
        <v>0.3759837962962963</v>
      </c>
      <c r="G1322" s="44">
        <v>6.3</v>
      </c>
      <c r="H1322" s="43" t="s">
        <v>1360</v>
      </c>
      <c r="I1322" s="40" t="s">
        <v>1365</v>
      </c>
    </row>
    <row r="1323" spans="1:9" x14ac:dyDescent="0.25">
      <c r="A1323" s="40" t="s">
        <v>407</v>
      </c>
      <c r="B1323" s="28">
        <v>1480</v>
      </c>
      <c r="C1323" s="28" t="s">
        <v>645</v>
      </c>
      <c r="D1323" s="28"/>
      <c r="E1323" s="41">
        <v>46153</v>
      </c>
      <c r="F1323" s="47">
        <v>0.97467592592592589</v>
      </c>
      <c r="G1323" s="44">
        <v>6.3</v>
      </c>
      <c r="H1323" s="43" t="s">
        <v>1360</v>
      </c>
      <c r="I1323" s="40" t="s">
        <v>1361</v>
      </c>
    </row>
    <row r="1324" spans="1:9" x14ac:dyDescent="0.25">
      <c r="A1324" s="40" t="s">
        <v>407</v>
      </c>
      <c r="B1324" s="28">
        <v>1480</v>
      </c>
      <c r="C1324" s="28" t="s">
        <v>645</v>
      </c>
      <c r="D1324" s="28"/>
      <c r="E1324" s="45">
        <v>46153</v>
      </c>
      <c r="F1324" s="48">
        <v>0.98195601851851855</v>
      </c>
      <c r="G1324" s="44">
        <v>6.3</v>
      </c>
      <c r="H1324" s="43" t="s">
        <v>1362</v>
      </c>
      <c r="I1324" s="40" t="s">
        <v>1361</v>
      </c>
    </row>
    <row r="1325" spans="1:9" x14ac:dyDescent="0.25">
      <c r="A1325" s="40" t="s">
        <v>407</v>
      </c>
      <c r="B1325" s="28">
        <v>1480</v>
      </c>
      <c r="C1325" s="28">
        <v>5665593</v>
      </c>
      <c r="D1325" s="28"/>
      <c r="E1325" s="41">
        <v>46154</v>
      </c>
      <c r="F1325" s="47">
        <v>0.84638888888888886</v>
      </c>
      <c r="G1325" s="44">
        <v>6.3</v>
      </c>
      <c r="H1325" s="43" t="s">
        <v>1360</v>
      </c>
      <c r="I1325" s="40" t="s">
        <v>1361</v>
      </c>
    </row>
    <row r="1326" spans="1:9" x14ac:dyDescent="0.25">
      <c r="A1326" s="40" t="s">
        <v>407</v>
      </c>
      <c r="B1326" s="28">
        <v>1480</v>
      </c>
      <c r="C1326" s="28">
        <v>5665593</v>
      </c>
      <c r="D1326" s="28"/>
      <c r="E1326" s="41">
        <v>46154</v>
      </c>
      <c r="F1326" s="47">
        <v>0.8537731481481482</v>
      </c>
      <c r="G1326" s="44">
        <v>6.3</v>
      </c>
      <c r="H1326" s="43" t="s">
        <v>1362</v>
      </c>
      <c r="I1326" s="40" t="s">
        <v>1361</v>
      </c>
    </row>
    <row r="1327" spans="1:9" x14ac:dyDescent="0.25">
      <c r="A1327" s="40" t="s">
        <v>407</v>
      </c>
      <c r="B1327" s="28">
        <v>1480</v>
      </c>
      <c r="C1327" s="28" t="s">
        <v>35</v>
      </c>
      <c r="D1327" s="28" t="s">
        <v>38</v>
      </c>
      <c r="E1327" s="41">
        <v>46154</v>
      </c>
      <c r="F1327" s="47">
        <v>0.87569444444444444</v>
      </c>
      <c r="G1327" s="44">
        <v>6.3</v>
      </c>
      <c r="H1327" s="43" t="s">
        <v>1363</v>
      </c>
      <c r="I1327" s="40" t="s">
        <v>1361</v>
      </c>
    </row>
    <row r="1328" spans="1:9" x14ac:dyDescent="0.25">
      <c r="A1328" s="40" t="s">
        <v>407</v>
      </c>
      <c r="B1328" s="28">
        <v>1480</v>
      </c>
      <c r="C1328" s="28" t="s">
        <v>35</v>
      </c>
      <c r="D1328" s="28" t="s">
        <v>38</v>
      </c>
      <c r="E1328" s="41">
        <v>46154</v>
      </c>
      <c r="F1328" s="47">
        <v>0.88126157407407413</v>
      </c>
      <c r="G1328" s="44">
        <v>6.3</v>
      </c>
      <c r="H1328" s="43" t="s">
        <v>1364</v>
      </c>
      <c r="I1328" s="40" t="s">
        <v>1361</v>
      </c>
    </row>
    <row r="1329" spans="1:9" x14ac:dyDescent="0.25">
      <c r="A1329" s="40" t="s">
        <v>407</v>
      </c>
      <c r="B1329" s="28">
        <v>1480</v>
      </c>
      <c r="C1329" s="28" t="s">
        <v>646</v>
      </c>
      <c r="D1329" s="28"/>
      <c r="E1329" s="41">
        <v>46155</v>
      </c>
      <c r="F1329" s="47">
        <v>0.22420138888888888</v>
      </c>
      <c r="G1329" s="44">
        <v>6.3</v>
      </c>
      <c r="H1329" s="43" t="s">
        <v>1360</v>
      </c>
      <c r="I1329" s="40" t="s">
        <v>1361</v>
      </c>
    </row>
    <row r="1330" spans="1:9" x14ac:dyDescent="0.25">
      <c r="A1330" s="40" t="s">
        <v>407</v>
      </c>
      <c r="B1330" s="28">
        <v>1480</v>
      </c>
      <c r="C1330" s="28" t="s">
        <v>646</v>
      </c>
      <c r="D1330" s="28"/>
      <c r="E1330" s="45">
        <v>46155</v>
      </c>
      <c r="F1330" s="48">
        <v>0.23728009259259258</v>
      </c>
      <c r="G1330" s="44">
        <v>6.3</v>
      </c>
      <c r="H1330" s="43" t="s">
        <v>1368</v>
      </c>
      <c r="I1330" s="40" t="s">
        <v>1361</v>
      </c>
    </row>
    <row r="1331" spans="1:9" x14ac:dyDescent="0.25">
      <c r="A1331" s="40" t="s">
        <v>407</v>
      </c>
      <c r="B1331" s="28">
        <v>1480</v>
      </c>
      <c r="C1331" s="28">
        <v>5664057</v>
      </c>
      <c r="D1331" s="28"/>
      <c r="E1331" s="41">
        <v>46155</v>
      </c>
      <c r="F1331" s="47">
        <v>0.3071875</v>
      </c>
      <c r="G1331" s="44">
        <v>6.3</v>
      </c>
      <c r="H1331" s="43" t="s">
        <v>1363</v>
      </c>
      <c r="I1331" s="40" t="s">
        <v>1361</v>
      </c>
    </row>
    <row r="1332" spans="1:9" x14ac:dyDescent="0.25">
      <c r="A1332" s="40" t="s">
        <v>407</v>
      </c>
      <c r="B1332" s="28">
        <v>1480</v>
      </c>
      <c r="C1332" s="28">
        <v>5664057</v>
      </c>
      <c r="D1332" s="28"/>
      <c r="E1332" s="41">
        <v>46155</v>
      </c>
      <c r="F1332" s="47">
        <v>0.32480324074074074</v>
      </c>
      <c r="G1332" s="44">
        <v>6.3</v>
      </c>
      <c r="H1332" s="43" t="s">
        <v>1364</v>
      </c>
      <c r="I1332" s="40" t="s">
        <v>1361</v>
      </c>
    </row>
    <row r="1333" spans="1:9" x14ac:dyDescent="0.25">
      <c r="A1333" s="40" t="s">
        <v>407</v>
      </c>
      <c r="B1333" s="28">
        <v>1480</v>
      </c>
      <c r="C1333" s="28">
        <v>5667432</v>
      </c>
      <c r="D1333" s="28"/>
      <c r="E1333" s="41">
        <v>46156</v>
      </c>
      <c r="F1333" s="47">
        <v>1.0648148148148149E-3</v>
      </c>
      <c r="G1333" s="44">
        <v>6.3</v>
      </c>
      <c r="H1333" s="43" t="s">
        <v>1360</v>
      </c>
      <c r="I1333" s="40" t="s">
        <v>1361</v>
      </c>
    </row>
    <row r="1334" spans="1:9" x14ac:dyDescent="0.25">
      <c r="A1334" s="40" t="s">
        <v>407</v>
      </c>
      <c r="B1334" s="28">
        <v>1480</v>
      </c>
      <c r="C1334" s="28">
        <v>5667432</v>
      </c>
      <c r="D1334" s="28"/>
      <c r="E1334" s="41">
        <v>46156</v>
      </c>
      <c r="F1334" s="47">
        <v>8.518518518518519E-3</v>
      </c>
      <c r="G1334" s="44">
        <v>6.3</v>
      </c>
      <c r="H1334" s="43" t="s">
        <v>1362</v>
      </c>
      <c r="I1334" s="40" t="s">
        <v>1361</v>
      </c>
    </row>
    <row r="1335" spans="1:9" x14ac:dyDescent="0.25">
      <c r="A1335" s="40" t="s">
        <v>407</v>
      </c>
      <c r="B1335" s="28">
        <v>1480</v>
      </c>
      <c r="C1335" s="28">
        <v>5667790</v>
      </c>
      <c r="D1335" s="28"/>
      <c r="E1335" s="41">
        <v>46156</v>
      </c>
      <c r="F1335" s="47">
        <v>0.17658564814814814</v>
      </c>
      <c r="G1335" s="44">
        <v>6.3</v>
      </c>
      <c r="H1335" s="43" t="s">
        <v>1363</v>
      </c>
      <c r="I1335" s="40" t="s">
        <v>1361</v>
      </c>
    </row>
    <row r="1336" spans="1:9" x14ac:dyDescent="0.25">
      <c r="A1336" s="40" t="s">
        <v>407</v>
      </c>
      <c r="B1336" s="28">
        <v>1480</v>
      </c>
      <c r="C1336" s="28">
        <v>5667790</v>
      </c>
      <c r="D1336" s="28"/>
      <c r="E1336" s="45">
        <v>46156</v>
      </c>
      <c r="F1336" s="48">
        <v>0.1819675925925926</v>
      </c>
      <c r="G1336" s="44">
        <v>6.3</v>
      </c>
      <c r="H1336" s="43" t="s">
        <v>1364</v>
      </c>
      <c r="I1336" s="40" t="s">
        <v>1361</v>
      </c>
    </row>
    <row r="1337" spans="1:9" x14ac:dyDescent="0.25">
      <c r="A1337" s="40" t="s">
        <v>407</v>
      </c>
      <c r="B1337" s="28">
        <v>1480</v>
      </c>
      <c r="C1337" s="28" t="s">
        <v>647</v>
      </c>
      <c r="D1337" s="28"/>
      <c r="E1337" s="41">
        <v>46156</v>
      </c>
      <c r="F1337" s="47">
        <v>0.328125</v>
      </c>
      <c r="G1337" s="44">
        <v>6.3</v>
      </c>
      <c r="H1337" s="43" t="s">
        <v>1360</v>
      </c>
      <c r="I1337" s="40" t="s">
        <v>1361</v>
      </c>
    </row>
    <row r="1338" spans="1:9" x14ac:dyDescent="0.25">
      <c r="A1338" s="40" t="s">
        <v>407</v>
      </c>
      <c r="B1338" s="28">
        <v>1480</v>
      </c>
      <c r="C1338" s="28" t="s">
        <v>35</v>
      </c>
      <c r="D1338" s="28" t="s">
        <v>38</v>
      </c>
      <c r="E1338" s="45">
        <v>46156</v>
      </c>
      <c r="F1338" s="48">
        <v>0.84813657407407406</v>
      </c>
      <c r="G1338" s="44">
        <v>6.3</v>
      </c>
      <c r="H1338" s="43" t="s">
        <v>1363</v>
      </c>
      <c r="I1338" s="40" t="s">
        <v>1361</v>
      </c>
    </row>
    <row r="1339" spans="1:9" x14ac:dyDescent="0.25">
      <c r="A1339" s="40" t="s">
        <v>407</v>
      </c>
      <c r="B1339" s="28">
        <v>1480</v>
      </c>
      <c r="C1339" s="28" t="s">
        <v>35</v>
      </c>
      <c r="D1339" s="28" t="s">
        <v>38</v>
      </c>
      <c r="E1339" s="41">
        <v>46156</v>
      </c>
      <c r="F1339" s="47">
        <v>0.86138888888888887</v>
      </c>
      <c r="G1339" s="44">
        <v>6.3</v>
      </c>
      <c r="H1339" s="43" t="s">
        <v>1364</v>
      </c>
      <c r="I1339" s="40" t="s">
        <v>1361</v>
      </c>
    </row>
    <row r="1340" spans="1:9" x14ac:dyDescent="0.25">
      <c r="A1340" s="40" t="s">
        <v>407</v>
      </c>
      <c r="B1340" s="28">
        <v>1480</v>
      </c>
      <c r="C1340" s="28">
        <v>5669456</v>
      </c>
      <c r="D1340" s="28"/>
      <c r="E1340" s="45">
        <v>46157</v>
      </c>
      <c r="F1340" s="48">
        <v>4.7708333333333332E-2</v>
      </c>
      <c r="G1340" s="44">
        <v>6.3</v>
      </c>
      <c r="H1340" s="43" t="s">
        <v>1360</v>
      </c>
      <c r="I1340" s="40" t="s">
        <v>1361</v>
      </c>
    </row>
    <row r="1341" spans="1:9" x14ac:dyDescent="0.25">
      <c r="A1341" s="40" t="s">
        <v>407</v>
      </c>
      <c r="B1341" s="28">
        <v>1480</v>
      </c>
      <c r="C1341" s="28">
        <v>5669456</v>
      </c>
      <c r="D1341" s="28"/>
      <c r="E1341" s="41">
        <v>46157</v>
      </c>
      <c r="F1341" s="47">
        <v>5.7986111111111113E-2</v>
      </c>
      <c r="G1341" s="44">
        <v>6.3</v>
      </c>
      <c r="H1341" s="43" t="s">
        <v>1362</v>
      </c>
      <c r="I1341" s="40" t="s">
        <v>1361</v>
      </c>
    </row>
    <row r="1342" spans="1:9" x14ac:dyDescent="0.25">
      <c r="A1342" s="40" t="s">
        <v>407</v>
      </c>
      <c r="B1342" s="28">
        <v>1480</v>
      </c>
      <c r="C1342" s="28">
        <v>5669457</v>
      </c>
      <c r="D1342" s="28"/>
      <c r="E1342" s="41">
        <v>46157</v>
      </c>
      <c r="F1342" s="47">
        <v>0.15744212962962964</v>
      </c>
      <c r="G1342" s="44">
        <v>6.3</v>
      </c>
      <c r="H1342" s="43" t="s">
        <v>1363</v>
      </c>
      <c r="I1342" s="40" t="s">
        <v>1361</v>
      </c>
    </row>
    <row r="1343" spans="1:9" x14ac:dyDescent="0.25">
      <c r="A1343" s="40" t="s">
        <v>407</v>
      </c>
      <c r="B1343" s="28">
        <v>1480</v>
      </c>
      <c r="C1343" s="28">
        <v>5669457</v>
      </c>
      <c r="D1343" s="28"/>
      <c r="E1343" s="45">
        <v>46157</v>
      </c>
      <c r="F1343" s="48">
        <v>0.16261574074074073</v>
      </c>
      <c r="G1343" s="44">
        <v>6.3</v>
      </c>
      <c r="H1343" s="43" t="s">
        <v>1364</v>
      </c>
      <c r="I1343" s="40" t="s">
        <v>1361</v>
      </c>
    </row>
    <row r="1344" spans="1:9" x14ac:dyDescent="0.25">
      <c r="A1344" s="40" t="s">
        <v>81</v>
      </c>
      <c r="B1344" s="28">
        <v>1485</v>
      </c>
      <c r="C1344" s="28">
        <v>5661391</v>
      </c>
      <c r="D1344" s="28"/>
      <c r="E1344" s="41">
        <v>46153</v>
      </c>
      <c r="F1344" s="47">
        <v>0.14181712962962964</v>
      </c>
      <c r="G1344" s="44">
        <v>6.3</v>
      </c>
      <c r="H1344" s="43" t="s">
        <v>1363</v>
      </c>
      <c r="I1344" s="40" t="s">
        <v>1361</v>
      </c>
    </row>
    <row r="1345" spans="1:9" x14ac:dyDescent="0.25">
      <c r="A1345" s="40" t="s">
        <v>81</v>
      </c>
      <c r="B1345" s="28">
        <v>1485</v>
      </c>
      <c r="C1345" s="28">
        <v>5661391</v>
      </c>
      <c r="D1345" s="28"/>
      <c r="E1345" s="41">
        <v>46153</v>
      </c>
      <c r="F1345" s="47">
        <v>0.14730324074074075</v>
      </c>
      <c r="G1345" s="44">
        <v>6.3</v>
      </c>
      <c r="H1345" s="43" t="s">
        <v>1364</v>
      </c>
      <c r="I1345" s="40" t="s">
        <v>1361</v>
      </c>
    </row>
    <row r="1346" spans="1:9" x14ac:dyDescent="0.25">
      <c r="A1346" s="40" t="s">
        <v>81</v>
      </c>
      <c r="B1346" s="28">
        <v>1485</v>
      </c>
      <c r="C1346" s="28">
        <v>5667793</v>
      </c>
      <c r="D1346" s="28"/>
      <c r="E1346" s="41">
        <v>46157</v>
      </c>
      <c r="F1346" s="47">
        <v>3.1990740740740743E-2</v>
      </c>
      <c r="G1346" s="44">
        <v>6.3</v>
      </c>
      <c r="H1346" s="43" t="s">
        <v>1360</v>
      </c>
      <c r="I1346" s="40" t="s">
        <v>1361</v>
      </c>
    </row>
    <row r="1347" spans="1:9" x14ac:dyDescent="0.25">
      <c r="A1347" s="40" t="s">
        <v>81</v>
      </c>
      <c r="B1347" s="28">
        <v>1485</v>
      </c>
      <c r="C1347" s="28">
        <v>5667793</v>
      </c>
      <c r="D1347" s="28"/>
      <c r="E1347" s="41">
        <v>46157</v>
      </c>
      <c r="F1347" s="47">
        <v>4.0775462962962965E-2</v>
      </c>
      <c r="G1347" s="42">
        <v>6.3</v>
      </c>
      <c r="H1347" s="40" t="s">
        <v>1362</v>
      </c>
      <c r="I1347" s="40" t="s">
        <v>1361</v>
      </c>
    </row>
    <row r="1348" spans="1:9" x14ac:dyDescent="0.25">
      <c r="A1348" s="40" t="s">
        <v>81</v>
      </c>
      <c r="B1348" s="28">
        <v>1485</v>
      </c>
      <c r="C1348" s="28">
        <v>5669147</v>
      </c>
      <c r="D1348" s="28" t="s">
        <v>37</v>
      </c>
      <c r="E1348" s="41">
        <v>46157</v>
      </c>
      <c r="F1348" s="47">
        <v>0.14331018518518518</v>
      </c>
      <c r="G1348" s="42">
        <v>6.3</v>
      </c>
      <c r="H1348" s="40" t="s">
        <v>1363</v>
      </c>
      <c r="I1348" s="40" t="s">
        <v>1361</v>
      </c>
    </row>
    <row r="1349" spans="1:9" x14ac:dyDescent="0.25">
      <c r="A1349" s="40" t="s">
        <v>81</v>
      </c>
      <c r="B1349" s="28">
        <v>1485</v>
      </c>
      <c r="C1349" s="28">
        <v>5669147</v>
      </c>
      <c r="D1349" s="28" t="s">
        <v>37</v>
      </c>
      <c r="E1349" s="41">
        <v>46157</v>
      </c>
      <c r="F1349" s="47">
        <v>0.14853009259259259</v>
      </c>
      <c r="G1349" s="42">
        <v>6.3</v>
      </c>
      <c r="H1349" s="40" t="s">
        <v>1364</v>
      </c>
      <c r="I1349" s="40" t="s">
        <v>1361</v>
      </c>
    </row>
    <row r="1350" spans="1:9" x14ac:dyDescent="0.25">
      <c r="A1350" s="40" t="s">
        <v>81</v>
      </c>
      <c r="B1350" s="28">
        <v>1485</v>
      </c>
      <c r="C1350" s="28">
        <v>5669145</v>
      </c>
      <c r="D1350" s="28" t="s">
        <v>37</v>
      </c>
      <c r="E1350" s="41">
        <v>46157</v>
      </c>
      <c r="F1350" s="47">
        <v>0.32336805555555553</v>
      </c>
      <c r="G1350" s="42">
        <v>6.3</v>
      </c>
      <c r="H1350" s="40" t="s">
        <v>1363</v>
      </c>
      <c r="I1350" s="40" t="s">
        <v>1361</v>
      </c>
    </row>
    <row r="1351" spans="1:9" x14ac:dyDescent="0.25">
      <c r="A1351" s="40" t="s">
        <v>81</v>
      </c>
      <c r="B1351" s="28">
        <v>1485</v>
      </c>
      <c r="C1351" s="28">
        <v>5669145</v>
      </c>
      <c r="D1351" s="28" t="s">
        <v>37</v>
      </c>
      <c r="E1351" s="41">
        <v>46157</v>
      </c>
      <c r="F1351" s="47">
        <v>0.33197916666666666</v>
      </c>
      <c r="G1351" s="44">
        <v>6.3</v>
      </c>
      <c r="H1351" s="43" t="s">
        <v>1364</v>
      </c>
      <c r="I1351" s="40" t="s">
        <v>1361</v>
      </c>
    </row>
    <row r="1352" spans="1:9" x14ac:dyDescent="0.25">
      <c r="A1352" s="40" t="s">
        <v>81</v>
      </c>
      <c r="B1352" s="28">
        <v>1485</v>
      </c>
      <c r="C1352" s="28">
        <v>5671046</v>
      </c>
      <c r="D1352" s="28"/>
      <c r="E1352" s="41">
        <v>46157</v>
      </c>
      <c r="F1352" s="47">
        <v>0.95049768518518518</v>
      </c>
      <c r="G1352" s="44">
        <v>6.3</v>
      </c>
      <c r="H1352" s="43" t="s">
        <v>1360</v>
      </c>
      <c r="I1352" s="40" t="s">
        <v>1361</v>
      </c>
    </row>
    <row r="1353" spans="1:9" x14ac:dyDescent="0.25">
      <c r="A1353" s="40" t="s">
        <v>81</v>
      </c>
      <c r="B1353" s="28">
        <v>1485</v>
      </c>
      <c r="C1353" s="28">
        <v>5671046</v>
      </c>
      <c r="D1353" s="28"/>
      <c r="E1353" s="45">
        <v>46157</v>
      </c>
      <c r="F1353" s="48">
        <v>0.9575231481481481</v>
      </c>
      <c r="G1353" s="44">
        <v>6.3</v>
      </c>
      <c r="H1353" s="43" t="s">
        <v>1362</v>
      </c>
      <c r="I1353" s="40" t="s">
        <v>1361</v>
      </c>
    </row>
    <row r="1354" spans="1:9" x14ac:dyDescent="0.25">
      <c r="A1354" s="40" t="s">
        <v>81</v>
      </c>
      <c r="B1354" s="28">
        <v>1485</v>
      </c>
      <c r="C1354" s="28">
        <v>5671141</v>
      </c>
      <c r="D1354" s="28"/>
      <c r="E1354" s="41">
        <v>46158</v>
      </c>
      <c r="F1354" s="47">
        <v>3.5752314814814813E-2</v>
      </c>
      <c r="G1354" s="44">
        <v>6.3</v>
      </c>
      <c r="H1354" s="43" t="s">
        <v>1360</v>
      </c>
      <c r="I1354" s="40" t="s">
        <v>1365</v>
      </c>
    </row>
    <row r="1355" spans="1:9" x14ac:dyDescent="0.25">
      <c r="A1355" s="40" t="s">
        <v>81</v>
      </c>
      <c r="B1355" s="28">
        <v>1485</v>
      </c>
      <c r="C1355" s="28">
        <v>5671141</v>
      </c>
      <c r="D1355" s="28"/>
      <c r="E1355" s="41">
        <v>46158</v>
      </c>
      <c r="F1355" s="47">
        <v>4.3645833333333335E-2</v>
      </c>
      <c r="G1355" s="44">
        <v>6.3</v>
      </c>
      <c r="H1355" s="43" t="s">
        <v>1362</v>
      </c>
      <c r="I1355" s="40" t="s">
        <v>1365</v>
      </c>
    </row>
    <row r="1356" spans="1:9" x14ac:dyDescent="0.25">
      <c r="A1356" s="40" t="s">
        <v>81</v>
      </c>
      <c r="B1356" s="28">
        <v>1485</v>
      </c>
      <c r="C1356" s="28" t="s">
        <v>648</v>
      </c>
      <c r="D1356" s="28"/>
      <c r="E1356" s="41">
        <v>46159</v>
      </c>
      <c r="F1356" s="47">
        <v>0.86512731481481486</v>
      </c>
      <c r="G1356" s="44">
        <v>6.3</v>
      </c>
      <c r="H1356" s="43" t="s">
        <v>1360</v>
      </c>
      <c r="I1356" s="40" t="s">
        <v>1365</v>
      </c>
    </row>
    <row r="1357" spans="1:9" x14ac:dyDescent="0.25">
      <c r="A1357" s="40" t="s">
        <v>81</v>
      </c>
      <c r="B1357" s="28">
        <v>1485</v>
      </c>
      <c r="C1357" s="28" t="s">
        <v>648</v>
      </c>
      <c r="D1357" s="28"/>
      <c r="E1357" s="41">
        <v>46159</v>
      </c>
      <c r="F1357" s="47">
        <v>0.87240740740740741</v>
      </c>
      <c r="G1357" s="44">
        <v>6.3</v>
      </c>
      <c r="H1357" s="43" t="s">
        <v>1362</v>
      </c>
      <c r="I1357" s="40" t="s">
        <v>1365</v>
      </c>
    </row>
    <row r="1358" spans="1:9" x14ac:dyDescent="0.25">
      <c r="A1358" s="40" t="s">
        <v>81</v>
      </c>
      <c r="B1358" s="28">
        <v>1485</v>
      </c>
      <c r="C1358" s="28">
        <v>5671829</v>
      </c>
      <c r="D1358" s="28"/>
      <c r="E1358" s="41">
        <v>46159</v>
      </c>
      <c r="F1358" s="47">
        <v>0.94464120370370375</v>
      </c>
      <c r="G1358" s="44">
        <v>6.3</v>
      </c>
      <c r="H1358" s="43" t="s">
        <v>1360</v>
      </c>
      <c r="I1358" s="40" t="s">
        <v>1365</v>
      </c>
    </row>
    <row r="1359" spans="1:9" x14ac:dyDescent="0.25">
      <c r="A1359" s="40" t="s">
        <v>81</v>
      </c>
      <c r="B1359" s="28">
        <v>1485</v>
      </c>
      <c r="C1359" s="28">
        <v>5671829</v>
      </c>
      <c r="D1359" s="28"/>
      <c r="E1359" s="45">
        <v>46159</v>
      </c>
      <c r="F1359" s="48">
        <v>0.95156249999999998</v>
      </c>
      <c r="G1359" s="44">
        <v>6.3</v>
      </c>
      <c r="H1359" s="43" t="s">
        <v>1362</v>
      </c>
      <c r="I1359" s="40" t="s">
        <v>1365</v>
      </c>
    </row>
    <row r="1360" spans="1:9" x14ac:dyDescent="0.25">
      <c r="A1360" s="40" t="s">
        <v>81</v>
      </c>
      <c r="B1360" s="28">
        <v>1485</v>
      </c>
      <c r="C1360" s="28" t="s">
        <v>35</v>
      </c>
      <c r="D1360" s="28" t="s">
        <v>38</v>
      </c>
      <c r="E1360" s="41">
        <v>46159</v>
      </c>
      <c r="F1360" s="47">
        <v>0.9662384259259259</v>
      </c>
      <c r="G1360" s="44">
        <v>6.3</v>
      </c>
      <c r="H1360" s="43" t="s">
        <v>1363</v>
      </c>
      <c r="I1360" s="40" t="s">
        <v>1365</v>
      </c>
    </row>
    <row r="1361" spans="1:9" x14ac:dyDescent="0.25">
      <c r="A1361" s="40" t="s">
        <v>81</v>
      </c>
      <c r="B1361" s="28">
        <v>1485</v>
      </c>
      <c r="C1361" s="28" t="s">
        <v>35</v>
      </c>
      <c r="D1361" s="28" t="s">
        <v>38</v>
      </c>
      <c r="E1361" s="41">
        <v>46159</v>
      </c>
      <c r="F1361" s="47">
        <v>0.97179398148148144</v>
      </c>
      <c r="G1361" s="44">
        <v>6.3</v>
      </c>
      <c r="H1361" s="43" t="s">
        <v>1364</v>
      </c>
      <c r="I1361" s="40" t="s">
        <v>1365</v>
      </c>
    </row>
    <row r="1362" spans="1:9" x14ac:dyDescent="0.25">
      <c r="A1362" s="40" t="s">
        <v>369</v>
      </c>
      <c r="B1362" s="28">
        <v>1502</v>
      </c>
      <c r="C1362" s="28" t="s">
        <v>35</v>
      </c>
      <c r="D1362" s="28" t="s">
        <v>38</v>
      </c>
      <c r="E1362" s="41">
        <v>46153</v>
      </c>
      <c r="F1362" s="47">
        <v>0.51162037037037034</v>
      </c>
      <c r="G1362" s="44">
        <v>6.3</v>
      </c>
      <c r="H1362" s="43" t="s">
        <v>1362</v>
      </c>
      <c r="I1362" s="40" t="s">
        <v>1361</v>
      </c>
    </row>
    <row r="1363" spans="1:9" x14ac:dyDescent="0.25">
      <c r="A1363" s="40" t="s">
        <v>369</v>
      </c>
      <c r="B1363" s="28">
        <v>1502</v>
      </c>
      <c r="C1363" s="28" t="s">
        <v>35</v>
      </c>
      <c r="D1363" s="28" t="s">
        <v>38</v>
      </c>
      <c r="E1363" s="41">
        <v>46153</v>
      </c>
      <c r="F1363" s="47">
        <v>0.56186342592592597</v>
      </c>
      <c r="G1363" s="44">
        <v>6.3</v>
      </c>
      <c r="H1363" s="43" t="s">
        <v>1369</v>
      </c>
      <c r="I1363" s="40" t="s">
        <v>1361</v>
      </c>
    </row>
    <row r="1364" spans="1:9" x14ac:dyDescent="0.25">
      <c r="A1364" s="40" t="s">
        <v>369</v>
      </c>
      <c r="B1364" s="28">
        <v>1502</v>
      </c>
      <c r="C1364" s="28" t="s">
        <v>35</v>
      </c>
      <c r="D1364" s="28" t="s">
        <v>38</v>
      </c>
      <c r="E1364" s="41">
        <v>46153</v>
      </c>
      <c r="F1364" s="47">
        <v>0.56831018518518517</v>
      </c>
      <c r="G1364" s="42">
        <v>6.3</v>
      </c>
      <c r="H1364" s="40" t="s">
        <v>1364</v>
      </c>
      <c r="I1364" s="40" t="s">
        <v>1361</v>
      </c>
    </row>
    <row r="1365" spans="1:9" x14ac:dyDescent="0.25">
      <c r="A1365" s="40" t="s">
        <v>369</v>
      </c>
      <c r="B1365" s="28">
        <v>1502</v>
      </c>
      <c r="C1365" s="28">
        <v>5665717</v>
      </c>
      <c r="D1365" s="28"/>
      <c r="E1365" s="41">
        <v>46154</v>
      </c>
      <c r="F1365" s="47">
        <v>0.89763888888888888</v>
      </c>
      <c r="G1365" s="42">
        <v>6.3</v>
      </c>
      <c r="H1365" s="40" t="s">
        <v>1360</v>
      </c>
      <c r="I1365" s="40" t="s">
        <v>1361</v>
      </c>
    </row>
    <row r="1366" spans="1:9" x14ac:dyDescent="0.25">
      <c r="A1366" s="40" t="s">
        <v>369</v>
      </c>
      <c r="B1366" s="28">
        <v>1502</v>
      </c>
      <c r="C1366" s="28">
        <v>5665717</v>
      </c>
      <c r="D1366" s="28"/>
      <c r="E1366" s="41">
        <v>46154</v>
      </c>
      <c r="F1366" s="47">
        <v>0.90554398148148152</v>
      </c>
      <c r="G1366" s="44">
        <v>6.3</v>
      </c>
      <c r="H1366" s="43" t="s">
        <v>1362</v>
      </c>
      <c r="I1366" s="40" t="s">
        <v>1361</v>
      </c>
    </row>
    <row r="1367" spans="1:9" x14ac:dyDescent="0.25">
      <c r="A1367" s="40" t="s">
        <v>369</v>
      </c>
      <c r="B1367" s="28">
        <v>1502</v>
      </c>
      <c r="C1367" s="28" t="s">
        <v>35</v>
      </c>
      <c r="D1367" s="28" t="s">
        <v>38</v>
      </c>
      <c r="E1367" s="41">
        <v>46154</v>
      </c>
      <c r="F1367" s="47">
        <v>0.93204861111111115</v>
      </c>
      <c r="G1367" s="44">
        <v>6.3</v>
      </c>
      <c r="H1367" s="43" t="s">
        <v>1369</v>
      </c>
      <c r="I1367" s="40" t="s">
        <v>1361</v>
      </c>
    </row>
    <row r="1368" spans="1:9" x14ac:dyDescent="0.25">
      <c r="A1368" s="40" t="s">
        <v>369</v>
      </c>
      <c r="B1368" s="28">
        <v>1502</v>
      </c>
      <c r="C1368" s="28" t="s">
        <v>35</v>
      </c>
      <c r="D1368" s="28" t="s">
        <v>38</v>
      </c>
      <c r="E1368" s="41">
        <v>46158</v>
      </c>
      <c r="F1368" s="47">
        <v>6.2928240740740743E-2</v>
      </c>
      <c r="G1368" s="44">
        <v>6.3</v>
      </c>
      <c r="H1368" s="43" t="s">
        <v>1369</v>
      </c>
      <c r="I1368" s="40" t="s">
        <v>1365</v>
      </c>
    </row>
    <row r="1369" spans="1:9" x14ac:dyDescent="0.25">
      <c r="A1369" s="40" t="s">
        <v>369</v>
      </c>
      <c r="B1369" s="28">
        <v>1502</v>
      </c>
      <c r="C1369" s="28" t="s">
        <v>649</v>
      </c>
      <c r="D1369" s="28"/>
      <c r="E1369" s="41">
        <v>46159</v>
      </c>
      <c r="F1369" s="47">
        <v>4.8865740740740737E-2</v>
      </c>
      <c r="G1369" s="44">
        <v>6.3</v>
      </c>
      <c r="H1369" s="43" t="s">
        <v>1360</v>
      </c>
      <c r="I1369" s="40" t="s">
        <v>1365</v>
      </c>
    </row>
    <row r="1370" spans="1:9" x14ac:dyDescent="0.25">
      <c r="A1370" s="40" t="s">
        <v>369</v>
      </c>
      <c r="B1370" s="28">
        <v>1502</v>
      </c>
      <c r="C1370" s="28" t="s">
        <v>649</v>
      </c>
      <c r="D1370" s="28"/>
      <c r="E1370" s="41">
        <v>46159</v>
      </c>
      <c r="F1370" s="47">
        <v>5.6747685185185186E-2</v>
      </c>
      <c r="G1370" s="44">
        <v>6.3</v>
      </c>
      <c r="H1370" s="43" t="s">
        <v>1362</v>
      </c>
      <c r="I1370" s="40" t="s">
        <v>1365</v>
      </c>
    </row>
    <row r="1371" spans="1:9" x14ac:dyDescent="0.25">
      <c r="A1371" s="40" t="s">
        <v>198</v>
      </c>
      <c r="B1371" s="28">
        <v>1524</v>
      </c>
      <c r="C1371" s="28">
        <v>5641820</v>
      </c>
      <c r="D1371" s="28"/>
      <c r="E1371" s="41">
        <v>46153</v>
      </c>
      <c r="F1371" s="47">
        <v>0.7592592592592593</v>
      </c>
      <c r="G1371" s="44">
        <v>6.3</v>
      </c>
      <c r="H1371" s="43" t="s">
        <v>1360</v>
      </c>
      <c r="I1371" s="40" t="s">
        <v>1361</v>
      </c>
    </row>
    <row r="1372" spans="1:9" x14ac:dyDescent="0.25">
      <c r="A1372" s="40" t="s">
        <v>198</v>
      </c>
      <c r="B1372" s="28">
        <v>1524</v>
      </c>
      <c r="C1372" s="28">
        <v>5641820</v>
      </c>
      <c r="D1372" s="28"/>
      <c r="E1372" s="41">
        <v>46153</v>
      </c>
      <c r="F1372" s="47">
        <v>0.77500000000000002</v>
      </c>
      <c r="G1372" s="44">
        <v>6.3</v>
      </c>
      <c r="H1372" s="43" t="s">
        <v>1366</v>
      </c>
      <c r="I1372" s="40" t="s">
        <v>1361</v>
      </c>
    </row>
    <row r="1373" spans="1:9" x14ac:dyDescent="0.25">
      <c r="A1373" s="40" t="s">
        <v>198</v>
      </c>
      <c r="B1373" s="28">
        <v>1524</v>
      </c>
      <c r="C1373" s="28" t="s">
        <v>35</v>
      </c>
      <c r="D1373" s="28" t="s">
        <v>38</v>
      </c>
      <c r="E1373" s="41">
        <v>46153</v>
      </c>
      <c r="F1373" s="47">
        <v>0.833125</v>
      </c>
      <c r="G1373" s="44">
        <v>6.3</v>
      </c>
      <c r="H1373" s="43" t="s">
        <v>1367</v>
      </c>
      <c r="I1373" s="40" t="s">
        <v>1361</v>
      </c>
    </row>
    <row r="1374" spans="1:9" x14ac:dyDescent="0.25">
      <c r="A1374" s="40" t="s">
        <v>198</v>
      </c>
      <c r="B1374" s="28">
        <v>1524</v>
      </c>
      <c r="C1374" s="28" t="s">
        <v>35</v>
      </c>
      <c r="D1374" s="28" t="s">
        <v>38</v>
      </c>
      <c r="E1374" s="41">
        <v>46153</v>
      </c>
      <c r="F1374" s="47">
        <v>0.83881944444444445</v>
      </c>
      <c r="G1374" s="44">
        <v>6.3</v>
      </c>
      <c r="H1374" s="43" t="s">
        <v>1364</v>
      </c>
      <c r="I1374" s="40" t="s">
        <v>1361</v>
      </c>
    </row>
    <row r="1375" spans="1:9" x14ac:dyDescent="0.25">
      <c r="A1375" s="40" t="s">
        <v>198</v>
      </c>
      <c r="B1375" s="28">
        <v>1524</v>
      </c>
      <c r="C1375" s="28" t="s">
        <v>35</v>
      </c>
      <c r="D1375" s="28" t="s">
        <v>38</v>
      </c>
      <c r="E1375" s="41">
        <v>46154</v>
      </c>
      <c r="F1375" s="47">
        <v>0.62993055555555555</v>
      </c>
      <c r="G1375" s="44">
        <v>6.3</v>
      </c>
      <c r="H1375" s="43" t="s">
        <v>1360</v>
      </c>
      <c r="I1375" s="40" t="s">
        <v>1361</v>
      </c>
    </row>
    <row r="1376" spans="1:9" x14ac:dyDescent="0.25">
      <c r="A1376" s="40" t="s">
        <v>198</v>
      </c>
      <c r="B1376" s="28">
        <v>1524</v>
      </c>
      <c r="C1376" s="28" t="s">
        <v>35</v>
      </c>
      <c r="D1376" s="28" t="s">
        <v>38</v>
      </c>
      <c r="E1376" s="41">
        <v>46154</v>
      </c>
      <c r="F1376" s="47">
        <v>0.6413888888888889</v>
      </c>
      <c r="G1376" s="44">
        <v>6.3</v>
      </c>
      <c r="H1376" s="43" t="s">
        <v>1362</v>
      </c>
      <c r="I1376" s="40" t="s">
        <v>1361</v>
      </c>
    </row>
    <row r="1377" spans="1:9" x14ac:dyDescent="0.25">
      <c r="A1377" s="40" t="s">
        <v>198</v>
      </c>
      <c r="B1377" s="28">
        <v>1524</v>
      </c>
      <c r="C1377" s="28">
        <v>5664067</v>
      </c>
      <c r="D1377" s="28"/>
      <c r="E1377" s="41">
        <v>46154</v>
      </c>
      <c r="F1377" s="47">
        <v>0.7049305555555555</v>
      </c>
      <c r="G1377" s="44">
        <v>6.3</v>
      </c>
      <c r="H1377" s="43" t="s">
        <v>1363</v>
      </c>
      <c r="I1377" s="40" t="s">
        <v>1361</v>
      </c>
    </row>
    <row r="1378" spans="1:9" x14ac:dyDescent="0.25">
      <c r="A1378" s="40" t="s">
        <v>198</v>
      </c>
      <c r="B1378" s="28">
        <v>1524</v>
      </c>
      <c r="C1378" s="28">
        <v>5665820</v>
      </c>
      <c r="D1378" s="28" t="s">
        <v>37</v>
      </c>
      <c r="E1378" s="41">
        <v>46155</v>
      </c>
      <c r="F1378" s="47">
        <v>0.41718749999999999</v>
      </c>
      <c r="G1378" s="44">
        <v>6.3</v>
      </c>
      <c r="H1378" s="43" t="s">
        <v>1363</v>
      </c>
      <c r="I1378" s="40" t="s">
        <v>1361</v>
      </c>
    </row>
    <row r="1379" spans="1:9" x14ac:dyDescent="0.25">
      <c r="A1379" s="40" t="s">
        <v>198</v>
      </c>
      <c r="B1379" s="28">
        <v>1524</v>
      </c>
      <c r="C1379" s="28">
        <v>5665820</v>
      </c>
      <c r="D1379" s="28" t="s">
        <v>37</v>
      </c>
      <c r="E1379" s="41">
        <v>46155</v>
      </c>
      <c r="F1379" s="47">
        <v>0.42428240740740741</v>
      </c>
      <c r="G1379" s="44">
        <v>6.3</v>
      </c>
      <c r="H1379" s="43" t="s">
        <v>1364</v>
      </c>
      <c r="I1379" s="40" t="s">
        <v>1361</v>
      </c>
    </row>
    <row r="1380" spans="1:9" x14ac:dyDescent="0.25">
      <c r="A1380" s="40" t="s">
        <v>198</v>
      </c>
      <c r="B1380" s="28">
        <v>1524</v>
      </c>
      <c r="C1380" s="28" t="s">
        <v>35</v>
      </c>
      <c r="D1380" s="28" t="s">
        <v>38</v>
      </c>
      <c r="E1380" s="41">
        <v>46155</v>
      </c>
      <c r="F1380" s="47">
        <v>0.86986111111111108</v>
      </c>
      <c r="G1380" s="44">
        <v>6.3</v>
      </c>
      <c r="H1380" s="43" t="s">
        <v>1363</v>
      </c>
      <c r="I1380" s="40" t="s">
        <v>1361</v>
      </c>
    </row>
    <row r="1381" spans="1:9" x14ac:dyDescent="0.25">
      <c r="A1381" s="40" t="s">
        <v>198</v>
      </c>
      <c r="B1381" s="28">
        <v>1524</v>
      </c>
      <c r="C1381" s="28" t="s">
        <v>35</v>
      </c>
      <c r="D1381" s="28" t="s">
        <v>38</v>
      </c>
      <c r="E1381" s="41">
        <v>46155</v>
      </c>
      <c r="F1381" s="47">
        <v>0.87770833333333331</v>
      </c>
      <c r="G1381" s="44">
        <v>6.3</v>
      </c>
      <c r="H1381" s="43" t="s">
        <v>1364</v>
      </c>
      <c r="I1381" s="40" t="s">
        <v>1361</v>
      </c>
    </row>
    <row r="1382" spans="1:9" x14ac:dyDescent="0.25">
      <c r="A1382" s="40" t="s">
        <v>198</v>
      </c>
      <c r="B1382" s="28">
        <v>1524</v>
      </c>
      <c r="C1382" s="28" t="s">
        <v>35</v>
      </c>
      <c r="D1382" s="28" t="s">
        <v>38</v>
      </c>
      <c r="E1382" s="41">
        <v>46156</v>
      </c>
      <c r="F1382" s="47">
        <v>0.61998842592592596</v>
      </c>
      <c r="G1382" s="44">
        <v>6.3</v>
      </c>
      <c r="H1382" s="43" t="s">
        <v>1364</v>
      </c>
      <c r="I1382" s="40" t="s">
        <v>1361</v>
      </c>
    </row>
    <row r="1383" spans="1:9" x14ac:dyDescent="0.25">
      <c r="A1383" s="40" t="s">
        <v>198</v>
      </c>
      <c r="B1383" s="28">
        <v>1524</v>
      </c>
      <c r="C1383" s="28">
        <v>5668126</v>
      </c>
      <c r="D1383" s="28"/>
      <c r="E1383" s="41">
        <v>46156</v>
      </c>
      <c r="F1383" s="47">
        <v>0.67478009259259264</v>
      </c>
      <c r="G1383" s="44">
        <v>6.3</v>
      </c>
      <c r="H1383" s="43" t="s">
        <v>1360</v>
      </c>
      <c r="I1383" s="40" t="s">
        <v>1361</v>
      </c>
    </row>
    <row r="1384" spans="1:9" x14ac:dyDescent="0.25">
      <c r="A1384" s="40" t="s">
        <v>198</v>
      </c>
      <c r="B1384" s="28">
        <v>1524</v>
      </c>
      <c r="C1384" s="28">
        <v>5668126</v>
      </c>
      <c r="D1384" s="28"/>
      <c r="E1384" s="41">
        <v>46156</v>
      </c>
      <c r="F1384" s="47">
        <v>0.68947916666666664</v>
      </c>
      <c r="G1384" s="44">
        <v>6.3</v>
      </c>
      <c r="H1384" s="43" t="s">
        <v>1368</v>
      </c>
      <c r="I1384" s="40" t="s">
        <v>1361</v>
      </c>
    </row>
    <row r="1385" spans="1:9" x14ac:dyDescent="0.25">
      <c r="A1385" s="40" t="s">
        <v>198</v>
      </c>
      <c r="B1385" s="28">
        <v>1524</v>
      </c>
      <c r="C1385" s="28" t="s">
        <v>35</v>
      </c>
      <c r="D1385" s="28" t="s">
        <v>38</v>
      </c>
      <c r="E1385" s="41">
        <v>46156</v>
      </c>
      <c r="F1385" s="47">
        <v>0.71960648148148143</v>
      </c>
      <c r="G1385" s="44">
        <v>6.3</v>
      </c>
      <c r="H1385" s="43" t="s">
        <v>1370</v>
      </c>
      <c r="I1385" s="40" t="s">
        <v>1361</v>
      </c>
    </row>
    <row r="1386" spans="1:9" x14ac:dyDescent="0.25">
      <c r="A1386" s="40" t="s">
        <v>198</v>
      </c>
      <c r="B1386" s="28">
        <v>1524</v>
      </c>
      <c r="C1386" s="28">
        <v>5657228</v>
      </c>
      <c r="D1386" s="28"/>
      <c r="E1386" s="41">
        <v>46157</v>
      </c>
      <c r="F1386" s="47">
        <v>0.43039351851851854</v>
      </c>
      <c r="G1386" s="44">
        <v>6.3</v>
      </c>
      <c r="H1386" s="43" t="s">
        <v>1360</v>
      </c>
      <c r="I1386" s="40" t="s">
        <v>1361</v>
      </c>
    </row>
    <row r="1387" spans="1:9" x14ac:dyDescent="0.25">
      <c r="A1387" s="40" t="s">
        <v>198</v>
      </c>
      <c r="B1387" s="28">
        <v>1524</v>
      </c>
      <c r="C1387" s="28">
        <v>5657228</v>
      </c>
      <c r="D1387" s="28"/>
      <c r="E1387" s="45">
        <v>46157</v>
      </c>
      <c r="F1387" s="48">
        <v>0.44141203703703702</v>
      </c>
      <c r="G1387" s="44">
        <v>6.3</v>
      </c>
      <c r="H1387" s="43" t="s">
        <v>1362</v>
      </c>
      <c r="I1387" s="40" t="s">
        <v>1361</v>
      </c>
    </row>
    <row r="1388" spans="1:9" x14ac:dyDescent="0.25">
      <c r="A1388" s="40" t="s">
        <v>198</v>
      </c>
      <c r="B1388" s="28">
        <v>1524</v>
      </c>
      <c r="C1388" s="28">
        <v>5669649</v>
      </c>
      <c r="D1388" s="28"/>
      <c r="E1388" s="41">
        <v>46157</v>
      </c>
      <c r="F1388" s="47">
        <v>0.53123842592592596</v>
      </c>
      <c r="G1388" s="44">
        <v>6.3</v>
      </c>
      <c r="H1388" s="43" t="s">
        <v>1363</v>
      </c>
      <c r="I1388" s="40" t="s">
        <v>1361</v>
      </c>
    </row>
    <row r="1389" spans="1:9" x14ac:dyDescent="0.25">
      <c r="A1389" s="40" t="s">
        <v>198</v>
      </c>
      <c r="B1389" s="28">
        <v>1524</v>
      </c>
      <c r="C1389" s="28">
        <v>5669649</v>
      </c>
      <c r="D1389" s="28"/>
      <c r="E1389" s="41">
        <v>46157</v>
      </c>
      <c r="F1389" s="47">
        <v>0.53706018518518517</v>
      </c>
      <c r="G1389" s="44">
        <v>6.3</v>
      </c>
      <c r="H1389" s="43" t="s">
        <v>1364</v>
      </c>
      <c r="I1389" s="40" t="s">
        <v>1361</v>
      </c>
    </row>
    <row r="1390" spans="1:9" x14ac:dyDescent="0.25">
      <c r="A1390" s="40" t="s">
        <v>198</v>
      </c>
      <c r="B1390" s="28">
        <v>1524</v>
      </c>
      <c r="C1390" s="28">
        <v>5672075</v>
      </c>
      <c r="D1390" s="28"/>
      <c r="E1390" s="41">
        <v>46159</v>
      </c>
      <c r="F1390" s="47">
        <v>0.36390046296296297</v>
      </c>
      <c r="G1390" s="44">
        <v>6.3</v>
      </c>
      <c r="H1390" s="43" t="s">
        <v>1363</v>
      </c>
      <c r="I1390" s="40" t="s">
        <v>1365</v>
      </c>
    </row>
    <row r="1391" spans="1:9" x14ac:dyDescent="0.25">
      <c r="A1391" s="40" t="s">
        <v>198</v>
      </c>
      <c r="B1391" s="28">
        <v>1524</v>
      </c>
      <c r="C1391" s="28">
        <v>5672075</v>
      </c>
      <c r="D1391" s="28"/>
      <c r="E1391" s="45">
        <v>46159</v>
      </c>
      <c r="F1391" s="48">
        <v>0.36899305555555556</v>
      </c>
      <c r="G1391" s="44">
        <v>6.3</v>
      </c>
      <c r="H1391" s="43" t="s">
        <v>1364</v>
      </c>
      <c r="I1391" s="40" t="s">
        <v>1365</v>
      </c>
    </row>
    <row r="1392" spans="1:9" x14ac:dyDescent="0.25">
      <c r="A1392" s="40" t="s">
        <v>198</v>
      </c>
      <c r="B1392" s="28">
        <v>1524</v>
      </c>
      <c r="C1392" s="28">
        <v>5671933</v>
      </c>
      <c r="D1392" s="28"/>
      <c r="E1392" s="45">
        <v>46159</v>
      </c>
      <c r="F1392" s="48">
        <v>0.8449768518518519</v>
      </c>
      <c r="G1392" s="44">
        <v>6.3</v>
      </c>
      <c r="H1392" s="43" t="s">
        <v>1360</v>
      </c>
      <c r="I1392" s="40" t="s">
        <v>1365</v>
      </c>
    </row>
    <row r="1393" spans="1:9" x14ac:dyDescent="0.25">
      <c r="A1393" s="40" t="s">
        <v>198</v>
      </c>
      <c r="B1393" s="28">
        <v>1524</v>
      </c>
      <c r="C1393" s="28">
        <v>5671933</v>
      </c>
      <c r="D1393" s="28"/>
      <c r="E1393" s="45">
        <v>46159</v>
      </c>
      <c r="F1393" s="48">
        <v>0.85307870370370376</v>
      </c>
      <c r="G1393" s="44">
        <v>6.3</v>
      </c>
      <c r="H1393" s="43" t="s">
        <v>1362</v>
      </c>
      <c r="I1393" s="40" t="s">
        <v>1365</v>
      </c>
    </row>
    <row r="1394" spans="1:9" x14ac:dyDescent="0.25">
      <c r="A1394" s="40" t="s">
        <v>198</v>
      </c>
      <c r="B1394" s="28">
        <v>1524</v>
      </c>
      <c r="C1394" s="28" t="s">
        <v>35</v>
      </c>
      <c r="D1394" s="28" t="s">
        <v>38</v>
      </c>
      <c r="E1394" s="41">
        <v>46159</v>
      </c>
      <c r="F1394" s="47">
        <v>0.880462962962963</v>
      </c>
      <c r="G1394" s="44">
        <v>6.3</v>
      </c>
      <c r="H1394" s="43" t="s">
        <v>1363</v>
      </c>
      <c r="I1394" s="40" t="s">
        <v>1365</v>
      </c>
    </row>
    <row r="1395" spans="1:9" x14ac:dyDescent="0.25">
      <c r="A1395" s="40" t="s">
        <v>198</v>
      </c>
      <c r="B1395" s="28">
        <v>1524</v>
      </c>
      <c r="C1395" s="28" t="s">
        <v>35</v>
      </c>
      <c r="D1395" s="28" t="s">
        <v>38</v>
      </c>
      <c r="E1395" s="45">
        <v>46159</v>
      </c>
      <c r="F1395" s="48">
        <v>0.88658564814814811</v>
      </c>
      <c r="G1395" s="44">
        <v>6.3</v>
      </c>
      <c r="H1395" s="43" t="s">
        <v>1364</v>
      </c>
      <c r="I1395" s="40" t="s">
        <v>1365</v>
      </c>
    </row>
    <row r="1396" spans="1:9" x14ac:dyDescent="0.25">
      <c r="A1396" s="40" t="s">
        <v>91</v>
      </c>
      <c r="B1396" s="28">
        <v>1532</v>
      </c>
      <c r="C1396" s="28" t="s">
        <v>35</v>
      </c>
      <c r="D1396" s="28" t="s">
        <v>38</v>
      </c>
      <c r="E1396" s="41">
        <v>46153</v>
      </c>
      <c r="F1396" s="47">
        <v>0.61627314814814815</v>
      </c>
      <c r="G1396" s="44">
        <v>6.3</v>
      </c>
      <c r="H1396" s="43" t="s">
        <v>1360</v>
      </c>
      <c r="I1396" s="40" t="s">
        <v>1361</v>
      </c>
    </row>
    <row r="1397" spans="1:9" x14ac:dyDescent="0.25">
      <c r="A1397" s="40" t="s">
        <v>91</v>
      </c>
      <c r="B1397" s="28">
        <v>1532</v>
      </c>
      <c r="C1397" s="28" t="s">
        <v>35</v>
      </c>
      <c r="D1397" s="28" t="s">
        <v>38</v>
      </c>
      <c r="E1397" s="41">
        <v>46153</v>
      </c>
      <c r="F1397" s="47">
        <v>0.62451388888888892</v>
      </c>
      <c r="G1397" s="44">
        <v>6.3</v>
      </c>
      <c r="H1397" s="43" t="s">
        <v>1362</v>
      </c>
      <c r="I1397" s="40" t="s">
        <v>1361</v>
      </c>
    </row>
    <row r="1398" spans="1:9" x14ac:dyDescent="0.25">
      <c r="A1398" s="40" t="s">
        <v>91</v>
      </c>
      <c r="B1398" s="28">
        <v>1532</v>
      </c>
      <c r="C1398" s="28" t="s">
        <v>35</v>
      </c>
      <c r="D1398" s="28" t="s">
        <v>38</v>
      </c>
      <c r="E1398" s="41">
        <v>46156</v>
      </c>
      <c r="F1398" s="47">
        <v>1.6712962962962964E-2</v>
      </c>
      <c r="G1398" s="42">
        <v>6.3</v>
      </c>
      <c r="H1398" s="40" t="s">
        <v>1360</v>
      </c>
      <c r="I1398" s="40" t="s">
        <v>1361</v>
      </c>
    </row>
    <row r="1399" spans="1:9" x14ac:dyDescent="0.25">
      <c r="A1399" s="40" t="s">
        <v>91</v>
      </c>
      <c r="B1399" s="28">
        <v>1532</v>
      </c>
      <c r="C1399" s="28" t="s">
        <v>35</v>
      </c>
      <c r="D1399" s="28" t="s">
        <v>38</v>
      </c>
      <c r="E1399" s="41">
        <v>46156</v>
      </c>
      <c r="F1399" s="47">
        <v>2.4074074074074074E-2</v>
      </c>
      <c r="G1399" s="44">
        <v>6.3</v>
      </c>
      <c r="H1399" s="43" t="s">
        <v>1368</v>
      </c>
      <c r="I1399" s="40" t="s">
        <v>1361</v>
      </c>
    </row>
    <row r="1400" spans="1:9" x14ac:dyDescent="0.25">
      <c r="A1400" s="40" t="s">
        <v>91</v>
      </c>
      <c r="B1400" s="28">
        <v>1532</v>
      </c>
      <c r="C1400" s="28" t="s">
        <v>35</v>
      </c>
      <c r="D1400" s="28" t="s">
        <v>38</v>
      </c>
      <c r="E1400" s="45">
        <v>46157</v>
      </c>
      <c r="F1400" s="48">
        <v>0.88701388888888888</v>
      </c>
      <c r="G1400" s="44">
        <v>6.3</v>
      </c>
      <c r="H1400" s="43" t="s">
        <v>1363</v>
      </c>
      <c r="I1400" s="40" t="s">
        <v>1361</v>
      </c>
    </row>
    <row r="1401" spans="1:9" x14ac:dyDescent="0.25">
      <c r="A1401" s="40" t="s">
        <v>91</v>
      </c>
      <c r="B1401" s="28">
        <v>1532</v>
      </c>
      <c r="C1401" s="28" t="s">
        <v>35</v>
      </c>
      <c r="D1401" s="28" t="s">
        <v>38</v>
      </c>
      <c r="E1401" s="41">
        <v>46157</v>
      </c>
      <c r="F1401" s="47">
        <v>0.89722222222222225</v>
      </c>
      <c r="G1401" s="44">
        <v>6.3</v>
      </c>
      <c r="H1401" s="43" t="s">
        <v>1364</v>
      </c>
      <c r="I1401" s="40" t="s">
        <v>1361</v>
      </c>
    </row>
    <row r="1402" spans="1:9" x14ac:dyDescent="0.25">
      <c r="A1402" s="40" t="s">
        <v>91</v>
      </c>
      <c r="B1402" s="28">
        <v>1532</v>
      </c>
      <c r="C1402" s="28" t="s">
        <v>35</v>
      </c>
      <c r="D1402" s="28" t="s">
        <v>38</v>
      </c>
      <c r="E1402" s="41">
        <v>46157</v>
      </c>
      <c r="F1402" s="47">
        <v>0.9354513888888889</v>
      </c>
      <c r="G1402" s="44">
        <v>6.3</v>
      </c>
      <c r="H1402" s="43" t="s">
        <v>1360</v>
      </c>
      <c r="I1402" s="40" t="s">
        <v>1361</v>
      </c>
    </row>
    <row r="1403" spans="1:9" x14ac:dyDescent="0.25">
      <c r="A1403" s="40" t="s">
        <v>91</v>
      </c>
      <c r="B1403" s="28">
        <v>1532</v>
      </c>
      <c r="C1403" s="28" t="s">
        <v>35</v>
      </c>
      <c r="D1403" s="28" t="s">
        <v>38</v>
      </c>
      <c r="E1403" s="41">
        <v>46157</v>
      </c>
      <c r="F1403" s="47">
        <v>0.94328703703703709</v>
      </c>
      <c r="G1403" s="44">
        <v>6.3</v>
      </c>
      <c r="H1403" s="43" t="s">
        <v>1362</v>
      </c>
      <c r="I1403" s="40" t="s">
        <v>1361</v>
      </c>
    </row>
    <row r="1404" spans="1:9" x14ac:dyDescent="0.25">
      <c r="A1404" s="40" t="s">
        <v>91</v>
      </c>
      <c r="B1404" s="28">
        <v>1532</v>
      </c>
      <c r="C1404" s="28" t="s">
        <v>650</v>
      </c>
      <c r="D1404" s="28"/>
      <c r="E1404" s="41">
        <v>46159</v>
      </c>
      <c r="F1404" s="47">
        <v>1.2870370370370371E-2</v>
      </c>
      <c r="G1404" s="44">
        <v>6.3</v>
      </c>
      <c r="H1404" s="43" t="s">
        <v>1360</v>
      </c>
      <c r="I1404" s="40" t="s">
        <v>1365</v>
      </c>
    </row>
    <row r="1405" spans="1:9" x14ac:dyDescent="0.25">
      <c r="A1405" s="40" t="s">
        <v>91</v>
      </c>
      <c r="B1405" s="28">
        <v>1532</v>
      </c>
      <c r="C1405" s="28" t="s">
        <v>650</v>
      </c>
      <c r="D1405" s="28"/>
      <c r="E1405" s="41">
        <v>46159</v>
      </c>
      <c r="F1405" s="47">
        <v>1.9421296296296298E-2</v>
      </c>
      <c r="G1405" s="44">
        <v>6.3</v>
      </c>
      <c r="H1405" s="43" t="s">
        <v>1362</v>
      </c>
      <c r="I1405" s="40" t="s">
        <v>1365</v>
      </c>
    </row>
    <row r="1406" spans="1:9" x14ac:dyDescent="0.25">
      <c r="A1406" s="40" t="s">
        <v>91</v>
      </c>
      <c r="B1406" s="28">
        <v>1532</v>
      </c>
      <c r="C1406" s="28" t="s">
        <v>651</v>
      </c>
      <c r="D1406" s="28"/>
      <c r="E1406" s="41">
        <v>46159</v>
      </c>
      <c r="F1406" s="47">
        <v>0.15872685185185184</v>
      </c>
      <c r="G1406" s="44">
        <v>6.3</v>
      </c>
      <c r="H1406" s="43" t="s">
        <v>1363</v>
      </c>
      <c r="I1406" s="40" t="s">
        <v>1365</v>
      </c>
    </row>
    <row r="1407" spans="1:9" x14ac:dyDescent="0.25">
      <c r="A1407" s="40" t="s">
        <v>91</v>
      </c>
      <c r="B1407" s="28">
        <v>1532</v>
      </c>
      <c r="C1407" s="28" t="s">
        <v>651</v>
      </c>
      <c r="D1407" s="28"/>
      <c r="E1407" s="41">
        <v>46159</v>
      </c>
      <c r="F1407" s="47">
        <v>0.16328703703703704</v>
      </c>
      <c r="G1407" s="44">
        <v>6.3</v>
      </c>
      <c r="H1407" s="43" t="s">
        <v>1364</v>
      </c>
      <c r="I1407" s="40" t="s">
        <v>1365</v>
      </c>
    </row>
    <row r="1408" spans="1:9" x14ac:dyDescent="0.25">
      <c r="A1408" s="40" t="s">
        <v>217</v>
      </c>
      <c r="B1408" s="28">
        <v>1537</v>
      </c>
      <c r="C1408" s="28" t="s">
        <v>652</v>
      </c>
      <c r="D1408" s="28"/>
      <c r="E1408" s="45">
        <v>46153</v>
      </c>
      <c r="F1408" s="48">
        <v>3.2615740740740744E-2</v>
      </c>
      <c r="G1408" s="44">
        <v>6.3</v>
      </c>
      <c r="H1408" s="43" t="s">
        <v>1360</v>
      </c>
      <c r="I1408" s="40" t="s">
        <v>1361</v>
      </c>
    </row>
    <row r="1409" spans="1:9" x14ac:dyDescent="0.25">
      <c r="A1409" s="40" t="s">
        <v>217</v>
      </c>
      <c r="B1409" s="28">
        <v>1537</v>
      </c>
      <c r="C1409" s="28" t="s">
        <v>652</v>
      </c>
      <c r="D1409" s="28"/>
      <c r="E1409" s="41">
        <v>46153</v>
      </c>
      <c r="F1409" s="47">
        <v>4.0150462962962964E-2</v>
      </c>
      <c r="G1409" s="44">
        <v>6.3</v>
      </c>
      <c r="H1409" s="43" t="s">
        <v>1362</v>
      </c>
      <c r="I1409" s="40" t="s">
        <v>1361</v>
      </c>
    </row>
    <row r="1410" spans="1:9" x14ac:dyDescent="0.25">
      <c r="A1410" s="40" t="s">
        <v>217</v>
      </c>
      <c r="B1410" s="28">
        <v>1537</v>
      </c>
      <c r="C1410" s="28" t="s">
        <v>653</v>
      </c>
      <c r="D1410" s="28"/>
      <c r="E1410" s="41">
        <v>46153</v>
      </c>
      <c r="F1410" s="47">
        <v>0.2442013888888889</v>
      </c>
      <c r="G1410" s="44">
        <v>6.3</v>
      </c>
      <c r="H1410" s="43" t="s">
        <v>1360</v>
      </c>
      <c r="I1410" s="40" t="s">
        <v>1361</v>
      </c>
    </row>
    <row r="1411" spans="1:9" x14ac:dyDescent="0.25">
      <c r="A1411" s="40" t="s">
        <v>217</v>
      </c>
      <c r="B1411" s="28">
        <v>1537</v>
      </c>
      <c r="C1411" s="28" t="s">
        <v>653</v>
      </c>
      <c r="D1411" s="28"/>
      <c r="E1411" s="41">
        <v>46153</v>
      </c>
      <c r="F1411" s="47">
        <v>0.2535648148148148</v>
      </c>
      <c r="G1411" s="44">
        <v>6.3</v>
      </c>
      <c r="H1411" s="43" t="s">
        <v>1368</v>
      </c>
      <c r="I1411" s="40" t="s">
        <v>1361</v>
      </c>
    </row>
    <row r="1412" spans="1:9" x14ac:dyDescent="0.25">
      <c r="A1412" s="40" t="s">
        <v>217</v>
      </c>
      <c r="B1412" s="28">
        <v>1537</v>
      </c>
      <c r="C1412" s="28" t="s">
        <v>654</v>
      </c>
      <c r="D1412" s="28"/>
      <c r="E1412" s="41">
        <v>46153</v>
      </c>
      <c r="F1412" s="47">
        <v>0.53604166666666664</v>
      </c>
      <c r="G1412" s="44">
        <v>6.3</v>
      </c>
      <c r="H1412" s="43" t="s">
        <v>1362</v>
      </c>
      <c r="I1412" s="40" t="s">
        <v>1361</v>
      </c>
    </row>
    <row r="1413" spans="1:9" x14ac:dyDescent="0.25">
      <c r="A1413" s="40" t="s">
        <v>217</v>
      </c>
      <c r="B1413" s="28">
        <v>1537</v>
      </c>
      <c r="C1413" s="28" t="s">
        <v>655</v>
      </c>
      <c r="D1413" s="28"/>
      <c r="E1413" s="41">
        <v>46153</v>
      </c>
      <c r="F1413" s="47">
        <v>0.61578703703703708</v>
      </c>
      <c r="G1413" s="42">
        <v>6.3</v>
      </c>
      <c r="H1413" s="40" t="s">
        <v>1363</v>
      </c>
      <c r="I1413" s="40" t="s">
        <v>1361</v>
      </c>
    </row>
    <row r="1414" spans="1:9" x14ac:dyDescent="0.25">
      <c r="A1414" s="40" t="s">
        <v>217</v>
      </c>
      <c r="B1414" s="28">
        <v>1537</v>
      </c>
      <c r="C1414" s="28" t="s">
        <v>655</v>
      </c>
      <c r="D1414" s="28"/>
      <c r="E1414" s="41">
        <v>46153</v>
      </c>
      <c r="F1414" s="47">
        <v>0.62211805555555555</v>
      </c>
      <c r="G1414" s="42">
        <v>6.3</v>
      </c>
      <c r="H1414" s="40" t="s">
        <v>1364</v>
      </c>
      <c r="I1414" s="40" t="s">
        <v>1361</v>
      </c>
    </row>
    <row r="1415" spans="1:9" x14ac:dyDescent="0.25">
      <c r="A1415" s="40" t="s">
        <v>217</v>
      </c>
      <c r="B1415" s="28">
        <v>1537</v>
      </c>
      <c r="C1415" s="28" t="s">
        <v>656</v>
      </c>
      <c r="D1415" s="28"/>
      <c r="E1415" s="45">
        <v>46155</v>
      </c>
      <c r="F1415" s="48">
        <v>0.91292824074074075</v>
      </c>
      <c r="G1415" s="42">
        <v>6.3</v>
      </c>
      <c r="H1415" s="40" t="s">
        <v>1360</v>
      </c>
      <c r="I1415" s="40" t="s">
        <v>1361</v>
      </c>
    </row>
    <row r="1416" spans="1:9" x14ac:dyDescent="0.25">
      <c r="A1416" s="40" t="s">
        <v>217</v>
      </c>
      <c r="B1416" s="28">
        <v>1537</v>
      </c>
      <c r="C1416" s="28" t="s">
        <v>656</v>
      </c>
      <c r="D1416" s="28"/>
      <c r="E1416" s="45">
        <v>46155</v>
      </c>
      <c r="F1416" s="48">
        <v>0.92005787037037035</v>
      </c>
      <c r="G1416" s="44">
        <v>6.3</v>
      </c>
      <c r="H1416" s="43" t="s">
        <v>1362</v>
      </c>
      <c r="I1416" s="40" t="s">
        <v>1361</v>
      </c>
    </row>
    <row r="1417" spans="1:9" x14ac:dyDescent="0.25">
      <c r="A1417" s="40" t="s">
        <v>217</v>
      </c>
      <c r="B1417" s="28">
        <v>1537</v>
      </c>
      <c r="C1417" s="28" t="s">
        <v>657</v>
      </c>
      <c r="D1417" s="28"/>
      <c r="E1417" s="41">
        <v>46156</v>
      </c>
      <c r="F1417" s="47">
        <v>0.33689814814814817</v>
      </c>
      <c r="G1417" s="44">
        <v>6.3</v>
      </c>
      <c r="H1417" s="43" t="s">
        <v>1360</v>
      </c>
      <c r="I1417" s="40" t="s">
        <v>1361</v>
      </c>
    </row>
    <row r="1418" spans="1:9" x14ac:dyDescent="0.25">
      <c r="A1418" s="40" t="s">
        <v>217</v>
      </c>
      <c r="B1418" s="28">
        <v>1537</v>
      </c>
      <c r="C1418" s="28" t="s">
        <v>657</v>
      </c>
      <c r="D1418" s="28"/>
      <c r="E1418" s="41">
        <v>46156</v>
      </c>
      <c r="F1418" s="47">
        <v>0.35476851851851854</v>
      </c>
      <c r="G1418" s="44">
        <v>6.3</v>
      </c>
      <c r="H1418" s="43" t="s">
        <v>1362</v>
      </c>
      <c r="I1418" s="40" t="s">
        <v>1361</v>
      </c>
    </row>
    <row r="1419" spans="1:9" x14ac:dyDescent="0.25">
      <c r="A1419" s="40" t="s">
        <v>217</v>
      </c>
      <c r="B1419" s="28">
        <v>1537</v>
      </c>
      <c r="C1419" s="28" t="s">
        <v>658</v>
      </c>
      <c r="D1419" s="28"/>
      <c r="E1419" s="41">
        <v>46156</v>
      </c>
      <c r="F1419" s="47">
        <v>0.69474537037037032</v>
      </c>
      <c r="G1419" s="44">
        <v>6.3</v>
      </c>
      <c r="H1419" s="43" t="s">
        <v>1363</v>
      </c>
      <c r="I1419" s="40" t="s">
        <v>1361</v>
      </c>
    </row>
    <row r="1420" spans="1:9" x14ac:dyDescent="0.25">
      <c r="A1420" s="40" t="s">
        <v>217</v>
      </c>
      <c r="B1420" s="28">
        <v>1537</v>
      </c>
      <c r="C1420" s="28">
        <v>5668775</v>
      </c>
      <c r="D1420" s="28"/>
      <c r="E1420" s="41">
        <v>46156</v>
      </c>
      <c r="F1420" s="47">
        <v>0.84245370370370365</v>
      </c>
      <c r="G1420" s="44">
        <v>6.3</v>
      </c>
      <c r="H1420" s="43" t="s">
        <v>1363</v>
      </c>
      <c r="I1420" s="40" t="s">
        <v>1361</v>
      </c>
    </row>
    <row r="1421" spans="1:9" x14ac:dyDescent="0.25">
      <c r="A1421" s="40" t="s">
        <v>217</v>
      </c>
      <c r="B1421" s="28">
        <v>1537</v>
      </c>
      <c r="C1421" s="28">
        <v>5668775</v>
      </c>
      <c r="D1421" s="28"/>
      <c r="E1421" s="45">
        <v>46156</v>
      </c>
      <c r="F1421" s="48">
        <v>0.85339120370370369</v>
      </c>
      <c r="G1421" s="44">
        <v>6.3</v>
      </c>
      <c r="H1421" s="43" t="s">
        <v>1364</v>
      </c>
      <c r="I1421" s="40" t="s">
        <v>1361</v>
      </c>
    </row>
    <row r="1422" spans="1:9" x14ac:dyDescent="0.25">
      <c r="A1422" s="40" t="s">
        <v>217</v>
      </c>
      <c r="B1422" s="28">
        <v>1537</v>
      </c>
      <c r="C1422" s="28" t="s">
        <v>659</v>
      </c>
      <c r="D1422" s="28"/>
      <c r="E1422" s="45">
        <v>46157</v>
      </c>
      <c r="F1422" s="48">
        <v>0.38681712962962961</v>
      </c>
      <c r="G1422" s="44">
        <v>6.3</v>
      </c>
      <c r="H1422" s="43" t="s">
        <v>1363</v>
      </c>
      <c r="I1422" s="40" t="s">
        <v>1361</v>
      </c>
    </row>
    <row r="1423" spans="1:9" x14ac:dyDescent="0.25">
      <c r="A1423" s="40" t="s">
        <v>217</v>
      </c>
      <c r="B1423" s="28">
        <v>1537</v>
      </c>
      <c r="C1423" s="28" t="s">
        <v>660</v>
      </c>
      <c r="D1423" s="28"/>
      <c r="E1423" s="41">
        <v>46157</v>
      </c>
      <c r="F1423" s="47">
        <v>0.70700231481481479</v>
      </c>
      <c r="G1423" s="44">
        <v>6.3</v>
      </c>
      <c r="H1423" s="43" t="s">
        <v>1363</v>
      </c>
      <c r="I1423" s="40" t="s">
        <v>1361</v>
      </c>
    </row>
    <row r="1424" spans="1:9" x14ac:dyDescent="0.25">
      <c r="A1424" s="40" t="s">
        <v>217</v>
      </c>
      <c r="B1424" s="28">
        <v>1537</v>
      </c>
      <c r="C1424" s="28" t="s">
        <v>660</v>
      </c>
      <c r="D1424" s="28"/>
      <c r="E1424" s="41">
        <v>46157</v>
      </c>
      <c r="F1424" s="47">
        <v>0.72166666666666668</v>
      </c>
      <c r="G1424" s="42">
        <v>6.3</v>
      </c>
      <c r="H1424" s="40" t="s">
        <v>1364</v>
      </c>
      <c r="I1424" s="40" t="s">
        <v>1361</v>
      </c>
    </row>
    <row r="1425" spans="1:9" x14ac:dyDescent="0.25">
      <c r="A1425" s="40" t="s">
        <v>217</v>
      </c>
      <c r="B1425" s="28">
        <v>1537</v>
      </c>
      <c r="C1425" s="28">
        <v>5672533</v>
      </c>
      <c r="D1425" s="28"/>
      <c r="E1425" s="41">
        <v>46159</v>
      </c>
      <c r="F1425" s="47">
        <v>0.57692129629629629</v>
      </c>
      <c r="G1425" s="42">
        <v>6.3</v>
      </c>
      <c r="H1425" s="40" t="s">
        <v>1360</v>
      </c>
      <c r="I1425" s="40" t="s">
        <v>1365</v>
      </c>
    </row>
    <row r="1426" spans="1:9" x14ac:dyDescent="0.25">
      <c r="A1426" s="40" t="s">
        <v>217</v>
      </c>
      <c r="B1426" s="28">
        <v>1537</v>
      </c>
      <c r="C1426" s="28">
        <v>5672533</v>
      </c>
      <c r="D1426" s="28"/>
      <c r="E1426" s="45">
        <v>46159</v>
      </c>
      <c r="F1426" s="48">
        <v>0.58399305555555558</v>
      </c>
      <c r="G1426" s="44">
        <v>6.3</v>
      </c>
      <c r="H1426" s="43" t="s">
        <v>1368</v>
      </c>
      <c r="I1426" s="40" t="s">
        <v>1365</v>
      </c>
    </row>
    <row r="1427" spans="1:9" x14ac:dyDescent="0.25">
      <c r="A1427" s="40" t="s">
        <v>228</v>
      </c>
      <c r="B1427" s="28">
        <v>1541</v>
      </c>
      <c r="C1427" s="28">
        <v>5661660</v>
      </c>
      <c r="D1427" s="28" t="s">
        <v>37</v>
      </c>
      <c r="E1427" s="41">
        <v>46153</v>
      </c>
      <c r="F1427" s="47">
        <v>0.24068287037037037</v>
      </c>
      <c r="G1427" s="44">
        <v>6.3</v>
      </c>
      <c r="H1427" s="43" t="s">
        <v>1363</v>
      </c>
      <c r="I1427" s="40" t="s">
        <v>1361</v>
      </c>
    </row>
    <row r="1428" spans="1:9" x14ac:dyDescent="0.25">
      <c r="A1428" s="40" t="s">
        <v>228</v>
      </c>
      <c r="B1428" s="28">
        <v>1541</v>
      </c>
      <c r="C1428" s="28">
        <v>5661660</v>
      </c>
      <c r="D1428" s="28" t="s">
        <v>37</v>
      </c>
      <c r="E1428" s="41">
        <v>46153</v>
      </c>
      <c r="F1428" s="47">
        <v>0.24672453703703703</v>
      </c>
      <c r="G1428" s="44">
        <v>6.3</v>
      </c>
      <c r="H1428" s="43" t="s">
        <v>1364</v>
      </c>
      <c r="I1428" s="40" t="s">
        <v>1361</v>
      </c>
    </row>
    <row r="1429" spans="1:9" x14ac:dyDescent="0.25">
      <c r="A1429" s="40" t="s">
        <v>228</v>
      </c>
      <c r="B1429" s="28">
        <v>1541</v>
      </c>
      <c r="C1429" s="28">
        <v>5663645</v>
      </c>
      <c r="D1429" s="28"/>
      <c r="E1429" s="41">
        <v>46153</v>
      </c>
      <c r="F1429" s="47">
        <v>0.85584490740740737</v>
      </c>
      <c r="G1429" s="44">
        <v>6.3</v>
      </c>
      <c r="H1429" s="43" t="s">
        <v>1360</v>
      </c>
      <c r="I1429" s="40" t="s">
        <v>1361</v>
      </c>
    </row>
    <row r="1430" spans="1:9" x14ac:dyDescent="0.25">
      <c r="A1430" s="40" t="s">
        <v>228</v>
      </c>
      <c r="B1430" s="28">
        <v>1541</v>
      </c>
      <c r="C1430" s="28">
        <v>5663645</v>
      </c>
      <c r="D1430" s="28"/>
      <c r="E1430" s="41">
        <v>46153</v>
      </c>
      <c r="F1430" s="47">
        <v>0.86269675925925926</v>
      </c>
      <c r="G1430" s="44">
        <v>6.3</v>
      </c>
      <c r="H1430" s="43" t="s">
        <v>1362</v>
      </c>
      <c r="I1430" s="40" t="s">
        <v>1361</v>
      </c>
    </row>
    <row r="1431" spans="1:9" x14ac:dyDescent="0.25">
      <c r="A1431" s="40" t="s">
        <v>228</v>
      </c>
      <c r="B1431" s="28">
        <v>1541</v>
      </c>
      <c r="C1431" s="28">
        <v>5665741</v>
      </c>
      <c r="D1431" s="28"/>
      <c r="E1431" s="41">
        <v>46155</v>
      </c>
      <c r="F1431" s="47">
        <v>0.18155092592592592</v>
      </c>
      <c r="G1431" s="44">
        <v>6.3</v>
      </c>
      <c r="H1431" s="43" t="s">
        <v>1370</v>
      </c>
      <c r="I1431" s="40" t="s">
        <v>1361</v>
      </c>
    </row>
    <row r="1432" spans="1:9" x14ac:dyDescent="0.25">
      <c r="A1432" s="40" t="s">
        <v>228</v>
      </c>
      <c r="B1432" s="28">
        <v>1541</v>
      </c>
      <c r="C1432" s="28">
        <v>5665741</v>
      </c>
      <c r="D1432" s="28"/>
      <c r="E1432" s="41">
        <v>46155</v>
      </c>
      <c r="F1432" s="47">
        <v>0.18585648148148148</v>
      </c>
      <c r="G1432" s="44">
        <v>6.3</v>
      </c>
      <c r="H1432" s="43" t="s">
        <v>1364</v>
      </c>
      <c r="I1432" s="40" t="s">
        <v>1361</v>
      </c>
    </row>
    <row r="1433" spans="1:9" x14ac:dyDescent="0.25">
      <c r="A1433" s="40" t="s">
        <v>228</v>
      </c>
      <c r="B1433" s="28">
        <v>1541</v>
      </c>
      <c r="C1433" s="28">
        <v>5667307</v>
      </c>
      <c r="D1433" s="28"/>
      <c r="E1433" s="41">
        <v>46156</v>
      </c>
      <c r="F1433" s="47">
        <v>0.15101851851851852</v>
      </c>
      <c r="G1433" s="44">
        <v>6.3</v>
      </c>
      <c r="H1433" s="43" t="s">
        <v>1367</v>
      </c>
      <c r="I1433" s="40" t="s">
        <v>1361</v>
      </c>
    </row>
    <row r="1434" spans="1:9" x14ac:dyDescent="0.25">
      <c r="A1434" s="40" t="s">
        <v>228</v>
      </c>
      <c r="B1434" s="28">
        <v>1541</v>
      </c>
      <c r="C1434" s="28">
        <v>5667307</v>
      </c>
      <c r="D1434" s="28"/>
      <c r="E1434" s="41">
        <v>46156</v>
      </c>
      <c r="F1434" s="47">
        <v>0.15354166666666666</v>
      </c>
      <c r="G1434" s="44">
        <v>6.3</v>
      </c>
      <c r="H1434" s="43" t="s">
        <v>1364</v>
      </c>
      <c r="I1434" s="40" t="s">
        <v>1361</v>
      </c>
    </row>
    <row r="1435" spans="1:9" x14ac:dyDescent="0.25">
      <c r="A1435" s="40" t="s">
        <v>228</v>
      </c>
      <c r="B1435" s="28">
        <v>1541</v>
      </c>
      <c r="C1435" s="28" t="s">
        <v>661</v>
      </c>
      <c r="D1435" s="28"/>
      <c r="E1435" s="41">
        <v>46156</v>
      </c>
      <c r="F1435" s="47">
        <v>0.95565972222222217</v>
      </c>
      <c r="G1435" s="44">
        <v>6.3</v>
      </c>
      <c r="H1435" s="43" t="s">
        <v>1360</v>
      </c>
      <c r="I1435" s="40" t="s">
        <v>1361</v>
      </c>
    </row>
    <row r="1436" spans="1:9" x14ac:dyDescent="0.25">
      <c r="A1436" s="40" t="s">
        <v>228</v>
      </c>
      <c r="B1436" s="28">
        <v>1541</v>
      </c>
      <c r="C1436" s="28" t="s">
        <v>661</v>
      </c>
      <c r="D1436" s="28"/>
      <c r="E1436" s="41">
        <v>46156</v>
      </c>
      <c r="F1436" s="47">
        <v>0.96159722222222221</v>
      </c>
      <c r="G1436" s="44">
        <v>6.3</v>
      </c>
      <c r="H1436" s="43" t="s">
        <v>1368</v>
      </c>
      <c r="I1436" s="40" t="s">
        <v>1361</v>
      </c>
    </row>
    <row r="1437" spans="1:9" x14ac:dyDescent="0.25">
      <c r="A1437" s="40" t="s">
        <v>228</v>
      </c>
      <c r="B1437" s="28">
        <v>1541</v>
      </c>
      <c r="C1437" s="28" t="s">
        <v>35</v>
      </c>
      <c r="D1437" s="28" t="s">
        <v>38</v>
      </c>
      <c r="E1437" s="45">
        <v>46156</v>
      </c>
      <c r="F1437" s="48">
        <v>0.99072916666666666</v>
      </c>
      <c r="G1437" s="42">
        <v>6.3</v>
      </c>
      <c r="H1437" s="40" t="s">
        <v>1369</v>
      </c>
      <c r="I1437" s="40" t="s">
        <v>1361</v>
      </c>
    </row>
    <row r="1438" spans="1:9" x14ac:dyDescent="0.25">
      <c r="A1438" s="40" t="s">
        <v>228</v>
      </c>
      <c r="B1438" s="28">
        <v>1541</v>
      </c>
      <c r="C1438" s="28">
        <v>5670777</v>
      </c>
      <c r="D1438" s="28"/>
      <c r="E1438" s="45">
        <v>46157</v>
      </c>
      <c r="F1438" s="48">
        <v>0.89479166666666665</v>
      </c>
      <c r="G1438" s="42">
        <v>6.3</v>
      </c>
      <c r="H1438" s="40" t="s">
        <v>1360</v>
      </c>
      <c r="I1438" s="40" t="s">
        <v>1361</v>
      </c>
    </row>
    <row r="1439" spans="1:9" x14ac:dyDescent="0.25">
      <c r="A1439" s="40" t="s">
        <v>228</v>
      </c>
      <c r="B1439" s="28">
        <v>1541</v>
      </c>
      <c r="C1439" s="28">
        <v>5670777</v>
      </c>
      <c r="D1439" s="28"/>
      <c r="E1439" s="45">
        <v>46157</v>
      </c>
      <c r="F1439" s="48">
        <v>0.9017708333333333</v>
      </c>
      <c r="G1439" s="42">
        <v>6.3</v>
      </c>
      <c r="H1439" s="40" t="s">
        <v>1368</v>
      </c>
      <c r="I1439" s="40" t="s">
        <v>1361</v>
      </c>
    </row>
    <row r="1440" spans="1:9" x14ac:dyDescent="0.25">
      <c r="A1440" s="40" t="s">
        <v>228</v>
      </c>
      <c r="B1440" s="28">
        <v>1541</v>
      </c>
      <c r="C1440" s="28" t="s">
        <v>35</v>
      </c>
      <c r="D1440" s="28" t="s">
        <v>38</v>
      </c>
      <c r="E1440" s="41">
        <v>46157</v>
      </c>
      <c r="F1440" s="47">
        <v>0.91940972222222217</v>
      </c>
      <c r="G1440" s="42">
        <v>6.3</v>
      </c>
      <c r="H1440" s="40" t="s">
        <v>1369</v>
      </c>
      <c r="I1440" s="40" t="s">
        <v>1361</v>
      </c>
    </row>
    <row r="1441" spans="1:9" x14ac:dyDescent="0.25">
      <c r="A1441" s="40" t="s">
        <v>228</v>
      </c>
      <c r="B1441" s="28">
        <v>1541</v>
      </c>
      <c r="C1441" s="28">
        <v>5671036</v>
      </c>
      <c r="D1441" s="28"/>
      <c r="E1441" s="41">
        <v>46157</v>
      </c>
      <c r="F1441" s="47">
        <v>0.96574074074074079</v>
      </c>
      <c r="G1441" s="44">
        <v>6.3</v>
      </c>
      <c r="H1441" s="43" t="s">
        <v>1360</v>
      </c>
      <c r="I1441" s="40" t="s">
        <v>1361</v>
      </c>
    </row>
    <row r="1442" spans="1:9" x14ac:dyDescent="0.25">
      <c r="A1442" s="40" t="s">
        <v>228</v>
      </c>
      <c r="B1442" s="28">
        <v>1541</v>
      </c>
      <c r="C1442" s="28">
        <v>5671036</v>
      </c>
      <c r="D1442" s="28"/>
      <c r="E1442" s="41">
        <v>46157</v>
      </c>
      <c r="F1442" s="47">
        <v>0.97168981481481487</v>
      </c>
      <c r="G1442" s="44">
        <v>6.3</v>
      </c>
      <c r="H1442" s="43" t="s">
        <v>1368</v>
      </c>
      <c r="I1442" s="40" t="s">
        <v>1361</v>
      </c>
    </row>
    <row r="1443" spans="1:9" x14ac:dyDescent="0.25">
      <c r="A1443" s="40" t="s">
        <v>228</v>
      </c>
      <c r="B1443" s="28">
        <v>1541</v>
      </c>
      <c r="C1443" s="28" t="s">
        <v>35</v>
      </c>
      <c r="D1443" s="28" t="s">
        <v>38</v>
      </c>
      <c r="E1443" s="41">
        <v>46158</v>
      </c>
      <c r="F1443" s="47">
        <v>1.4004629629629629E-2</v>
      </c>
      <c r="G1443" s="44">
        <v>6.3</v>
      </c>
      <c r="H1443" s="43" t="s">
        <v>1369</v>
      </c>
      <c r="I1443" s="40" t="s">
        <v>1365</v>
      </c>
    </row>
    <row r="1444" spans="1:9" x14ac:dyDescent="0.25">
      <c r="A1444" s="40" t="s">
        <v>228</v>
      </c>
      <c r="B1444" s="28">
        <v>1541</v>
      </c>
      <c r="C1444" s="28">
        <v>5671782</v>
      </c>
      <c r="D1444" s="28"/>
      <c r="E1444" s="41">
        <v>46158</v>
      </c>
      <c r="F1444" s="47">
        <v>0.86523148148148143</v>
      </c>
      <c r="G1444" s="44">
        <v>6.3</v>
      </c>
      <c r="H1444" s="43" t="s">
        <v>1360</v>
      </c>
      <c r="I1444" s="40" t="s">
        <v>1365</v>
      </c>
    </row>
    <row r="1445" spans="1:9" x14ac:dyDescent="0.25">
      <c r="A1445" s="40" t="s">
        <v>228</v>
      </c>
      <c r="B1445" s="28">
        <v>1541</v>
      </c>
      <c r="C1445" s="28">
        <v>5671782</v>
      </c>
      <c r="D1445" s="28"/>
      <c r="E1445" s="41">
        <v>46158</v>
      </c>
      <c r="F1445" s="47">
        <v>0.87009259259259264</v>
      </c>
      <c r="G1445" s="44">
        <v>6.3</v>
      </c>
      <c r="H1445" s="43" t="s">
        <v>1366</v>
      </c>
      <c r="I1445" s="40" t="s">
        <v>1365</v>
      </c>
    </row>
    <row r="1446" spans="1:9" x14ac:dyDescent="0.25">
      <c r="A1446" s="40" t="s">
        <v>408</v>
      </c>
      <c r="B1446" s="28">
        <v>1543</v>
      </c>
      <c r="C1446" s="28">
        <v>5659004</v>
      </c>
      <c r="D1446" s="28"/>
      <c r="E1446" s="41">
        <v>46153</v>
      </c>
      <c r="F1446" s="47">
        <v>0.40416666666666667</v>
      </c>
      <c r="G1446" s="44">
        <v>6.3</v>
      </c>
      <c r="H1446" s="43" t="s">
        <v>1362</v>
      </c>
      <c r="I1446" s="40" t="s">
        <v>1361</v>
      </c>
    </row>
    <row r="1447" spans="1:9" x14ac:dyDescent="0.25">
      <c r="A1447" s="40" t="s">
        <v>408</v>
      </c>
      <c r="B1447" s="28">
        <v>1543</v>
      </c>
      <c r="C1447" s="28">
        <v>5668848</v>
      </c>
      <c r="D1447" s="28"/>
      <c r="E1447" s="45">
        <v>46156</v>
      </c>
      <c r="F1447" s="48">
        <v>0.77604166666666663</v>
      </c>
      <c r="G1447" s="44">
        <v>6.3</v>
      </c>
      <c r="H1447" s="43" t="s">
        <v>1364</v>
      </c>
      <c r="I1447" s="40" t="s">
        <v>1361</v>
      </c>
    </row>
    <row r="1448" spans="1:9" x14ac:dyDescent="0.25">
      <c r="A1448" s="40" t="s">
        <v>408</v>
      </c>
      <c r="B1448" s="28">
        <v>1543</v>
      </c>
      <c r="C1448" s="28" t="s">
        <v>35</v>
      </c>
      <c r="D1448" s="28" t="s">
        <v>38</v>
      </c>
      <c r="E1448" s="41">
        <v>46157</v>
      </c>
      <c r="F1448" s="47">
        <v>0.53871527777777772</v>
      </c>
      <c r="G1448" s="44">
        <v>6.3</v>
      </c>
      <c r="H1448" s="43" t="s">
        <v>1371</v>
      </c>
      <c r="I1448" s="40" t="s">
        <v>1361</v>
      </c>
    </row>
    <row r="1449" spans="1:9" x14ac:dyDescent="0.25">
      <c r="A1449" s="40" t="s">
        <v>408</v>
      </c>
      <c r="B1449" s="28">
        <v>1543</v>
      </c>
      <c r="C1449" s="28">
        <v>5669924</v>
      </c>
      <c r="D1449" s="28"/>
      <c r="E1449" s="41">
        <v>46157</v>
      </c>
      <c r="F1449" s="47">
        <v>0.55287037037037035</v>
      </c>
      <c r="G1449" s="44">
        <v>6.3</v>
      </c>
      <c r="H1449" s="43" t="s">
        <v>1364</v>
      </c>
      <c r="I1449" s="40" t="s">
        <v>1361</v>
      </c>
    </row>
    <row r="1450" spans="1:9" x14ac:dyDescent="0.25">
      <c r="A1450" s="40" t="s">
        <v>408</v>
      </c>
      <c r="B1450" s="28">
        <v>1543</v>
      </c>
      <c r="C1450" s="28">
        <v>5670145</v>
      </c>
      <c r="D1450" s="28"/>
      <c r="E1450" s="45">
        <v>46157</v>
      </c>
      <c r="F1450" s="48">
        <v>0.8102893518518518</v>
      </c>
      <c r="G1450" s="44">
        <v>6.3</v>
      </c>
      <c r="H1450" s="43" t="s">
        <v>1363</v>
      </c>
      <c r="I1450" s="40" t="s">
        <v>1361</v>
      </c>
    </row>
    <row r="1451" spans="1:9" x14ac:dyDescent="0.25">
      <c r="A1451" s="40" t="s">
        <v>277</v>
      </c>
      <c r="B1451" s="28">
        <v>1549</v>
      </c>
      <c r="C1451" s="28">
        <v>5664784</v>
      </c>
      <c r="D1451" s="28"/>
      <c r="E1451" s="41">
        <v>46154</v>
      </c>
      <c r="F1451" s="47">
        <v>0.62763888888888886</v>
      </c>
      <c r="G1451" s="44">
        <v>6.3</v>
      </c>
      <c r="H1451" s="43" t="s">
        <v>1362</v>
      </c>
      <c r="I1451" s="40" t="s">
        <v>1361</v>
      </c>
    </row>
    <row r="1452" spans="1:9" x14ac:dyDescent="0.25">
      <c r="A1452" s="40" t="s">
        <v>277</v>
      </c>
      <c r="B1452" s="28">
        <v>1549</v>
      </c>
      <c r="C1452" s="28" t="s">
        <v>35</v>
      </c>
      <c r="D1452" s="28" t="s">
        <v>38</v>
      </c>
      <c r="E1452" s="41">
        <v>46155</v>
      </c>
      <c r="F1452" s="47">
        <v>0.64969907407407412</v>
      </c>
      <c r="G1452" s="44">
        <v>6.3</v>
      </c>
      <c r="H1452" s="43" t="s">
        <v>1363</v>
      </c>
      <c r="I1452" s="40" t="s">
        <v>1361</v>
      </c>
    </row>
    <row r="1453" spans="1:9" x14ac:dyDescent="0.25">
      <c r="A1453" s="40" t="s">
        <v>277</v>
      </c>
      <c r="B1453" s="28">
        <v>1549</v>
      </c>
      <c r="C1453" s="28">
        <v>5667502</v>
      </c>
      <c r="D1453" s="28" t="s">
        <v>37</v>
      </c>
      <c r="E1453" s="41">
        <v>46156</v>
      </c>
      <c r="F1453" s="47">
        <v>0.27325231481481482</v>
      </c>
      <c r="G1453" s="44">
        <v>6.3</v>
      </c>
      <c r="H1453" s="43" t="s">
        <v>1360</v>
      </c>
      <c r="I1453" s="40" t="s">
        <v>1361</v>
      </c>
    </row>
    <row r="1454" spans="1:9" x14ac:dyDescent="0.25">
      <c r="A1454" s="40" t="s">
        <v>277</v>
      </c>
      <c r="B1454" s="28">
        <v>1549</v>
      </c>
      <c r="C1454" s="28">
        <v>5667869</v>
      </c>
      <c r="D1454" s="28"/>
      <c r="E1454" s="41">
        <v>46156</v>
      </c>
      <c r="F1454" s="47">
        <v>0.34728009259259257</v>
      </c>
      <c r="G1454" s="44">
        <v>6.3</v>
      </c>
      <c r="H1454" s="43" t="s">
        <v>1364</v>
      </c>
      <c r="I1454" s="40" t="s">
        <v>1361</v>
      </c>
    </row>
    <row r="1455" spans="1:9" x14ac:dyDescent="0.25">
      <c r="A1455" s="40" t="s">
        <v>277</v>
      </c>
      <c r="B1455" s="28">
        <v>1549</v>
      </c>
      <c r="C1455" s="28">
        <v>5669929</v>
      </c>
      <c r="D1455" s="28"/>
      <c r="E1455" s="41">
        <v>46157</v>
      </c>
      <c r="F1455" s="47">
        <v>0.56803240740740746</v>
      </c>
      <c r="G1455" s="44">
        <v>6.3</v>
      </c>
      <c r="H1455" s="43" t="s">
        <v>1368</v>
      </c>
      <c r="I1455" s="40" t="s">
        <v>1361</v>
      </c>
    </row>
    <row r="1456" spans="1:9" x14ac:dyDescent="0.25">
      <c r="A1456" s="40" t="s">
        <v>277</v>
      </c>
      <c r="B1456" s="28">
        <v>1549</v>
      </c>
      <c r="C1456" s="28">
        <v>5670204</v>
      </c>
      <c r="D1456" s="28"/>
      <c r="E1456" s="41">
        <v>46157</v>
      </c>
      <c r="F1456" s="47">
        <v>0.69753472222222224</v>
      </c>
      <c r="G1456" s="44">
        <v>6.3</v>
      </c>
      <c r="H1456" s="43" t="s">
        <v>1370</v>
      </c>
      <c r="I1456" s="40" t="s">
        <v>1361</v>
      </c>
    </row>
    <row r="1457" spans="1:9" x14ac:dyDescent="0.25">
      <c r="A1457" s="40" t="s">
        <v>298</v>
      </c>
      <c r="B1457" s="28">
        <v>1550</v>
      </c>
      <c r="C1457" s="28" t="s">
        <v>662</v>
      </c>
      <c r="D1457" s="28"/>
      <c r="E1457" s="41">
        <v>46153</v>
      </c>
      <c r="F1457" s="47">
        <v>0.33841435185185187</v>
      </c>
      <c r="G1457" s="44">
        <v>6.3</v>
      </c>
      <c r="H1457" s="43" t="s">
        <v>1360</v>
      </c>
      <c r="I1457" s="40" t="s">
        <v>1361</v>
      </c>
    </row>
    <row r="1458" spans="1:9" x14ac:dyDescent="0.25">
      <c r="A1458" s="40" t="s">
        <v>298</v>
      </c>
      <c r="B1458" s="28">
        <v>1550</v>
      </c>
      <c r="C1458" s="28" t="s">
        <v>662</v>
      </c>
      <c r="D1458" s="28"/>
      <c r="E1458" s="41">
        <v>46153</v>
      </c>
      <c r="F1458" s="47">
        <v>0.35266203703703702</v>
      </c>
      <c r="G1458" s="44">
        <v>6.3</v>
      </c>
      <c r="H1458" s="43" t="s">
        <v>1362</v>
      </c>
      <c r="I1458" s="40" t="s">
        <v>1361</v>
      </c>
    </row>
    <row r="1459" spans="1:9" x14ac:dyDescent="0.25">
      <c r="A1459" s="40" t="s">
        <v>298</v>
      </c>
      <c r="B1459" s="28">
        <v>1550</v>
      </c>
      <c r="C1459" s="28">
        <v>5662413</v>
      </c>
      <c r="D1459" s="28" t="s">
        <v>36</v>
      </c>
      <c r="E1459" s="41">
        <v>46153</v>
      </c>
      <c r="F1459" s="47">
        <v>0.40185185185185185</v>
      </c>
      <c r="G1459" s="44">
        <v>6.3</v>
      </c>
      <c r="H1459" s="43" t="s">
        <v>1363</v>
      </c>
      <c r="I1459" s="40" t="s">
        <v>1361</v>
      </c>
    </row>
    <row r="1460" spans="1:9" x14ac:dyDescent="0.25">
      <c r="A1460" s="40" t="s">
        <v>298</v>
      </c>
      <c r="B1460" s="28">
        <v>1550</v>
      </c>
      <c r="C1460" s="28">
        <v>5662413</v>
      </c>
      <c r="D1460" s="28" t="s">
        <v>36</v>
      </c>
      <c r="E1460" s="41">
        <v>46153</v>
      </c>
      <c r="F1460" s="47">
        <v>0.40826388888888887</v>
      </c>
      <c r="G1460" s="44">
        <v>6.3</v>
      </c>
      <c r="H1460" s="43" t="s">
        <v>1364</v>
      </c>
      <c r="I1460" s="40" t="s">
        <v>1361</v>
      </c>
    </row>
    <row r="1461" spans="1:9" x14ac:dyDescent="0.25">
      <c r="A1461" s="40" t="s">
        <v>298</v>
      </c>
      <c r="B1461" s="28">
        <v>1550</v>
      </c>
      <c r="C1461" s="28">
        <v>5611254</v>
      </c>
      <c r="D1461" s="28"/>
      <c r="E1461" s="41">
        <v>46155</v>
      </c>
      <c r="F1461" s="47">
        <v>0.5774421296296296</v>
      </c>
      <c r="G1461" s="44">
        <v>6.3</v>
      </c>
      <c r="H1461" s="43" t="s">
        <v>1360</v>
      </c>
      <c r="I1461" s="40" t="s">
        <v>1361</v>
      </c>
    </row>
    <row r="1462" spans="1:9" x14ac:dyDescent="0.25">
      <c r="A1462" s="40" t="s">
        <v>298</v>
      </c>
      <c r="B1462" s="28">
        <v>1550</v>
      </c>
      <c r="C1462" s="28">
        <v>5611254</v>
      </c>
      <c r="D1462" s="28"/>
      <c r="E1462" s="41">
        <v>46155</v>
      </c>
      <c r="F1462" s="47">
        <v>0.58535879629629628</v>
      </c>
      <c r="G1462" s="44">
        <v>6.3</v>
      </c>
      <c r="H1462" s="43" t="s">
        <v>1362</v>
      </c>
      <c r="I1462" s="40" t="s">
        <v>1361</v>
      </c>
    </row>
    <row r="1463" spans="1:9" x14ac:dyDescent="0.25">
      <c r="A1463" s="40" t="s">
        <v>298</v>
      </c>
      <c r="B1463" s="28">
        <v>1550</v>
      </c>
      <c r="C1463" s="28" t="s">
        <v>35</v>
      </c>
      <c r="D1463" s="28" t="s">
        <v>38</v>
      </c>
      <c r="E1463" s="45">
        <v>46155</v>
      </c>
      <c r="F1463" s="48">
        <v>0.59380787037037042</v>
      </c>
      <c r="G1463" s="44">
        <v>6.3</v>
      </c>
      <c r="H1463" s="43" t="s">
        <v>1363</v>
      </c>
      <c r="I1463" s="40" t="s">
        <v>1361</v>
      </c>
    </row>
    <row r="1464" spans="1:9" x14ac:dyDescent="0.25">
      <c r="A1464" s="40" t="s">
        <v>298</v>
      </c>
      <c r="B1464" s="28">
        <v>1550</v>
      </c>
      <c r="C1464" s="28" t="s">
        <v>35</v>
      </c>
      <c r="D1464" s="28" t="s">
        <v>38</v>
      </c>
      <c r="E1464" s="45">
        <v>46155</v>
      </c>
      <c r="F1464" s="48">
        <v>0.59965277777777781</v>
      </c>
      <c r="G1464" s="44">
        <v>6.3</v>
      </c>
      <c r="H1464" s="43" t="s">
        <v>1364</v>
      </c>
      <c r="I1464" s="40" t="s">
        <v>1361</v>
      </c>
    </row>
    <row r="1465" spans="1:9" x14ac:dyDescent="0.25">
      <c r="A1465" s="40" t="s">
        <v>298</v>
      </c>
      <c r="B1465" s="28">
        <v>1550</v>
      </c>
      <c r="C1465" s="28" t="s">
        <v>663</v>
      </c>
      <c r="D1465" s="28"/>
      <c r="E1465" s="41">
        <v>46157</v>
      </c>
      <c r="F1465" s="47">
        <v>0.4745138888888889</v>
      </c>
      <c r="G1465" s="42">
        <v>6.3</v>
      </c>
      <c r="H1465" s="40" t="s">
        <v>1360</v>
      </c>
      <c r="I1465" s="40" t="s">
        <v>1361</v>
      </c>
    </row>
    <row r="1466" spans="1:9" x14ac:dyDescent="0.25">
      <c r="A1466" s="40" t="s">
        <v>298</v>
      </c>
      <c r="B1466" s="28">
        <v>1550</v>
      </c>
      <c r="C1466" s="28" t="s">
        <v>35</v>
      </c>
      <c r="D1466" s="28" t="s">
        <v>38</v>
      </c>
      <c r="E1466" s="41">
        <v>46157</v>
      </c>
      <c r="F1466" s="47">
        <v>0.49048611111111112</v>
      </c>
      <c r="G1466" s="42">
        <v>6.3</v>
      </c>
      <c r="H1466" s="40" t="s">
        <v>1364</v>
      </c>
      <c r="I1466" s="40" t="s">
        <v>1361</v>
      </c>
    </row>
    <row r="1467" spans="1:9" x14ac:dyDescent="0.25">
      <c r="A1467" s="40" t="s">
        <v>298</v>
      </c>
      <c r="B1467" s="28">
        <v>1550</v>
      </c>
      <c r="C1467" s="28">
        <v>5671280</v>
      </c>
      <c r="D1467" s="28"/>
      <c r="E1467" s="45">
        <v>46158</v>
      </c>
      <c r="F1467" s="48">
        <v>0.36100694444444442</v>
      </c>
      <c r="G1467" s="42">
        <v>6.3</v>
      </c>
      <c r="H1467" s="40" t="s">
        <v>1360</v>
      </c>
      <c r="I1467" s="40" t="s">
        <v>1365</v>
      </c>
    </row>
    <row r="1468" spans="1:9" x14ac:dyDescent="0.25">
      <c r="A1468" s="40" t="s">
        <v>298</v>
      </c>
      <c r="B1468" s="28">
        <v>1550</v>
      </c>
      <c r="C1468" s="28">
        <v>5671280</v>
      </c>
      <c r="D1468" s="28"/>
      <c r="E1468" s="41">
        <v>46158</v>
      </c>
      <c r="F1468" s="47">
        <v>0.37113425925925925</v>
      </c>
      <c r="G1468" s="42">
        <v>6.3</v>
      </c>
      <c r="H1468" s="40" t="s">
        <v>1362</v>
      </c>
      <c r="I1468" s="40" t="s">
        <v>1365</v>
      </c>
    </row>
    <row r="1469" spans="1:9" x14ac:dyDescent="0.25">
      <c r="A1469" s="40" t="s">
        <v>298</v>
      </c>
      <c r="B1469" s="28">
        <v>1550</v>
      </c>
      <c r="C1469" s="28" t="s">
        <v>35</v>
      </c>
      <c r="D1469" s="28" t="s">
        <v>38</v>
      </c>
      <c r="E1469" s="41">
        <v>46158</v>
      </c>
      <c r="F1469" s="47">
        <v>0.38487268518518519</v>
      </c>
      <c r="G1469" s="44">
        <v>6.3</v>
      </c>
      <c r="H1469" s="43" t="s">
        <v>1363</v>
      </c>
      <c r="I1469" s="40" t="s">
        <v>1365</v>
      </c>
    </row>
    <row r="1470" spans="1:9" x14ac:dyDescent="0.25">
      <c r="A1470" s="40" t="s">
        <v>298</v>
      </c>
      <c r="B1470" s="28">
        <v>1550</v>
      </c>
      <c r="C1470" s="28" t="s">
        <v>35</v>
      </c>
      <c r="D1470" s="28" t="s">
        <v>38</v>
      </c>
      <c r="E1470" s="45">
        <v>46158</v>
      </c>
      <c r="F1470" s="48">
        <v>0.39260416666666664</v>
      </c>
      <c r="G1470" s="44">
        <v>6.3</v>
      </c>
      <c r="H1470" s="43" t="s">
        <v>1364</v>
      </c>
      <c r="I1470" s="40" t="s">
        <v>1365</v>
      </c>
    </row>
    <row r="1471" spans="1:9" x14ac:dyDescent="0.25">
      <c r="A1471" s="40" t="s">
        <v>298</v>
      </c>
      <c r="B1471" s="28">
        <v>1550</v>
      </c>
      <c r="C1471" s="28">
        <v>5672478</v>
      </c>
      <c r="D1471" s="28"/>
      <c r="E1471" s="41">
        <v>46159</v>
      </c>
      <c r="F1471" s="47">
        <v>0.49457175925925928</v>
      </c>
      <c r="G1471" s="44">
        <v>6.3</v>
      </c>
      <c r="H1471" s="43" t="s">
        <v>1360</v>
      </c>
      <c r="I1471" s="40" t="s">
        <v>1365</v>
      </c>
    </row>
    <row r="1472" spans="1:9" x14ac:dyDescent="0.25">
      <c r="A1472" s="40" t="s">
        <v>298</v>
      </c>
      <c r="B1472" s="28">
        <v>1550</v>
      </c>
      <c r="C1472" s="28">
        <v>5672478</v>
      </c>
      <c r="D1472" s="28"/>
      <c r="E1472" s="45">
        <v>46159</v>
      </c>
      <c r="F1472" s="48">
        <v>0.50092592592592589</v>
      </c>
      <c r="G1472" s="44">
        <v>6.3</v>
      </c>
      <c r="H1472" s="43" t="s">
        <v>1362</v>
      </c>
      <c r="I1472" s="40" t="s">
        <v>1365</v>
      </c>
    </row>
    <row r="1473" spans="1:9" x14ac:dyDescent="0.25">
      <c r="A1473" s="40" t="s">
        <v>82</v>
      </c>
      <c r="B1473" s="28">
        <v>1553</v>
      </c>
      <c r="C1473" s="28" t="s">
        <v>35</v>
      </c>
      <c r="D1473" s="28" t="s">
        <v>38</v>
      </c>
      <c r="E1473" s="45">
        <v>46153</v>
      </c>
      <c r="F1473" s="48">
        <v>9.4560185185185181E-3</v>
      </c>
      <c r="G1473" s="44">
        <v>6.3</v>
      </c>
      <c r="H1473" s="43" t="s">
        <v>1363</v>
      </c>
      <c r="I1473" s="40" t="s">
        <v>1361</v>
      </c>
    </row>
    <row r="1474" spans="1:9" x14ac:dyDescent="0.25">
      <c r="A1474" s="40" t="s">
        <v>82</v>
      </c>
      <c r="B1474" s="28">
        <v>1553</v>
      </c>
      <c r="C1474" s="28" t="s">
        <v>35</v>
      </c>
      <c r="D1474" s="28" t="s">
        <v>38</v>
      </c>
      <c r="E1474" s="41">
        <v>46153</v>
      </c>
      <c r="F1474" s="47">
        <v>1.4224537037037037E-2</v>
      </c>
      <c r="G1474" s="44">
        <v>6.3</v>
      </c>
      <c r="H1474" s="43" t="s">
        <v>1364</v>
      </c>
      <c r="I1474" s="40" t="s">
        <v>1361</v>
      </c>
    </row>
    <row r="1475" spans="1:9" x14ac:dyDescent="0.25">
      <c r="A1475" s="40" t="s">
        <v>82</v>
      </c>
      <c r="B1475" s="28">
        <v>1553</v>
      </c>
      <c r="C1475" s="28">
        <v>5661080</v>
      </c>
      <c r="D1475" s="28"/>
      <c r="E1475" s="41">
        <v>46153</v>
      </c>
      <c r="F1475" s="47">
        <v>0.1315162037037037</v>
      </c>
      <c r="G1475" s="44">
        <v>6.3</v>
      </c>
      <c r="H1475" s="43" t="s">
        <v>1369</v>
      </c>
      <c r="I1475" s="40" t="s">
        <v>1361</v>
      </c>
    </row>
    <row r="1476" spans="1:9" x14ac:dyDescent="0.25">
      <c r="A1476" s="40" t="s">
        <v>82</v>
      </c>
      <c r="B1476" s="28">
        <v>1553</v>
      </c>
      <c r="C1476" s="28">
        <v>5661080</v>
      </c>
      <c r="D1476" s="28"/>
      <c r="E1476" s="41">
        <v>46153</v>
      </c>
      <c r="F1476" s="47">
        <v>0.13655092592592594</v>
      </c>
      <c r="G1476" s="44">
        <v>6.3</v>
      </c>
      <c r="H1476" s="43" t="s">
        <v>1364</v>
      </c>
      <c r="I1476" s="40" t="s">
        <v>1361</v>
      </c>
    </row>
    <row r="1477" spans="1:9" x14ac:dyDescent="0.25">
      <c r="A1477" s="40" t="s">
        <v>82</v>
      </c>
      <c r="B1477" s="28">
        <v>1553</v>
      </c>
      <c r="C1477" s="28">
        <v>5662273</v>
      </c>
      <c r="D1477" s="28"/>
      <c r="E1477" s="41">
        <v>46153</v>
      </c>
      <c r="F1477" s="47">
        <v>0.24733796296296295</v>
      </c>
      <c r="G1477" s="44">
        <v>6.3</v>
      </c>
      <c r="H1477" s="43" t="s">
        <v>1360</v>
      </c>
      <c r="I1477" s="40" t="s">
        <v>1361</v>
      </c>
    </row>
    <row r="1478" spans="1:9" x14ac:dyDescent="0.25">
      <c r="A1478" s="40" t="s">
        <v>82</v>
      </c>
      <c r="B1478" s="28">
        <v>1553</v>
      </c>
      <c r="C1478" s="28">
        <v>5662273</v>
      </c>
      <c r="D1478" s="28"/>
      <c r="E1478" s="41">
        <v>46153</v>
      </c>
      <c r="F1478" s="47">
        <v>0.25616898148148148</v>
      </c>
      <c r="G1478" s="44">
        <v>6.3</v>
      </c>
      <c r="H1478" s="43" t="s">
        <v>1368</v>
      </c>
      <c r="I1478" s="40" t="s">
        <v>1361</v>
      </c>
    </row>
    <row r="1479" spans="1:9" x14ac:dyDescent="0.25">
      <c r="A1479" s="40" t="s">
        <v>82</v>
      </c>
      <c r="B1479" s="28">
        <v>1553</v>
      </c>
      <c r="C1479" s="28">
        <v>5662045</v>
      </c>
      <c r="D1479" s="28"/>
      <c r="E1479" s="41">
        <v>46153</v>
      </c>
      <c r="F1479" s="47">
        <v>0.30561342592592594</v>
      </c>
      <c r="G1479" s="44">
        <v>6.3</v>
      </c>
      <c r="H1479" s="43" t="s">
        <v>1363</v>
      </c>
      <c r="I1479" s="40" t="s">
        <v>1361</v>
      </c>
    </row>
    <row r="1480" spans="1:9" x14ac:dyDescent="0.25">
      <c r="A1480" s="40" t="s">
        <v>82</v>
      </c>
      <c r="B1480" s="28">
        <v>1553</v>
      </c>
      <c r="C1480" s="28">
        <v>5662045</v>
      </c>
      <c r="D1480" s="28"/>
      <c r="E1480" s="45">
        <v>46153</v>
      </c>
      <c r="F1480" s="48">
        <v>0.31836805555555553</v>
      </c>
      <c r="G1480" s="44">
        <v>6.3</v>
      </c>
      <c r="H1480" s="43" t="s">
        <v>1364</v>
      </c>
      <c r="I1480" s="40" t="s">
        <v>1361</v>
      </c>
    </row>
    <row r="1481" spans="1:9" x14ac:dyDescent="0.25">
      <c r="A1481" s="40" t="s">
        <v>82</v>
      </c>
      <c r="B1481" s="28">
        <v>1553</v>
      </c>
      <c r="C1481" s="28">
        <v>5663714</v>
      </c>
      <c r="D1481" s="28"/>
      <c r="E1481" s="41">
        <v>46154</v>
      </c>
      <c r="F1481" s="47">
        <v>0.15394675925925927</v>
      </c>
      <c r="G1481" s="44">
        <v>6.3</v>
      </c>
      <c r="H1481" s="43" t="s">
        <v>1363</v>
      </c>
      <c r="I1481" s="40" t="s">
        <v>1361</v>
      </c>
    </row>
    <row r="1482" spans="1:9" x14ac:dyDescent="0.25">
      <c r="A1482" s="40" t="s">
        <v>82</v>
      </c>
      <c r="B1482" s="28">
        <v>1553</v>
      </c>
      <c r="C1482" s="28">
        <v>5663714</v>
      </c>
      <c r="D1482" s="28"/>
      <c r="E1482" s="45">
        <v>46154</v>
      </c>
      <c r="F1482" s="48">
        <v>0.15927083333333333</v>
      </c>
      <c r="G1482" s="44">
        <v>6.3</v>
      </c>
      <c r="H1482" s="43" t="s">
        <v>1364</v>
      </c>
      <c r="I1482" s="40" t="s">
        <v>1361</v>
      </c>
    </row>
    <row r="1483" spans="1:9" x14ac:dyDescent="0.25">
      <c r="A1483" s="40" t="s">
        <v>82</v>
      </c>
      <c r="B1483" s="28">
        <v>1553</v>
      </c>
      <c r="C1483" s="28" t="s">
        <v>664</v>
      </c>
      <c r="D1483" s="28"/>
      <c r="E1483" s="41">
        <v>46155</v>
      </c>
      <c r="F1483" s="47">
        <v>0.35605324074074074</v>
      </c>
      <c r="G1483" s="44">
        <v>6.3</v>
      </c>
      <c r="H1483" s="43" t="s">
        <v>1360</v>
      </c>
      <c r="I1483" s="40" t="s">
        <v>1361</v>
      </c>
    </row>
    <row r="1484" spans="1:9" x14ac:dyDescent="0.25">
      <c r="A1484" s="40" t="s">
        <v>82</v>
      </c>
      <c r="B1484" s="28">
        <v>1553</v>
      </c>
      <c r="C1484" s="28">
        <v>5671054</v>
      </c>
      <c r="D1484" s="28"/>
      <c r="E1484" s="41">
        <v>46157</v>
      </c>
      <c r="F1484" s="47">
        <v>0.95400462962962962</v>
      </c>
      <c r="G1484" s="44">
        <v>6.3</v>
      </c>
      <c r="H1484" s="43" t="s">
        <v>1360</v>
      </c>
      <c r="I1484" s="40" t="s">
        <v>1361</v>
      </c>
    </row>
    <row r="1485" spans="1:9" x14ac:dyDescent="0.25">
      <c r="A1485" s="40" t="s">
        <v>82</v>
      </c>
      <c r="B1485" s="28">
        <v>1553</v>
      </c>
      <c r="C1485" s="28">
        <v>5671054</v>
      </c>
      <c r="D1485" s="28"/>
      <c r="E1485" s="41">
        <v>46157</v>
      </c>
      <c r="F1485" s="47">
        <v>0.96048611111111115</v>
      </c>
      <c r="G1485" s="44">
        <v>6.3</v>
      </c>
      <c r="H1485" s="43" t="s">
        <v>1368</v>
      </c>
      <c r="I1485" s="40" t="s">
        <v>1361</v>
      </c>
    </row>
    <row r="1486" spans="1:9" x14ac:dyDescent="0.25">
      <c r="A1486" s="40" t="s">
        <v>326</v>
      </c>
      <c r="B1486" s="28">
        <v>1576</v>
      </c>
      <c r="C1486" s="28" t="s">
        <v>665</v>
      </c>
      <c r="D1486" s="28"/>
      <c r="E1486" s="41">
        <v>46155</v>
      </c>
      <c r="F1486" s="47">
        <v>0.84023148148148152</v>
      </c>
      <c r="G1486" s="44">
        <v>6.3</v>
      </c>
      <c r="H1486" s="43" t="s">
        <v>1364</v>
      </c>
      <c r="I1486" s="40" t="s">
        <v>1361</v>
      </c>
    </row>
    <row r="1487" spans="1:9" x14ac:dyDescent="0.25">
      <c r="A1487" s="40" t="s">
        <v>84</v>
      </c>
      <c r="B1487" s="28">
        <v>1584</v>
      </c>
      <c r="C1487" s="28" t="s">
        <v>35</v>
      </c>
      <c r="D1487" s="28" t="s">
        <v>38</v>
      </c>
      <c r="E1487" s="41">
        <v>46153</v>
      </c>
      <c r="F1487" s="47">
        <v>0.22369212962962962</v>
      </c>
      <c r="G1487" s="44">
        <v>6.3</v>
      </c>
      <c r="H1487" s="43" t="s">
        <v>1363</v>
      </c>
      <c r="I1487" s="40" t="s">
        <v>1361</v>
      </c>
    </row>
    <row r="1488" spans="1:9" x14ac:dyDescent="0.25">
      <c r="A1488" s="40" t="s">
        <v>84</v>
      </c>
      <c r="B1488" s="28">
        <v>1584</v>
      </c>
      <c r="C1488" s="28" t="s">
        <v>35</v>
      </c>
      <c r="D1488" s="28" t="s">
        <v>38</v>
      </c>
      <c r="E1488" s="45">
        <v>46153</v>
      </c>
      <c r="F1488" s="48">
        <v>0.22843749999999999</v>
      </c>
      <c r="G1488" s="44">
        <v>6.3</v>
      </c>
      <c r="H1488" s="43" t="s">
        <v>1364</v>
      </c>
      <c r="I1488" s="40" t="s">
        <v>1361</v>
      </c>
    </row>
    <row r="1489" spans="1:9" x14ac:dyDescent="0.25">
      <c r="A1489" s="40" t="s">
        <v>84</v>
      </c>
      <c r="B1489" s="28">
        <v>1584</v>
      </c>
      <c r="C1489" s="28" t="s">
        <v>35</v>
      </c>
      <c r="D1489" s="28" t="s">
        <v>38</v>
      </c>
      <c r="E1489" s="41">
        <v>46153</v>
      </c>
      <c r="F1489" s="47">
        <v>0.6371296296296296</v>
      </c>
      <c r="G1489" s="44">
        <v>6.3</v>
      </c>
      <c r="H1489" s="43" t="s">
        <v>1370</v>
      </c>
      <c r="I1489" s="40" t="s">
        <v>1361</v>
      </c>
    </row>
    <row r="1490" spans="1:9" x14ac:dyDescent="0.25">
      <c r="A1490" s="40" t="s">
        <v>84</v>
      </c>
      <c r="B1490" s="28">
        <v>1584</v>
      </c>
      <c r="C1490" s="28" t="s">
        <v>35</v>
      </c>
      <c r="D1490" s="28" t="s">
        <v>38</v>
      </c>
      <c r="E1490" s="45">
        <v>46153</v>
      </c>
      <c r="F1490" s="48">
        <v>0.64201388888888888</v>
      </c>
      <c r="G1490" s="44">
        <v>6.3</v>
      </c>
      <c r="H1490" s="43" t="s">
        <v>1364</v>
      </c>
      <c r="I1490" s="40" t="s">
        <v>1361</v>
      </c>
    </row>
    <row r="1491" spans="1:9" x14ac:dyDescent="0.25">
      <c r="A1491" s="40" t="s">
        <v>84</v>
      </c>
      <c r="B1491" s="28">
        <v>1584</v>
      </c>
      <c r="C1491" s="28">
        <v>5641848</v>
      </c>
      <c r="D1491" s="28"/>
      <c r="E1491" s="41">
        <v>46153</v>
      </c>
      <c r="F1491" s="47">
        <v>0.73311342592592588</v>
      </c>
      <c r="G1491" s="44">
        <v>6.3</v>
      </c>
      <c r="H1491" s="43" t="s">
        <v>1360</v>
      </c>
      <c r="I1491" s="40" t="s">
        <v>1361</v>
      </c>
    </row>
    <row r="1492" spans="1:9" x14ac:dyDescent="0.25">
      <c r="A1492" s="40" t="s">
        <v>84</v>
      </c>
      <c r="B1492" s="28">
        <v>1584</v>
      </c>
      <c r="C1492" s="28">
        <v>5641848</v>
      </c>
      <c r="D1492" s="28"/>
      <c r="E1492" s="41">
        <v>46153</v>
      </c>
      <c r="F1492" s="47">
        <v>0.7434722222222222</v>
      </c>
      <c r="G1492" s="44">
        <v>6.3</v>
      </c>
      <c r="H1492" s="43" t="s">
        <v>1366</v>
      </c>
      <c r="I1492" s="40" t="s">
        <v>1361</v>
      </c>
    </row>
    <row r="1493" spans="1:9" x14ac:dyDescent="0.25">
      <c r="A1493" s="40" t="s">
        <v>84</v>
      </c>
      <c r="B1493" s="28">
        <v>1584</v>
      </c>
      <c r="C1493" s="28" t="s">
        <v>35</v>
      </c>
      <c r="D1493" s="28" t="s">
        <v>38</v>
      </c>
      <c r="E1493" s="41">
        <v>46153</v>
      </c>
      <c r="F1493" s="47">
        <v>0.78763888888888889</v>
      </c>
      <c r="G1493" s="44">
        <v>6.3</v>
      </c>
      <c r="H1493" s="43" t="s">
        <v>1367</v>
      </c>
      <c r="I1493" s="40" t="s">
        <v>1361</v>
      </c>
    </row>
    <row r="1494" spans="1:9" x14ac:dyDescent="0.25">
      <c r="A1494" s="40" t="s">
        <v>84</v>
      </c>
      <c r="B1494" s="28">
        <v>1584</v>
      </c>
      <c r="C1494" s="28" t="s">
        <v>35</v>
      </c>
      <c r="D1494" s="28" t="s">
        <v>38</v>
      </c>
      <c r="E1494" s="41">
        <v>46153</v>
      </c>
      <c r="F1494" s="47">
        <v>0.79741898148148149</v>
      </c>
      <c r="G1494" s="42">
        <v>6.3</v>
      </c>
      <c r="H1494" s="40" t="s">
        <v>1364</v>
      </c>
      <c r="I1494" s="40" t="s">
        <v>1361</v>
      </c>
    </row>
    <row r="1495" spans="1:9" x14ac:dyDescent="0.25">
      <c r="A1495" s="40" t="s">
        <v>84</v>
      </c>
      <c r="B1495" s="28">
        <v>1584</v>
      </c>
      <c r="C1495" s="28">
        <v>5663796</v>
      </c>
      <c r="D1495" s="28"/>
      <c r="E1495" s="41">
        <v>46154</v>
      </c>
      <c r="F1495" s="47">
        <v>0.15733796296296296</v>
      </c>
      <c r="G1495" s="42">
        <v>6.3</v>
      </c>
      <c r="H1495" s="40" t="s">
        <v>1369</v>
      </c>
      <c r="I1495" s="40" t="s">
        <v>1361</v>
      </c>
    </row>
    <row r="1496" spans="1:9" x14ac:dyDescent="0.25">
      <c r="A1496" s="40" t="s">
        <v>84</v>
      </c>
      <c r="B1496" s="28">
        <v>1584</v>
      </c>
      <c r="C1496" s="28">
        <v>5663796</v>
      </c>
      <c r="D1496" s="28"/>
      <c r="E1496" s="45">
        <v>46154</v>
      </c>
      <c r="F1496" s="48">
        <v>0.16231481481481483</v>
      </c>
      <c r="G1496" s="44">
        <v>6.3</v>
      </c>
      <c r="H1496" s="43" t="s">
        <v>1364</v>
      </c>
      <c r="I1496" s="40" t="s">
        <v>1361</v>
      </c>
    </row>
    <row r="1497" spans="1:9" x14ac:dyDescent="0.25">
      <c r="A1497" s="40" t="s">
        <v>84</v>
      </c>
      <c r="B1497" s="28">
        <v>1584</v>
      </c>
      <c r="C1497" s="28">
        <v>5666137</v>
      </c>
      <c r="D1497" s="28"/>
      <c r="E1497" s="41">
        <v>46155</v>
      </c>
      <c r="F1497" s="47">
        <v>0.81673611111111111</v>
      </c>
      <c r="G1497" s="44">
        <v>6.3</v>
      </c>
      <c r="H1497" s="43" t="s">
        <v>1360</v>
      </c>
      <c r="I1497" s="40" t="s">
        <v>1361</v>
      </c>
    </row>
    <row r="1498" spans="1:9" x14ac:dyDescent="0.25">
      <c r="A1498" s="40" t="s">
        <v>84</v>
      </c>
      <c r="B1498" s="28">
        <v>1584</v>
      </c>
      <c r="C1498" s="28">
        <v>5666137</v>
      </c>
      <c r="D1498" s="28"/>
      <c r="E1498" s="41">
        <v>46155</v>
      </c>
      <c r="F1498" s="47">
        <v>0.83365740740740746</v>
      </c>
      <c r="G1498" s="44">
        <v>6.3</v>
      </c>
      <c r="H1498" s="43" t="s">
        <v>1362</v>
      </c>
      <c r="I1498" s="40" t="s">
        <v>1361</v>
      </c>
    </row>
    <row r="1499" spans="1:9" x14ac:dyDescent="0.25">
      <c r="A1499" s="40" t="s">
        <v>84</v>
      </c>
      <c r="B1499" s="28">
        <v>1584</v>
      </c>
      <c r="C1499" s="28">
        <v>5665119</v>
      </c>
      <c r="D1499" s="28"/>
      <c r="E1499" s="41">
        <v>46156</v>
      </c>
      <c r="F1499" s="47">
        <v>0.13380787037037037</v>
      </c>
      <c r="G1499" s="44">
        <v>6.3</v>
      </c>
      <c r="H1499" s="43" t="s">
        <v>1364</v>
      </c>
      <c r="I1499" s="40" t="s">
        <v>1361</v>
      </c>
    </row>
    <row r="1500" spans="1:9" x14ac:dyDescent="0.25">
      <c r="A1500" s="40" t="s">
        <v>84</v>
      </c>
      <c r="B1500" s="28">
        <v>1584</v>
      </c>
      <c r="C1500" s="28">
        <v>5667777</v>
      </c>
      <c r="D1500" s="28" t="s">
        <v>36</v>
      </c>
      <c r="E1500" s="41">
        <v>46156</v>
      </c>
      <c r="F1500" s="47">
        <v>0.22850694444444444</v>
      </c>
      <c r="G1500" s="44">
        <v>6.3</v>
      </c>
      <c r="H1500" s="43" t="s">
        <v>1363</v>
      </c>
      <c r="I1500" s="40" t="s">
        <v>1361</v>
      </c>
    </row>
    <row r="1501" spans="1:9" x14ac:dyDescent="0.25">
      <c r="A1501" s="40" t="s">
        <v>84</v>
      </c>
      <c r="B1501" s="28">
        <v>1584</v>
      </c>
      <c r="C1501" s="28">
        <v>5667777</v>
      </c>
      <c r="D1501" s="28" t="s">
        <v>36</v>
      </c>
      <c r="E1501" s="41">
        <v>46156</v>
      </c>
      <c r="F1501" s="47">
        <v>0.2336574074074074</v>
      </c>
      <c r="G1501" s="42">
        <v>6.3</v>
      </c>
      <c r="H1501" s="40" t="s">
        <v>1364</v>
      </c>
      <c r="I1501" s="40" t="s">
        <v>1361</v>
      </c>
    </row>
    <row r="1502" spans="1:9" x14ac:dyDescent="0.25">
      <c r="A1502" s="40" t="s">
        <v>84</v>
      </c>
      <c r="B1502" s="28">
        <v>1584</v>
      </c>
      <c r="C1502" s="28">
        <v>5668142</v>
      </c>
      <c r="D1502" s="28"/>
      <c r="E1502" s="41">
        <v>46156</v>
      </c>
      <c r="F1502" s="47">
        <v>0.90408564814814818</v>
      </c>
      <c r="G1502" s="42">
        <v>6.3</v>
      </c>
      <c r="H1502" s="40" t="s">
        <v>1369</v>
      </c>
      <c r="I1502" s="40" t="s">
        <v>1361</v>
      </c>
    </row>
    <row r="1503" spans="1:9" x14ac:dyDescent="0.25">
      <c r="A1503" s="40" t="s">
        <v>84</v>
      </c>
      <c r="B1503" s="28">
        <v>1584</v>
      </c>
      <c r="C1503" s="28">
        <v>5667987</v>
      </c>
      <c r="D1503" s="28" t="s">
        <v>37</v>
      </c>
      <c r="E1503" s="41">
        <v>46156</v>
      </c>
      <c r="F1503" s="47">
        <v>0.98103009259259255</v>
      </c>
      <c r="G1503" s="42">
        <v>6.3</v>
      </c>
      <c r="H1503" s="40" t="s">
        <v>1360</v>
      </c>
      <c r="I1503" s="40" t="s">
        <v>1361</v>
      </c>
    </row>
    <row r="1504" spans="1:9" x14ac:dyDescent="0.25">
      <c r="A1504" s="40" t="s">
        <v>84</v>
      </c>
      <c r="B1504" s="28">
        <v>1584</v>
      </c>
      <c r="C1504" s="28">
        <v>5667987</v>
      </c>
      <c r="D1504" s="28" t="s">
        <v>37</v>
      </c>
      <c r="E1504" s="41">
        <v>46156</v>
      </c>
      <c r="F1504" s="47">
        <v>0.98964120370370368</v>
      </c>
      <c r="G1504" s="44">
        <v>6.3</v>
      </c>
      <c r="H1504" s="43" t="s">
        <v>1362</v>
      </c>
      <c r="I1504" s="40" t="s">
        <v>1361</v>
      </c>
    </row>
    <row r="1505" spans="1:9" x14ac:dyDescent="0.25">
      <c r="A1505" s="40" t="s">
        <v>84</v>
      </c>
      <c r="B1505" s="28">
        <v>1584</v>
      </c>
      <c r="C1505" s="28">
        <v>5670626</v>
      </c>
      <c r="D1505" s="28"/>
      <c r="E1505" s="45">
        <v>46158</v>
      </c>
      <c r="F1505" s="48">
        <v>0.20831018518518518</v>
      </c>
      <c r="G1505" s="44">
        <v>6.3</v>
      </c>
      <c r="H1505" s="43" t="s">
        <v>1360</v>
      </c>
      <c r="I1505" s="40" t="s">
        <v>1365</v>
      </c>
    </row>
    <row r="1506" spans="1:9" x14ac:dyDescent="0.25">
      <c r="A1506" s="40" t="s">
        <v>84</v>
      </c>
      <c r="B1506" s="28">
        <v>1584</v>
      </c>
      <c r="C1506" s="28">
        <v>5670626</v>
      </c>
      <c r="D1506" s="28"/>
      <c r="E1506" s="41">
        <v>46158</v>
      </c>
      <c r="F1506" s="47">
        <v>0.21538194444444445</v>
      </c>
      <c r="G1506" s="44">
        <v>6.3</v>
      </c>
      <c r="H1506" s="43" t="s">
        <v>1362</v>
      </c>
      <c r="I1506" s="40" t="s">
        <v>1365</v>
      </c>
    </row>
    <row r="1507" spans="1:9" x14ac:dyDescent="0.25">
      <c r="A1507" s="40" t="s">
        <v>84</v>
      </c>
      <c r="B1507" s="28">
        <v>1584</v>
      </c>
      <c r="C1507" s="28">
        <v>5671147</v>
      </c>
      <c r="D1507" s="28"/>
      <c r="E1507" s="41">
        <v>46158</v>
      </c>
      <c r="F1507" s="47">
        <v>0.28902777777777777</v>
      </c>
      <c r="G1507" s="44">
        <v>6.3</v>
      </c>
      <c r="H1507" s="43" t="s">
        <v>1363</v>
      </c>
      <c r="I1507" s="40" t="s">
        <v>1365</v>
      </c>
    </row>
    <row r="1508" spans="1:9" x14ac:dyDescent="0.25">
      <c r="A1508" s="40" t="s">
        <v>84</v>
      </c>
      <c r="B1508" s="28">
        <v>1584</v>
      </c>
      <c r="C1508" s="28">
        <v>5671147</v>
      </c>
      <c r="D1508" s="28"/>
      <c r="E1508" s="45">
        <v>46158</v>
      </c>
      <c r="F1508" s="48">
        <v>0.29424768518518518</v>
      </c>
      <c r="G1508" s="44">
        <v>6.3</v>
      </c>
      <c r="H1508" s="43" t="s">
        <v>1364</v>
      </c>
      <c r="I1508" s="40" t="s">
        <v>1365</v>
      </c>
    </row>
    <row r="1509" spans="1:9" x14ac:dyDescent="0.25">
      <c r="A1509" s="40" t="s">
        <v>84</v>
      </c>
      <c r="B1509" s="28">
        <v>1584</v>
      </c>
      <c r="C1509" s="28" t="s">
        <v>666</v>
      </c>
      <c r="D1509" s="28"/>
      <c r="E1509" s="45">
        <v>46158</v>
      </c>
      <c r="F1509" s="48">
        <v>0.52375000000000005</v>
      </c>
      <c r="G1509" s="44">
        <v>6.3</v>
      </c>
      <c r="H1509" s="43" t="s">
        <v>1360</v>
      </c>
      <c r="I1509" s="40" t="s">
        <v>1365</v>
      </c>
    </row>
    <row r="1510" spans="1:9" x14ac:dyDescent="0.25">
      <c r="A1510" s="40" t="s">
        <v>84</v>
      </c>
      <c r="B1510" s="28">
        <v>1584</v>
      </c>
      <c r="C1510" s="28" t="s">
        <v>666</v>
      </c>
      <c r="D1510" s="28"/>
      <c r="E1510" s="41">
        <v>46158</v>
      </c>
      <c r="F1510" s="47">
        <v>0.53520833333333329</v>
      </c>
      <c r="G1510" s="44">
        <v>6.3</v>
      </c>
      <c r="H1510" s="43" t="s">
        <v>1362</v>
      </c>
      <c r="I1510" s="40" t="s">
        <v>1365</v>
      </c>
    </row>
    <row r="1511" spans="1:9" x14ac:dyDescent="0.25">
      <c r="A1511" s="40" t="s">
        <v>84</v>
      </c>
      <c r="B1511" s="28">
        <v>1584</v>
      </c>
      <c r="C1511" s="28" t="s">
        <v>35</v>
      </c>
      <c r="D1511" s="28" t="s">
        <v>38</v>
      </c>
      <c r="E1511" s="41">
        <v>46159</v>
      </c>
      <c r="F1511" s="47">
        <v>0.58050925925925922</v>
      </c>
      <c r="G1511" s="44">
        <v>6.3</v>
      </c>
      <c r="H1511" s="43" t="s">
        <v>1370</v>
      </c>
      <c r="I1511" s="40" t="s">
        <v>1365</v>
      </c>
    </row>
    <row r="1512" spans="1:9" x14ac:dyDescent="0.25">
      <c r="A1512" s="40" t="s">
        <v>84</v>
      </c>
      <c r="B1512" s="28">
        <v>1584</v>
      </c>
      <c r="C1512" s="28" t="s">
        <v>35</v>
      </c>
      <c r="D1512" s="28" t="s">
        <v>38</v>
      </c>
      <c r="E1512" s="41">
        <v>46159</v>
      </c>
      <c r="F1512" s="47">
        <v>0.58498842592592593</v>
      </c>
      <c r="G1512" s="44">
        <v>6.3</v>
      </c>
      <c r="H1512" s="43" t="s">
        <v>1364</v>
      </c>
      <c r="I1512" s="40" t="s">
        <v>1365</v>
      </c>
    </row>
    <row r="1513" spans="1:9" x14ac:dyDescent="0.25">
      <c r="A1513" s="40" t="s">
        <v>84</v>
      </c>
      <c r="B1513" s="28">
        <v>1584</v>
      </c>
      <c r="C1513" s="28" t="s">
        <v>35</v>
      </c>
      <c r="D1513" s="28" t="s">
        <v>38</v>
      </c>
      <c r="E1513" s="41">
        <v>46159</v>
      </c>
      <c r="F1513" s="47">
        <v>0.95144675925925926</v>
      </c>
      <c r="G1513" s="44">
        <v>6.3</v>
      </c>
      <c r="H1513" s="43" t="s">
        <v>1360</v>
      </c>
      <c r="I1513" s="40" t="s">
        <v>1365</v>
      </c>
    </row>
    <row r="1514" spans="1:9" x14ac:dyDescent="0.25">
      <c r="A1514" s="40" t="s">
        <v>84</v>
      </c>
      <c r="B1514" s="28">
        <v>1584</v>
      </c>
      <c r="C1514" s="28" t="s">
        <v>35</v>
      </c>
      <c r="D1514" s="28" t="s">
        <v>38</v>
      </c>
      <c r="E1514" s="41">
        <v>46159</v>
      </c>
      <c r="F1514" s="47">
        <v>0.95781249999999996</v>
      </c>
      <c r="G1514" s="44">
        <v>6.3</v>
      </c>
      <c r="H1514" s="43" t="s">
        <v>1362</v>
      </c>
      <c r="I1514" s="40" t="s">
        <v>1365</v>
      </c>
    </row>
    <row r="1515" spans="1:9" x14ac:dyDescent="0.25">
      <c r="A1515" s="40" t="s">
        <v>389</v>
      </c>
      <c r="B1515" s="28">
        <v>1591</v>
      </c>
      <c r="C1515" s="28" t="s">
        <v>667</v>
      </c>
      <c r="D1515" s="28"/>
      <c r="E1515" s="41">
        <v>46153</v>
      </c>
      <c r="F1515" s="47">
        <v>0.32598379629629631</v>
      </c>
      <c r="G1515" s="44">
        <v>6.3</v>
      </c>
      <c r="H1515" s="43" t="s">
        <v>1360</v>
      </c>
      <c r="I1515" s="40" t="s">
        <v>1361</v>
      </c>
    </row>
    <row r="1516" spans="1:9" x14ac:dyDescent="0.25">
      <c r="A1516" s="40" t="s">
        <v>389</v>
      </c>
      <c r="B1516" s="28">
        <v>1591</v>
      </c>
      <c r="C1516" s="28" t="s">
        <v>667</v>
      </c>
      <c r="D1516" s="28"/>
      <c r="E1516" s="41">
        <v>46153</v>
      </c>
      <c r="F1516" s="47">
        <v>0.33534722222222224</v>
      </c>
      <c r="G1516" s="44">
        <v>6.3</v>
      </c>
      <c r="H1516" s="43" t="s">
        <v>1368</v>
      </c>
      <c r="I1516" s="40" t="s">
        <v>1361</v>
      </c>
    </row>
    <row r="1517" spans="1:9" x14ac:dyDescent="0.25">
      <c r="A1517" s="40" t="s">
        <v>389</v>
      </c>
      <c r="B1517" s="28">
        <v>1591</v>
      </c>
      <c r="C1517" s="28" t="s">
        <v>668</v>
      </c>
      <c r="D1517" s="28"/>
      <c r="E1517" s="41">
        <v>46153</v>
      </c>
      <c r="F1517" s="47">
        <v>0.41851851851851851</v>
      </c>
      <c r="G1517" s="44">
        <v>6.3</v>
      </c>
      <c r="H1517" s="43" t="s">
        <v>1363</v>
      </c>
      <c r="I1517" s="40" t="s">
        <v>1361</v>
      </c>
    </row>
    <row r="1518" spans="1:9" x14ac:dyDescent="0.25">
      <c r="A1518" s="40" t="s">
        <v>389</v>
      </c>
      <c r="B1518" s="28">
        <v>1591</v>
      </c>
      <c r="C1518" s="28" t="s">
        <v>668</v>
      </c>
      <c r="D1518" s="28"/>
      <c r="E1518" s="41">
        <v>46153</v>
      </c>
      <c r="F1518" s="47">
        <v>0.42385416666666664</v>
      </c>
      <c r="G1518" s="44">
        <v>6.3</v>
      </c>
      <c r="H1518" s="43" t="s">
        <v>1364</v>
      </c>
      <c r="I1518" s="40" t="s">
        <v>1361</v>
      </c>
    </row>
    <row r="1519" spans="1:9" x14ac:dyDescent="0.25">
      <c r="A1519" s="40" t="s">
        <v>389</v>
      </c>
      <c r="B1519" s="28">
        <v>1591</v>
      </c>
      <c r="C1519" s="28" t="s">
        <v>669</v>
      </c>
      <c r="D1519" s="28"/>
      <c r="E1519" s="41">
        <v>46154</v>
      </c>
      <c r="F1519" s="47">
        <v>0.24309027777777778</v>
      </c>
      <c r="G1519" s="44">
        <v>6.3</v>
      </c>
      <c r="H1519" s="43" t="s">
        <v>1360</v>
      </c>
      <c r="I1519" s="40" t="s">
        <v>1361</v>
      </c>
    </row>
    <row r="1520" spans="1:9" x14ac:dyDescent="0.25">
      <c r="A1520" s="40" t="s">
        <v>389</v>
      </c>
      <c r="B1520" s="28">
        <v>1591</v>
      </c>
      <c r="C1520" s="28" t="s">
        <v>669</v>
      </c>
      <c r="D1520" s="28"/>
      <c r="E1520" s="41">
        <v>46154</v>
      </c>
      <c r="F1520" s="47">
        <v>0.25475694444444447</v>
      </c>
      <c r="G1520" s="44">
        <v>6.3</v>
      </c>
      <c r="H1520" s="43" t="s">
        <v>1362</v>
      </c>
      <c r="I1520" s="40" t="s">
        <v>1361</v>
      </c>
    </row>
    <row r="1521" spans="1:9" x14ac:dyDescent="0.25">
      <c r="A1521" s="40" t="s">
        <v>389</v>
      </c>
      <c r="B1521" s="28">
        <v>1591</v>
      </c>
      <c r="C1521" s="28" t="s">
        <v>35</v>
      </c>
      <c r="D1521" s="28" t="s">
        <v>38</v>
      </c>
      <c r="E1521" s="41">
        <v>46156</v>
      </c>
      <c r="F1521" s="47">
        <v>0.1736111111111111</v>
      </c>
      <c r="G1521" s="44">
        <v>6.3</v>
      </c>
      <c r="H1521" s="43" t="s">
        <v>1363</v>
      </c>
      <c r="I1521" s="40" t="s">
        <v>1361</v>
      </c>
    </row>
    <row r="1522" spans="1:9" x14ac:dyDescent="0.25">
      <c r="A1522" s="40" t="s">
        <v>389</v>
      </c>
      <c r="B1522" s="28">
        <v>1591</v>
      </c>
      <c r="C1522" s="28" t="s">
        <v>35</v>
      </c>
      <c r="D1522" s="28" t="s">
        <v>38</v>
      </c>
      <c r="E1522" s="41">
        <v>46156</v>
      </c>
      <c r="F1522" s="47">
        <v>0.17879629629629629</v>
      </c>
      <c r="G1522" s="44">
        <v>6.3</v>
      </c>
      <c r="H1522" s="43" t="s">
        <v>1364</v>
      </c>
      <c r="I1522" s="40" t="s">
        <v>1361</v>
      </c>
    </row>
    <row r="1523" spans="1:9" x14ac:dyDescent="0.25">
      <c r="A1523" s="40" t="s">
        <v>389</v>
      </c>
      <c r="B1523" s="28">
        <v>1591</v>
      </c>
      <c r="C1523" s="28" t="s">
        <v>670</v>
      </c>
      <c r="D1523" s="28"/>
      <c r="E1523" s="45">
        <v>46157</v>
      </c>
      <c r="F1523" s="48">
        <v>0.34722222222222221</v>
      </c>
      <c r="G1523" s="44">
        <v>6.3</v>
      </c>
      <c r="H1523" s="43" t="s">
        <v>1360</v>
      </c>
      <c r="I1523" s="40" t="s">
        <v>1361</v>
      </c>
    </row>
    <row r="1524" spans="1:9" x14ac:dyDescent="0.25">
      <c r="A1524" s="40" t="s">
        <v>389</v>
      </c>
      <c r="B1524" s="28">
        <v>1591</v>
      </c>
      <c r="C1524" s="28" t="s">
        <v>670</v>
      </c>
      <c r="D1524" s="28"/>
      <c r="E1524" s="41">
        <v>46157</v>
      </c>
      <c r="F1524" s="47">
        <v>0.36954861111111109</v>
      </c>
      <c r="G1524" s="44">
        <v>6.3</v>
      </c>
      <c r="H1524" s="43" t="s">
        <v>1362</v>
      </c>
      <c r="I1524" s="40" t="s">
        <v>1361</v>
      </c>
    </row>
    <row r="1525" spans="1:9" x14ac:dyDescent="0.25">
      <c r="A1525" s="40" t="s">
        <v>222</v>
      </c>
      <c r="B1525" s="28">
        <v>1594</v>
      </c>
      <c r="C1525" s="28" t="s">
        <v>671</v>
      </c>
      <c r="D1525" s="28"/>
      <c r="E1525" s="41">
        <v>46154</v>
      </c>
      <c r="F1525" s="47">
        <v>0.34024305555555556</v>
      </c>
      <c r="G1525" s="44">
        <v>6.3</v>
      </c>
      <c r="H1525" s="43" t="s">
        <v>1360</v>
      </c>
      <c r="I1525" s="40" t="s">
        <v>1361</v>
      </c>
    </row>
    <row r="1526" spans="1:9" x14ac:dyDescent="0.25">
      <c r="A1526" s="40" t="s">
        <v>222</v>
      </c>
      <c r="B1526" s="28">
        <v>1594</v>
      </c>
      <c r="C1526" s="28" t="s">
        <v>35</v>
      </c>
      <c r="D1526" s="28" t="s">
        <v>38</v>
      </c>
      <c r="E1526" s="41">
        <v>46154</v>
      </c>
      <c r="F1526" s="47">
        <v>0.3800115740740741</v>
      </c>
      <c r="G1526" s="44">
        <v>6.3</v>
      </c>
      <c r="H1526" s="43" t="s">
        <v>1362</v>
      </c>
      <c r="I1526" s="40" t="s">
        <v>1361</v>
      </c>
    </row>
    <row r="1527" spans="1:9" x14ac:dyDescent="0.25">
      <c r="A1527" s="40" t="s">
        <v>222</v>
      </c>
      <c r="B1527" s="28">
        <v>1594</v>
      </c>
      <c r="C1527" s="28">
        <v>5670877</v>
      </c>
      <c r="D1527" s="28"/>
      <c r="E1527" s="41">
        <v>46157</v>
      </c>
      <c r="F1527" s="47">
        <v>0.85853009259259261</v>
      </c>
      <c r="G1527" s="44">
        <v>6.3</v>
      </c>
      <c r="H1527" s="43" t="s">
        <v>1360</v>
      </c>
      <c r="I1527" s="40" t="s">
        <v>1361</v>
      </c>
    </row>
    <row r="1528" spans="1:9" x14ac:dyDescent="0.25">
      <c r="A1528" s="40" t="s">
        <v>222</v>
      </c>
      <c r="B1528" s="28">
        <v>1594</v>
      </c>
      <c r="C1528" s="28">
        <v>5670877</v>
      </c>
      <c r="D1528" s="28"/>
      <c r="E1528" s="41">
        <v>46157</v>
      </c>
      <c r="F1528" s="47">
        <v>0.86812500000000004</v>
      </c>
      <c r="G1528" s="44">
        <v>6.3</v>
      </c>
      <c r="H1528" s="43" t="s">
        <v>1362</v>
      </c>
      <c r="I1528" s="40" t="s">
        <v>1361</v>
      </c>
    </row>
    <row r="1529" spans="1:9" x14ac:dyDescent="0.25">
      <c r="A1529" s="40" t="s">
        <v>222</v>
      </c>
      <c r="B1529" s="28">
        <v>1594</v>
      </c>
      <c r="C1529" s="28">
        <v>5668114</v>
      </c>
      <c r="D1529" s="28"/>
      <c r="E1529" s="41">
        <v>46158</v>
      </c>
      <c r="F1529" s="47">
        <v>0.87215277777777778</v>
      </c>
      <c r="G1529" s="44">
        <v>6.3</v>
      </c>
      <c r="H1529" s="43" t="s">
        <v>1363</v>
      </c>
      <c r="I1529" s="40" t="s">
        <v>1365</v>
      </c>
    </row>
    <row r="1530" spans="1:9" x14ac:dyDescent="0.25">
      <c r="A1530" s="40" t="s">
        <v>222</v>
      </c>
      <c r="B1530" s="28">
        <v>1594</v>
      </c>
      <c r="C1530" s="28">
        <v>5668114</v>
      </c>
      <c r="D1530" s="28"/>
      <c r="E1530" s="45">
        <v>46158</v>
      </c>
      <c r="F1530" s="48">
        <v>0.87745370370370368</v>
      </c>
      <c r="G1530" s="42">
        <v>6.3</v>
      </c>
      <c r="H1530" s="40" t="s">
        <v>1364</v>
      </c>
      <c r="I1530" s="40" t="s">
        <v>1365</v>
      </c>
    </row>
    <row r="1531" spans="1:9" x14ac:dyDescent="0.25">
      <c r="A1531" s="40" t="s">
        <v>222</v>
      </c>
      <c r="B1531" s="28">
        <v>1594</v>
      </c>
      <c r="C1531" s="28">
        <v>5672068</v>
      </c>
      <c r="D1531" s="28"/>
      <c r="E1531" s="41">
        <v>46158</v>
      </c>
      <c r="F1531" s="47">
        <v>0.93548611111111113</v>
      </c>
      <c r="G1531" s="42">
        <v>6.3</v>
      </c>
      <c r="H1531" s="40" t="s">
        <v>1360</v>
      </c>
      <c r="I1531" s="40" t="s">
        <v>1365</v>
      </c>
    </row>
    <row r="1532" spans="1:9" x14ac:dyDescent="0.25">
      <c r="A1532" s="40" t="s">
        <v>222</v>
      </c>
      <c r="B1532" s="28">
        <v>1594</v>
      </c>
      <c r="C1532" s="28">
        <v>5672068</v>
      </c>
      <c r="D1532" s="28"/>
      <c r="E1532" s="41">
        <v>46158</v>
      </c>
      <c r="F1532" s="47">
        <v>0.94232638888888887</v>
      </c>
      <c r="G1532" s="42">
        <v>6.3</v>
      </c>
      <c r="H1532" s="40" t="s">
        <v>1362</v>
      </c>
      <c r="I1532" s="40" t="s">
        <v>1365</v>
      </c>
    </row>
    <row r="1533" spans="1:9" x14ac:dyDescent="0.25">
      <c r="A1533" s="40" t="s">
        <v>222</v>
      </c>
      <c r="B1533" s="28">
        <v>1594</v>
      </c>
      <c r="C1533" s="28" t="s">
        <v>35</v>
      </c>
      <c r="D1533" s="28" t="s">
        <v>38</v>
      </c>
      <c r="E1533" s="41">
        <v>46159</v>
      </c>
      <c r="F1533" s="47">
        <v>0.27770833333333333</v>
      </c>
      <c r="G1533" s="44">
        <v>6.3</v>
      </c>
      <c r="H1533" s="43" t="s">
        <v>1363</v>
      </c>
      <c r="I1533" s="40" t="s">
        <v>1365</v>
      </c>
    </row>
    <row r="1534" spans="1:9" x14ac:dyDescent="0.25">
      <c r="A1534" s="40" t="s">
        <v>222</v>
      </c>
      <c r="B1534" s="28">
        <v>1594</v>
      </c>
      <c r="C1534" s="28" t="s">
        <v>35</v>
      </c>
      <c r="D1534" s="28" t="s">
        <v>38</v>
      </c>
      <c r="E1534" s="41">
        <v>46159</v>
      </c>
      <c r="F1534" s="47">
        <v>0.28221064814814817</v>
      </c>
      <c r="G1534" s="44">
        <v>6.3</v>
      </c>
      <c r="H1534" s="43" t="s">
        <v>1364</v>
      </c>
      <c r="I1534" s="40" t="s">
        <v>1365</v>
      </c>
    </row>
    <row r="1535" spans="1:9" x14ac:dyDescent="0.25">
      <c r="A1535" s="40" t="s">
        <v>222</v>
      </c>
      <c r="B1535" s="28">
        <v>1594</v>
      </c>
      <c r="C1535" s="28">
        <v>5672441</v>
      </c>
      <c r="D1535" s="28"/>
      <c r="E1535" s="41">
        <v>46159</v>
      </c>
      <c r="F1535" s="47">
        <v>0.47106481481481483</v>
      </c>
      <c r="G1535" s="44">
        <v>6.3</v>
      </c>
      <c r="H1535" s="43" t="s">
        <v>1360</v>
      </c>
      <c r="I1535" s="40" t="s">
        <v>1365</v>
      </c>
    </row>
    <row r="1536" spans="1:9" x14ac:dyDescent="0.25">
      <c r="A1536" s="40" t="s">
        <v>222</v>
      </c>
      <c r="B1536" s="28">
        <v>1594</v>
      </c>
      <c r="C1536" s="28">
        <v>5672441</v>
      </c>
      <c r="D1536" s="28"/>
      <c r="E1536" s="45">
        <v>46159</v>
      </c>
      <c r="F1536" s="48">
        <v>0.47828703703703701</v>
      </c>
      <c r="G1536" s="44">
        <v>6.3</v>
      </c>
      <c r="H1536" s="43" t="s">
        <v>1362</v>
      </c>
      <c r="I1536" s="40" t="s">
        <v>1365</v>
      </c>
    </row>
    <row r="1537" spans="1:9" x14ac:dyDescent="0.25">
      <c r="A1537" s="40" t="s">
        <v>222</v>
      </c>
      <c r="B1537" s="28">
        <v>1594</v>
      </c>
      <c r="C1537" s="28" t="s">
        <v>35</v>
      </c>
      <c r="D1537" s="28" t="s">
        <v>38</v>
      </c>
      <c r="E1537" s="41">
        <v>46159</v>
      </c>
      <c r="F1537" s="47">
        <v>0.50157407407407406</v>
      </c>
      <c r="G1537" s="44">
        <v>6.3</v>
      </c>
      <c r="H1537" s="43" t="s">
        <v>1370</v>
      </c>
      <c r="I1537" s="40" t="s">
        <v>1365</v>
      </c>
    </row>
    <row r="1538" spans="1:9" x14ac:dyDescent="0.25">
      <c r="A1538" s="40" t="s">
        <v>222</v>
      </c>
      <c r="B1538" s="28">
        <v>1594</v>
      </c>
      <c r="C1538" s="28" t="s">
        <v>35</v>
      </c>
      <c r="D1538" s="28" t="s">
        <v>38</v>
      </c>
      <c r="E1538" s="41">
        <v>46159</v>
      </c>
      <c r="F1538" s="47">
        <v>0.50570601851851849</v>
      </c>
      <c r="G1538" s="44">
        <v>6.3</v>
      </c>
      <c r="H1538" s="43" t="s">
        <v>1364</v>
      </c>
      <c r="I1538" s="40" t="s">
        <v>1365</v>
      </c>
    </row>
    <row r="1539" spans="1:9" x14ac:dyDescent="0.25">
      <c r="A1539" s="40" t="s">
        <v>222</v>
      </c>
      <c r="B1539" s="28">
        <v>1594</v>
      </c>
      <c r="C1539" s="28">
        <v>5673562</v>
      </c>
      <c r="D1539" s="28"/>
      <c r="E1539" s="41">
        <v>46159</v>
      </c>
      <c r="F1539" s="47">
        <v>0.95998842592592593</v>
      </c>
      <c r="G1539" s="44">
        <v>6.3</v>
      </c>
      <c r="H1539" s="43" t="s">
        <v>1360</v>
      </c>
      <c r="I1539" s="40" t="s">
        <v>1365</v>
      </c>
    </row>
    <row r="1540" spans="1:9" x14ac:dyDescent="0.25">
      <c r="A1540" s="40" t="s">
        <v>222</v>
      </c>
      <c r="B1540" s="28">
        <v>1594</v>
      </c>
      <c r="C1540" s="28">
        <v>5673562</v>
      </c>
      <c r="D1540" s="28"/>
      <c r="E1540" s="41">
        <v>46159</v>
      </c>
      <c r="F1540" s="47">
        <v>0.96583333333333332</v>
      </c>
      <c r="G1540" s="44">
        <v>6.3</v>
      </c>
      <c r="H1540" s="43" t="s">
        <v>1368</v>
      </c>
      <c r="I1540" s="40" t="s">
        <v>1365</v>
      </c>
    </row>
    <row r="1541" spans="1:9" x14ac:dyDescent="0.25">
      <c r="A1541" s="40" t="s">
        <v>211</v>
      </c>
      <c r="B1541" s="28">
        <v>1595</v>
      </c>
      <c r="C1541" s="28">
        <v>5665592</v>
      </c>
      <c r="D1541" s="28"/>
      <c r="E1541" s="45">
        <v>46154</v>
      </c>
      <c r="F1541" s="48">
        <v>0.85106481481481477</v>
      </c>
      <c r="G1541" s="44">
        <v>6.3</v>
      </c>
      <c r="H1541" s="43" t="s">
        <v>1360</v>
      </c>
      <c r="I1541" s="40" t="s">
        <v>1361</v>
      </c>
    </row>
    <row r="1542" spans="1:9" x14ac:dyDescent="0.25">
      <c r="A1542" s="40" t="s">
        <v>211</v>
      </c>
      <c r="B1542" s="28">
        <v>1595</v>
      </c>
      <c r="C1542" s="28">
        <v>5665592</v>
      </c>
      <c r="D1542" s="28"/>
      <c r="E1542" s="41">
        <v>46154</v>
      </c>
      <c r="F1542" s="47">
        <v>0.8579282407407407</v>
      </c>
      <c r="G1542" s="44">
        <v>6.3</v>
      </c>
      <c r="H1542" s="43" t="s">
        <v>1362</v>
      </c>
      <c r="I1542" s="40" t="s">
        <v>1361</v>
      </c>
    </row>
    <row r="1543" spans="1:9" x14ac:dyDescent="0.25">
      <c r="A1543" s="40" t="s">
        <v>211</v>
      </c>
      <c r="B1543" s="28">
        <v>1595</v>
      </c>
      <c r="C1543" s="28">
        <v>5666324</v>
      </c>
      <c r="D1543" s="28"/>
      <c r="E1543" s="45">
        <v>46155</v>
      </c>
      <c r="F1543" s="48">
        <v>0.43409722222222225</v>
      </c>
      <c r="G1543" s="44">
        <v>6.3</v>
      </c>
      <c r="H1543" s="43" t="s">
        <v>1360</v>
      </c>
      <c r="I1543" s="40" t="s">
        <v>1361</v>
      </c>
    </row>
    <row r="1544" spans="1:9" x14ac:dyDescent="0.25">
      <c r="A1544" s="40" t="s">
        <v>211</v>
      </c>
      <c r="B1544" s="28">
        <v>1595</v>
      </c>
      <c r="C1544" s="28">
        <v>5666324</v>
      </c>
      <c r="D1544" s="28"/>
      <c r="E1544" s="41">
        <v>46155</v>
      </c>
      <c r="F1544" s="47">
        <v>0.45276620370370368</v>
      </c>
      <c r="G1544" s="44">
        <v>6.3</v>
      </c>
      <c r="H1544" s="43" t="s">
        <v>1362</v>
      </c>
      <c r="I1544" s="40" t="s">
        <v>1361</v>
      </c>
    </row>
    <row r="1545" spans="1:9" x14ac:dyDescent="0.25">
      <c r="A1545" s="40" t="s">
        <v>211</v>
      </c>
      <c r="B1545" s="28">
        <v>1595</v>
      </c>
      <c r="C1545" s="28">
        <v>5669182</v>
      </c>
      <c r="D1545" s="28"/>
      <c r="E1545" s="41">
        <v>46156</v>
      </c>
      <c r="F1545" s="47">
        <v>0.87758101851851855</v>
      </c>
      <c r="G1545" s="44">
        <v>6.3</v>
      </c>
      <c r="H1545" s="43" t="s">
        <v>1360</v>
      </c>
      <c r="I1545" s="40" t="s">
        <v>1361</v>
      </c>
    </row>
    <row r="1546" spans="1:9" x14ac:dyDescent="0.25">
      <c r="A1546" s="40" t="s">
        <v>211</v>
      </c>
      <c r="B1546" s="28">
        <v>1595</v>
      </c>
      <c r="C1546" s="28">
        <v>5669182</v>
      </c>
      <c r="D1546" s="28"/>
      <c r="E1546" s="41">
        <v>46156</v>
      </c>
      <c r="F1546" s="47">
        <v>0.88596064814814812</v>
      </c>
      <c r="G1546" s="44">
        <v>6.3</v>
      </c>
      <c r="H1546" s="43" t="s">
        <v>1362</v>
      </c>
      <c r="I1546" s="40" t="s">
        <v>1361</v>
      </c>
    </row>
    <row r="1547" spans="1:9" x14ac:dyDescent="0.25">
      <c r="A1547" s="40" t="s">
        <v>211</v>
      </c>
      <c r="B1547" s="28">
        <v>1595</v>
      </c>
      <c r="C1547" s="28">
        <v>5670634</v>
      </c>
      <c r="D1547" s="28"/>
      <c r="E1547" s="41">
        <v>46157</v>
      </c>
      <c r="F1547" s="47">
        <v>0.81187500000000001</v>
      </c>
      <c r="G1547" s="44">
        <v>6.3</v>
      </c>
      <c r="H1547" s="43" t="s">
        <v>1360</v>
      </c>
      <c r="I1547" s="40" t="s">
        <v>1361</v>
      </c>
    </row>
    <row r="1548" spans="1:9" x14ac:dyDescent="0.25">
      <c r="A1548" s="40" t="s">
        <v>157</v>
      </c>
      <c r="B1548" s="28">
        <v>1601</v>
      </c>
      <c r="C1548" s="28" t="s">
        <v>35</v>
      </c>
      <c r="D1548" s="28" t="s">
        <v>38</v>
      </c>
      <c r="E1548" s="41">
        <v>46153</v>
      </c>
      <c r="F1548" s="47">
        <v>0.36232638888888891</v>
      </c>
      <c r="G1548" s="44">
        <v>6.3</v>
      </c>
      <c r="H1548" s="43" t="s">
        <v>1363</v>
      </c>
      <c r="I1548" s="40" t="s">
        <v>1361</v>
      </c>
    </row>
    <row r="1549" spans="1:9" x14ac:dyDescent="0.25">
      <c r="A1549" s="40" t="s">
        <v>157</v>
      </c>
      <c r="B1549" s="28">
        <v>1601</v>
      </c>
      <c r="C1549" s="28" t="s">
        <v>35</v>
      </c>
      <c r="D1549" s="28" t="s">
        <v>38</v>
      </c>
      <c r="E1549" s="41">
        <v>46153</v>
      </c>
      <c r="F1549" s="47">
        <v>0.38214120370370369</v>
      </c>
      <c r="G1549" s="44">
        <v>6.3</v>
      </c>
      <c r="H1549" s="43" t="s">
        <v>1364</v>
      </c>
      <c r="I1549" s="40" t="s">
        <v>1361</v>
      </c>
    </row>
    <row r="1550" spans="1:9" x14ac:dyDescent="0.25">
      <c r="A1550" s="40" t="s">
        <v>157</v>
      </c>
      <c r="B1550" s="28">
        <v>1601</v>
      </c>
      <c r="C1550" s="28" t="s">
        <v>35</v>
      </c>
      <c r="D1550" s="28" t="s">
        <v>38</v>
      </c>
      <c r="E1550" s="41">
        <v>46154</v>
      </c>
      <c r="F1550" s="47">
        <v>0.3868402777777778</v>
      </c>
      <c r="G1550" s="44">
        <v>6.3</v>
      </c>
      <c r="H1550" s="43" t="s">
        <v>1363</v>
      </c>
      <c r="I1550" s="40" t="s">
        <v>1361</v>
      </c>
    </row>
    <row r="1551" spans="1:9" x14ac:dyDescent="0.25">
      <c r="A1551" s="40" t="s">
        <v>157</v>
      </c>
      <c r="B1551" s="28">
        <v>1601</v>
      </c>
      <c r="C1551" s="28" t="s">
        <v>35</v>
      </c>
      <c r="D1551" s="28" t="s">
        <v>38</v>
      </c>
      <c r="E1551" s="41">
        <v>46154</v>
      </c>
      <c r="F1551" s="47">
        <v>0.39504629629629628</v>
      </c>
      <c r="G1551" s="44">
        <v>6.3</v>
      </c>
      <c r="H1551" s="43" t="s">
        <v>1364</v>
      </c>
      <c r="I1551" s="40" t="s">
        <v>1361</v>
      </c>
    </row>
    <row r="1552" spans="1:9" x14ac:dyDescent="0.25">
      <c r="A1552" s="40" t="s">
        <v>157</v>
      </c>
      <c r="B1552" s="28">
        <v>1601</v>
      </c>
      <c r="C1552" s="28">
        <v>5665941</v>
      </c>
      <c r="D1552" s="28" t="s">
        <v>36</v>
      </c>
      <c r="E1552" s="41">
        <v>46154</v>
      </c>
      <c r="F1552" s="47">
        <v>0.99493055555555554</v>
      </c>
      <c r="G1552" s="44">
        <v>6.3</v>
      </c>
      <c r="H1552" s="43" t="s">
        <v>1360</v>
      </c>
      <c r="I1552" s="40" t="s">
        <v>1361</v>
      </c>
    </row>
    <row r="1553" spans="1:9" x14ac:dyDescent="0.25">
      <c r="A1553" s="40" t="s">
        <v>157</v>
      </c>
      <c r="B1553" s="28">
        <v>1601</v>
      </c>
      <c r="C1553" s="28">
        <v>5665941</v>
      </c>
      <c r="D1553" s="28" t="s">
        <v>36</v>
      </c>
      <c r="E1553" s="41">
        <v>46155</v>
      </c>
      <c r="F1553" s="47">
        <v>2.7893518518518519E-3</v>
      </c>
      <c r="G1553" s="44">
        <v>6.3</v>
      </c>
      <c r="H1553" s="43" t="s">
        <v>1362</v>
      </c>
      <c r="I1553" s="40" t="s">
        <v>1361</v>
      </c>
    </row>
    <row r="1554" spans="1:9" x14ac:dyDescent="0.25">
      <c r="A1554" s="40" t="s">
        <v>157</v>
      </c>
      <c r="B1554" s="28">
        <v>1601</v>
      </c>
      <c r="C1554" s="28" t="s">
        <v>35</v>
      </c>
      <c r="D1554" s="28" t="s">
        <v>38</v>
      </c>
      <c r="E1554" s="41">
        <v>46155</v>
      </c>
      <c r="F1554" s="47">
        <v>0.57314814814814818</v>
      </c>
      <c r="G1554" s="44">
        <v>6.3</v>
      </c>
      <c r="H1554" s="43" t="s">
        <v>1363</v>
      </c>
      <c r="I1554" s="40" t="s">
        <v>1361</v>
      </c>
    </row>
    <row r="1555" spans="1:9" x14ac:dyDescent="0.25">
      <c r="A1555" s="40" t="s">
        <v>157</v>
      </c>
      <c r="B1555" s="28">
        <v>1601</v>
      </c>
      <c r="C1555" s="28" t="s">
        <v>35</v>
      </c>
      <c r="D1555" s="28" t="s">
        <v>38</v>
      </c>
      <c r="E1555" s="45">
        <v>46155</v>
      </c>
      <c r="F1555" s="48">
        <v>0.57966435185185183</v>
      </c>
      <c r="G1555" s="44">
        <v>6.3</v>
      </c>
      <c r="H1555" s="43" t="s">
        <v>1364</v>
      </c>
      <c r="I1555" s="40" t="s">
        <v>1361</v>
      </c>
    </row>
    <row r="1556" spans="1:9" x14ac:dyDescent="0.25">
      <c r="A1556" s="40" t="s">
        <v>157</v>
      </c>
      <c r="B1556" s="28">
        <v>1601</v>
      </c>
      <c r="C1556" s="28" t="s">
        <v>35</v>
      </c>
      <c r="D1556" s="28" t="s">
        <v>38</v>
      </c>
      <c r="E1556" s="41">
        <v>46155</v>
      </c>
      <c r="F1556" s="47">
        <v>0.86202546296296301</v>
      </c>
      <c r="G1556" s="42">
        <v>6.3</v>
      </c>
      <c r="H1556" s="40" t="s">
        <v>1363</v>
      </c>
      <c r="I1556" s="40" t="s">
        <v>1361</v>
      </c>
    </row>
    <row r="1557" spans="1:9" x14ac:dyDescent="0.25">
      <c r="A1557" s="40" t="s">
        <v>157</v>
      </c>
      <c r="B1557" s="28">
        <v>1601</v>
      </c>
      <c r="C1557" s="28" t="s">
        <v>35</v>
      </c>
      <c r="D1557" s="28" t="s">
        <v>38</v>
      </c>
      <c r="E1557" s="41">
        <v>46155</v>
      </c>
      <c r="F1557" s="47">
        <v>0.87364583333333334</v>
      </c>
      <c r="G1557" s="42">
        <v>6.3</v>
      </c>
      <c r="H1557" s="40" t="s">
        <v>1364</v>
      </c>
      <c r="I1557" s="40" t="s">
        <v>1361</v>
      </c>
    </row>
    <row r="1558" spans="1:9" x14ac:dyDescent="0.25">
      <c r="A1558" s="40" t="s">
        <v>157</v>
      </c>
      <c r="B1558" s="28">
        <v>1601</v>
      </c>
      <c r="C1558" s="28">
        <v>5667611</v>
      </c>
      <c r="D1558" s="28"/>
      <c r="E1558" s="41">
        <v>46155</v>
      </c>
      <c r="F1558" s="47">
        <v>0.97635416666666663</v>
      </c>
      <c r="G1558" s="44">
        <v>6.3</v>
      </c>
      <c r="H1558" s="43" t="s">
        <v>1360</v>
      </c>
      <c r="I1558" s="40" t="s">
        <v>1361</v>
      </c>
    </row>
    <row r="1559" spans="1:9" x14ac:dyDescent="0.25">
      <c r="A1559" s="40" t="s">
        <v>157</v>
      </c>
      <c r="B1559" s="28">
        <v>1601</v>
      </c>
      <c r="C1559" s="28">
        <v>5667611</v>
      </c>
      <c r="D1559" s="28"/>
      <c r="E1559" s="41">
        <v>46155</v>
      </c>
      <c r="F1559" s="47">
        <v>0.98849537037037039</v>
      </c>
      <c r="G1559" s="44">
        <v>6.3</v>
      </c>
      <c r="H1559" s="43" t="s">
        <v>1362</v>
      </c>
      <c r="I1559" s="40" t="s">
        <v>1361</v>
      </c>
    </row>
    <row r="1560" spans="1:9" x14ac:dyDescent="0.25">
      <c r="A1560" s="40" t="s">
        <v>157</v>
      </c>
      <c r="B1560" s="28">
        <v>1601</v>
      </c>
      <c r="C1560" s="28" t="s">
        <v>35</v>
      </c>
      <c r="D1560" s="28" t="s">
        <v>38</v>
      </c>
      <c r="E1560" s="45">
        <v>46156</v>
      </c>
      <c r="F1560" s="48">
        <v>0.60700231481481481</v>
      </c>
      <c r="G1560" s="44">
        <v>6.3</v>
      </c>
      <c r="H1560" s="43" t="s">
        <v>1370</v>
      </c>
      <c r="I1560" s="40" t="s">
        <v>1361</v>
      </c>
    </row>
    <row r="1561" spans="1:9" x14ac:dyDescent="0.25">
      <c r="A1561" s="40" t="s">
        <v>157</v>
      </c>
      <c r="B1561" s="28">
        <v>1601</v>
      </c>
      <c r="C1561" s="28" t="s">
        <v>35</v>
      </c>
      <c r="D1561" s="28" t="s">
        <v>38</v>
      </c>
      <c r="E1561" s="41">
        <v>46156</v>
      </c>
      <c r="F1561" s="47">
        <v>0.61365740740740737</v>
      </c>
      <c r="G1561" s="44">
        <v>6.3</v>
      </c>
      <c r="H1561" s="43" t="s">
        <v>1364</v>
      </c>
      <c r="I1561" s="40" t="s">
        <v>1361</v>
      </c>
    </row>
    <row r="1562" spans="1:9" x14ac:dyDescent="0.25">
      <c r="A1562" s="40" t="s">
        <v>157</v>
      </c>
      <c r="B1562" s="28">
        <v>1601</v>
      </c>
      <c r="C1562" s="28" t="s">
        <v>35</v>
      </c>
      <c r="D1562" s="28" t="s">
        <v>38</v>
      </c>
      <c r="E1562" s="45">
        <v>46157</v>
      </c>
      <c r="F1562" s="48">
        <v>0.40149305555555553</v>
      </c>
      <c r="G1562" s="44">
        <v>6.3</v>
      </c>
      <c r="H1562" s="43" t="s">
        <v>1363</v>
      </c>
      <c r="I1562" s="40" t="s">
        <v>1361</v>
      </c>
    </row>
    <row r="1563" spans="1:9" x14ac:dyDescent="0.25">
      <c r="A1563" s="40" t="s">
        <v>157</v>
      </c>
      <c r="B1563" s="28">
        <v>1601</v>
      </c>
      <c r="C1563" s="28" t="s">
        <v>35</v>
      </c>
      <c r="D1563" s="28" t="s">
        <v>38</v>
      </c>
      <c r="E1563" s="45">
        <v>46157</v>
      </c>
      <c r="F1563" s="48">
        <v>0.4074652777777778</v>
      </c>
      <c r="G1563" s="44">
        <v>6.3</v>
      </c>
      <c r="H1563" s="43" t="s">
        <v>1364</v>
      </c>
      <c r="I1563" s="40" t="s">
        <v>1361</v>
      </c>
    </row>
    <row r="1564" spans="1:9" x14ac:dyDescent="0.25">
      <c r="A1564" s="40" t="s">
        <v>157</v>
      </c>
      <c r="B1564" s="28">
        <v>1601</v>
      </c>
      <c r="C1564" s="28" t="s">
        <v>35</v>
      </c>
      <c r="D1564" s="28" t="s">
        <v>38</v>
      </c>
      <c r="E1564" s="41">
        <v>46158</v>
      </c>
      <c r="F1564" s="47">
        <v>0.38537037037037036</v>
      </c>
      <c r="G1564" s="44">
        <v>6.3</v>
      </c>
      <c r="H1564" s="43" t="s">
        <v>1363</v>
      </c>
      <c r="I1564" s="40" t="s">
        <v>1365</v>
      </c>
    </row>
    <row r="1565" spans="1:9" x14ac:dyDescent="0.25">
      <c r="A1565" s="40" t="s">
        <v>157</v>
      </c>
      <c r="B1565" s="28">
        <v>1601</v>
      </c>
      <c r="C1565" s="28" t="s">
        <v>35</v>
      </c>
      <c r="D1565" s="28" t="s">
        <v>38</v>
      </c>
      <c r="E1565" s="41">
        <v>46158</v>
      </c>
      <c r="F1565" s="47">
        <v>0.39318287037037036</v>
      </c>
      <c r="G1565" s="44">
        <v>6.3</v>
      </c>
      <c r="H1565" s="43" t="s">
        <v>1364</v>
      </c>
      <c r="I1565" s="40" t="s">
        <v>1365</v>
      </c>
    </row>
    <row r="1566" spans="1:9" x14ac:dyDescent="0.25">
      <c r="A1566" s="40" t="s">
        <v>157</v>
      </c>
      <c r="B1566" s="28">
        <v>1601</v>
      </c>
      <c r="C1566" s="28" t="s">
        <v>35</v>
      </c>
      <c r="D1566" s="28" t="s">
        <v>38</v>
      </c>
      <c r="E1566" s="41">
        <v>46158</v>
      </c>
      <c r="F1566" s="47">
        <v>0.65605324074074078</v>
      </c>
      <c r="G1566" s="44">
        <v>6.3</v>
      </c>
      <c r="H1566" s="43" t="s">
        <v>1360</v>
      </c>
      <c r="I1566" s="40" t="s">
        <v>1365</v>
      </c>
    </row>
    <row r="1567" spans="1:9" x14ac:dyDescent="0.25">
      <c r="A1567" s="40" t="s">
        <v>157</v>
      </c>
      <c r="B1567" s="28">
        <v>1601</v>
      </c>
      <c r="C1567" s="28" t="s">
        <v>35</v>
      </c>
      <c r="D1567" s="28" t="s">
        <v>38</v>
      </c>
      <c r="E1567" s="41">
        <v>46158</v>
      </c>
      <c r="F1567" s="47">
        <v>0.66630787037037043</v>
      </c>
      <c r="G1567" s="44">
        <v>6.3</v>
      </c>
      <c r="H1567" s="43" t="s">
        <v>1362</v>
      </c>
      <c r="I1567" s="40" t="s">
        <v>1365</v>
      </c>
    </row>
    <row r="1568" spans="1:9" x14ac:dyDescent="0.25">
      <c r="A1568" s="40" t="s">
        <v>157</v>
      </c>
      <c r="B1568" s="28">
        <v>1601</v>
      </c>
      <c r="C1568" s="28" t="s">
        <v>35</v>
      </c>
      <c r="D1568" s="28" t="s">
        <v>38</v>
      </c>
      <c r="E1568" s="41">
        <v>46158</v>
      </c>
      <c r="F1568" s="47">
        <v>0.73924768518518513</v>
      </c>
      <c r="G1568" s="44">
        <v>6.3</v>
      </c>
      <c r="H1568" s="43" t="s">
        <v>1363</v>
      </c>
      <c r="I1568" s="40" t="s">
        <v>1365</v>
      </c>
    </row>
    <row r="1569" spans="1:9" x14ac:dyDescent="0.25">
      <c r="A1569" s="40" t="s">
        <v>157</v>
      </c>
      <c r="B1569" s="28">
        <v>1601</v>
      </c>
      <c r="C1569" s="28" t="s">
        <v>35</v>
      </c>
      <c r="D1569" s="28" t="s">
        <v>38</v>
      </c>
      <c r="E1569" s="45">
        <v>46158</v>
      </c>
      <c r="F1569" s="48">
        <v>0.7505208333333333</v>
      </c>
      <c r="G1569" s="44">
        <v>6.3</v>
      </c>
      <c r="H1569" s="43" t="s">
        <v>1364</v>
      </c>
      <c r="I1569" s="40" t="s">
        <v>1365</v>
      </c>
    </row>
    <row r="1570" spans="1:9" x14ac:dyDescent="0.25">
      <c r="A1570" s="40" t="s">
        <v>157</v>
      </c>
      <c r="B1570" s="28">
        <v>1601</v>
      </c>
      <c r="C1570" s="28">
        <v>5670992</v>
      </c>
      <c r="D1570" s="28"/>
      <c r="E1570" s="41">
        <v>46159</v>
      </c>
      <c r="F1570" s="47">
        <v>1.0532407407407407E-3</v>
      </c>
      <c r="G1570" s="44">
        <v>6.3</v>
      </c>
      <c r="H1570" s="43" t="s">
        <v>1360</v>
      </c>
      <c r="I1570" s="40" t="s">
        <v>1365</v>
      </c>
    </row>
    <row r="1571" spans="1:9" x14ac:dyDescent="0.25">
      <c r="A1571" s="40" t="s">
        <v>157</v>
      </c>
      <c r="B1571" s="28">
        <v>1601</v>
      </c>
      <c r="C1571" s="28">
        <v>5670992</v>
      </c>
      <c r="D1571" s="28"/>
      <c r="E1571" s="41">
        <v>46159</v>
      </c>
      <c r="F1571" s="47">
        <v>8.9930555555555562E-3</v>
      </c>
      <c r="G1571" s="44">
        <v>6.3</v>
      </c>
      <c r="H1571" s="43" t="s">
        <v>1362</v>
      </c>
      <c r="I1571" s="40" t="s">
        <v>1365</v>
      </c>
    </row>
    <row r="1572" spans="1:9" x14ac:dyDescent="0.25">
      <c r="A1572" s="40" t="s">
        <v>157</v>
      </c>
      <c r="B1572" s="28">
        <v>1601</v>
      </c>
      <c r="C1572" s="28" t="s">
        <v>35</v>
      </c>
      <c r="D1572" s="28" t="s">
        <v>38</v>
      </c>
      <c r="E1572" s="41">
        <v>46159</v>
      </c>
      <c r="F1572" s="47">
        <v>0.48505787037037035</v>
      </c>
      <c r="G1572" s="44">
        <v>6.3</v>
      </c>
      <c r="H1572" s="43" t="s">
        <v>1363</v>
      </c>
      <c r="I1572" s="40" t="s">
        <v>1365</v>
      </c>
    </row>
    <row r="1573" spans="1:9" x14ac:dyDescent="0.25">
      <c r="A1573" s="40" t="s">
        <v>157</v>
      </c>
      <c r="B1573" s="28">
        <v>1601</v>
      </c>
      <c r="C1573" s="28" t="s">
        <v>35</v>
      </c>
      <c r="D1573" s="28" t="s">
        <v>38</v>
      </c>
      <c r="E1573" s="45">
        <v>46159</v>
      </c>
      <c r="F1573" s="48">
        <v>0.49084490740740738</v>
      </c>
      <c r="G1573" s="44">
        <v>6.3</v>
      </c>
      <c r="H1573" s="43" t="s">
        <v>1364</v>
      </c>
      <c r="I1573" s="40" t="s">
        <v>1365</v>
      </c>
    </row>
    <row r="1574" spans="1:9" x14ac:dyDescent="0.25">
      <c r="A1574" s="40" t="s">
        <v>83</v>
      </c>
      <c r="B1574" s="28">
        <v>1603</v>
      </c>
      <c r="C1574" s="28" t="s">
        <v>35</v>
      </c>
      <c r="D1574" s="28" t="s">
        <v>38</v>
      </c>
      <c r="E1574" s="41">
        <v>46153</v>
      </c>
      <c r="F1574" s="47">
        <v>0.1660300925925926</v>
      </c>
      <c r="G1574" s="44">
        <v>6.3</v>
      </c>
      <c r="H1574" s="43" t="s">
        <v>1362</v>
      </c>
      <c r="I1574" s="40" t="s">
        <v>1361</v>
      </c>
    </row>
    <row r="1575" spans="1:9" x14ac:dyDescent="0.25">
      <c r="A1575" s="40" t="s">
        <v>83</v>
      </c>
      <c r="B1575" s="28">
        <v>1603</v>
      </c>
      <c r="C1575" s="28" t="s">
        <v>35</v>
      </c>
      <c r="D1575" s="28" t="s">
        <v>38</v>
      </c>
      <c r="E1575" s="41">
        <v>46153</v>
      </c>
      <c r="F1575" s="47">
        <v>0.21934027777777779</v>
      </c>
      <c r="G1575" s="44">
        <v>6.3</v>
      </c>
      <c r="H1575" s="43" t="s">
        <v>1363</v>
      </c>
      <c r="I1575" s="40" t="s">
        <v>1361</v>
      </c>
    </row>
    <row r="1576" spans="1:9" x14ac:dyDescent="0.25">
      <c r="A1576" s="40" t="s">
        <v>83</v>
      </c>
      <c r="B1576" s="28">
        <v>1603</v>
      </c>
      <c r="C1576" s="28" t="s">
        <v>35</v>
      </c>
      <c r="D1576" s="28" t="s">
        <v>38</v>
      </c>
      <c r="E1576" s="41">
        <v>46153</v>
      </c>
      <c r="F1576" s="47">
        <v>0.22494212962962962</v>
      </c>
      <c r="G1576" s="44">
        <v>6.3</v>
      </c>
      <c r="H1576" s="43" t="s">
        <v>1364</v>
      </c>
      <c r="I1576" s="40" t="s">
        <v>1361</v>
      </c>
    </row>
    <row r="1577" spans="1:9" x14ac:dyDescent="0.25">
      <c r="A1577" s="40" t="s">
        <v>83</v>
      </c>
      <c r="B1577" s="28">
        <v>1603</v>
      </c>
      <c r="C1577" s="28" t="s">
        <v>35</v>
      </c>
      <c r="D1577" s="28" t="s">
        <v>38</v>
      </c>
      <c r="E1577" s="45">
        <v>46153</v>
      </c>
      <c r="F1577" s="48">
        <v>0.47395833333333331</v>
      </c>
      <c r="G1577" s="44">
        <v>6.3</v>
      </c>
      <c r="H1577" s="43" t="s">
        <v>1362</v>
      </c>
      <c r="I1577" s="40" t="s">
        <v>1361</v>
      </c>
    </row>
    <row r="1578" spans="1:9" x14ac:dyDescent="0.25">
      <c r="A1578" s="40" t="s">
        <v>83</v>
      </c>
      <c r="B1578" s="28">
        <v>1603</v>
      </c>
      <c r="C1578" s="28" t="s">
        <v>35</v>
      </c>
      <c r="D1578" s="28" t="s">
        <v>38</v>
      </c>
      <c r="E1578" s="41">
        <v>46155</v>
      </c>
      <c r="F1578" s="47">
        <v>0.56262731481481476</v>
      </c>
      <c r="G1578" s="44">
        <v>6.3</v>
      </c>
      <c r="H1578" s="43" t="s">
        <v>1363</v>
      </c>
      <c r="I1578" s="40" t="s">
        <v>1361</v>
      </c>
    </row>
    <row r="1579" spans="1:9" x14ac:dyDescent="0.25">
      <c r="A1579" s="40" t="s">
        <v>83</v>
      </c>
      <c r="B1579" s="28">
        <v>1603</v>
      </c>
      <c r="C1579" s="28" t="s">
        <v>35</v>
      </c>
      <c r="D1579" s="28" t="s">
        <v>38</v>
      </c>
      <c r="E1579" s="41">
        <v>46158</v>
      </c>
      <c r="F1579" s="47">
        <v>0.47038194444444442</v>
      </c>
      <c r="G1579" s="44">
        <v>6.3</v>
      </c>
      <c r="H1579" s="43" t="s">
        <v>1362</v>
      </c>
      <c r="I1579" s="40" t="s">
        <v>1365</v>
      </c>
    </row>
    <row r="1580" spans="1:9" x14ac:dyDescent="0.25">
      <c r="A1580" s="40" t="s">
        <v>83</v>
      </c>
      <c r="B1580" s="28">
        <v>1603</v>
      </c>
      <c r="C1580" s="28" t="s">
        <v>35</v>
      </c>
      <c r="D1580" s="28" t="s">
        <v>38</v>
      </c>
      <c r="E1580" s="41">
        <v>46159</v>
      </c>
      <c r="F1580" s="47">
        <v>0.57245370370370374</v>
      </c>
      <c r="G1580" s="44">
        <v>6.3</v>
      </c>
      <c r="H1580" s="43" t="s">
        <v>1363</v>
      </c>
      <c r="I1580" s="40" t="s">
        <v>1365</v>
      </c>
    </row>
    <row r="1581" spans="1:9" x14ac:dyDescent="0.25">
      <c r="A1581" s="40" t="s">
        <v>83</v>
      </c>
      <c r="B1581" s="28">
        <v>1603</v>
      </c>
      <c r="C1581" s="28" t="s">
        <v>35</v>
      </c>
      <c r="D1581" s="28" t="s">
        <v>38</v>
      </c>
      <c r="E1581" s="45">
        <v>46159</v>
      </c>
      <c r="F1581" s="48">
        <v>0.8740162037037037</v>
      </c>
      <c r="G1581" s="44">
        <v>6.3</v>
      </c>
      <c r="H1581" s="43" t="s">
        <v>1362</v>
      </c>
      <c r="I1581" s="40" t="s">
        <v>1365</v>
      </c>
    </row>
    <row r="1582" spans="1:9" x14ac:dyDescent="0.25">
      <c r="A1582" s="40" t="s">
        <v>366</v>
      </c>
      <c r="B1582" s="28">
        <v>1615</v>
      </c>
      <c r="C1582" s="28" t="s">
        <v>35</v>
      </c>
      <c r="D1582" s="28" t="s">
        <v>38</v>
      </c>
      <c r="E1582" s="41">
        <v>46153</v>
      </c>
      <c r="F1582" s="47">
        <v>0.46922453703703704</v>
      </c>
      <c r="G1582" s="42">
        <v>6.3</v>
      </c>
      <c r="H1582" s="40" t="s">
        <v>1364</v>
      </c>
      <c r="I1582" s="40" t="s">
        <v>1361</v>
      </c>
    </row>
    <row r="1583" spans="1:9" x14ac:dyDescent="0.25">
      <c r="A1583" s="40" t="s">
        <v>366</v>
      </c>
      <c r="B1583" s="28">
        <v>1615</v>
      </c>
      <c r="C1583" s="28">
        <v>5661004</v>
      </c>
      <c r="D1583" s="28"/>
      <c r="E1583" s="41">
        <v>46153</v>
      </c>
      <c r="F1583" s="47">
        <v>0.85659722222222223</v>
      </c>
      <c r="G1583" s="42">
        <v>6.3</v>
      </c>
      <c r="H1583" s="40" t="s">
        <v>1360</v>
      </c>
      <c r="I1583" s="40" t="s">
        <v>1361</v>
      </c>
    </row>
    <row r="1584" spans="1:9" x14ac:dyDescent="0.25">
      <c r="A1584" s="40" t="s">
        <v>366</v>
      </c>
      <c r="B1584" s="28">
        <v>1615</v>
      </c>
      <c r="C1584" s="28">
        <v>5661004</v>
      </c>
      <c r="D1584" s="28"/>
      <c r="E1584" s="41">
        <v>46153</v>
      </c>
      <c r="F1584" s="47">
        <v>0.86464120370370368</v>
      </c>
      <c r="G1584" s="44">
        <v>6.3</v>
      </c>
      <c r="H1584" s="43" t="s">
        <v>1362</v>
      </c>
      <c r="I1584" s="40" t="s">
        <v>1361</v>
      </c>
    </row>
    <row r="1585" spans="1:9" x14ac:dyDescent="0.25">
      <c r="A1585" s="40" t="s">
        <v>366</v>
      </c>
      <c r="B1585" s="28">
        <v>1615</v>
      </c>
      <c r="C1585" s="28" t="s">
        <v>35</v>
      </c>
      <c r="D1585" s="28" t="s">
        <v>38</v>
      </c>
      <c r="E1585" s="41">
        <v>46153</v>
      </c>
      <c r="F1585" s="47">
        <v>0.99053240740740744</v>
      </c>
      <c r="G1585" s="44">
        <v>6.3</v>
      </c>
      <c r="H1585" s="43" t="s">
        <v>1363</v>
      </c>
      <c r="I1585" s="40" t="s">
        <v>1361</v>
      </c>
    </row>
    <row r="1586" spans="1:9" x14ac:dyDescent="0.25">
      <c r="A1586" s="40" t="s">
        <v>366</v>
      </c>
      <c r="B1586" s="28">
        <v>1615</v>
      </c>
      <c r="C1586" s="28" t="s">
        <v>35</v>
      </c>
      <c r="D1586" s="28" t="s">
        <v>38</v>
      </c>
      <c r="E1586" s="41">
        <v>46153</v>
      </c>
      <c r="F1586" s="47">
        <v>0.99641203703703707</v>
      </c>
      <c r="G1586" s="44">
        <v>6.3</v>
      </c>
      <c r="H1586" s="43" t="s">
        <v>1364</v>
      </c>
      <c r="I1586" s="40" t="s">
        <v>1361</v>
      </c>
    </row>
    <row r="1587" spans="1:9" x14ac:dyDescent="0.25">
      <c r="A1587" s="40" t="s">
        <v>366</v>
      </c>
      <c r="B1587" s="28">
        <v>1615</v>
      </c>
      <c r="C1587" s="28" t="s">
        <v>35</v>
      </c>
      <c r="D1587" s="28" t="s">
        <v>38</v>
      </c>
      <c r="E1587" s="41">
        <v>46157</v>
      </c>
      <c r="F1587" s="47">
        <v>0.55505787037037035</v>
      </c>
      <c r="G1587" s="44">
        <v>6.3</v>
      </c>
      <c r="H1587" s="43" t="s">
        <v>1363</v>
      </c>
      <c r="I1587" s="40" t="s">
        <v>1361</v>
      </c>
    </row>
    <row r="1588" spans="1:9" x14ac:dyDescent="0.25">
      <c r="A1588" s="40" t="s">
        <v>366</v>
      </c>
      <c r="B1588" s="28">
        <v>1615</v>
      </c>
      <c r="C1588" s="28" t="s">
        <v>35</v>
      </c>
      <c r="D1588" s="28" t="s">
        <v>38</v>
      </c>
      <c r="E1588" s="41">
        <v>46157</v>
      </c>
      <c r="F1588" s="47">
        <v>0.56221064814814814</v>
      </c>
      <c r="G1588" s="44">
        <v>6.3</v>
      </c>
      <c r="H1588" s="43" t="s">
        <v>1364</v>
      </c>
      <c r="I1588" s="40" t="s">
        <v>1361</v>
      </c>
    </row>
    <row r="1589" spans="1:9" x14ac:dyDescent="0.25">
      <c r="A1589" s="40" t="s">
        <v>366</v>
      </c>
      <c r="B1589" s="28">
        <v>1615</v>
      </c>
      <c r="C1589" s="28">
        <v>5671340</v>
      </c>
      <c r="D1589" s="28"/>
      <c r="E1589" s="41">
        <v>46158</v>
      </c>
      <c r="F1589" s="47">
        <v>0.43998842592592591</v>
      </c>
      <c r="G1589" s="44">
        <v>6.3</v>
      </c>
      <c r="H1589" s="43" t="s">
        <v>1360</v>
      </c>
      <c r="I1589" s="40" t="s">
        <v>1365</v>
      </c>
    </row>
    <row r="1590" spans="1:9" x14ac:dyDescent="0.25">
      <c r="A1590" s="40" t="s">
        <v>366</v>
      </c>
      <c r="B1590" s="28">
        <v>1615</v>
      </c>
      <c r="C1590" s="28">
        <v>5671340</v>
      </c>
      <c r="D1590" s="28"/>
      <c r="E1590" s="41">
        <v>46158</v>
      </c>
      <c r="F1590" s="47">
        <v>0.45366898148148149</v>
      </c>
      <c r="G1590" s="44">
        <v>6.3</v>
      </c>
      <c r="H1590" s="43" t="s">
        <v>1362</v>
      </c>
      <c r="I1590" s="40" t="s">
        <v>1365</v>
      </c>
    </row>
    <row r="1591" spans="1:9" x14ac:dyDescent="0.25">
      <c r="A1591" s="40" t="s">
        <v>366</v>
      </c>
      <c r="B1591" s="28">
        <v>1615</v>
      </c>
      <c r="C1591" s="28" t="s">
        <v>35</v>
      </c>
      <c r="D1591" s="28" t="s">
        <v>38</v>
      </c>
      <c r="E1591" s="45">
        <v>46158</v>
      </c>
      <c r="F1591" s="48">
        <v>0.53508101851851853</v>
      </c>
      <c r="G1591" s="44">
        <v>6.3</v>
      </c>
      <c r="H1591" s="43" t="s">
        <v>1364</v>
      </c>
      <c r="I1591" s="40" t="s">
        <v>1365</v>
      </c>
    </row>
    <row r="1592" spans="1:9" x14ac:dyDescent="0.25">
      <c r="A1592" s="40" t="s">
        <v>206</v>
      </c>
      <c r="B1592" s="28">
        <v>1673</v>
      </c>
      <c r="C1592" s="28">
        <v>5661333</v>
      </c>
      <c r="D1592" s="28" t="s">
        <v>37</v>
      </c>
      <c r="E1592" s="41">
        <v>46153</v>
      </c>
      <c r="F1592" s="47">
        <v>0.18089120370370371</v>
      </c>
      <c r="G1592" s="44">
        <v>6.3</v>
      </c>
      <c r="H1592" s="43" t="s">
        <v>1363</v>
      </c>
      <c r="I1592" s="40" t="s">
        <v>1361</v>
      </c>
    </row>
    <row r="1593" spans="1:9" x14ac:dyDescent="0.25">
      <c r="A1593" s="40" t="s">
        <v>206</v>
      </c>
      <c r="B1593" s="28">
        <v>1673</v>
      </c>
      <c r="C1593" s="28">
        <v>5661333</v>
      </c>
      <c r="D1593" s="28" t="s">
        <v>37</v>
      </c>
      <c r="E1593" s="41">
        <v>46153</v>
      </c>
      <c r="F1593" s="47">
        <v>0.18587962962962962</v>
      </c>
      <c r="G1593" s="44">
        <v>6.3</v>
      </c>
      <c r="H1593" s="43" t="s">
        <v>1364</v>
      </c>
      <c r="I1593" s="40" t="s">
        <v>1361</v>
      </c>
    </row>
    <row r="1594" spans="1:9" x14ac:dyDescent="0.25">
      <c r="A1594" s="40" t="s">
        <v>206</v>
      </c>
      <c r="B1594" s="28">
        <v>1673</v>
      </c>
      <c r="C1594" s="28">
        <v>5662256</v>
      </c>
      <c r="D1594" s="28"/>
      <c r="E1594" s="41">
        <v>46153</v>
      </c>
      <c r="F1594" s="47">
        <v>0.25373842592592594</v>
      </c>
      <c r="G1594" s="44">
        <v>6.3</v>
      </c>
      <c r="H1594" s="43" t="s">
        <v>1360</v>
      </c>
      <c r="I1594" s="40" t="s">
        <v>1361</v>
      </c>
    </row>
    <row r="1595" spans="1:9" x14ac:dyDescent="0.25">
      <c r="A1595" s="40" t="s">
        <v>206</v>
      </c>
      <c r="B1595" s="28">
        <v>1673</v>
      </c>
      <c r="C1595" s="28">
        <v>5662256</v>
      </c>
      <c r="D1595" s="28"/>
      <c r="E1595" s="41">
        <v>46153</v>
      </c>
      <c r="F1595" s="47">
        <v>0.26502314814814815</v>
      </c>
      <c r="G1595" s="44">
        <v>6.3</v>
      </c>
      <c r="H1595" s="43" t="s">
        <v>1368</v>
      </c>
      <c r="I1595" s="40" t="s">
        <v>1361</v>
      </c>
    </row>
    <row r="1596" spans="1:9" x14ac:dyDescent="0.25">
      <c r="A1596" s="40" t="s">
        <v>206</v>
      </c>
      <c r="B1596" s="28">
        <v>1673</v>
      </c>
      <c r="C1596" s="28">
        <v>5662044</v>
      </c>
      <c r="D1596" s="28"/>
      <c r="E1596" s="41">
        <v>46153</v>
      </c>
      <c r="F1596" s="47">
        <v>0.29858796296296297</v>
      </c>
      <c r="G1596" s="44">
        <v>6.3</v>
      </c>
      <c r="H1596" s="43" t="s">
        <v>1363</v>
      </c>
      <c r="I1596" s="40" t="s">
        <v>1361</v>
      </c>
    </row>
    <row r="1597" spans="1:9" x14ac:dyDescent="0.25">
      <c r="A1597" s="40" t="s">
        <v>206</v>
      </c>
      <c r="B1597" s="28">
        <v>1673</v>
      </c>
      <c r="C1597" s="28">
        <v>5662044</v>
      </c>
      <c r="D1597" s="28"/>
      <c r="E1597" s="41">
        <v>46153</v>
      </c>
      <c r="F1597" s="47">
        <v>0.30853009259259262</v>
      </c>
      <c r="G1597" s="44">
        <v>6.3</v>
      </c>
      <c r="H1597" s="43" t="s">
        <v>1364</v>
      </c>
      <c r="I1597" s="40" t="s">
        <v>1361</v>
      </c>
    </row>
    <row r="1598" spans="1:9" x14ac:dyDescent="0.25">
      <c r="A1598" s="40" t="s">
        <v>206</v>
      </c>
      <c r="B1598" s="28">
        <v>1673</v>
      </c>
      <c r="C1598" s="28">
        <v>5663765</v>
      </c>
      <c r="D1598" s="28"/>
      <c r="E1598" s="41">
        <v>46154</v>
      </c>
      <c r="F1598" s="47">
        <v>7.0868055555555559E-2</v>
      </c>
      <c r="G1598" s="44">
        <v>6.3</v>
      </c>
      <c r="H1598" s="43" t="s">
        <v>1363</v>
      </c>
      <c r="I1598" s="40" t="s">
        <v>1361</v>
      </c>
    </row>
    <row r="1599" spans="1:9" x14ac:dyDescent="0.25">
      <c r="A1599" s="40" t="s">
        <v>206</v>
      </c>
      <c r="B1599" s="28">
        <v>1673</v>
      </c>
      <c r="C1599" s="28">
        <v>5663765</v>
      </c>
      <c r="D1599" s="28"/>
      <c r="E1599" s="41">
        <v>46154</v>
      </c>
      <c r="F1599" s="47">
        <v>7.678240740740741E-2</v>
      </c>
      <c r="G1599" s="44">
        <v>6.3</v>
      </c>
      <c r="H1599" s="43" t="s">
        <v>1364</v>
      </c>
      <c r="I1599" s="40" t="s">
        <v>1361</v>
      </c>
    </row>
    <row r="1600" spans="1:9" x14ac:dyDescent="0.25">
      <c r="A1600" s="40" t="s">
        <v>206</v>
      </c>
      <c r="B1600" s="28">
        <v>1673</v>
      </c>
      <c r="C1600" s="28">
        <v>5664191</v>
      </c>
      <c r="D1600" s="28"/>
      <c r="E1600" s="45">
        <v>46154</v>
      </c>
      <c r="F1600" s="48">
        <v>0.16789351851851853</v>
      </c>
      <c r="G1600" s="44">
        <v>6.3</v>
      </c>
      <c r="H1600" s="43" t="s">
        <v>1363</v>
      </c>
      <c r="I1600" s="40" t="s">
        <v>1361</v>
      </c>
    </row>
    <row r="1601" spans="1:9" x14ac:dyDescent="0.25">
      <c r="A1601" s="40" t="s">
        <v>206</v>
      </c>
      <c r="B1601" s="28">
        <v>1673</v>
      </c>
      <c r="C1601" s="28">
        <v>5664191</v>
      </c>
      <c r="D1601" s="28"/>
      <c r="E1601" s="41">
        <v>46154</v>
      </c>
      <c r="F1601" s="47">
        <v>0.17315972222222223</v>
      </c>
      <c r="G1601" s="42">
        <v>6.3</v>
      </c>
      <c r="H1601" s="40" t="s">
        <v>1364</v>
      </c>
      <c r="I1601" s="40" t="s">
        <v>1361</v>
      </c>
    </row>
    <row r="1602" spans="1:9" x14ac:dyDescent="0.25">
      <c r="A1602" s="40" t="s">
        <v>206</v>
      </c>
      <c r="B1602" s="28">
        <v>1673</v>
      </c>
      <c r="C1602" s="28">
        <v>5663891</v>
      </c>
      <c r="D1602" s="28"/>
      <c r="E1602" s="41">
        <v>46154</v>
      </c>
      <c r="F1602" s="47">
        <v>0.30831018518518516</v>
      </c>
      <c r="G1602" s="42">
        <v>6.3</v>
      </c>
      <c r="H1602" s="40" t="s">
        <v>1360</v>
      </c>
      <c r="I1602" s="40" t="s">
        <v>1361</v>
      </c>
    </row>
    <row r="1603" spans="1:9" x14ac:dyDescent="0.25">
      <c r="A1603" s="40" t="s">
        <v>206</v>
      </c>
      <c r="B1603" s="28">
        <v>1673</v>
      </c>
      <c r="C1603" s="28">
        <v>5663891</v>
      </c>
      <c r="D1603" s="28"/>
      <c r="E1603" s="41">
        <v>46154</v>
      </c>
      <c r="F1603" s="47">
        <v>0.32472222222222225</v>
      </c>
      <c r="G1603" s="42">
        <v>6.3</v>
      </c>
      <c r="H1603" s="40" t="s">
        <v>1362</v>
      </c>
      <c r="I1603" s="40" t="s">
        <v>1361</v>
      </c>
    </row>
    <row r="1604" spans="1:9" x14ac:dyDescent="0.25">
      <c r="A1604" s="40" t="s">
        <v>206</v>
      </c>
      <c r="B1604" s="28">
        <v>1673</v>
      </c>
      <c r="C1604" s="28">
        <v>5665828</v>
      </c>
      <c r="D1604" s="28"/>
      <c r="E1604" s="41">
        <v>46155</v>
      </c>
      <c r="F1604" s="47">
        <v>0.17975694444444446</v>
      </c>
      <c r="G1604" s="42">
        <v>6.3</v>
      </c>
      <c r="H1604" s="40" t="s">
        <v>1369</v>
      </c>
      <c r="I1604" s="40" t="s">
        <v>1361</v>
      </c>
    </row>
    <row r="1605" spans="1:9" x14ac:dyDescent="0.25">
      <c r="A1605" s="40" t="s">
        <v>206</v>
      </c>
      <c r="B1605" s="28">
        <v>1673</v>
      </c>
      <c r="C1605" s="28">
        <v>5665828</v>
      </c>
      <c r="D1605" s="28"/>
      <c r="E1605" s="41">
        <v>46155</v>
      </c>
      <c r="F1605" s="47">
        <v>0.18459490740740742</v>
      </c>
      <c r="G1605" s="42">
        <v>6.3</v>
      </c>
      <c r="H1605" s="40" t="s">
        <v>1364</v>
      </c>
      <c r="I1605" s="40" t="s">
        <v>1361</v>
      </c>
    </row>
    <row r="1606" spans="1:9" x14ac:dyDescent="0.25">
      <c r="A1606" s="40" t="s">
        <v>206</v>
      </c>
      <c r="B1606" s="28">
        <v>1673</v>
      </c>
      <c r="C1606" s="28">
        <v>5665809</v>
      </c>
      <c r="D1606" s="28"/>
      <c r="E1606" s="45">
        <v>46155</v>
      </c>
      <c r="F1606" s="48">
        <v>0.26068287037037036</v>
      </c>
      <c r="G1606" s="44">
        <v>6.3</v>
      </c>
      <c r="H1606" s="43" t="s">
        <v>1363</v>
      </c>
      <c r="I1606" s="40" t="s">
        <v>1361</v>
      </c>
    </row>
    <row r="1607" spans="1:9" x14ac:dyDescent="0.25">
      <c r="A1607" s="40" t="s">
        <v>206</v>
      </c>
      <c r="B1607" s="28">
        <v>1673</v>
      </c>
      <c r="C1607" s="28">
        <v>5665809</v>
      </c>
      <c r="D1607" s="28"/>
      <c r="E1607" s="41">
        <v>46155</v>
      </c>
      <c r="F1607" s="47">
        <v>0.27166666666666667</v>
      </c>
      <c r="G1607" s="44">
        <v>6.3</v>
      </c>
      <c r="H1607" s="43" t="s">
        <v>1364</v>
      </c>
      <c r="I1607" s="40" t="s">
        <v>1361</v>
      </c>
    </row>
    <row r="1608" spans="1:9" x14ac:dyDescent="0.25">
      <c r="A1608" s="40" t="s">
        <v>206</v>
      </c>
      <c r="B1608" s="28">
        <v>1673</v>
      </c>
      <c r="C1608" s="28" t="s">
        <v>35</v>
      </c>
      <c r="D1608" s="28" t="s">
        <v>38</v>
      </c>
      <c r="E1608" s="41">
        <v>46155</v>
      </c>
      <c r="F1608" s="47">
        <v>0.3586226851851852</v>
      </c>
      <c r="G1608" s="44">
        <v>6.3</v>
      </c>
      <c r="H1608" s="43" t="s">
        <v>1360</v>
      </c>
      <c r="I1608" s="40" t="s">
        <v>1361</v>
      </c>
    </row>
    <row r="1609" spans="1:9" x14ac:dyDescent="0.25">
      <c r="A1609" s="40" t="s">
        <v>206</v>
      </c>
      <c r="B1609" s="28">
        <v>1673</v>
      </c>
      <c r="C1609" s="28" t="s">
        <v>35</v>
      </c>
      <c r="D1609" s="28" t="s">
        <v>38</v>
      </c>
      <c r="E1609" s="41">
        <v>46155</v>
      </c>
      <c r="F1609" s="47">
        <v>0.3918402777777778</v>
      </c>
      <c r="G1609" s="44">
        <v>6.3</v>
      </c>
      <c r="H1609" s="43" t="s">
        <v>1362</v>
      </c>
      <c r="I1609" s="40" t="s">
        <v>1361</v>
      </c>
    </row>
    <row r="1610" spans="1:9" x14ac:dyDescent="0.25">
      <c r="A1610" s="40" t="s">
        <v>274</v>
      </c>
      <c r="B1610" s="28">
        <v>1675</v>
      </c>
      <c r="C1610" s="28" t="s">
        <v>35</v>
      </c>
      <c r="D1610" s="28" t="s">
        <v>38</v>
      </c>
      <c r="E1610" s="41">
        <v>46155</v>
      </c>
      <c r="F1610" s="47">
        <v>0.27717592592592594</v>
      </c>
      <c r="G1610" s="44">
        <v>6.3</v>
      </c>
      <c r="H1610" s="43" t="s">
        <v>1363</v>
      </c>
      <c r="I1610" s="40" t="s">
        <v>1361</v>
      </c>
    </row>
    <row r="1611" spans="1:9" x14ac:dyDescent="0.25">
      <c r="A1611" s="40" t="s">
        <v>274</v>
      </c>
      <c r="B1611" s="28">
        <v>1675</v>
      </c>
      <c r="C1611" s="28" t="s">
        <v>35</v>
      </c>
      <c r="D1611" s="28" t="s">
        <v>38</v>
      </c>
      <c r="E1611" s="41">
        <v>46155</v>
      </c>
      <c r="F1611" s="47">
        <v>0.29738425925925926</v>
      </c>
      <c r="G1611" s="44">
        <v>6.3</v>
      </c>
      <c r="H1611" s="43" t="s">
        <v>1364</v>
      </c>
      <c r="I1611" s="40" t="s">
        <v>1361</v>
      </c>
    </row>
    <row r="1612" spans="1:9" x14ac:dyDescent="0.25">
      <c r="A1612" s="40" t="s">
        <v>274</v>
      </c>
      <c r="B1612" s="28">
        <v>1675</v>
      </c>
      <c r="C1612" s="28">
        <v>5665769</v>
      </c>
      <c r="D1612" s="28"/>
      <c r="E1612" s="41">
        <v>46155</v>
      </c>
      <c r="F1612" s="47">
        <v>0.4934722222222222</v>
      </c>
      <c r="G1612" s="44">
        <v>6.3</v>
      </c>
      <c r="H1612" s="43" t="s">
        <v>1363</v>
      </c>
      <c r="I1612" s="40" t="s">
        <v>1361</v>
      </c>
    </row>
    <row r="1613" spans="1:9" x14ac:dyDescent="0.25">
      <c r="A1613" s="40" t="s">
        <v>274</v>
      </c>
      <c r="B1613" s="28">
        <v>1675</v>
      </c>
      <c r="C1613" s="28">
        <v>5665769</v>
      </c>
      <c r="D1613" s="28"/>
      <c r="E1613" s="41">
        <v>46155</v>
      </c>
      <c r="F1613" s="47">
        <v>0.49899305555555556</v>
      </c>
      <c r="G1613" s="44">
        <v>6.3</v>
      </c>
      <c r="H1613" s="43" t="s">
        <v>1364</v>
      </c>
      <c r="I1613" s="40" t="s">
        <v>1361</v>
      </c>
    </row>
    <row r="1614" spans="1:9" x14ac:dyDescent="0.25">
      <c r="A1614" s="40" t="s">
        <v>231</v>
      </c>
      <c r="B1614" s="28">
        <v>1698</v>
      </c>
      <c r="C1614" s="28">
        <v>5662236</v>
      </c>
      <c r="D1614" s="28"/>
      <c r="E1614" s="41">
        <v>46153</v>
      </c>
      <c r="F1614" s="47">
        <v>0.72888888888888892</v>
      </c>
      <c r="G1614" s="44">
        <v>6.3</v>
      </c>
      <c r="H1614" s="43" t="s">
        <v>1360</v>
      </c>
      <c r="I1614" s="40" t="s">
        <v>1361</v>
      </c>
    </row>
    <row r="1615" spans="1:9" x14ac:dyDescent="0.25">
      <c r="A1615" s="40" t="s">
        <v>231</v>
      </c>
      <c r="B1615" s="28">
        <v>1698</v>
      </c>
      <c r="C1615" s="28">
        <v>5662236</v>
      </c>
      <c r="D1615" s="28"/>
      <c r="E1615" s="41">
        <v>46153</v>
      </c>
      <c r="F1615" s="47">
        <v>0.74312500000000004</v>
      </c>
      <c r="G1615" s="44">
        <v>6.3</v>
      </c>
      <c r="H1615" s="43" t="s">
        <v>1362</v>
      </c>
      <c r="I1615" s="40" t="s">
        <v>1361</v>
      </c>
    </row>
    <row r="1616" spans="1:9" x14ac:dyDescent="0.25">
      <c r="A1616" s="40" t="s">
        <v>231</v>
      </c>
      <c r="B1616" s="28">
        <v>1698</v>
      </c>
      <c r="C1616" s="28" t="s">
        <v>35</v>
      </c>
      <c r="D1616" s="28" t="s">
        <v>38</v>
      </c>
      <c r="E1616" s="45">
        <v>46153</v>
      </c>
      <c r="F1616" s="48">
        <v>0.76908564814814817</v>
      </c>
      <c r="G1616" s="44">
        <v>6.3</v>
      </c>
      <c r="H1616" s="43" t="s">
        <v>1363</v>
      </c>
      <c r="I1616" s="40" t="s">
        <v>1361</v>
      </c>
    </row>
    <row r="1617" spans="1:9" x14ac:dyDescent="0.25">
      <c r="A1617" s="40" t="s">
        <v>231</v>
      </c>
      <c r="B1617" s="28">
        <v>1698</v>
      </c>
      <c r="C1617" s="28" t="s">
        <v>35</v>
      </c>
      <c r="D1617" s="28" t="s">
        <v>38</v>
      </c>
      <c r="E1617" s="41">
        <v>46153</v>
      </c>
      <c r="F1617" s="47">
        <v>0.78278935185185183</v>
      </c>
      <c r="G1617" s="44">
        <v>6.3</v>
      </c>
      <c r="H1617" s="43" t="s">
        <v>1364</v>
      </c>
      <c r="I1617" s="40" t="s">
        <v>1361</v>
      </c>
    </row>
    <row r="1618" spans="1:9" x14ac:dyDescent="0.25">
      <c r="A1618" s="40" t="s">
        <v>231</v>
      </c>
      <c r="B1618" s="28">
        <v>1698</v>
      </c>
      <c r="C1618" s="28">
        <v>5663543</v>
      </c>
      <c r="D1618" s="28"/>
      <c r="E1618" s="41">
        <v>46154</v>
      </c>
      <c r="F1618" s="47">
        <v>0.24140046296296297</v>
      </c>
      <c r="G1618" s="44">
        <v>6.3</v>
      </c>
      <c r="H1618" s="43" t="s">
        <v>1363</v>
      </c>
      <c r="I1618" s="40" t="s">
        <v>1361</v>
      </c>
    </row>
    <row r="1619" spans="1:9" x14ac:dyDescent="0.25">
      <c r="A1619" s="40" t="s">
        <v>231</v>
      </c>
      <c r="B1619" s="28">
        <v>1698</v>
      </c>
      <c r="C1619" s="28">
        <v>5663543</v>
      </c>
      <c r="D1619" s="28"/>
      <c r="E1619" s="41">
        <v>46154</v>
      </c>
      <c r="F1619" s="47">
        <v>0.24706018518518519</v>
      </c>
      <c r="G1619" s="44">
        <v>6.3</v>
      </c>
      <c r="H1619" s="43" t="s">
        <v>1364</v>
      </c>
      <c r="I1619" s="40" t="s">
        <v>1361</v>
      </c>
    </row>
    <row r="1620" spans="1:9" x14ac:dyDescent="0.25">
      <c r="A1620" s="40" t="s">
        <v>231</v>
      </c>
      <c r="B1620" s="28">
        <v>1698</v>
      </c>
      <c r="C1620" s="28">
        <v>5664509</v>
      </c>
      <c r="D1620" s="28"/>
      <c r="E1620" s="41">
        <v>46155</v>
      </c>
      <c r="F1620" s="47">
        <v>0.21233796296296295</v>
      </c>
      <c r="G1620" s="44">
        <v>6.3</v>
      </c>
      <c r="H1620" s="43" t="s">
        <v>1363</v>
      </c>
      <c r="I1620" s="40" t="s">
        <v>1361</v>
      </c>
    </row>
    <row r="1621" spans="1:9" x14ac:dyDescent="0.25">
      <c r="A1621" s="40" t="s">
        <v>231</v>
      </c>
      <c r="B1621" s="28">
        <v>1698</v>
      </c>
      <c r="C1621" s="28">
        <v>5664509</v>
      </c>
      <c r="D1621" s="28"/>
      <c r="E1621" s="41">
        <v>46155</v>
      </c>
      <c r="F1621" s="47">
        <v>0.21762731481481482</v>
      </c>
      <c r="G1621" s="42">
        <v>6.3</v>
      </c>
      <c r="H1621" s="40" t="s">
        <v>1364</v>
      </c>
      <c r="I1621" s="40" t="s">
        <v>1361</v>
      </c>
    </row>
    <row r="1622" spans="1:9" x14ac:dyDescent="0.25">
      <c r="A1622" s="40" t="s">
        <v>231</v>
      </c>
      <c r="B1622" s="28">
        <v>1698</v>
      </c>
      <c r="C1622" s="28">
        <v>5665624</v>
      </c>
      <c r="D1622" s="28"/>
      <c r="E1622" s="41">
        <v>46157</v>
      </c>
      <c r="F1622" s="47">
        <v>0.14707175925925925</v>
      </c>
      <c r="G1622" s="42">
        <v>6.3</v>
      </c>
      <c r="H1622" s="40" t="s">
        <v>1363</v>
      </c>
      <c r="I1622" s="40" t="s">
        <v>1361</v>
      </c>
    </row>
    <row r="1623" spans="1:9" x14ac:dyDescent="0.25">
      <c r="A1623" s="40" t="s">
        <v>231</v>
      </c>
      <c r="B1623" s="28">
        <v>1698</v>
      </c>
      <c r="C1623" s="28">
        <v>5665624</v>
      </c>
      <c r="D1623" s="28"/>
      <c r="E1623" s="41">
        <v>46157</v>
      </c>
      <c r="F1623" s="47">
        <v>0.1519212962962963</v>
      </c>
      <c r="G1623" s="44">
        <v>6.3</v>
      </c>
      <c r="H1623" s="43" t="s">
        <v>1364</v>
      </c>
      <c r="I1623" s="40" t="s">
        <v>1361</v>
      </c>
    </row>
    <row r="1624" spans="1:9" x14ac:dyDescent="0.25">
      <c r="A1624" s="40" t="s">
        <v>231</v>
      </c>
      <c r="B1624" s="28">
        <v>1698</v>
      </c>
      <c r="C1624" s="28">
        <v>5669545</v>
      </c>
      <c r="D1624" s="28"/>
      <c r="E1624" s="41">
        <v>46157</v>
      </c>
      <c r="F1624" s="47">
        <v>0.22930555555555557</v>
      </c>
      <c r="G1624" s="44">
        <v>6.3</v>
      </c>
      <c r="H1624" s="43" t="s">
        <v>1360</v>
      </c>
      <c r="I1624" s="40" t="s">
        <v>1361</v>
      </c>
    </row>
    <row r="1625" spans="1:9" x14ac:dyDescent="0.25">
      <c r="A1625" s="40" t="s">
        <v>231</v>
      </c>
      <c r="B1625" s="28">
        <v>1698</v>
      </c>
      <c r="C1625" s="28">
        <v>5669545</v>
      </c>
      <c r="D1625" s="28"/>
      <c r="E1625" s="41">
        <v>46157</v>
      </c>
      <c r="F1625" s="47">
        <v>0.23672453703703702</v>
      </c>
      <c r="G1625" s="44">
        <v>6.3</v>
      </c>
      <c r="H1625" s="43" t="s">
        <v>1368</v>
      </c>
      <c r="I1625" s="40" t="s">
        <v>1361</v>
      </c>
    </row>
    <row r="1626" spans="1:9" x14ac:dyDescent="0.25">
      <c r="A1626" s="40" t="s">
        <v>231</v>
      </c>
      <c r="B1626" s="28">
        <v>1698</v>
      </c>
      <c r="C1626" s="28" t="s">
        <v>35</v>
      </c>
      <c r="D1626" s="28" t="s">
        <v>38</v>
      </c>
      <c r="E1626" s="41">
        <v>46157</v>
      </c>
      <c r="F1626" s="47">
        <v>0.36909722222222224</v>
      </c>
      <c r="G1626" s="44">
        <v>6.3</v>
      </c>
      <c r="H1626" s="43" t="s">
        <v>1369</v>
      </c>
      <c r="I1626" s="40" t="s">
        <v>1361</v>
      </c>
    </row>
    <row r="1627" spans="1:9" x14ac:dyDescent="0.25">
      <c r="A1627" s="40" t="s">
        <v>231</v>
      </c>
      <c r="B1627" s="28">
        <v>1698</v>
      </c>
      <c r="C1627" s="28" t="s">
        <v>35</v>
      </c>
      <c r="D1627" s="28" t="s">
        <v>38</v>
      </c>
      <c r="E1627" s="45">
        <v>46157</v>
      </c>
      <c r="F1627" s="48">
        <v>0.37693287037037038</v>
      </c>
      <c r="G1627" s="44">
        <v>6.3</v>
      </c>
      <c r="H1627" s="43" t="s">
        <v>1364</v>
      </c>
      <c r="I1627" s="40" t="s">
        <v>1361</v>
      </c>
    </row>
    <row r="1628" spans="1:9" x14ac:dyDescent="0.25">
      <c r="A1628" s="40" t="s">
        <v>231</v>
      </c>
      <c r="B1628" s="28">
        <v>1698</v>
      </c>
      <c r="C1628" s="28">
        <v>5657103</v>
      </c>
      <c r="D1628" s="28"/>
      <c r="E1628" s="45">
        <v>46157</v>
      </c>
      <c r="F1628" s="48">
        <v>0.94270833333333337</v>
      </c>
      <c r="G1628" s="42">
        <v>6.3</v>
      </c>
      <c r="H1628" s="40" t="s">
        <v>1360</v>
      </c>
      <c r="I1628" s="40" t="s">
        <v>1361</v>
      </c>
    </row>
    <row r="1629" spans="1:9" x14ac:dyDescent="0.25">
      <c r="A1629" s="40" t="s">
        <v>231</v>
      </c>
      <c r="B1629" s="28">
        <v>1698</v>
      </c>
      <c r="C1629" s="28">
        <v>5657103</v>
      </c>
      <c r="D1629" s="28"/>
      <c r="E1629" s="45">
        <v>46157</v>
      </c>
      <c r="F1629" s="48">
        <v>0.95011574074074079</v>
      </c>
      <c r="G1629" s="42">
        <v>6.3</v>
      </c>
      <c r="H1629" s="40" t="s">
        <v>1362</v>
      </c>
      <c r="I1629" s="40" t="s">
        <v>1361</v>
      </c>
    </row>
    <row r="1630" spans="1:9" x14ac:dyDescent="0.25">
      <c r="A1630" s="40" t="s">
        <v>231</v>
      </c>
      <c r="B1630" s="28">
        <v>1698</v>
      </c>
      <c r="C1630" s="28">
        <v>5672281</v>
      </c>
      <c r="D1630" s="28"/>
      <c r="E1630" s="41">
        <v>46159</v>
      </c>
      <c r="F1630" s="47">
        <v>0.54812499999999997</v>
      </c>
      <c r="G1630" s="42">
        <v>6.3</v>
      </c>
      <c r="H1630" s="40" t="s">
        <v>1363</v>
      </c>
      <c r="I1630" s="40" t="s">
        <v>1365</v>
      </c>
    </row>
    <row r="1631" spans="1:9" x14ac:dyDescent="0.25">
      <c r="A1631" s="40" t="s">
        <v>231</v>
      </c>
      <c r="B1631" s="28">
        <v>1698</v>
      </c>
      <c r="C1631" s="28">
        <v>5672281</v>
      </c>
      <c r="D1631" s="28"/>
      <c r="E1631" s="41">
        <v>46159</v>
      </c>
      <c r="F1631" s="47">
        <v>0.55342592592592588</v>
      </c>
      <c r="G1631" s="42">
        <v>6.3</v>
      </c>
      <c r="H1631" s="40" t="s">
        <v>1364</v>
      </c>
      <c r="I1631" s="40" t="s">
        <v>1365</v>
      </c>
    </row>
    <row r="1632" spans="1:9" x14ac:dyDescent="0.25">
      <c r="A1632" s="40" t="s">
        <v>231</v>
      </c>
      <c r="B1632" s="28">
        <v>1698</v>
      </c>
      <c r="C1632" s="28" t="s">
        <v>672</v>
      </c>
      <c r="D1632" s="28"/>
      <c r="E1632" s="41">
        <v>46159</v>
      </c>
      <c r="F1632" s="47">
        <v>0.72927083333333331</v>
      </c>
      <c r="G1632" s="44">
        <v>6.3</v>
      </c>
      <c r="H1632" s="43" t="s">
        <v>1360</v>
      </c>
      <c r="I1632" s="40" t="s">
        <v>1365</v>
      </c>
    </row>
    <row r="1633" spans="1:9" x14ac:dyDescent="0.25">
      <c r="A1633" s="40" t="s">
        <v>231</v>
      </c>
      <c r="B1633" s="28">
        <v>1698</v>
      </c>
      <c r="C1633" s="28" t="s">
        <v>672</v>
      </c>
      <c r="D1633" s="28"/>
      <c r="E1633" s="45">
        <v>46159</v>
      </c>
      <c r="F1633" s="48">
        <v>0.73605324074074074</v>
      </c>
      <c r="G1633" s="44">
        <v>6.3</v>
      </c>
      <c r="H1633" s="43" t="s">
        <v>1362</v>
      </c>
      <c r="I1633" s="40" t="s">
        <v>1365</v>
      </c>
    </row>
    <row r="1634" spans="1:9" x14ac:dyDescent="0.25">
      <c r="A1634" s="40" t="s">
        <v>153</v>
      </c>
      <c r="B1634" s="28">
        <v>1699</v>
      </c>
      <c r="C1634" s="28">
        <v>5667025</v>
      </c>
      <c r="D1634" s="28"/>
      <c r="E1634" s="41">
        <v>46156</v>
      </c>
      <c r="F1634" s="47">
        <v>0.20293981481481482</v>
      </c>
      <c r="G1634" s="44">
        <v>6.3</v>
      </c>
      <c r="H1634" s="43" t="s">
        <v>1364</v>
      </c>
      <c r="I1634" s="40" t="s">
        <v>1361</v>
      </c>
    </row>
    <row r="1635" spans="1:9" x14ac:dyDescent="0.25">
      <c r="A1635" s="40" t="s">
        <v>153</v>
      </c>
      <c r="B1635" s="28">
        <v>1699</v>
      </c>
      <c r="C1635" s="28">
        <v>5667624</v>
      </c>
      <c r="D1635" s="28"/>
      <c r="E1635" s="41">
        <v>46156</v>
      </c>
      <c r="F1635" s="47">
        <v>0.29405092592592591</v>
      </c>
      <c r="G1635" s="44">
        <v>6.3</v>
      </c>
      <c r="H1635" s="43" t="s">
        <v>1364</v>
      </c>
      <c r="I1635" s="40" t="s">
        <v>1361</v>
      </c>
    </row>
    <row r="1636" spans="1:9" x14ac:dyDescent="0.25">
      <c r="A1636" s="40" t="s">
        <v>153</v>
      </c>
      <c r="B1636" s="28">
        <v>1699</v>
      </c>
      <c r="C1636" s="28">
        <v>5667960</v>
      </c>
      <c r="D1636" s="28"/>
      <c r="E1636" s="41">
        <v>46157</v>
      </c>
      <c r="F1636" s="47">
        <v>0.17821759259259259</v>
      </c>
      <c r="G1636" s="44">
        <v>6.3</v>
      </c>
      <c r="H1636" s="43" t="s">
        <v>1369</v>
      </c>
      <c r="I1636" s="40" t="s">
        <v>1361</v>
      </c>
    </row>
    <row r="1637" spans="1:9" x14ac:dyDescent="0.25">
      <c r="A1637" s="40" t="s">
        <v>153</v>
      </c>
      <c r="B1637" s="28">
        <v>1699</v>
      </c>
      <c r="C1637" s="28">
        <v>5667960</v>
      </c>
      <c r="D1637" s="28"/>
      <c r="E1637" s="41">
        <v>46157</v>
      </c>
      <c r="F1637" s="47">
        <v>0.18365740740740741</v>
      </c>
      <c r="G1637" s="44">
        <v>6.3</v>
      </c>
      <c r="H1637" s="43" t="s">
        <v>1364</v>
      </c>
      <c r="I1637" s="40" t="s">
        <v>1361</v>
      </c>
    </row>
    <row r="1638" spans="1:9" x14ac:dyDescent="0.25">
      <c r="A1638" s="40" t="s">
        <v>153</v>
      </c>
      <c r="B1638" s="28">
        <v>1699</v>
      </c>
      <c r="C1638" s="28" t="s">
        <v>673</v>
      </c>
      <c r="D1638" s="28"/>
      <c r="E1638" s="41">
        <v>46158</v>
      </c>
      <c r="F1638" s="47">
        <v>0.39930555555555558</v>
      </c>
      <c r="G1638" s="44">
        <v>6.3</v>
      </c>
      <c r="H1638" s="43" t="s">
        <v>1364</v>
      </c>
      <c r="I1638" s="40" t="s">
        <v>1365</v>
      </c>
    </row>
    <row r="1639" spans="1:9" x14ac:dyDescent="0.25">
      <c r="A1639" s="40" t="s">
        <v>153</v>
      </c>
      <c r="B1639" s="28">
        <v>1699</v>
      </c>
      <c r="C1639" s="28">
        <v>5672164</v>
      </c>
      <c r="D1639" s="28"/>
      <c r="E1639" s="41">
        <v>46159</v>
      </c>
      <c r="F1639" s="47">
        <v>0.36540509259259257</v>
      </c>
      <c r="G1639" s="44">
        <v>6.3</v>
      </c>
      <c r="H1639" s="43" t="s">
        <v>1363</v>
      </c>
      <c r="I1639" s="40" t="s">
        <v>1365</v>
      </c>
    </row>
    <row r="1640" spans="1:9" x14ac:dyDescent="0.25">
      <c r="A1640" s="40" t="s">
        <v>153</v>
      </c>
      <c r="B1640" s="28">
        <v>1699</v>
      </c>
      <c r="C1640" s="28">
        <v>5672164</v>
      </c>
      <c r="D1640" s="28"/>
      <c r="E1640" s="41">
        <v>46159</v>
      </c>
      <c r="F1640" s="47">
        <v>0.37052083333333335</v>
      </c>
      <c r="G1640" s="44">
        <v>6.3</v>
      </c>
      <c r="H1640" s="43" t="s">
        <v>1364</v>
      </c>
      <c r="I1640" s="40" t="s">
        <v>1365</v>
      </c>
    </row>
    <row r="1641" spans="1:9" x14ac:dyDescent="0.25">
      <c r="A1641" s="40" t="s">
        <v>496</v>
      </c>
      <c r="B1641" s="28">
        <v>1713</v>
      </c>
      <c r="C1641" s="28" t="s">
        <v>35</v>
      </c>
      <c r="D1641" s="28" t="s">
        <v>38</v>
      </c>
      <c r="E1641" s="41">
        <v>46153</v>
      </c>
      <c r="F1641" s="47">
        <v>0.51559027777777777</v>
      </c>
      <c r="G1641" s="44">
        <v>6.3</v>
      </c>
      <c r="H1641" s="43" t="s">
        <v>1360</v>
      </c>
      <c r="I1641" s="40" t="s">
        <v>1361</v>
      </c>
    </row>
    <row r="1642" spans="1:9" x14ac:dyDescent="0.25">
      <c r="A1642" s="40" t="s">
        <v>496</v>
      </c>
      <c r="B1642" s="28">
        <v>1713</v>
      </c>
      <c r="C1642" s="28" t="s">
        <v>35</v>
      </c>
      <c r="D1642" s="28" t="s">
        <v>38</v>
      </c>
      <c r="E1642" s="45">
        <v>46153</v>
      </c>
      <c r="F1642" s="48">
        <v>0.52619212962962958</v>
      </c>
      <c r="G1642" s="44">
        <v>6.3</v>
      </c>
      <c r="H1642" s="43" t="s">
        <v>1362</v>
      </c>
      <c r="I1642" s="40" t="s">
        <v>1361</v>
      </c>
    </row>
    <row r="1643" spans="1:9" x14ac:dyDescent="0.25">
      <c r="A1643" s="40" t="s">
        <v>496</v>
      </c>
      <c r="B1643" s="28">
        <v>1713</v>
      </c>
      <c r="C1643" s="28" t="s">
        <v>35</v>
      </c>
      <c r="D1643" s="28" t="s">
        <v>38</v>
      </c>
      <c r="E1643" s="41">
        <v>46156</v>
      </c>
      <c r="F1643" s="47">
        <v>0.26266203703703705</v>
      </c>
      <c r="G1643" s="44">
        <v>6.3</v>
      </c>
      <c r="H1643" s="43" t="s">
        <v>1363</v>
      </c>
      <c r="I1643" s="40" t="s">
        <v>1361</v>
      </c>
    </row>
    <row r="1644" spans="1:9" x14ac:dyDescent="0.25">
      <c r="A1644" s="40" t="s">
        <v>496</v>
      </c>
      <c r="B1644" s="28">
        <v>1713</v>
      </c>
      <c r="C1644" s="28" t="s">
        <v>35</v>
      </c>
      <c r="D1644" s="28" t="s">
        <v>38</v>
      </c>
      <c r="E1644" s="41">
        <v>46156</v>
      </c>
      <c r="F1644" s="47">
        <v>0.27015046296296297</v>
      </c>
      <c r="G1644" s="44">
        <v>6.3</v>
      </c>
      <c r="H1644" s="43" t="s">
        <v>1364</v>
      </c>
      <c r="I1644" s="40" t="s">
        <v>1361</v>
      </c>
    </row>
    <row r="1645" spans="1:9" x14ac:dyDescent="0.25">
      <c r="A1645" s="40" t="s">
        <v>289</v>
      </c>
      <c r="B1645" s="28">
        <v>1774</v>
      </c>
      <c r="C1645" s="28">
        <v>5661352</v>
      </c>
      <c r="D1645" s="28"/>
      <c r="E1645" s="45">
        <v>46153</v>
      </c>
      <c r="F1645" s="48">
        <v>0.1817013888888889</v>
      </c>
      <c r="G1645" s="44">
        <v>6.3</v>
      </c>
      <c r="H1645" s="43" t="s">
        <v>1363</v>
      </c>
      <c r="I1645" s="40" t="s">
        <v>1361</v>
      </c>
    </row>
    <row r="1646" spans="1:9" x14ac:dyDescent="0.25">
      <c r="A1646" s="40" t="s">
        <v>289</v>
      </c>
      <c r="B1646" s="28">
        <v>1774</v>
      </c>
      <c r="C1646" s="28">
        <v>5661352</v>
      </c>
      <c r="D1646" s="28"/>
      <c r="E1646" s="41">
        <v>46153</v>
      </c>
      <c r="F1646" s="47">
        <v>0.18688657407407408</v>
      </c>
      <c r="G1646" s="44">
        <v>6.3</v>
      </c>
      <c r="H1646" s="43" t="s">
        <v>1364</v>
      </c>
      <c r="I1646" s="40" t="s">
        <v>1361</v>
      </c>
    </row>
    <row r="1647" spans="1:9" x14ac:dyDescent="0.25">
      <c r="A1647" s="40" t="s">
        <v>289</v>
      </c>
      <c r="B1647" s="28">
        <v>1774</v>
      </c>
      <c r="C1647" s="28" t="s">
        <v>674</v>
      </c>
      <c r="D1647" s="28"/>
      <c r="E1647" s="41">
        <v>46153</v>
      </c>
      <c r="F1647" s="47">
        <v>0.30943287037037037</v>
      </c>
      <c r="G1647" s="42">
        <v>6.3</v>
      </c>
      <c r="H1647" s="40" t="s">
        <v>1360</v>
      </c>
      <c r="I1647" s="40" t="s">
        <v>1361</v>
      </c>
    </row>
    <row r="1648" spans="1:9" x14ac:dyDescent="0.25">
      <c r="A1648" s="40" t="s">
        <v>289</v>
      </c>
      <c r="B1648" s="28">
        <v>1774</v>
      </c>
      <c r="C1648" s="28" t="s">
        <v>674</v>
      </c>
      <c r="D1648" s="28"/>
      <c r="E1648" s="41">
        <v>46153</v>
      </c>
      <c r="F1648" s="47">
        <v>0.32394675925925925</v>
      </c>
      <c r="G1648" s="42">
        <v>6.3</v>
      </c>
      <c r="H1648" s="40" t="s">
        <v>1362</v>
      </c>
      <c r="I1648" s="40" t="s">
        <v>1361</v>
      </c>
    </row>
    <row r="1649" spans="1:9" x14ac:dyDescent="0.25">
      <c r="A1649" s="40" t="s">
        <v>289</v>
      </c>
      <c r="B1649" s="28">
        <v>1774</v>
      </c>
      <c r="C1649" s="28">
        <v>5662392</v>
      </c>
      <c r="D1649" s="28" t="s">
        <v>37</v>
      </c>
      <c r="E1649" s="45">
        <v>46153</v>
      </c>
      <c r="F1649" s="48">
        <v>0.40065972222222224</v>
      </c>
      <c r="G1649" s="42">
        <v>6.3</v>
      </c>
      <c r="H1649" s="40" t="s">
        <v>1369</v>
      </c>
      <c r="I1649" s="40" t="s">
        <v>1361</v>
      </c>
    </row>
    <row r="1650" spans="1:9" x14ac:dyDescent="0.25">
      <c r="A1650" s="40" t="s">
        <v>289</v>
      </c>
      <c r="B1650" s="28">
        <v>1774</v>
      </c>
      <c r="C1650" s="28">
        <v>5662392</v>
      </c>
      <c r="D1650" s="28" t="s">
        <v>37</v>
      </c>
      <c r="E1650" s="41">
        <v>46153</v>
      </c>
      <c r="F1650" s="47">
        <v>0.40784722222222225</v>
      </c>
      <c r="G1650" s="42">
        <v>6.3</v>
      </c>
      <c r="H1650" s="40" t="s">
        <v>1364</v>
      </c>
      <c r="I1650" s="40" t="s">
        <v>1361</v>
      </c>
    </row>
    <row r="1651" spans="1:9" x14ac:dyDescent="0.25">
      <c r="A1651" s="40" t="s">
        <v>289</v>
      </c>
      <c r="B1651" s="28">
        <v>1774</v>
      </c>
      <c r="C1651" s="28" t="s">
        <v>35</v>
      </c>
      <c r="D1651" s="28" t="s">
        <v>38</v>
      </c>
      <c r="E1651" s="41">
        <v>46153</v>
      </c>
      <c r="F1651" s="47">
        <v>0.88170138888888894</v>
      </c>
      <c r="G1651" s="44">
        <v>6.3</v>
      </c>
      <c r="H1651" s="43" t="s">
        <v>1360</v>
      </c>
      <c r="I1651" s="40" t="s">
        <v>1361</v>
      </c>
    </row>
    <row r="1652" spans="1:9" x14ac:dyDescent="0.25">
      <c r="A1652" s="40" t="s">
        <v>289</v>
      </c>
      <c r="B1652" s="28">
        <v>1774</v>
      </c>
      <c r="C1652" s="28" t="s">
        <v>35</v>
      </c>
      <c r="D1652" s="28" t="s">
        <v>38</v>
      </c>
      <c r="E1652" s="45">
        <v>46153</v>
      </c>
      <c r="F1652" s="48">
        <v>0.88909722222222221</v>
      </c>
      <c r="G1652" s="44">
        <v>6.3</v>
      </c>
      <c r="H1652" s="43" t="s">
        <v>1362</v>
      </c>
      <c r="I1652" s="40" t="s">
        <v>1361</v>
      </c>
    </row>
    <row r="1653" spans="1:9" x14ac:dyDescent="0.25">
      <c r="A1653" s="40" t="s">
        <v>289</v>
      </c>
      <c r="B1653" s="28">
        <v>1774</v>
      </c>
      <c r="C1653" s="28">
        <v>5663733</v>
      </c>
      <c r="D1653" s="28"/>
      <c r="E1653" s="41">
        <v>46154</v>
      </c>
      <c r="F1653" s="47">
        <v>0.22572916666666668</v>
      </c>
      <c r="G1653" s="44">
        <v>6.3</v>
      </c>
      <c r="H1653" s="43" t="s">
        <v>1363</v>
      </c>
      <c r="I1653" s="40" t="s">
        <v>1361</v>
      </c>
    </row>
    <row r="1654" spans="1:9" x14ac:dyDescent="0.25">
      <c r="A1654" s="40" t="s">
        <v>289</v>
      </c>
      <c r="B1654" s="28">
        <v>1774</v>
      </c>
      <c r="C1654" s="28">
        <v>5663733</v>
      </c>
      <c r="D1654" s="28"/>
      <c r="E1654" s="41">
        <v>46154</v>
      </c>
      <c r="F1654" s="47">
        <v>0.23109953703703703</v>
      </c>
      <c r="G1654" s="44">
        <v>6.3</v>
      </c>
      <c r="H1654" s="43" t="s">
        <v>1364</v>
      </c>
      <c r="I1654" s="40" t="s">
        <v>1361</v>
      </c>
    </row>
    <row r="1655" spans="1:9" x14ac:dyDescent="0.25">
      <c r="A1655" s="40" t="s">
        <v>289</v>
      </c>
      <c r="B1655" s="28">
        <v>1774</v>
      </c>
      <c r="C1655" s="28" t="s">
        <v>675</v>
      </c>
      <c r="D1655" s="28"/>
      <c r="E1655" s="41">
        <v>46155</v>
      </c>
      <c r="F1655" s="47">
        <v>0.40604166666666669</v>
      </c>
      <c r="G1655" s="44">
        <v>6.3</v>
      </c>
      <c r="H1655" s="43" t="s">
        <v>1360</v>
      </c>
      <c r="I1655" s="40" t="s">
        <v>1361</v>
      </c>
    </row>
    <row r="1656" spans="1:9" x14ac:dyDescent="0.25">
      <c r="A1656" s="40" t="s">
        <v>289</v>
      </c>
      <c r="B1656" s="28">
        <v>1774</v>
      </c>
      <c r="C1656" s="28" t="s">
        <v>675</v>
      </c>
      <c r="D1656" s="28"/>
      <c r="E1656" s="45">
        <v>46155</v>
      </c>
      <c r="F1656" s="48">
        <v>0.4136111111111111</v>
      </c>
      <c r="G1656" s="44">
        <v>6.3</v>
      </c>
      <c r="H1656" s="43" t="s">
        <v>1366</v>
      </c>
      <c r="I1656" s="40" t="s">
        <v>1361</v>
      </c>
    </row>
    <row r="1657" spans="1:9" x14ac:dyDescent="0.25">
      <c r="A1657" s="40" t="s">
        <v>289</v>
      </c>
      <c r="B1657" s="28">
        <v>1774</v>
      </c>
      <c r="C1657" s="28" t="s">
        <v>35</v>
      </c>
      <c r="D1657" s="28" t="s">
        <v>38</v>
      </c>
      <c r="E1657" s="41">
        <v>46155</v>
      </c>
      <c r="F1657" s="47">
        <v>0.46937499999999999</v>
      </c>
      <c r="G1657" s="44">
        <v>6.3</v>
      </c>
      <c r="H1657" s="43" t="s">
        <v>1367</v>
      </c>
      <c r="I1657" s="40" t="s">
        <v>1361</v>
      </c>
    </row>
    <row r="1658" spans="1:9" x14ac:dyDescent="0.25">
      <c r="A1658" s="40" t="s">
        <v>289</v>
      </c>
      <c r="B1658" s="28">
        <v>1774</v>
      </c>
      <c r="C1658" s="28" t="s">
        <v>35</v>
      </c>
      <c r="D1658" s="28" t="s">
        <v>38</v>
      </c>
      <c r="E1658" s="41">
        <v>46155</v>
      </c>
      <c r="F1658" s="47">
        <v>0.47248842592592594</v>
      </c>
      <c r="G1658" s="44">
        <v>6.3</v>
      </c>
      <c r="H1658" s="43" t="s">
        <v>1364</v>
      </c>
      <c r="I1658" s="40" t="s">
        <v>1361</v>
      </c>
    </row>
    <row r="1659" spans="1:9" x14ac:dyDescent="0.25">
      <c r="A1659" s="40" t="s">
        <v>289</v>
      </c>
      <c r="B1659" s="28">
        <v>1774</v>
      </c>
      <c r="C1659" s="28">
        <v>5670983</v>
      </c>
      <c r="D1659" s="28"/>
      <c r="E1659" s="45">
        <v>46157</v>
      </c>
      <c r="F1659" s="48">
        <v>0.90716435185185185</v>
      </c>
      <c r="G1659" s="44">
        <v>6.3</v>
      </c>
      <c r="H1659" s="43" t="s">
        <v>1360</v>
      </c>
      <c r="I1659" s="40" t="s">
        <v>1361</v>
      </c>
    </row>
    <row r="1660" spans="1:9" x14ac:dyDescent="0.25">
      <c r="A1660" s="40" t="s">
        <v>289</v>
      </c>
      <c r="B1660" s="28">
        <v>1774</v>
      </c>
      <c r="C1660" s="28">
        <v>5670983</v>
      </c>
      <c r="D1660" s="28"/>
      <c r="E1660" s="41">
        <v>46157</v>
      </c>
      <c r="F1660" s="47">
        <v>0.91498842592592589</v>
      </c>
      <c r="G1660" s="44">
        <v>6.3</v>
      </c>
      <c r="H1660" s="43" t="s">
        <v>1362</v>
      </c>
      <c r="I1660" s="40" t="s">
        <v>1361</v>
      </c>
    </row>
    <row r="1661" spans="1:9" x14ac:dyDescent="0.25">
      <c r="A1661" s="40" t="s">
        <v>289</v>
      </c>
      <c r="B1661" s="28">
        <v>1774</v>
      </c>
      <c r="C1661" s="28" t="s">
        <v>676</v>
      </c>
      <c r="D1661" s="28"/>
      <c r="E1661" s="45">
        <v>46159</v>
      </c>
      <c r="F1661" s="48">
        <v>0.19528935185185184</v>
      </c>
      <c r="G1661" s="44">
        <v>6.3</v>
      </c>
      <c r="H1661" s="43" t="s">
        <v>1363</v>
      </c>
      <c r="I1661" s="40" t="s">
        <v>1365</v>
      </c>
    </row>
    <row r="1662" spans="1:9" x14ac:dyDescent="0.25">
      <c r="A1662" s="40" t="s">
        <v>289</v>
      </c>
      <c r="B1662" s="28">
        <v>1774</v>
      </c>
      <c r="C1662" s="28" t="s">
        <v>676</v>
      </c>
      <c r="D1662" s="28"/>
      <c r="E1662" s="41">
        <v>46159</v>
      </c>
      <c r="F1662" s="47">
        <v>0.20045138888888889</v>
      </c>
      <c r="G1662" s="44">
        <v>6.3</v>
      </c>
      <c r="H1662" s="43" t="s">
        <v>1364</v>
      </c>
      <c r="I1662" s="40" t="s">
        <v>1365</v>
      </c>
    </row>
    <row r="1663" spans="1:9" x14ac:dyDescent="0.25">
      <c r="A1663" s="40" t="s">
        <v>358</v>
      </c>
      <c r="B1663" s="28">
        <v>1786</v>
      </c>
      <c r="C1663" s="28">
        <v>5662461</v>
      </c>
      <c r="D1663" s="28"/>
      <c r="E1663" s="41">
        <v>46153</v>
      </c>
      <c r="F1663" s="47">
        <v>0.39089120370370373</v>
      </c>
      <c r="G1663" s="44">
        <v>6.3</v>
      </c>
      <c r="H1663" s="43" t="s">
        <v>1363</v>
      </c>
      <c r="I1663" s="40" t="s">
        <v>1361</v>
      </c>
    </row>
    <row r="1664" spans="1:9" x14ac:dyDescent="0.25">
      <c r="A1664" s="40" t="s">
        <v>358</v>
      </c>
      <c r="B1664" s="28">
        <v>1786</v>
      </c>
      <c r="C1664" s="28">
        <v>5662461</v>
      </c>
      <c r="D1664" s="28"/>
      <c r="E1664" s="41">
        <v>46153</v>
      </c>
      <c r="F1664" s="47">
        <v>0.40175925925925926</v>
      </c>
      <c r="G1664" s="44">
        <v>6.3</v>
      </c>
      <c r="H1664" s="43" t="s">
        <v>1364</v>
      </c>
      <c r="I1664" s="40" t="s">
        <v>1361</v>
      </c>
    </row>
    <row r="1665" spans="1:9" x14ac:dyDescent="0.25">
      <c r="A1665" s="40" t="s">
        <v>358</v>
      </c>
      <c r="B1665" s="28">
        <v>1786</v>
      </c>
      <c r="C1665" s="28" t="s">
        <v>35</v>
      </c>
      <c r="D1665" s="28" t="s">
        <v>38</v>
      </c>
      <c r="E1665" s="41">
        <v>46153</v>
      </c>
      <c r="F1665" s="47">
        <v>0.4931712962962963</v>
      </c>
      <c r="G1665" s="44">
        <v>6.3</v>
      </c>
      <c r="H1665" s="43" t="s">
        <v>1360</v>
      </c>
      <c r="I1665" s="40" t="s">
        <v>1361</v>
      </c>
    </row>
    <row r="1666" spans="1:9" x14ac:dyDescent="0.25">
      <c r="A1666" s="40" t="s">
        <v>358</v>
      </c>
      <c r="B1666" s="28">
        <v>1786</v>
      </c>
      <c r="C1666" s="28" t="s">
        <v>35</v>
      </c>
      <c r="D1666" s="28" t="s">
        <v>38</v>
      </c>
      <c r="E1666" s="41">
        <v>46153</v>
      </c>
      <c r="F1666" s="47">
        <v>0.50392361111111106</v>
      </c>
      <c r="G1666" s="44">
        <v>6.3</v>
      </c>
      <c r="H1666" s="43" t="s">
        <v>1362</v>
      </c>
      <c r="I1666" s="40" t="s">
        <v>1361</v>
      </c>
    </row>
    <row r="1667" spans="1:9" x14ac:dyDescent="0.25">
      <c r="A1667" s="40" t="s">
        <v>358</v>
      </c>
      <c r="B1667" s="28">
        <v>1786</v>
      </c>
      <c r="C1667" s="28">
        <v>5658786</v>
      </c>
      <c r="D1667" s="28"/>
      <c r="E1667" s="41">
        <v>46154</v>
      </c>
      <c r="F1667" s="47">
        <v>0.30221064814814813</v>
      </c>
      <c r="G1667" s="44">
        <v>6.3</v>
      </c>
      <c r="H1667" s="43" t="s">
        <v>1370</v>
      </c>
      <c r="I1667" s="40" t="s">
        <v>1361</v>
      </c>
    </row>
    <row r="1668" spans="1:9" x14ac:dyDescent="0.25">
      <c r="A1668" s="40" t="s">
        <v>358</v>
      </c>
      <c r="B1668" s="28">
        <v>1786</v>
      </c>
      <c r="C1668" s="28">
        <v>5658786</v>
      </c>
      <c r="D1668" s="28"/>
      <c r="E1668" s="41">
        <v>46154</v>
      </c>
      <c r="F1668" s="47">
        <v>0.30964120370370368</v>
      </c>
      <c r="G1668" s="44">
        <v>6.3</v>
      </c>
      <c r="H1668" s="43" t="s">
        <v>1364</v>
      </c>
      <c r="I1668" s="40" t="s">
        <v>1361</v>
      </c>
    </row>
    <row r="1669" spans="1:9" x14ac:dyDescent="0.25">
      <c r="A1669" s="40" t="s">
        <v>358</v>
      </c>
      <c r="B1669" s="28">
        <v>1786</v>
      </c>
      <c r="C1669" s="28">
        <v>10644917</v>
      </c>
      <c r="D1669" s="28" t="s">
        <v>36</v>
      </c>
      <c r="E1669" s="41">
        <v>46154</v>
      </c>
      <c r="F1669" s="47">
        <v>0.53373842592592591</v>
      </c>
      <c r="G1669" s="44">
        <v>6.3</v>
      </c>
      <c r="H1669" s="43" t="s">
        <v>1363</v>
      </c>
      <c r="I1669" s="40" t="s">
        <v>1361</v>
      </c>
    </row>
    <row r="1670" spans="1:9" x14ac:dyDescent="0.25">
      <c r="A1670" s="40" t="s">
        <v>358</v>
      </c>
      <c r="B1670" s="28">
        <v>1786</v>
      </c>
      <c r="C1670" s="28">
        <v>10645893</v>
      </c>
      <c r="D1670" s="28" t="s">
        <v>36</v>
      </c>
      <c r="E1670" s="41">
        <v>46154</v>
      </c>
      <c r="F1670" s="47">
        <v>0.77483796296296292</v>
      </c>
      <c r="G1670" s="44">
        <v>6.3</v>
      </c>
      <c r="H1670" s="43" t="s">
        <v>1369</v>
      </c>
      <c r="I1670" s="40" t="s">
        <v>1361</v>
      </c>
    </row>
    <row r="1671" spans="1:9" x14ac:dyDescent="0.25">
      <c r="A1671" s="40" t="s">
        <v>358</v>
      </c>
      <c r="B1671" s="28">
        <v>1786</v>
      </c>
      <c r="C1671" s="28">
        <v>10645893</v>
      </c>
      <c r="D1671" s="28" t="s">
        <v>36</v>
      </c>
      <c r="E1671" s="41">
        <v>46154</v>
      </c>
      <c r="F1671" s="47">
        <v>0.7994444444444444</v>
      </c>
      <c r="G1671" s="42">
        <v>6.3</v>
      </c>
      <c r="H1671" s="40" t="s">
        <v>1364</v>
      </c>
      <c r="I1671" s="40" t="s">
        <v>1361</v>
      </c>
    </row>
    <row r="1672" spans="1:9" x14ac:dyDescent="0.25">
      <c r="A1672" s="40" t="s">
        <v>358</v>
      </c>
      <c r="B1672" s="28">
        <v>1786</v>
      </c>
      <c r="C1672" s="28">
        <v>10644669</v>
      </c>
      <c r="D1672" s="28" t="s">
        <v>36</v>
      </c>
      <c r="E1672" s="41">
        <v>46154</v>
      </c>
      <c r="F1672" s="47">
        <v>0.96390046296296295</v>
      </c>
      <c r="G1672" s="42">
        <v>6.3</v>
      </c>
      <c r="H1672" s="40" t="s">
        <v>1360</v>
      </c>
      <c r="I1672" s="40" t="s">
        <v>1361</v>
      </c>
    </row>
    <row r="1673" spans="1:9" x14ac:dyDescent="0.25">
      <c r="A1673" s="40" t="s">
        <v>358</v>
      </c>
      <c r="B1673" s="28">
        <v>1786</v>
      </c>
      <c r="C1673" s="28" t="s">
        <v>35</v>
      </c>
      <c r="D1673" s="28" t="s">
        <v>38</v>
      </c>
      <c r="E1673" s="41">
        <v>46154</v>
      </c>
      <c r="F1673" s="47">
        <v>0.97152777777777777</v>
      </c>
      <c r="G1673" s="42">
        <v>6.3</v>
      </c>
      <c r="H1673" s="40" t="s">
        <v>1362</v>
      </c>
      <c r="I1673" s="40" t="s">
        <v>1361</v>
      </c>
    </row>
    <row r="1674" spans="1:9" x14ac:dyDescent="0.25">
      <c r="A1674" s="40" t="s">
        <v>358</v>
      </c>
      <c r="B1674" s="28">
        <v>1786</v>
      </c>
      <c r="C1674" s="28" t="s">
        <v>677</v>
      </c>
      <c r="D1674" s="28"/>
      <c r="E1674" s="45">
        <v>46155</v>
      </c>
      <c r="F1674" s="48">
        <v>0.39578703703703705</v>
      </c>
      <c r="G1674" s="42">
        <v>6.3</v>
      </c>
      <c r="H1674" s="40" t="s">
        <v>1363</v>
      </c>
      <c r="I1674" s="40" t="s">
        <v>1361</v>
      </c>
    </row>
    <row r="1675" spans="1:9" x14ac:dyDescent="0.25">
      <c r="A1675" s="40" t="s">
        <v>358</v>
      </c>
      <c r="B1675" s="28">
        <v>1786</v>
      </c>
      <c r="C1675" s="28" t="s">
        <v>677</v>
      </c>
      <c r="D1675" s="28"/>
      <c r="E1675" s="45">
        <v>46155</v>
      </c>
      <c r="F1675" s="48">
        <v>0.40756944444444443</v>
      </c>
      <c r="G1675" s="44">
        <v>6.3</v>
      </c>
      <c r="H1675" s="43" t="s">
        <v>1364</v>
      </c>
      <c r="I1675" s="40" t="s">
        <v>1361</v>
      </c>
    </row>
    <row r="1676" spans="1:9" x14ac:dyDescent="0.25">
      <c r="A1676" s="40" t="s">
        <v>358</v>
      </c>
      <c r="B1676" s="28">
        <v>1786</v>
      </c>
      <c r="C1676" s="28" t="s">
        <v>678</v>
      </c>
      <c r="D1676" s="28"/>
      <c r="E1676" s="41">
        <v>46155</v>
      </c>
      <c r="F1676" s="47">
        <v>0.53868055555555561</v>
      </c>
      <c r="G1676" s="44">
        <v>6.3</v>
      </c>
      <c r="H1676" s="43" t="s">
        <v>1360</v>
      </c>
      <c r="I1676" s="40" t="s">
        <v>1361</v>
      </c>
    </row>
    <row r="1677" spans="1:9" x14ac:dyDescent="0.25">
      <c r="A1677" s="40" t="s">
        <v>358</v>
      </c>
      <c r="B1677" s="28">
        <v>1786</v>
      </c>
      <c r="C1677" s="28" t="s">
        <v>678</v>
      </c>
      <c r="D1677" s="28"/>
      <c r="E1677" s="41">
        <v>46155</v>
      </c>
      <c r="F1677" s="47">
        <v>0.54940972222222217</v>
      </c>
      <c r="G1677" s="44">
        <v>6.3</v>
      </c>
      <c r="H1677" s="43" t="s">
        <v>1362</v>
      </c>
      <c r="I1677" s="40" t="s">
        <v>1361</v>
      </c>
    </row>
    <row r="1678" spans="1:9" x14ac:dyDescent="0.25">
      <c r="A1678" s="40" t="s">
        <v>358</v>
      </c>
      <c r="B1678" s="28">
        <v>1786</v>
      </c>
      <c r="C1678" s="28" t="s">
        <v>679</v>
      </c>
      <c r="D1678" s="28"/>
      <c r="E1678" s="41">
        <v>46156</v>
      </c>
      <c r="F1678" s="47">
        <v>0.76266203703703705</v>
      </c>
      <c r="G1678" s="44">
        <v>6.3</v>
      </c>
      <c r="H1678" s="43" t="s">
        <v>1360</v>
      </c>
      <c r="I1678" s="40" t="s">
        <v>1361</v>
      </c>
    </row>
    <row r="1679" spans="1:9" x14ac:dyDescent="0.25">
      <c r="A1679" s="40" t="s">
        <v>358</v>
      </c>
      <c r="B1679" s="28">
        <v>1786</v>
      </c>
      <c r="C1679" s="28" t="s">
        <v>679</v>
      </c>
      <c r="D1679" s="28"/>
      <c r="E1679" s="45">
        <v>46156</v>
      </c>
      <c r="F1679" s="48">
        <v>0.77961805555555552</v>
      </c>
      <c r="G1679" s="44">
        <v>6.3</v>
      </c>
      <c r="H1679" s="43" t="s">
        <v>1362</v>
      </c>
      <c r="I1679" s="40" t="s">
        <v>1361</v>
      </c>
    </row>
    <row r="1680" spans="1:9" x14ac:dyDescent="0.25">
      <c r="A1680" s="40" t="s">
        <v>358</v>
      </c>
      <c r="B1680" s="28">
        <v>1786</v>
      </c>
      <c r="C1680" s="28">
        <v>10665933</v>
      </c>
      <c r="D1680" s="28" t="s">
        <v>36</v>
      </c>
      <c r="E1680" s="41">
        <v>46157</v>
      </c>
      <c r="F1680" s="47">
        <v>0.31899305555555557</v>
      </c>
      <c r="G1680" s="44">
        <v>6.3</v>
      </c>
      <c r="H1680" s="43" t="s">
        <v>1363</v>
      </c>
      <c r="I1680" s="40" t="s">
        <v>1361</v>
      </c>
    </row>
    <row r="1681" spans="1:9" x14ac:dyDescent="0.25">
      <c r="A1681" s="40" t="s">
        <v>358</v>
      </c>
      <c r="B1681" s="28">
        <v>1786</v>
      </c>
      <c r="C1681" s="28">
        <v>10665933</v>
      </c>
      <c r="D1681" s="28" t="s">
        <v>36</v>
      </c>
      <c r="E1681" s="41">
        <v>46157</v>
      </c>
      <c r="F1681" s="47">
        <v>0.32670138888888889</v>
      </c>
      <c r="G1681" s="44">
        <v>6.3</v>
      </c>
      <c r="H1681" s="43" t="s">
        <v>1364</v>
      </c>
      <c r="I1681" s="40" t="s">
        <v>1361</v>
      </c>
    </row>
    <row r="1682" spans="1:9" x14ac:dyDescent="0.25">
      <c r="A1682" s="40" t="s">
        <v>358</v>
      </c>
      <c r="B1682" s="28">
        <v>1786</v>
      </c>
      <c r="C1682" s="28">
        <v>10668078</v>
      </c>
      <c r="D1682" s="28" t="s">
        <v>36</v>
      </c>
      <c r="E1682" s="41">
        <v>46157</v>
      </c>
      <c r="F1682" s="47">
        <v>0.64907407407407403</v>
      </c>
      <c r="G1682" s="44">
        <v>6.3</v>
      </c>
      <c r="H1682" s="43" t="s">
        <v>1360</v>
      </c>
      <c r="I1682" s="40" t="s">
        <v>1361</v>
      </c>
    </row>
    <row r="1683" spans="1:9" x14ac:dyDescent="0.25">
      <c r="A1683" s="40" t="s">
        <v>358</v>
      </c>
      <c r="B1683" s="28">
        <v>1786</v>
      </c>
      <c r="C1683" s="28">
        <v>10668078</v>
      </c>
      <c r="D1683" s="28" t="s">
        <v>36</v>
      </c>
      <c r="E1683" s="41">
        <v>46157</v>
      </c>
      <c r="F1683" s="47">
        <v>0.66335648148148152</v>
      </c>
      <c r="G1683" s="44">
        <v>6.3</v>
      </c>
      <c r="H1683" s="43" t="s">
        <v>1362</v>
      </c>
      <c r="I1683" s="40" t="s">
        <v>1361</v>
      </c>
    </row>
    <row r="1684" spans="1:9" x14ac:dyDescent="0.25">
      <c r="A1684" s="40" t="s">
        <v>358</v>
      </c>
      <c r="B1684" s="28">
        <v>1786</v>
      </c>
      <c r="C1684" s="28">
        <v>10666014</v>
      </c>
      <c r="D1684" s="28"/>
      <c r="E1684" s="41">
        <v>46157</v>
      </c>
      <c r="F1684" s="47">
        <v>0.77344907407407404</v>
      </c>
      <c r="G1684" s="44">
        <v>6.3</v>
      </c>
      <c r="H1684" s="43" t="s">
        <v>1369</v>
      </c>
      <c r="I1684" s="40" t="s">
        <v>1361</v>
      </c>
    </row>
    <row r="1685" spans="1:9" x14ac:dyDescent="0.25">
      <c r="A1685" s="40" t="s">
        <v>358</v>
      </c>
      <c r="B1685" s="28">
        <v>1786</v>
      </c>
      <c r="C1685" s="28">
        <v>10666014</v>
      </c>
      <c r="D1685" s="28"/>
      <c r="E1685" s="41">
        <v>46157</v>
      </c>
      <c r="F1685" s="47">
        <v>0.79820601851851847</v>
      </c>
      <c r="G1685" s="44">
        <v>6.3</v>
      </c>
      <c r="H1685" s="43" t="s">
        <v>1364</v>
      </c>
      <c r="I1685" s="40" t="s">
        <v>1361</v>
      </c>
    </row>
    <row r="1686" spans="1:9" x14ac:dyDescent="0.25">
      <c r="A1686" s="40" t="s">
        <v>358</v>
      </c>
      <c r="B1686" s="28">
        <v>1786</v>
      </c>
      <c r="C1686" s="28">
        <v>10665801</v>
      </c>
      <c r="D1686" s="28" t="s">
        <v>36</v>
      </c>
      <c r="E1686" s="41">
        <v>46157</v>
      </c>
      <c r="F1686" s="47">
        <v>0.92987268518518518</v>
      </c>
      <c r="G1686" s="44">
        <v>6.3</v>
      </c>
      <c r="H1686" s="43" t="s">
        <v>1360</v>
      </c>
      <c r="I1686" s="40" t="s">
        <v>1361</v>
      </c>
    </row>
    <row r="1687" spans="1:9" x14ac:dyDescent="0.25">
      <c r="A1687" s="40" t="s">
        <v>358</v>
      </c>
      <c r="B1687" s="28">
        <v>1786</v>
      </c>
      <c r="C1687" s="28">
        <v>10665801</v>
      </c>
      <c r="D1687" s="28" t="s">
        <v>36</v>
      </c>
      <c r="E1687" s="41">
        <v>46157</v>
      </c>
      <c r="F1687" s="47">
        <v>0.93761574074074072</v>
      </c>
      <c r="G1687" s="44">
        <v>6.3</v>
      </c>
      <c r="H1687" s="43" t="s">
        <v>1362</v>
      </c>
      <c r="I1687" s="40" t="s">
        <v>1361</v>
      </c>
    </row>
    <row r="1688" spans="1:9" x14ac:dyDescent="0.25">
      <c r="A1688" s="40" t="s">
        <v>358</v>
      </c>
      <c r="B1688" s="28">
        <v>1786</v>
      </c>
      <c r="C1688" s="28">
        <v>10675303</v>
      </c>
      <c r="D1688" s="28"/>
      <c r="E1688" s="41">
        <v>46158</v>
      </c>
      <c r="F1688" s="47">
        <v>0.64023148148148146</v>
      </c>
      <c r="G1688" s="44">
        <v>6.3</v>
      </c>
      <c r="H1688" s="43" t="s">
        <v>1360</v>
      </c>
      <c r="I1688" s="40" t="s">
        <v>1365</v>
      </c>
    </row>
    <row r="1689" spans="1:9" x14ac:dyDescent="0.25">
      <c r="A1689" s="40" t="s">
        <v>358</v>
      </c>
      <c r="B1689" s="28">
        <v>1786</v>
      </c>
      <c r="C1689" s="28" t="s">
        <v>680</v>
      </c>
      <c r="D1689" s="28"/>
      <c r="E1689" s="41">
        <v>46159</v>
      </c>
      <c r="F1689" s="47">
        <v>0.15296296296296297</v>
      </c>
      <c r="G1689" s="44">
        <v>6.3</v>
      </c>
      <c r="H1689" s="43" t="s">
        <v>1369</v>
      </c>
      <c r="I1689" s="40" t="s">
        <v>1365</v>
      </c>
    </row>
    <row r="1690" spans="1:9" x14ac:dyDescent="0.25">
      <c r="A1690" s="40" t="s">
        <v>358</v>
      </c>
      <c r="B1690" s="28">
        <v>1786</v>
      </c>
      <c r="C1690" s="28" t="s">
        <v>680</v>
      </c>
      <c r="D1690" s="28"/>
      <c r="E1690" s="45">
        <v>46159</v>
      </c>
      <c r="F1690" s="48">
        <v>0.15827546296296297</v>
      </c>
      <c r="G1690" s="42">
        <v>6.3</v>
      </c>
      <c r="H1690" s="40" t="s">
        <v>1364</v>
      </c>
      <c r="I1690" s="40" t="s">
        <v>1365</v>
      </c>
    </row>
    <row r="1691" spans="1:9" x14ac:dyDescent="0.25">
      <c r="A1691" s="40" t="s">
        <v>358</v>
      </c>
      <c r="B1691" s="28">
        <v>1786</v>
      </c>
      <c r="C1691" s="28">
        <v>5672217</v>
      </c>
      <c r="D1691" s="28"/>
      <c r="E1691" s="41">
        <v>46159</v>
      </c>
      <c r="F1691" s="47">
        <v>0.30898148148148147</v>
      </c>
      <c r="G1691" s="42">
        <v>6.3</v>
      </c>
      <c r="H1691" s="40" t="s">
        <v>1360</v>
      </c>
      <c r="I1691" s="40" t="s">
        <v>1365</v>
      </c>
    </row>
    <row r="1692" spans="1:9" x14ac:dyDescent="0.25">
      <c r="A1692" s="40" t="s">
        <v>358</v>
      </c>
      <c r="B1692" s="28">
        <v>1786</v>
      </c>
      <c r="C1692" s="28">
        <v>5672217</v>
      </c>
      <c r="D1692" s="28"/>
      <c r="E1692" s="41">
        <v>46159</v>
      </c>
      <c r="F1692" s="47">
        <v>0.31679398148148147</v>
      </c>
      <c r="G1692" s="44">
        <v>6.3</v>
      </c>
      <c r="H1692" s="43" t="s">
        <v>1362</v>
      </c>
      <c r="I1692" s="40" t="s">
        <v>1365</v>
      </c>
    </row>
    <row r="1693" spans="1:9" x14ac:dyDescent="0.25">
      <c r="A1693" s="40" t="s">
        <v>358</v>
      </c>
      <c r="B1693" s="28">
        <v>1786</v>
      </c>
      <c r="C1693" s="28" t="s">
        <v>35</v>
      </c>
      <c r="D1693" s="28" t="s">
        <v>38</v>
      </c>
      <c r="E1693" s="41">
        <v>46159</v>
      </c>
      <c r="F1693" s="47">
        <v>0.47113425925925928</v>
      </c>
      <c r="G1693" s="44">
        <v>6.3</v>
      </c>
      <c r="H1693" s="43" t="s">
        <v>1363</v>
      </c>
      <c r="I1693" s="40" t="s">
        <v>1365</v>
      </c>
    </row>
    <row r="1694" spans="1:9" x14ac:dyDescent="0.25">
      <c r="A1694" s="40" t="s">
        <v>358</v>
      </c>
      <c r="B1694" s="28">
        <v>1786</v>
      </c>
      <c r="C1694" s="28" t="s">
        <v>35</v>
      </c>
      <c r="D1694" s="28" t="s">
        <v>38</v>
      </c>
      <c r="E1694" s="41">
        <v>46159</v>
      </c>
      <c r="F1694" s="47">
        <v>0.4767939814814815</v>
      </c>
      <c r="G1694" s="44">
        <v>6.3</v>
      </c>
      <c r="H1694" s="43" t="s">
        <v>1364</v>
      </c>
      <c r="I1694" s="40" t="s">
        <v>1365</v>
      </c>
    </row>
    <row r="1695" spans="1:9" x14ac:dyDescent="0.25">
      <c r="A1695" s="40" t="s">
        <v>358</v>
      </c>
      <c r="B1695" s="28">
        <v>1786</v>
      </c>
      <c r="C1695" s="28" t="s">
        <v>681</v>
      </c>
      <c r="D1695" s="28"/>
      <c r="E1695" s="45">
        <v>46159</v>
      </c>
      <c r="F1695" s="48">
        <v>0.90144675925925921</v>
      </c>
      <c r="G1695" s="44">
        <v>6.3</v>
      </c>
      <c r="H1695" s="43" t="s">
        <v>1360</v>
      </c>
      <c r="I1695" s="40" t="s">
        <v>1365</v>
      </c>
    </row>
    <row r="1696" spans="1:9" x14ac:dyDescent="0.25">
      <c r="A1696" s="40" t="s">
        <v>358</v>
      </c>
      <c r="B1696" s="28">
        <v>1786</v>
      </c>
      <c r="C1696" s="28" t="s">
        <v>681</v>
      </c>
      <c r="D1696" s="28"/>
      <c r="E1696" s="41">
        <v>46159</v>
      </c>
      <c r="F1696" s="47">
        <v>0.90901620370370373</v>
      </c>
      <c r="G1696" s="44">
        <v>6.3</v>
      </c>
      <c r="H1696" s="43" t="s">
        <v>1362</v>
      </c>
      <c r="I1696" s="40" t="s">
        <v>1365</v>
      </c>
    </row>
    <row r="1697" spans="1:9" x14ac:dyDescent="0.25">
      <c r="A1697" s="40" t="s">
        <v>409</v>
      </c>
      <c r="B1697" s="28">
        <v>1793</v>
      </c>
      <c r="C1697" s="28">
        <v>5666292</v>
      </c>
      <c r="D1697" s="28"/>
      <c r="E1697" s="41">
        <v>46155</v>
      </c>
      <c r="F1697" s="47">
        <v>0.41850694444444442</v>
      </c>
      <c r="G1697" s="44">
        <v>6.3</v>
      </c>
      <c r="H1697" s="43" t="s">
        <v>1360</v>
      </c>
      <c r="I1697" s="40" t="s">
        <v>1361</v>
      </c>
    </row>
    <row r="1698" spans="1:9" x14ac:dyDescent="0.25">
      <c r="A1698" s="40" t="s">
        <v>409</v>
      </c>
      <c r="B1698" s="28">
        <v>1793</v>
      </c>
      <c r="C1698" s="28">
        <v>5666292</v>
      </c>
      <c r="D1698" s="28"/>
      <c r="E1698" s="41">
        <v>46155</v>
      </c>
      <c r="F1698" s="47">
        <v>0.43906250000000002</v>
      </c>
      <c r="G1698" s="44">
        <v>6.3</v>
      </c>
      <c r="H1698" s="43" t="s">
        <v>1362</v>
      </c>
      <c r="I1698" s="40" t="s">
        <v>1361</v>
      </c>
    </row>
    <row r="1699" spans="1:9" x14ac:dyDescent="0.25">
      <c r="A1699" s="40" t="s">
        <v>409</v>
      </c>
      <c r="B1699" s="28">
        <v>1793</v>
      </c>
      <c r="C1699" s="28" t="s">
        <v>35</v>
      </c>
      <c r="D1699" s="28" t="s">
        <v>38</v>
      </c>
      <c r="E1699" s="45">
        <v>46155</v>
      </c>
      <c r="F1699" s="48">
        <v>0.4548726851851852</v>
      </c>
      <c r="G1699" s="44">
        <v>6.3</v>
      </c>
      <c r="H1699" s="43" t="s">
        <v>1363</v>
      </c>
      <c r="I1699" s="40" t="s">
        <v>1361</v>
      </c>
    </row>
    <row r="1700" spans="1:9" x14ac:dyDescent="0.25">
      <c r="A1700" s="40" t="s">
        <v>409</v>
      </c>
      <c r="B1700" s="28">
        <v>1793</v>
      </c>
      <c r="C1700" s="28" t="s">
        <v>35</v>
      </c>
      <c r="D1700" s="28" t="s">
        <v>38</v>
      </c>
      <c r="E1700" s="41">
        <v>46156</v>
      </c>
      <c r="F1700" s="47">
        <v>0.80050925925925931</v>
      </c>
      <c r="G1700" s="44">
        <v>6.3</v>
      </c>
      <c r="H1700" s="43" t="s">
        <v>1360</v>
      </c>
      <c r="I1700" s="40" t="s">
        <v>1361</v>
      </c>
    </row>
    <row r="1701" spans="1:9" x14ac:dyDescent="0.25">
      <c r="A1701" s="40" t="s">
        <v>409</v>
      </c>
      <c r="B1701" s="28">
        <v>1793</v>
      </c>
      <c r="C1701" s="28" t="s">
        <v>35</v>
      </c>
      <c r="D1701" s="28" t="s">
        <v>38</v>
      </c>
      <c r="E1701" s="41">
        <v>46156</v>
      </c>
      <c r="F1701" s="47">
        <v>0.81282407407407409</v>
      </c>
      <c r="G1701" s="44">
        <v>6.3</v>
      </c>
      <c r="H1701" s="43" t="s">
        <v>1362</v>
      </c>
      <c r="I1701" s="40" t="s">
        <v>1361</v>
      </c>
    </row>
    <row r="1702" spans="1:9" x14ac:dyDescent="0.25">
      <c r="A1702" s="40" t="s">
        <v>409</v>
      </c>
      <c r="B1702" s="28">
        <v>1793</v>
      </c>
      <c r="C1702" s="28">
        <v>5671038</v>
      </c>
      <c r="D1702" s="28"/>
      <c r="E1702" s="41">
        <v>46157</v>
      </c>
      <c r="F1702" s="47">
        <v>0.9403125</v>
      </c>
      <c r="G1702" s="44">
        <v>6.3</v>
      </c>
      <c r="H1702" s="43" t="s">
        <v>1360</v>
      </c>
      <c r="I1702" s="40" t="s">
        <v>1361</v>
      </c>
    </row>
    <row r="1703" spans="1:9" x14ac:dyDescent="0.25">
      <c r="A1703" s="40" t="s">
        <v>409</v>
      </c>
      <c r="B1703" s="28">
        <v>1793</v>
      </c>
      <c r="C1703" s="28">
        <v>5671038</v>
      </c>
      <c r="D1703" s="28"/>
      <c r="E1703" s="45">
        <v>46157</v>
      </c>
      <c r="F1703" s="48">
        <v>0.94737268518518514</v>
      </c>
      <c r="G1703" s="44">
        <v>6.3</v>
      </c>
      <c r="H1703" s="43" t="s">
        <v>1362</v>
      </c>
      <c r="I1703" s="40" t="s">
        <v>1361</v>
      </c>
    </row>
    <row r="1704" spans="1:9" x14ac:dyDescent="0.25">
      <c r="A1704" s="40" t="s">
        <v>409</v>
      </c>
      <c r="B1704" s="28">
        <v>1793</v>
      </c>
      <c r="C1704" s="28" t="s">
        <v>35</v>
      </c>
      <c r="D1704" s="28" t="s">
        <v>38</v>
      </c>
      <c r="E1704" s="45">
        <v>46157</v>
      </c>
      <c r="F1704" s="48">
        <v>0.96770833333333328</v>
      </c>
      <c r="G1704" s="44">
        <v>6.3</v>
      </c>
      <c r="H1704" s="43" t="s">
        <v>1363</v>
      </c>
      <c r="I1704" s="40" t="s">
        <v>1361</v>
      </c>
    </row>
    <row r="1705" spans="1:9" x14ac:dyDescent="0.25">
      <c r="A1705" s="40" t="s">
        <v>409</v>
      </c>
      <c r="B1705" s="28">
        <v>1793</v>
      </c>
      <c r="C1705" s="28" t="s">
        <v>35</v>
      </c>
      <c r="D1705" s="28" t="s">
        <v>38</v>
      </c>
      <c r="E1705" s="41">
        <v>46159</v>
      </c>
      <c r="F1705" s="47">
        <v>5.1759259259259262E-2</v>
      </c>
      <c r="G1705" s="44">
        <v>6.3</v>
      </c>
      <c r="H1705" s="43" t="s">
        <v>1360</v>
      </c>
      <c r="I1705" s="40" t="s">
        <v>1365</v>
      </c>
    </row>
    <row r="1706" spans="1:9" x14ac:dyDescent="0.25">
      <c r="A1706" s="40" t="s">
        <v>409</v>
      </c>
      <c r="B1706" s="28">
        <v>1793</v>
      </c>
      <c r="C1706" s="28">
        <v>5671258</v>
      </c>
      <c r="D1706" s="28"/>
      <c r="E1706" s="41">
        <v>46159</v>
      </c>
      <c r="F1706" s="47">
        <v>6.0752314814814815E-2</v>
      </c>
      <c r="G1706" s="44">
        <v>6.3</v>
      </c>
      <c r="H1706" s="43" t="s">
        <v>1362</v>
      </c>
      <c r="I1706" s="40" t="s">
        <v>1365</v>
      </c>
    </row>
    <row r="1707" spans="1:9" x14ac:dyDescent="0.25">
      <c r="A1707" s="40" t="s">
        <v>409</v>
      </c>
      <c r="B1707" s="28">
        <v>1793</v>
      </c>
      <c r="C1707" s="28" t="s">
        <v>682</v>
      </c>
      <c r="D1707" s="28"/>
      <c r="E1707" s="41">
        <v>46159</v>
      </c>
      <c r="F1707" s="47">
        <v>0.87127314814814816</v>
      </c>
      <c r="G1707" s="44">
        <v>6.3</v>
      </c>
      <c r="H1707" s="43" t="s">
        <v>1360</v>
      </c>
      <c r="I1707" s="40" t="s">
        <v>1365</v>
      </c>
    </row>
    <row r="1708" spans="1:9" x14ac:dyDescent="0.25">
      <c r="A1708" s="40" t="s">
        <v>409</v>
      </c>
      <c r="B1708" s="28">
        <v>1793</v>
      </c>
      <c r="C1708" s="28" t="s">
        <v>682</v>
      </c>
      <c r="D1708" s="28"/>
      <c r="E1708" s="41">
        <v>46159</v>
      </c>
      <c r="F1708" s="47">
        <v>0.87813657407407408</v>
      </c>
      <c r="G1708" s="44">
        <v>6.3</v>
      </c>
      <c r="H1708" s="43" t="s">
        <v>1362</v>
      </c>
      <c r="I1708" s="40" t="s">
        <v>1365</v>
      </c>
    </row>
    <row r="1709" spans="1:9" x14ac:dyDescent="0.25">
      <c r="A1709" s="40" t="s">
        <v>409</v>
      </c>
      <c r="B1709" s="28">
        <v>1793</v>
      </c>
      <c r="C1709" s="28" t="s">
        <v>683</v>
      </c>
      <c r="D1709" s="28"/>
      <c r="E1709" s="41">
        <v>46159</v>
      </c>
      <c r="F1709" s="47">
        <v>0.97517361111111112</v>
      </c>
      <c r="G1709" s="44">
        <v>6.3</v>
      </c>
      <c r="H1709" s="43" t="s">
        <v>1360</v>
      </c>
      <c r="I1709" s="40" t="s">
        <v>1365</v>
      </c>
    </row>
    <row r="1710" spans="1:9" x14ac:dyDescent="0.25">
      <c r="A1710" s="40" t="s">
        <v>409</v>
      </c>
      <c r="B1710" s="28">
        <v>1793</v>
      </c>
      <c r="C1710" s="28" t="s">
        <v>683</v>
      </c>
      <c r="D1710" s="28"/>
      <c r="E1710" s="41">
        <v>46159</v>
      </c>
      <c r="F1710" s="47">
        <v>0.98298611111111112</v>
      </c>
      <c r="G1710" s="44">
        <v>6.3</v>
      </c>
      <c r="H1710" s="43" t="s">
        <v>1362</v>
      </c>
      <c r="I1710" s="40" t="s">
        <v>1365</v>
      </c>
    </row>
    <row r="1711" spans="1:9" x14ac:dyDescent="0.25">
      <c r="A1711" s="40" t="s">
        <v>410</v>
      </c>
      <c r="B1711" s="28">
        <v>1798</v>
      </c>
      <c r="C1711" s="28">
        <v>5664030</v>
      </c>
      <c r="D1711" s="28"/>
      <c r="E1711" s="41">
        <v>46154</v>
      </c>
      <c r="F1711" s="47">
        <v>1.4467592592592592E-3</v>
      </c>
      <c r="G1711" s="44">
        <v>6.3</v>
      </c>
      <c r="H1711" s="43" t="s">
        <v>1360</v>
      </c>
      <c r="I1711" s="40" t="s">
        <v>1361</v>
      </c>
    </row>
    <row r="1712" spans="1:9" x14ac:dyDescent="0.25">
      <c r="A1712" s="40" t="s">
        <v>410</v>
      </c>
      <c r="B1712" s="28">
        <v>1798</v>
      </c>
      <c r="C1712" s="28">
        <v>5664030</v>
      </c>
      <c r="D1712" s="28"/>
      <c r="E1712" s="41">
        <v>46154</v>
      </c>
      <c r="F1712" s="47">
        <v>6.1574074074074074E-3</v>
      </c>
      <c r="G1712" s="44">
        <v>6.3</v>
      </c>
      <c r="H1712" s="43" t="s">
        <v>1366</v>
      </c>
      <c r="I1712" s="40" t="s">
        <v>1361</v>
      </c>
    </row>
    <row r="1713" spans="1:9" x14ac:dyDescent="0.25">
      <c r="A1713" s="40" t="s">
        <v>410</v>
      </c>
      <c r="B1713" s="28">
        <v>1798</v>
      </c>
      <c r="C1713" s="28" t="s">
        <v>684</v>
      </c>
      <c r="D1713" s="28"/>
      <c r="E1713" s="41">
        <v>46154</v>
      </c>
      <c r="F1713" s="47">
        <v>0.71090277777777777</v>
      </c>
      <c r="G1713" s="44">
        <v>6.3</v>
      </c>
      <c r="H1713" s="43" t="s">
        <v>1360</v>
      </c>
      <c r="I1713" s="40" t="s">
        <v>1361</v>
      </c>
    </row>
    <row r="1714" spans="1:9" x14ac:dyDescent="0.25">
      <c r="A1714" s="40" t="s">
        <v>410</v>
      </c>
      <c r="B1714" s="28">
        <v>1798</v>
      </c>
      <c r="C1714" s="28" t="s">
        <v>684</v>
      </c>
      <c r="D1714" s="28"/>
      <c r="E1714" s="41">
        <v>46154</v>
      </c>
      <c r="F1714" s="47">
        <v>0.72373842592592597</v>
      </c>
      <c r="G1714" s="44">
        <v>6.3</v>
      </c>
      <c r="H1714" s="43" t="s">
        <v>1368</v>
      </c>
      <c r="I1714" s="40" t="s">
        <v>1361</v>
      </c>
    </row>
    <row r="1715" spans="1:9" x14ac:dyDescent="0.25">
      <c r="A1715" s="40" t="s">
        <v>410</v>
      </c>
      <c r="B1715" s="28">
        <v>1798</v>
      </c>
      <c r="C1715" s="28">
        <v>5665332</v>
      </c>
      <c r="D1715" s="28"/>
      <c r="E1715" s="45">
        <v>46154</v>
      </c>
      <c r="F1715" s="48">
        <v>0.81050925925925921</v>
      </c>
      <c r="G1715" s="44">
        <v>6.3</v>
      </c>
      <c r="H1715" s="43" t="s">
        <v>1364</v>
      </c>
      <c r="I1715" s="40" t="s">
        <v>1361</v>
      </c>
    </row>
    <row r="1716" spans="1:9" x14ac:dyDescent="0.25">
      <c r="A1716" s="40" t="s">
        <v>410</v>
      </c>
      <c r="B1716" s="28">
        <v>1798</v>
      </c>
      <c r="C1716" s="28">
        <v>5667072</v>
      </c>
      <c r="D1716" s="28"/>
      <c r="E1716" s="41">
        <v>46155</v>
      </c>
      <c r="F1716" s="47">
        <v>0.84635416666666663</v>
      </c>
      <c r="G1716" s="44">
        <v>6.3</v>
      </c>
      <c r="H1716" s="43" t="s">
        <v>1360</v>
      </c>
      <c r="I1716" s="40" t="s">
        <v>1361</v>
      </c>
    </row>
    <row r="1717" spans="1:9" x14ac:dyDescent="0.25">
      <c r="A1717" s="40" t="s">
        <v>410</v>
      </c>
      <c r="B1717" s="28">
        <v>1798</v>
      </c>
      <c r="C1717" s="28">
        <v>5667072</v>
      </c>
      <c r="D1717" s="28"/>
      <c r="E1717" s="41">
        <v>46155</v>
      </c>
      <c r="F1717" s="47">
        <v>0.85579861111111111</v>
      </c>
      <c r="G1717" s="42">
        <v>6.3</v>
      </c>
      <c r="H1717" s="40" t="s">
        <v>1366</v>
      </c>
      <c r="I1717" s="40" t="s">
        <v>1361</v>
      </c>
    </row>
    <row r="1718" spans="1:9" x14ac:dyDescent="0.25">
      <c r="A1718" s="40" t="s">
        <v>410</v>
      </c>
      <c r="B1718" s="28">
        <v>1798</v>
      </c>
      <c r="C1718" s="28">
        <v>5667430</v>
      </c>
      <c r="D1718" s="28" t="s">
        <v>36</v>
      </c>
      <c r="E1718" s="41">
        <v>46155</v>
      </c>
      <c r="F1718" s="47">
        <v>0.92487268518518517</v>
      </c>
      <c r="G1718" s="42">
        <v>6.3</v>
      </c>
      <c r="H1718" s="40" t="s">
        <v>1362</v>
      </c>
      <c r="I1718" s="40" t="s">
        <v>1361</v>
      </c>
    </row>
    <row r="1719" spans="1:9" x14ac:dyDescent="0.25">
      <c r="A1719" s="40" t="s">
        <v>410</v>
      </c>
      <c r="B1719" s="28">
        <v>1798</v>
      </c>
      <c r="C1719" s="28">
        <v>5668762</v>
      </c>
      <c r="D1719" s="28"/>
      <c r="E1719" s="41">
        <v>46156</v>
      </c>
      <c r="F1719" s="47">
        <v>0.71900462962962963</v>
      </c>
      <c r="G1719" s="42">
        <v>6.3</v>
      </c>
      <c r="H1719" s="40" t="s">
        <v>1360</v>
      </c>
      <c r="I1719" s="40" t="s">
        <v>1361</v>
      </c>
    </row>
    <row r="1720" spans="1:9" x14ac:dyDescent="0.25">
      <c r="A1720" s="40" t="s">
        <v>410</v>
      </c>
      <c r="B1720" s="28">
        <v>1798</v>
      </c>
      <c r="C1720" s="28">
        <v>5668762</v>
      </c>
      <c r="D1720" s="28"/>
      <c r="E1720" s="41">
        <v>46156</v>
      </c>
      <c r="F1720" s="47">
        <v>0.73578703703703707</v>
      </c>
      <c r="G1720" s="42">
        <v>6.3</v>
      </c>
      <c r="H1720" s="40" t="s">
        <v>1362</v>
      </c>
      <c r="I1720" s="40" t="s">
        <v>1361</v>
      </c>
    </row>
    <row r="1721" spans="1:9" x14ac:dyDescent="0.25">
      <c r="A1721" s="40" t="s">
        <v>410</v>
      </c>
      <c r="B1721" s="28">
        <v>1798</v>
      </c>
      <c r="C1721" s="28">
        <v>5671101</v>
      </c>
      <c r="D1721" s="28"/>
      <c r="E1721" s="41">
        <v>46157</v>
      </c>
      <c r="F1721" s="47">
        <v>0.98944444444444446</v>
      </c>
      <c r="G1721" s="44">
        <v>6.3</v>
      </c>
      <c r="H1721" s="43" t="s">
        <v>1360</v>
      </c>
      <c r="I1721" s="40" t="s">
        <v>1365</v>
      </c>
    </row>
    <row r="1722" spans="1:9" x14ac:dyDescent="0.25">
      <c r="A1722" s="40" t="s">
        <v>410</v>
      </c>
      <c r="B1722" s="28">
        <v>1798</v>
      </c>
      <c r="C1722" s="28">
        <v>5671101</v>
      </c>
      <c r="D1722" s="28"/>
      <c r="E1722" s="41">
        <v>46157</v>
      </c>
      <c r="F1722" s="47">
        <v>0.9962847222222222</v>
      </c>
      <c r="G1722" s="44">
        <v>6.3</v>
      </c>
      <c r="H1722" s="43" t="s">
        <v>1362</v>
      </c>
      <c r="I1722" s="40" t="s">
        <v>1365</v>
      </c>
    </row>
    <row r="1723" spans="1:9" x14ac:dyDescent="0.25">
      <c r="A1723" s="40" t="s">
        <v>411</v>
      </c>
      <c r="B1723" s="28">
        <v>1828</v>
      </c>
      <c r="C1723" s="28">
        <v>5664523</v>
      </c>
      <c r="D1723" s="28"/>
      <c r="E1723" s="45">
        <v>46154</v>
      </c>
      <c r="F1723" s="48">
        <v>0.84634259259259259</v>
      </c>
      <c r="G1723" s="44">
        <v>6.3</v>
      </c>
      <c r="H1723" s="43" t="s">
        <v>1364</v>
      </c>
      <c r="I1723" s="40" t="s">
        <v>1361</v>
      </c>
    </row>
    <row r="1724" spans="1:9" x14ac:dyDescent="0.25">
      <c r="A1724" s="40" t="s">
        <v>411</v>
      </c>
      <c r="B1724" s="28">
        <v>1828</v>
      </c>
      <c r="C1724" s="28">
        <v>5665958</v>
      </c>
      <c r="D1724" s="28"/>
      <c r="E1724" s="41">
        <v>46155</v>
      </c>
      <c r="F1724" s="47">
        <v>5.2314814814814811E-3</v>
      </c>
      <c r="G1724" s="44">
        <v>6.3</v>
      </c>
      <c r="H1724" s="43" t="s">
        <v>1360</v>
      </c>
      <c r="I1724" s="40" t="s">
        <v>1361</v>
      </c>
    </row>
    <row r="1725" spans="1:9" x14ac:dyDescent="0.25">
      <c r="A1725" s="40" t="s">
        <v>411</v>
      </c>
      <c r="B1725" s="28">
        <v>1828</v>
      </c>
      <c r="C1725" s="28">
        <v>5665958</v>
      </c>
      <c r="D1725" s="28"/>
      <c r="E1725" s="45">
        <v>46155</v>
      </c>
      <c r="F1725" s="48">
        <v>1.2870370370370371E-2</v>
      </c>
      <c r="G1725" s="44">
        <v>6.3</v>
      </c>
      <c r="H1725" s="43" t="s">
        <v>1362</v>
      </c>
      <c r="I1725" s="40" t="s">
        <v>1361</v>
      </c>
    </row>
    <row r="1726" spans="1:9" x14ac:dyDescent="0.25">
      <c r="A1726" s="40" t="s">
        <v>381</v>
      </c>
      <c r="B1726" s="28">
        <v>1844</v>
      </c>
      <c r="C1726" s="28" t="s">
        <v>685</v>
      </c>
      <c r="D1726" s="28"/>
      <c r="E1726" s="41">
        <v>46153</v>
      </c>
      <c r="F1726" s="47">
        <v>0.75437500000000002</v>
      </c>
      <c r="G1726" s="44">
        <v>6.3</v>
      </c>
      <c r="H1726" s="43" t="s">
        <v>1360</v>
      </c>
      <c r="I1726" s="40" t="s">
        <v>1361</v>
      </c>
    </row>
    <row r="1727" spans="1:9" x14ac:dyDescent="0.25">
      <c r="A1727" s="40" t="s">
        <v>381</v>
      </c>
      <c r="B1727" s="28">
        <v>1844</v>
      </c>
      <c r="C1727" s="28" t="s">
        <v>685</v>
      </c>
      <c r="D1727" s="28"/>
      <c r="E1727" s="41">
        <v>46153</v>
      </c>
      <c r="F1727" s="47">
        <v>0.76601851851851854</v>
      </c>
      <c r="G1727" s="44">
        <v>6.3</v>
      </c>
      <c r="H1727" s="43" t="s">
        <v>1362</v>
      </c>
      <c r="I1727" s="40" t="s">
        <v>1361</v>
      </c>
    </row>
    <row r="1728" spans="1:9" x14ac:dyDescent="0.25">
      <c r="A1728" s="40" t="s">
        <v>381</v>
      </c>
      <c r="B1728" s="28">
        <v>1844</v>
      </c>
      <c r="C1728" s="28" t="s">
        <v>686</v>
      </c>
      <c r="D1728" s="28"/>
      <c r="E1728" s="41">
        <v>46153</v>
      </c>
      <c r="F1728" s="47">
        <v>0.86276620370370372</v>
      </c>
      <c r="G1728" s="44">
        <v>6.3</v>
      </c>
      <c r="H1728" s="43" t="s">
        <v>1363</v>
      </c>
      <c r="I1728" s="40" t="s">
        <v>1361</v>
      </c>
    </row>
    <row r="1729" spans="1:9" x14ac:dyDescent="0.25">
      <c r="A1729" s="40" t="s">
        <v>381</v>
      </c>
      <c r="B1729" s="28">
        <v>1844</v>
      </c>
      <c r="C1729" s="28" t="s">
        <v>686</v>
      </c>
      <c r="D1729" s="28"/>
      <c r="E1729" s="41">
        <v>46153</v>
      </c>
      <c r="F1729" s="47">
        <v>0.86837962962962967</v>
      </c>
      <c r="G1729" s="44">
        <v>6.3</v>
      </c>
      <c r="H1729" s="43" t="s">
        <v>1364</v>
      </c>
      <c r="I1729" s="40" t="s">
        <v>1361</v>
      </c>
    </row>
    <row r="1730" spans="1:9" x14ac:dyDescent="0.25">
      <c r="A1730" s="40" t="s">
        <v>381</v>
      </c>
      <c r="B1730" s="28">
        <v>1844</v>
      </c>
      <c r="C1730" s="28" t="s">
        <v>687</v>
      </c>
      <c r="D1730" s="28"/>
      <c r="E1730" s="41">
        <v>46154</v>
      </c>
      <c r="F1730" s="47">
        <v>0.79062500000000002</v>
      </c>
      <c r="G1730" s="44">
        <v>6.3</v>
      </c>
      <c r="H1730" s="43" t="s">
        <v>1360</v>
      </c>
      <c r="I1730" s="40" t="s">
        <v>1361</v>
      </c>
    </row>
    <row r="1731" spans="1:9" x14ac:dyDescent="0.25">
      <c r="A1731" s="40" t="s">
        <v>381</v>
      </c>
      <c r="B1731" s="28">
        <v>1844</v>
      </c>
      <c r="C1731" s="28" t="s">
        <v>687</v>
      </c>
      <c r="D1731" s="28"/>
      <c r="E1731" s="41">
        <v>46154</v>
      </c>
      <c r="F1731" s="47">
        <v>0.80493055555555559</v>
      </c>
      <c r="G1731" s="44">
        <v>6.3</v>
      </c>
      <c r="H1731" s="43" t="s">
        <v>1362</v>
      </c>
      <c r="I1731" s="40" t="s">
        <v>1361</v>
      </c>
    </row>
    <row r="1732" spans="1:9" x14ac:dyDescent="0.25">
      <c r="A1732" s="40" t="s">
        <v>381</v>
      </c>
      <c r="B1732" s="28">
        <v>1844</v>
      </c>
      <c r="C1732" s="28" t="s">
        <v>688</v>
      </c>
      <c r="D1732" s="28"/>
      <c r="E1732" s="41">
        <v>46155</v>
      </c>
      <c r="F1732" s="47">
        <v>0.77835648148148151</v>
      </c>
      <c r="G1732" s="44">
        <v>6.3</v>
      </c>
      <c r="H1732" s="43" t="s">
        <v>1360</v>
      </c>
      <c r="I1732" s="40" t="s">
        <v>1361</v>
      </c>
    </row>
    <row r="1733" spans="1:9" x14ac:dyDescent="0.25">
      <c r="A1733" s="40" t="s">
        <v>381</v>
      </c>
      <c r="B1733" s="28">
        <v>1844</v>
      </c>
      <c r="C1733" s="28" t="s">
        <v>688</v>
      </c>
      <c r="D1733" s="28"/>
      <c r="E1733" s="41">
        <v>46155</v>
      </c>
      <c r="F1733" s="47">
        <v>0.78817129629629634</v>
      </c>
      <c r="G1733" s="44">
        <v>6.3</v>
      </c>
      <c r="H1733" s="43" t="s">
        <v>1362</v>
      </c>
      <c r="I1733" s="40" t="s">
        <v>1361</v>
      </c>
    </row>
    <row r="1734" spans="1:9" x14ac:dyDescent="0.25">
      <c r="A1734" s="40" t="s">
        <v>381</v>
      </c>
      <c r="B1734" s="28">
        <v>1844</v>
      </c>
      <c r="C1734" s="28" t="s">
        <v>689</v>
      </c>
      <c r="D1734" s="28"/>
      <c r="E1734" s="41">
        <v>46155</v>
      </c>
      <c r="F1734" s="47">
        <v>0.90576388888888892</v>
      </c>
      <c r="G1734" s="44">
        <v>6.3</v>
      </c>
      <c r="H1734" s="43" t="s">
        <v>1364</v>
      </c>
      <c r="I1734" s="40" t="s">
        <v>1361</v>
      </c>
    </row>
    <row r="1735" spans="1:9" x14ac:dyDescent="0.25">
      <c r="A1735" s="40" t="s">
        <v>381</v>
      </c>
      <c r="B1735" s="28">
        <v>1844</v>
      </c>
      <c r="C1735" s="28" t="s">
        <v>690</v>
      </c>
      <c r="D1735" s="28"/>
      <c r="E1735" s="41">
        <v>46156</v>
      </c>
      <c r="F1735" s="47">
        <v>0.14288194444444444</v>
      </c>
      <c r="G1735" s="44">
        <v>6.3</v>
      </c>
      <c r="H1735" s="43" t="s">
        <v>1363</v>
      </c>
      <c r="I1735" s="40" t="s">
        <v>1361</v>
      </c>
    </row>
    <row r="1736" spans="1:9" x14ac:dyDescent="0.25">
      <c r="A1736" s="40" t="s">
        <v>381</v>
      </c>
      <c r="B1736" s="28">
        <v>1844</v>
      </c>
      <c r="C1736" s="28" t="s">
        <v>690</v>
      </c>
      <c r="D1736" s="28"/>
      <c r="E1736" s="41">
        <v>46156</v>
      </c>
      <c r="F1736" s="47">
        <v>0.1479513888888889</v>
      </c>
      <c r="G1736" s="44">
        <v>6.3</v>
      </c>
      <c r="H1736" s="43" t="s">
        <v>1364</v>
      </c>
      <c r="I1736" s="40" t="s">
        <v>1361</v>
      </c>
    </row>
    <row r="1737" spans="1:9" x14ac:dyDescent="0.25">
      <c r="A1737" s="40" t="s">
        <v>381</v>
      </c>
      <c r="B1737" s="28">
        <v>1844</v>
      </c>
      <c r="C1737" s="28" t="s">
        <v>691</v>
      </c>
      <c r="D1737" s="28"/>
      <c r="E1737" s="41">
        <v>46156</v>
      </c>
      <c r="F1737" s="47">
        <v>0.76291666666666669</v>
      </c>
      <c r="G1737" s="44">
        <v>6.3</v>
      </c>
      <c r="H1737" s="43" t="s">
        <v>1360</v>
      </c>
      <c r="I1737" s="40" t="s">
        <v>1361</v>
      </c>
    </row>
    <row r="1738" spans="1:9" x14ac:dyDescent="0.25">
      <c r="A1738" s="40" t="s">
        <v>381</v>
      </c>
      <c r="B1738" s="28">
        <v>1844</v>
      </c>
      <c r="C1738" s="28" t="s">
        <v>691</v>
      </c>
      <c r="D1738" s="28"/>
      <c r="E1738" s="41">
        <v>46156</v>
      </c>
      <c r="F1738" s="47">
        <v>0.77983796296296293</v>
      </c>
      <c r="G1738" s="44">
        <v>6.3</v>
      </c>
      <c r="H1738" s="43" t="s">
        <v>1362</v>
      </c>
      <c r="I1738" s="40" t="s">
        <v>1361</v>
      </c>
    </row>
    <row r="1739" spans="1:9" x14ac:dyDescent="0.25">
      <c r="A1739" s="40" t="s">
        <v>381</v>
      </c>
      <c r="B1739" s="28">
        <v>1844</v>
      </c>
      <c r="C1739" s="28" t="s">
        <v>692</v>
      </c>
      <c r="D1739" s="28"/>
      <c r="E1739" s="41">
        <v>46156</v>
      </c>
      <c r="F1739" s="47">
        <v>0.84121527777777783</v>
      </c>
      <c r="G1739" s="44">
        <v>6.3</v>
      </c>
      <c r="H1739" s="43" t="s">
        <v>1370</v>
      </c>
      <c r="I1739" s="40" t="s">
        <v>1361</v>
      </c>
    </row>
    <row r="1740" spans="1:9" x14ac:dyDescent="0.25">
      <c r="A1740" s="40" t="s">
        <v>381</v>
      </c>
      <c r="B1740" s="28">
        <v>1844</v>
      </c>
      <c r="C1740" s="28" t="s">
        <v>692</v>
      </c>
      <c r="D1740" s="28"/>
      <c r="E1740" s="41">
        <v>46156</v>
      </c>
      <c r="F1740" s="47">
        <v>0.85225694444444444</v>
      </c>
      <c r="G1740" s="44">
        <v>6.3</v>
      </c>
      <c r="H1740" s="43" t="s">
        <v>1364</v>
      </c>
      <c r="I1740" s="40" t="s">
        <v>1361</v>
      </c>
    </row>
    <row r="1741" spans="1:9" x14ac:dyDescent="0.25">
      <c r="A1741" s="40" t="s">
        <v>381</v>
      </c>
      <c r="B1741" s="28">
        <v>1844</v>
      </c>
      <c r="C1741" s="28" t="s">
        <v>35</v>
      </c>
      <c r="D1741" s="28" t="s">
        <v>38</v>
      </c>
      <c r="E1741" s="41">
        <v>46159</v>
      </c>
      <c r="F1741" s="47">
        <v>0.76473379629629634</v>
      </c>
      <c r="G1741" s="44">
        <v>6.3</v>
      </c>
      <c r="H1741" s="43" t="s">
        <v>1360</v>
      </c>
      <c r="I1741" s="40" t="s">
        <v>1365</v>
      </c>
    </row>
    <row r="1742" spans="1:9" x14ac:dyDescent="0.25">
      <c r="A1742" s="40" t="s">
        <v>381</v>
      </c>
      <c r="B1742" s="28">
        <v>1844</v>
      </c>
      <c r="C1742" s="28" t="s">
        <v>35</v>
      </c>
      <c r="D1742" s="28" t="s">
        <v>38</v>
      </c>
      <c r="E1742" s="41">
        <v>46159</v>
      </c>
      <c r="F1742" s="47">
        <v>0.77292824074074074</v>
      </c>
      <c r="G1742" s="42">
        <v>6.3</v>
      </c>
      <c r="H1742" s="40" t="s">
        <v>1368</v>
      </c>
      <c r="I1742" s="40" t="s">
        <v>1365</v>
      </c>
    </row>
    <row r="1743" spans="1:9" x14ac:dyDescent="0.25">
      <c r="A1743" s="40" t="s">
        <v>337</v>
      </c>
      <c r="B1743" s="28">
        <v>1847</v>
      </c>
      <c r="C1743" s="28" t="s">
        <v>693</v>
      </c>
      <c r="D1743" s="28"/>
      <c r="E1743" s="41">
        <v>46153</v>
      </c>
      <c r="F1743" s="47">
        <v>0.60538194444444449</v>
      </c>
      <c r="G1743" s="42">
        <v>6.3</v>
      </c>
      <c r="H1743" s="40" t="s">
        <v>1360</v>
      </c>
      <c r="I1743" s="40" t="s">
        <v>1361</v>
      </c>
    </row>
    <row r="1744" spans="1:9" x14ac:dyDescent="0.25">
      <c r="A1744" s="40" t="s">
        <v>337</v>
      </c>
      <c r="B1744" s="28">
        <v>1847</v>
      </c>
      <c r="C1744" s="28" t="s">
        <v>693</v>
      </c>
      <c r="D1744" s="28"/>
      <c r="E1744" s="41">
        <v>46153</v>
      </c>
      <c r="F1744" s="47">
        <v>0.61335648148148147</v>
      </c>
      <c r="G1744" s="44">
        <v>6.3</v>
      </c>
      <c r="H1744" s="43" t="s">
        <v>1362</v>
      </c>
      <c r="I1744" s="40" t="s">
        <v>1361</v>
      </c>
    </row>
    <row r="1745" spans="1:9" x14ac:dyDescent="0.25">
      <c r="A1745" s="40" t="s">
        <v>337</v>
      </c>
      <c r="B1745" s="28">
        <v>1847</v>
      </c>
      <c r="C1745" s="28" t="s">
        <v>694</v>
      </c>
      <c r="D1745" s="28"/>
      <c r="E1745" s="41">
        <v>46153</v>
      </c>
      <c r="F1745" s="47">
        <v>0.90439814814814812</v>
      </c>
      <c r="G1745" s="44">
        <v>6.3</v>
      </c>
      <c r="H1745" s="43" t="s">
        <v>1360</v>
      </c>
      <c r="I1745" s="40" t="s">
        <v>1361</v>
      </c>
    </row>
    <row r="1746" spans="1:9" x14ac:dyDescent="0.25">
      <c r="A1746" s="40" t="s">
        <v>337</v>
      </c>
      <c r="B1746" s="28">
        <v>1847</v>
      </c>
      <c r="C1746" s="28" t="s">
        <v>694</v>
      </c>
      <c r="D1746" s="28"/>
      <c r="E1746" s="41">
        <v>46153</v>
      </c>
      <c r="F1746" s="47">
        <v>0.91131944444444446</v>
      </c>
      <c r="G1746" s="44">
        <v>6.3</v>
      </c>
      <c r="H1746" s="43" t="s">
        <v>1362</v>
      </c>
      <c r="I1746" s="40" t="s">
        <v>1361</v>
      </c>
    </row>
    <row r="1747" spans="1:9" x14ac:dyDescent="0.25">
      <c r="A1747" s="40" t="s">
        <v>337</v>
      </c>
      <c r="B1747" s="28">
        <v>1847</v>
      </c>
      <c r="C1747" s="28">
        <v>5652870</v>
      </c>
      <c r="D1747" s="28"/>
      <c r="E1747" s="41">
        <v>46153</v>
      </c>
      <c r="F1747" s="47">
        <v>0.96207175925925925</v>
      </c>
      <c r="G1747" s="44">
        <v>6.3</v>
      </c>
      <c r="H1747" s="43" t="s">
        <v>1363</v>
      </c>
      <c r="I1747" s="40" t="s">
        <v>1361</v>
      </c>
    </row>
    <row r="1748" spans="1:9" x14ac:dyDescent="0.25">
      <c r="A1748" s="40" t="s">
        <v>337</v>
      </c>
      <c r="B1748" s="28">
        <v>1847</v>
      </c>
      <c r="C1748" s="28">
        <v>5652870</v>
      </c>
      <c r="D1748" s="28"/>
      <c r="E1748" s="41">
        <v>46153</v>
      </c>
      <c r="F1748" s="47">
        <v>0.96731481481481485</v>
      </c>
      <c r="G1748" s="44">
        <v>6.3</v>
      </c>
      <c r="H1748" s="43" t="s">
        <v>1364</v>
      </c>
      <c r="I1748" s="40" t="s">
        <v>1361</v>
      </c>
    </row>
    <row r="1749" spans="1:9" x14ac:dyDescent="0.25">
      <c r="A1749" s="40" t="s">
        <v>337</v>
      </c>
      <c r="B1749" s="28">
        <v>1847</v>
      </c>
      <c r="C1749" s="28" t="s">
        <v>695</v>
      </c>
      <c r="D1749" s="28"/>
      <c r="E1749" s="45">
        <v>46154</v>
      </c>
      <c r="F1749" s="48">
        <v>0.51451388888888894</v>
      </c>
      <c r="G1749" s="44">
        <v>6.3</v>
      </c>
      <c r="H1749" s="43" t="s">
        <v>1360</v>
      </c>
      <c r="I1749" s="40" t="s">
        <v>1361</v>
      </c>
    </row>
    <row r="1750" spans="1:9" x14ac:dyDescent="0.25">
      <c r="A1750" s="40" t="s">
        <v>337</v>
      </c>
      <c r="B1750" s="28">
        <v>1847</v>
      </c>
      <c r="C1750" s="28" t="s">
        <v>695</v>
      </c>
      <c r="D1750" s="28"/>
      <c r="E1750" s="41">
        <v>46154</v>
      </c>
      <c r="F1750" s="47">
        <v>0.52072916666666669</v>
      </c>
      <c r="G1750" s="44">
        <v>6.3</v>
      </c>
      <c r="H1750" s="43" t="s">
        <v>1366</v>
      </c>
      <c r="I1750" s="40" t="s">
        <v>1361</v>
      </c>
    </row>
    <row r="1751" spans="1:9" x14ac:dyDescent="0.25">
      <c r="A1751" s="40" t="s">
        <v>337</v>
      </c>
      <c r="B1751" s="28">
        <v>1847</v>
      </c>
      <c r="C1751" s="28" t="s">
        <v>35</v>
      </c>
      <c r="D1751" s="28" t="s">
        <v>38</v>
      </c>
      <c r="E1751" s="41">
        <v>46154</v>
      </c>
      <c r="F1751" s="47">
        <v>0.62172453703703701</v>
      </c>
      <c r="G1751" s="44">
        <v>6.3</v>
      </c>
      <c r="H1751" s="43" t="s">
        <v>1364</v>
      </c>
      <c r="I1751" s="40" t="s">
        <v>1361</v>
      </c>
    </row>
    <row r="1752" spans="1:9" x14ac:dyDescent="0.25">
      <c r="A1752" s="40" t="s">
        <v>337</v>
      </c>
      <c r="B1752" s="28">
        <v>1847</v>
      </c>
      <c r="C1752" s="28" t="s">
        <v>35</v>
      </c>
      <c r="D1752" s="28" t="s">
        <v>38</v>
      </c>
      <c r="E1752" s="41">
        <v>46154</v>
      </c>
      <c r="F1752" s="47">
        <v>0.85158564814814819</v>
      </c>
      <c r="G1752" s="44">
        <v>6.3</v>
      </c>
      <c r="H1752" s="43" t="s">
        <v>1360</v>
      </c>
      <c r="I1752" s="40" t="s">
        <v>1361</v>
      </c>
    </row>
    <row r="1753" spans="1:9" x14ac:dyDescent="0.25">
      <c r="A1753" s="40" t="s">
        <v>337</v>
      </c>
      <c r="B1753" s="28">
        <v>1847</v>
      </c>
      <c r="C1753" s="28" t="s">
        <v>35</v>
      </c>
      <c r="D1753" s="28" t="s">
        <v>38</v>
      </c>
      <c r="E1753" s="41">
        <v>46154</v>
      </c>
      <c r="F1753" s="47">
        <v>0.85957175925925922</v>
      </c>
      <c r="G1753" s="44">
        <v>6.3</v>
      </c>
      <c r="H1753" s="43" t="s">
        <v>1362</v>
      </c>
      <c r="I1753" s="40" t="s">
        <v>1361</v>
      </c>
    </row>
    <row r="1754" spans="1:9" x14ac:dyDescent="0.25">
      <c r="A1754" s="40" t="s">
        <v>337</v>
      </c>
      <c r="B1754" s="28">
        <v>1847</v>
      </c>
      <c r="C1754" s="28" t="s">
        <v>696</v>
      </c>
      <c r="D1754" s="28"/>
      <c r="E1754" s="41">
        <v>46155</v>
      </c>
      <c r="F1754" s="47">
        <v>0.5882060185185185</v>
      </c>
      <c r="G1754" s="44">
        <v>6.3</v>
      </c>
      <c r="H1754" s="43" t="s">
        <v>1360</v>
      </c>
      <c r="I1754" s="40" t="s">
        <v>1361</v>
      </c>
    </row>
    <row r="1755" spans="1:9" x14ac:dyDescent="0.25">
      <c r="A1755" s="40" t="s">
        <v>337</v>
      </c>
      <c r="B1755" s="28">
        <v>1847</v>
      </c>
      <c r="C1755" s="28" t="s">
        <v>696</v>
      </c>
      <c r="D1755" s="28"/>
      <c r="E1755" s="41">
        <v>46155</v>
      </c>
      <c r="F1755" s="47">
        <v>0.5970833333333333</v>
      </c>
      <c r="G1755" s="44">
        <v>6.3</v>
      </c>
      <c r="H1755" s="43" t="s">
        <v>1362</v>
      </c>
      <c r="I1755" s="40" t="s">
        <v>1361</v>
      </c>
    </row>
    <row r="1756" spans="1:9" x14ac:dyDescent="0.25">
      <c r="A1756" s="40" t="s">
        <v>337</v>
      </c>
      <c r="B1756" s="28">
        <v>1847</v>
      </c>
      <c r="C1756" s="28" t="s">
        <v>35</v>
      </c>
      <c r="D1756" s="28" t="s">
        <v>38</v>
      </c>
      <c r="E1756" s="41">
        <v>46155</v>
      </c>
      <c r="F1756" s="47">
        <v>0.83399305555555558</v>
      </c>
      <c r="G1756" s="44">
        <v>6.3</v>
      </c>
      <c r="H1756" s="43" t="s">
        <v>1364</v>
      </c>
      <c r="I1756" s="40" t="s">
        <v>1361</v>
      </c>
    </row>
    <row r="1757" spans="1:9" x14ac:dyDescent="0.25">
      <c r="A1757" s="40" t="s">
        <v>337</v>
      </c>
      <c r="B1757" s="28">
        <v>1847</v>
      </c>
      <c r="C1757" s="28" t="s">
        <v>697</v>
      </c>
      <c r="D1757" s="28"/>
      <c r="E1757" s="41">
        <v>46157</v>
      </c>
      <c r="F1757" s="47">
        <v>0.48813657407407407</v>
      </c>
      <c r="G1757" s="44">
        <v>6.3</v>
      </c>
      <c r="H1757" s="43" t="s">
        <v>1360</v>
      </c>
      <c r="I1757" s="40" t="s">
        <v>1361</v>
      </c>
    </row>
    <row r="1758" spans="1:9" x14ac:dyDescent="0.25">
      <c r="A1758" s="40" t="s">
        <v>337</v>
      </c>
      <c r="B1758" s="28">
        <v>1847</v>
      </c>
      <c r="C1758" s="28" t="s">
        <v>697</v>
      </c>
      <c r="D1758" s="28"/>
      <c r="E1758" s="45">
        <v>46157</v>
      </c>
      <c r="F1758" s="48">
        <v>0.49886574074074075</v>
      </c>
      <c r="G1758" s="44">
        <v>6.3</v>
      </c>
      <c r="H1758" s="43" t="s">
        <v>1362</v>
      </c>
      <c r="I1758" s="40" t="s">
        <v>1361</v>
      </c>
    </row>
    <row r="1759" spans="1:9" x14ac:dyDescent="0.25">
      <c r="A1759" s="40" t="s">
        <v>337</v>
      </c>
      <c r="B1759" s="28">
        <v>1847</v>
      </c>
      <c r="C1759" s="28" t="s">
        <v>698</v>
      </c>
      <c r="D1759" s="28"/>
      <c r="E1759" s="41">
        <v>46157</v>
      </c>
      <c r="F1759" s="47">
        <v>0.89302083333333337</v>
      </c>
      <c r="G1759" s="44">
        <v>6.3</v>
      </c>
      <c r="H1759" s="43" t="s">
        <v>1360</v>
      </c>
      <c r="I1759" s="40" t="s">
        <v>1361</v>
      </c>
    </row>
    <row r="1760" spans="1:9" x14ac:dyDescent="0.25">
      <c r="A1760" s="40" t="s">
        <v>337</v>
      </c>
      <c r="B1760" s="28">
        <v>1847</v>
      </c>
      <c r="C1760" s="28" t="s">
        <v>698</v>
      </c>
      <c r="D1760" s="28"/>
      <c r="E1760" s="41">
        <v>46157</v>
      </c>
      <c r="F1760" s="47">
        <v>0.90063657407407405</v>
      </c>
      <c r="G1760" s="44">
        <v>6.3</v>
      </c>
      <c r="H1760" s="43" t="s">
        <v>1362</v>
      </c>
      <c r="I1760" s="40" t="s">
        <v>1361</v>
      </c>
    </row>
    <row r="1761" spans="1:9" x14ac:dyDescent="0.25">
      <c r="A1761" s="40" t="s">
        <v>412</v>
      </c>
      <c r="B1761" s="28">
        <v>1868</v>
      </c>
      <c r="C1761" s="28">
        <v>5662504</v>
      </c>
      <c r="D1761" s="28"/>
      <c r="E1761" s="41">
        <v>46153</v>
      </c>
      <c r="F1761" s="47">
        <v>0.669525462962963</v>
      </c>
      <c r="G1761" s="44">
        <v>6.3</v>
      </c>
      <c r="H1761" s="43" t="s">
        <v>1364</v>
      </c>
      <c r="I1761" s="40" t="s">
        <v>1361</v>
      </c>
    </row>
    <row r="1762" spans="1:9" x14ac:dyDescent="0.25">
      <c r="A1762" s="40" t="s">
        <v>412</v>
      </c>
      <c r="B1762" s="28">
        <v>1868</v>
      </c>
      <c r="C1762" s="28">
        <v>5663511</v>
      </c>
      <c r="D1762" s="28"/>
      <c r="E1762" s="41">
        <v>46154</v>
      </c>
      <c r="F1762" s="47">
        <v>0.21248842592592593</v>
      </c>
      <c r="G1762" s="44">
        <v>6.3</v>
      </c>
      <c r="H1762" s="43" t="s">
        <v>1366</v>
      </c>
      <c r="I1762" s="40" t="s">
        <v>1361</v>
      </c>
    </row>
    <row r="1763" spans="1:9" x14ac:dyDescent="0.25">
      <c r="A1763" s="40" t="s">
        <v>412</v>
      </c>
      <c r="B1763" s="28">
        <v>1868</v>
      </c>
      <c r="C1763" s="28" t="s">
        <v>35</v>
      </c>
      <c r="D1763" s="28" t="s">
        <v>38</v>
      </c>
      <c r="E1763" s="41">
        <v>46154</v>
      </c>
      <c r="F1763" s="47">
        <v>0.41324074074074074</v>
      </c>
      <c r="G1763" s="44">
        <v>6.3</v>
      </c>
      <c r="H1763" s="43" t="s">
        <v>1362</v>
      </c>
      <c r="I1763" s="40" t="s">
        <v>1361</v>
      </c>
    </row>
    <row r="1764" spans="1:9" x14ac:dyDescent="0.25">
      <c r="A1764" s="40" t="s">
        <v>412</v>
      </c>
      <c r="B1764" s="28">
        <v>1868</v>
      </c>
      <c r="C1764" s="28">
        <v>5664463</v>
      </c>
      <c r="D1764" s="28" t="s">
        <v>36</v>
      </c>
      <c r="E1764" s="45">
        <v>46154</v>
      </c>
      <c r="F1764" s="48">
        <v>0.47175925925925927</v>
      </c>
      <c r="G1764" s="44">
        <v>6.3</v>
      </c>
      <c r="H1764" s="43" t="s">
        <v>1363</v>
      </c>
      <c r="I1764" s="40" t="s">
        <v>1361</v>
      </c>
    </row>
    <row r="1765" spans="1:9" x14ac:dyDescent="0.25">
      <c r="A1765" s="40" t="s">
        <v>412</v>
      </c>
      <c r="B1765" s="28">
        <v>1868</v>
      </c>
      <c r="C1765" s="28">
        <v>5664989</v>
      </c>
      <c r="D1765" s="28"/>
      <c r="E1765" s="41">
        <v>46154</v>
      </c>
      <c r="F1765" s="47">
        <v>0.77121527777777776</v>
      </c>
      <c r="G1765" s="44">
        <v>6.3</v>
      </c>
      <c r="H1765" s="43" t="s">
        <v>1364</v>
      </c>
      <c r="I1765" s="40" t="s">
        <v>1361</v>
      </c>
    </row>
    <row r="1766" spans="1:9" x14ac:dyDescent="0.25">
      <c r="A1766" s="40" t="s">
        <v>412</v>
      </c>
      <c r="B1766" s="28">
        <v>1868</v>
      </c>
      <c r="C1766" s="28">
        <v>5671400</v>
      </c>
      <c r="D1766" s="28"/>
      <c r="E1766" s="41">
        <v>46158</v>
      </c>
      <c r="F1766" s="47">
        <v>0.61781249999999999</v>
      </c>
      <c r="G1766" s="44">
        <v>6.3</v>
      </c>
      <c r="H1766" s="43" t="s">
        <v>1360</v>
      </c>
      <c r="I1766" s="40" t="s">
        <v>1365</v>
      </c>
    </row>
    <row r="1767" spans="1:9" x14ac:dyDescent="0.25">
      <c r="A1767" s="40" t="s">
        <v>412</v>
      </c>
      <c r="B1767" s="28">
        <v>1868</v>
      </c>
      <c r="C1767" s="28">
        <v>5671400</v>
      </c>
      <c r="D1767" s="28"/>
      <c r="E1767" s="45">
        <v>46158</v>
      </c>
      <c r="F1767" s="48">
        <v>0.63070601851851849</v>
      </c>
      <c r="G1767" s="44">
        <v>6.3</v>
      </c>
      <c r="H1767" s="43" t="s">
        <v>1368</v>
      </c>
      <c r="I1767" s="40" t="s">
        <v>1365</v>
      </c>
    </row>
    <row r="1768" spans="1:9" x14ac:dyDescent="0.25">
      <c r="A1768" s="40" t="s">
        <v>412</v>
      </c>
      <c r="B1768" s="28">
        <v>1868</v>
      </c>
      <c r="C1768" s="28">
        <v>5671401</v>
      </c>
      <c r="D1768" s="28"/>
      <c r="E1768" s="45">
        <v>46158</v>
      </c>
      <c r="F1768" s="48">
        <v>0.65722222222222226</v>
      </c>
      <c r="G1768" s="44">
        <v>6.3</v>
      </c>
      <c r="H1768" s="43" t="s">
        <v>1370</v>
      </c>
      <c r="I1768" s="40" t="s">
        <v>1365</v>
      </c>
    </row>
    <row r="1769" spans="1:9" x14ac:dyDescent="0.25">
      <c r="A1769" s="40" t="s">
        <v>412</v>
      </c>
      <c r="B1769" s="28">
        <v>1868</v>
      </c>
      <c r="C1769" s="28">
        <v>5671401</v>
      </c>
      <c r="D1769" s="28"/>
      <c r="E1769" s="41">
        <v>46158</v>
      </c>
      <c r="F1769" s="47">
        <v>0.66724537037037035</v>
      </c>
      <c r="G1769" s="44">
        <v>6.3</v>
      </c>
      <c r="H1769" s="43" t="s">
        <v>1364</v>
      </c>
      <c r="I1769" s="40" t="s">
        <v>1365</v>
      </c>
    </row>
    <row r="1770" spans="1:9" x14ac:dyDescent="0.25">
      <c r="A1770" s="40" t="s">
        <v>413</v>
      </c>
      <c r="B1770" s="28">
        <v>1874</v>
      </c>
      <c r="C1770" s="28" t="s">
        <v>699</v>
      </c>
      <c r="D1770" s="28"/>
      <c r="E1770" s="41">
        <v>46153</v>
      </c>
      <c r="F1770" s="47">
        <v>0.17939814814814814</v>
      </c>
      <c r="G1770" s="44">
        <v>6.3</v>
      </c>
      <c r="H1770" s="43" t="s">
        <v>1363</v>
      </c>
      <c r="I1770" s="40" t="s">
        <v>1361</v>
      </c>
    </row>
    <row r="1771" spans="1:9" x14ac:dyDescent="0.25">
      <c r="A1771" s="40" t="s">
        <v>413</v>
      </c>
      <c r="B1771" s="28">
        <v>1874</v>
      </c>
      <c r="C1771" s="28" t="s">
        <v>699</v>
      </c>
      <c r="D1771" s="28"/>
      <c r="E1771" s="41">
        <v>46153</v>
      </c>
      <c r="F1771" s="47">
        <v>0.18436342592592592</v>
      </c>
      <c r="G1771" s="44">
        <v>6.3</v>
      </c>
      <c r="H1771" s="43" t="s">
        <v>1364</v>
      </c>
      <c r="I1771" s="40" t="s">
        <v>1361</v>
      </c>
    </row>
    <row r="1772" spans="1:9" x14ac:dyDescent="0.25">
      <c r="A1772" s="40" t="s">
        <v>413</v>
      </c>
      <c r="B1772" s="28">
        <v>1874</v>
      </c>
      <c r="C1772" s="28" t="s">
        <v>700</v>
      </c>
      <c r="D1772" s="28"/>
      <c r="E1772" s="41">
        <v>46153</v>
      </c>
      <c r="F1772" s="47">
        <v>0.49767361111111114</v>
      </c>
      <c r="G1772" s="44">
        <v>6.3</v>
      </c>
      <c r="H1772" s="43" t="s">
        <v>1360</v>
      </c>
      <c r="I1772" s="40" t="s">
        <v>1361</v>
      </c>
    </row>
    <row r="1773" spans="1:9" x14ac:dyDescent="0.25">
      <c r="A1773" s="40" t="s">
        <v>413</v>
      </c>
      <c r="B1773" s="28">
        <v>1874</v>
      </c>
      <c r="C1773" s="28" t="s">
        <v>700</v>
      </c>
      <c r="D1773" s="28"/>
      <c r="E1773" s="41">
        <v>46153</v>
      </c>
      <c r="F1773" s="47">
        <v>0.50773148148148151</v>
      </c>
      <c r="G1773" s="44">
        <v>6.3</v>
      </c>
      <c r="H1773" s="43" t="s">
        <v>1362</v>
      </c>
      <c r="I1773" s="40" t="s">
        <v>1361</v>
      </c>
    </row>
    <row r="1774" spans="1:9" x14ac:dyDescent="0.25">
      <c r="A1774" s="40" t="s">
        <v>413</v>
      </c>
      <c r="B1774" s="28">
        <v>1874</v>
      </c>
      <c r="C1774" s="28" t="s">
        <v>701</v>
      </c>
      <c r="D1774" s="28"/>
      <c r="E1774" s="45">
        <v>46153</v>
      </c>
      <c r="F1774" s="48">
        <v>0.54719907407407409</v>
      </c>
      <c r="G1774" s="44">
        <v>6.3</v>
      </c>
      <c r="H1774" s="43" t="s">
        <v>1369</v>
      </c>
      <c r="I1774" s="40" t="s">
        <v>1361</v>
      </c>
    </row>
    <row r="1775" spans="1:9" x14ac:dyDescent="0.25">
      <c r="A1775" s="40" t="s">
        <v>413</v>
      </c>
      <c r="B1775" s="28">
        <v>1874</v>
      </c>
      <c r="C1775" s="28" t="s">
        <v>701</v>
      </c>
      <c r="D1775" s="28"/>
      <c r="E1775" s="41">
        <v>46153</v>
      </c>
      <c r="F1775" s="47">
        <v>0.55234953703703704</v>
      </c>
      <c r="G1775" s="44">
        <v>6.3</v>
      </c>
      <c r="H1775" s="43" t="s">
        <v>1364</v>
      </c>
      <c r="I1775" s="40" t="s">
        <v>1361</v>
      </c>
    </row>
    <row r="1776" spans="1:9" x14ac:dyDescent="0.25">
      <c r="A1776" s="40" t="s">
        <v>413</v>
      </c>
      <c r="B1776" s="28">
        <v>1874</v>
      </c>
      <c r="C1776" s="28" t="s">
        <v>702</v>
      </c>
      <c r="D1776" s="28"/>
      <c r="E1776" s="41">
        <v>46153</v>
      </c>
      <c r="F1776" s="47">
        <v>0.65710648148148143</v>
      </c>
      <c r="G1776" s="44">
        <v>6.3</v>
      </c>
      <c r="H1776" s="43" t="s">
        <v>1360</v>
      </c>
      <c r="I1776" s="40" t="s">
        <v>1361</v>
      </c>
    </row>
    <row r="1777" spans="1:9" x14ac:dyDescent="0.25">
      <c r="A1777" s="40" t="s">
        <v>413</v>
      </c>
      <c r="B1777" s="28">
        <v>1874</v>
      </c>
      <c r="C1777" s="28" t="s">
        <v>703</v>
      </c>
      <c r="D1777" s="28"/>
      <c r="E1777" s="45">
        <v>46154</v>
      </c>
      <c r="F1777" s="48">
        <v>0.31033564814814812</v>
      </c>
      <c r="G1777" s="44">
        <v>6.3</v>
      </c>
      <c r="H1777" s="43" t="s">
        <v>1364</v>
      </c>
      <c r="I1777" s="40" t="s">
        <v>1361</v>
      </c>
    </row>
    <row r="1778" spans="1:9" x14ac:dyDescent="0.25">
      <c r="A1778" s="40" t="s">
        <v>413</v>
      </c>
      <c r="B1778" s="28">
        <v>1874</v>
      </c>
      <c r="C1778" s="28" t="s">
        <v>704</v>
      </c>
      <c r="D1778" s="28"/>
      <c r="E1778" s="45">
        <v>46155</v>
      </c>
      <c r="F1778" s="48">
        <v>0.24020833333333333</v>
      </c>
      <c r="G1778" s="44">
        <v>6.3</v>
      </c>
      <c r="H1778" s="43" t="s">
        <v>1360</v>
      </c>
      <c r="I1778" s="40" t="s">
        <v>1361</v>
      </c>
    </row>
    <row r="1779" spans="1:9" x14ac:dyDescent="0.25">
      <c r="A1779" s="40" t="s">
        <v>413</v>
      </c>
      <c r="B1779" s="28">
        <v>1874</v>
      </c>
      <c r="C1779" s="28" t="s">
        <v>705</v>
      </c>
      <c r="D1779" s="28"/>
      <c r="E1779" s="41">
        <v>46155</v>
      </c>
      <c r="F1779" s="47">
        <v>0.30180555555555555</v>
      </c>
      <c r="G1779" s="44">
        <v>6.3</v>
      </c>
      <c r="H1779" s="43" t="s">
        <v>1364</v>
      </c>
      <c r="I1779" s="40" t="s">
        <v>1361</v>
      </c>
    </row>
    <row r="1780" spans="1:9" x14ac:dyDescent="0.25">
      <c r="A1780" s="40" t="s">
        <v>413</v>
      </c>
      <c r="B1780" s="28">
        <v>1874</v>
      </c>
      <c r="C1780" s="28" t="s">
        <v>706</v>
      </c>
      <c r="D1780" s="28"/>
      <c r="E1780" s="41">
        <v>46155</v>
      </c>
      <c r="F1780" s="47">
        <v>0.78800925925925924</v>
      </c>
      <c r="G1780" s="44">
        <v>6.3</v>
      </c>
      <c r="H1780" s="43" t="s">
        <v>1363</v>
      </c>
      <c r="I1780" s="40" t="s">
        <v>1361</v>
      </c>
    </row>
    <row r="1781" spans="1:9" x14ac:dyDescent="0.25">
      <c r="A1781" s="40" t="s">
        <v>413</v>
      </c>
      <c r="B1781" s="28">
        <v>1874</v>
      </c>
      <c r="C1781" s="28" t="s">
        <v>706</v>
      </c>
      <c r="D1781" s="28"/>
      <c r="E1781" s="41">
        <v>46155</v>
      </c>
      <c r="F1781" s="47">
        <v>0.8078819444444445</v>
      </c>
      <c r="G1781" s="44">
        <v>6.3</v>
      </c>
      <c r="H1781" s="43" t="s">
        <v>1364</v>
      </c>
      <c r="I1781" s="40" t="s">
        <v>1361</v>
      </c>
    </row>
    <row r="1782" spans="1:9" x14ac:dyDescent="0.25">
      <c r="A1782" s="40" t="s">
        <v>413</v>
      </c>
      <c r="B1782" s="28">
        <v>1874</v>
      </c>
      <c r="C1782" s="28">
        <v>5668516</v>
      </c>
      <c r="D1782" s="28"/>
      <c r="E1782" s="41">
        <v>46157</v>
      </c>
      <c r="F1782" s="47">
        <v>0.64908564814814818</v>
      </c>
      <c r="G1782" s="44">
        <v>6.3</v>
      </c>
      <c r="H1782" s="43" t="s">
        <v>1360</v>
      </c>
      <c r="I1782" s="40" t="s">
        <v>1361</v>
      </c>
    </row>
    <row r="1783" spans="1:9" x14ac:dyDescent="0.25">
      <c r="A1783" s="40" t="s">
        <v>413</v>
      </c>
      <c r="B1783" s="28">
        <v>1874</v>
      </c>
      <c r="C1783" s="28">
        <v>5668516</v>
      </c>
      <c r="D1783" s="28"/>
      <c r="E1783" s="41">
        <v>46157</v>
      </c>
      <c r="F1783" s="47">
        <v>0.66256944444444443</v>
      </c>
      <c r="G1783" s="44">
        <v>6.3</v>
      </c>
      <c r="H1783" s="43" t="s">
        <v>1362</v>
      </c>
      <c r="I1783" s="40" t="s">
        <v>1361</v>
      </c>
    </row>
    <row r="1784" spans="1:9" x14ac:dyDescent="0.25">
      <c r="A1784" s="40" t="s">
        <v>413</v>
      </c>
      <c r="B1784" s="28">
        <v>1874</v>
      </c>
      <c r="C1784" s="28" t="s">
        <v>707</v>
      </c>
      <c r="D1784" s="28"/>
      <c r="E1784" s="41">
        <v>46158</v>
      </c>
      <c r="F1784" s="47">
        <v>0.15487268518518518</v>
      </c>
      <c r="G1784" s="44">
        <v>6.3</v>
      </c>
      <c r="H1784" s="43" t="s">
        <v>1363</v>
      </c>
      <c r="I1784" s="40" t="s">
        <v>1365</v>
      </c>
    </row>
    <row r="1785" spans="1:9" x14ac:dyDescent="0.25">
      <c r="A1785" s="40" t="s">
        <v>413</v>
      </c>
      <c r="B1785" s="28">
        <v>1874</v>
      </c>
      <c r="C1785" s="28" t="s">
        <v>707</v>
      </c>
      <c r="D1785" s="28"/>
      <c r="E1785" s="41">
        <v>46158</v>
      </c>
      <c r="F1785" s="47">
        <v>0.16030092592592593</v>
      </c>
      <c r="G1785" s="44">
        <v>6.3</v>
      </c>
      <c r="H1785" s="43" t="s">
        <v>1364</v>
      </c>
      <c r="I1785" s="40" t="s">
        <v>1365</v>
      </c>
    </row>
    <row r="1786" spans="1:9" x14ac:dyDescent="0.25">
      <c r="A1786" s="40" t="s">
        <v>413</v>
      </c>
      <c r="B1786" s="28">
        <v>1874</v>
      </c>
      <c r="C1786" s="28" t="s">
        <v>708</v>
      </c>
      <c r="D1786" s="28"/>
      <c r="E1786" s="41">
        <v>46158</v>
      </c>
      <c r="F1786" s="47">
        <v>0.24086805555555554</v>
      </c>
      <c r="G1786" s="44">
        <v>6.3</v>
      </c>
      <c r="H1786" s="43" t="s">
        <v>1360</v>
      </c>
      <c r="I1786" s="40" t="s">
        <v>1365</v>
      </c>
    </row>
    <row r="1787" spans="1:9" x14ac:dyDescent="0.25">
      <c r="A1787" s="40" t="s">
        <v>413</v>
      </c>
      <c r="B1787" s="28">
        <v>1874</v>
      </c>
      <c r="C1787" s="28" t="s">
        <v>708</v>
      </c>
      <c r="D1787" s="28"/>
      <c r="E1787" s="41">
        <v>46158</v>
      </c>
      <c r="F1787" s="47">
        <v>0.2503009259259259</v>
      </c>
      <c r="G1787" s="42">
        <v>6.3</v>
      </c>
      <c r="H1787" s="40" t="s">
        <v>1362</v>
      </c>
      <c r="I1787" s="40" t="s">
        <v>1365</v>
      </c>
    </row>
    <row r="1788" spans="1:9" x14ac:dyDescent="0.25">
      <c r="A1788" s="40" t="s">
        <v>413</v>
      </c>
      <c r="B1788" s="28">
        <v>1874</v>
      </c>
      <c r="C1788" s="28" t="s">
        <v>709</v>
      </c>
      <c r="D1788" s="28"/>
      <c r="E1788" s="41">
        <v>46158</v>
      </c>
      <c r="F1788" s="47">
        <v>0.35583333333333333</v>
      </c>
      <c r="G1788" s="42">
        <v>6.3</v>
      </c>
      <c r="H1788" s="40" t="s">
        <v>1363</v>
      </c>
      <c r="I1788" s="40" t="s">
        <v>1365</v>
      </c>
    </row>
    <row r="1789" spans="1:9" x14ac:dyDescent="0.25">
      <c r="A1789" s="40" t="s">
        <v>413</v>
      </c>
      <c r="B1789" s="28">
        <v>1874</v>
      </c>
      <c r="C1789" s="28" t="s">
        <v>709</v>
      </c>
      <c r="D1789" s="28"/>
      <c r="E1789" s="41">
        <v>46158</v>
      </c>
      <c r="F1789" s="47">
        <v>0.36233796296296295</v>
      </c>
      <c r="G1789" s="44">
        <v>6.3</v>
      </c>
      <c r="H1789" s="43" t="s">
        <v>1364</v>
      </c>
      <c r="I1789" s="40" t="s">
        <v>1365</v>
      </c>
    </row>
    <row r="1790" spans="1:9" x14ac:dyDescent="0.25">
      <c r="A1790" s="40" t="s">
        <v>249</v>
      </c>
      <c r="B1790" s="28">
        <v>1875</v>
      </c>
      <c r="C1790" s="28">
        <v>10638170</v>
      </c>
      <c r="D1790" s="28"/>
      <c r="E1790" s="41">
        <v>46153</v>
      </c>
      <c r="F1790" s="47">
        <v>0.69655092592592593</v>
      </c>
      <c r="G1790" s="44">
        <v>6.3</v>
      </c>
      <c r="H1790" s="43" t="s">
        <v>1363</v>
      </c>
      <c r="I1790" s="40" t="s">
        <v>1361</v>
      </c>
    </row>
    <row r="1791" spans="1:9" x14ac:dyDescent="0.25">
      <c r="A1791" s="40" t="s">
        <v>249</v>
      </c>
      <c r="B1791" s="28">
        <v>1875</v>
      </c>
      <c r="C1791" s="28">
        <v>10638170</v>
      </c>
      <c r="D1791" s="28"/>
      <c r="E1791" s="41">
        <v>46153</v>
      </c>
      <c r="F1791" s="47">
        <v>0.70378472222222221</v>
      </c>
      <c r="G1791" s="44">
        <v>6.3</v>
      </c>
      <c r="H1791" s="43" t="s">
        <v>1364</v>
      </c>
      <c r="I1791" s="40" t="s">
        <v>1361</v>
      </c>
    </row>
    <row r="1792" spans="1:9" x14ac:dyDescent="0.25">
      <c r="A1792" s="40" t="s">
        <v>249</v>
      </c>
      <c r="B1792" s="28">
        <v>1875</v>
      </c>
      <c r="C1792" s="28" t="s">
        <v>35</v>
      </c>
      <c r="D1792" s="28" t="s">
        <v>38</v>
      </c>
      <c r="E1792" s="41">
        <v>46154</v>
      </c>
      <c r="F1792" s="47">
        <v>0.46094907407407409</v>
      </c>
      <c r="G1792" s="44">
        <v>6.3</v>
      </c>
      <c r="H1792" s="43" t="s">
        <v>1366</v>
      </c>
      <c r="I1792" s="40" t="s">
        <v>1361</v>
      </c>
    </row>
    <row r="1793" spans="1:9" x14ac:dyDescent="0.25">
      <c r="A1793" s="40" t="s">
        <v>257</v>
      </c>
      <c r="B1793" s="28">
        <v>1878</v>
      </c>
      <c r="C1793" s="28" t="s">
        <v>35</v>
      </c>
      <c r="D1793" s="28" t="s">
        <v>38</v>
      </c>
      <c r="E1793" s="41">
        <v>46153</v>
      </c>
      <c r="F1793" s="47">
        <v>0.22957175925925927</v>
      </c>
      <c r="G1793" s="44">
        <v>6.3</v>
      </c>
      <c r="H1793" s="43" t="s">
        <v>1370</v>
      </c>
      <c r="I1793" s="40" t="s">
        <v>1361</v>
      </c>
    </row>
    <row r="1794" spans="1:9" x14ac:dyDescent="0.25">
      <c r="A1794" s="40" t="s">
        <v>257</v>
      </c>
      <c r="B1794" s="28">
        <v>1878</v>
      </c>
      <c r="C1794" s="28" t="s">
        <v>35</v>
      </c>
      <c r="D1794" s="28" t="s">
        <v>38</v>
      </c>
      <c r="E1794" s="41">
        <v>46153</v>
      </c>
      <c r="F1794" s="47">
        <v>0.23473379629629629</v>
      </c>
      <c r="G1794" s="44">
        <v>6.3</v>
      </c>
      <c r="H1794" s="43" t="s">
        <v>1364</v>
      </c>
      <c r="I1794" s="40" t="s">
        <v>1361</v>
      </c>
    </row>
    <row r="1795" spans="1:9" x14ac:dyDescent="0.25">
      <c r="A1795" s="40" t="s">
        <v>257</v>
      </c>
      <c r="B1795" s="28">
        <v>1878</v>
      </c>
      <c r="C1795" s="28">
        <v>5662753</v>
      </c>
      <c r="D1795" s="28"/>
      <c r="E1795" s="41">
        <v>46153</v>
      </c>
      <c r="F1795" s="47">
        <v>0.52020833333333338</v>
      </c>
      <c r="G1795" s="44">
        <v>6.3</v>
      </c>
      <c r="H1795" s="43" t="s">
        <v>1360</v>
      </c>
      <c r="I1795" s="40" t="s">
        <v>1361</v>
      </c>
    </row>
    <row r="1796" spans="1:9" x14ac:dyDescent="0.25">
      <c r="A1796" s="40" t="s">
        <v>257</v>
      </c>
      <c r="B1796" s="28">
        <v>1878</v>
      </c>
      <c r="C1796" s="28">
        <v>5662753</v>
      </c>
      <c r="D1796" s="28"/>
      <c r="E1796" s="45">
        <v>46153</v>
      </c>
      <c r="F1796" s="48">
        <v>0.53187499999999999</v>
      </c>
      <c r="G1796" s="44">
        <v>6.3</v>
      </c>
      <c r="H1796" s="43" t="s">
        <v>1362</v>
      </c>
      <c r="I1796" s="40" t="s">
        <v>1361</v>
      </c>
    </row>
    <row r="1797" spans="1:9" x14ac:dyDescent="0.25">
      <c r="A1797" s="40" t="s">
        <v>257</v>
      </c>
      <c r="B1797" s="28">
        <v>1878</v>
      </c>
      <c r="C1797" s="28">
        <v>5662563</v>
      </c>
      <c r="D1797" s="28"/>
      <c r="E1797" s="41">
        <v>46153</v>
      </c>
      <c r="F1797" s="47">
        <v>0.83958333333333335</v>
      </c>
      <c r="G1797" s="44">
        <v>6.3</v>
      </c>
      <c r="H1797" s="43" t="s">
        <v>1364</v>
      </c>
      <c r="I1797" s="40" t="s">
        <v>1361</v>
      </c>
    </row>
    <row r="1798" spans="1:9" x14ac:dyDescent="0.25">
      <c r="A1798" s="40" t="s">
        <v>257</v>
      </c>
      <c r="B1798" s="28">
        <v>1878</v>
      </c>
      <c r="C1798" s="28" t="s">
        <v>35</v>
      </c>
      <c r="D1798" s="28" t="s">
        <v>38</v>
      </c>
      <c r="E1798" s="41">
        <v>46154</v>
      </c>
      <c r="F1798" s="47">
        <v>0.47641203703703705</v>
      </c>
      <c r="G1798" s="44">
        <v>6.3</v>
      </c>
      <c r="H1798" s="43" t="s">
        <v>1364</v>
      </c>
      <c r="I1798" s="40" t="s">
        <v>1361</v>
      </c>
    </row>
    <row r="1799" spans="1:9" x14ac:dyDescent="0.25">
      <c r="A1799" s="40" t="s">
        <v>257</v>
      </c>
      <c r="B1799" s="28">
        <v>1878</v>
      </c>
      <c r="C1799" s="28">
        <v>5665647</v>
      </c>
      <c r="D1799" s="28"/>
      <c r="E1799" s="41">
        <v>46155</v>
      </c>
      <c r="F1799" s="47">
        <v>0.43167824074074074</v>
      </c>
      <c r="G1799" s="44">
        <v>6.3</v>
      </c>
      <c r="H1799" s="43" t="s">
        <v>1360</v>
      </c>
      <c r="I1799" s="40" t="s">
        <v>1361</v>
      </c>
    </row>
    <row r="1800" spans="1:9" x14ac:dyDescent="0.25">
      <c r="A1800" s="40" t="s">
        <v>257</v>
      </c>
      <c r="B1800" s="28">
        <v>1878</v>
      </c>
      <c r="C1800" s="28" t="s">
        <v>35</v>
      </c>
      <c r="D1800" s="28" t="s">
        <v>38</v>
      </c>
      <c r="E1800" s="41">
        <v>46155</v>
      </c>
      <c r="F1800" s="47">
        <v>0.51731481481481478</v>
      </c>
      <c r="G1800" s="44">
        <v>6.3</v>
      </c>
      <c r="H1800" s="43" t="s">
        <v>1370</v>
      </c>
      <c r="I1800" s="40" t="s">
        <v>1361</v>
      </c>
    </row>
    <row r="1801" spans="1:9" x14ac:dyDescent="0.25">
      <c r="A1801" s="40" t="s">
        <v>257</v>
      </c>
      <c r="B1801" s="28">
        <v>1878</v>
      </c>
      <c r="C1801" s="28" t="s">
        <v>35</v>
      </c>
      <c r="D1801" s="28" t="s">
        <v>38</v>
      </c>
      <c r="E1801" s="41">
        <v>46155</v>
      </c>
      <c r="F1801" s="47">
        <v>0.52391203703703704</v>
      </c>
      <c r="G1801" s="44">
        <v>6.3</v>
      </c>
      <c r="H1801" s="43" t="s">
        <v>1364</v>
      </c>
      <c r="I1801" s="40" t="s">
        <v>1361</v>
      </c>
    </row>
    <row r="1802" spans="1:9" x14ac:dyDescent="0.25">
      <c r="A1802" s="40" t="s">
        <v>257</v>
      </c>
      <c r="B1802" s="28">
        <v>1878</v>
      </c>
      <c r="C1802" s="28" t="s">
        <v>710</v>
      </c>
      <c r="D1802" s="28"/>
      <c r="E1802" s="41">
        <v>46155</v>
      </c>
      <c r="F1802" s="47">
        <v>0.65134259259259264</v>
      </c>
      <c r="G1802" s="44">
        <v>6.3</v>
      </c>
      <c r="H1802" s="43" t="s">
        <v>1360</v>
      </c>
      <c r="I1802" s="40" t="s">
        <v>1361</v>
      </c>
    </row>
    <row r="1803" spans="1:9" x14ac:dyDescent="0.25">
      <c r="A1803" s="40" t="s">
        <v>257</v>
      </c>
      <c r="B1803" s="28">
        <v>1878</v>
      </c>
      <c r="C1803" s="28" t="s">
        <v>710</v>
      </c>
      <c r="D1803" s="28"/>
      <c r="E1803" s="41">
        <v>46155</v>
      </c>
      <c r="F1803" s="47">
        <v>0.65959490740740745</v>
      </c>
      <c r="G1803" s="44">
        <v>6.3</v>
      </c>
      <c r="H1803" s="43" t="s">
        <v>1362</v>
      </c>
      <c r="I1803" s="40" t="s">
        <v>1361</v>
      </c>
    </row>
    <row r="1804" spans="1:9" x14ac:dyDescent="0.25">
      <c r="A1804" s="40" t="s">
        <v>257</v>
      </c>
      <c r="B1804" s="28">
        <v>1878</v>
      </c>
      <c r="C1804" s="28" t="s">
        <v>35</v>
      </c>
      <c r="D1804" s="28" t="s">
        <v>38</v>
      </c>
      <c r="E1804" s="45">
        <v>46155</v>
      </c>
      <c r="F1804" s="48">
        <v>0.68608796296296293</v>
      </c>
      <c r="G1804" s="44">
        <v>6.3</v>
      </c>
      <c r="H1804" s="43" t="s">
        <v>1363</v>
      </c>
      <c r="I1804" s="40" t="s">
        <v>1361</v>
      </c>
    </row>
    <row r="1805" spans="1:9" x14ac:dyDescent="0.25">
      <c r="A1805" s="40" t="s">
        <v>257</v>
      </c>
      <c r="B1805" s="28">
        <v>1878</v>
      </c>
      <c r="C1805" s="28" t="s">
        <v>35</v>
      </c>
      <c r="D1805" s="28" t="s">
        <v>38</v>
      </c>
      <c r="E1805" s="41">
        <v>46156</v>
      </c>
      <c r="F1805" s="47">
        <v>0.59186342592592589</v>
      </c>
      <c r="G1805" s="44">
        <v>6.3</v>
      </c>
      <c r="H1805" s="43" t="s">
        <v>1363</v>
      </c>
      <c r="I1805" s="40" t="s">
        <v>1361</v>
      </c>
    </row>
    <row r="1806" spans="1:9" x14ac:dyDescent="0.25">
      <c r="A1806" s="40" t="s">
        <v>257</v>
      </c>
      <c r="B1806" s="28">
        <v>1878</v>
      </c>
      <c r="C1806" s="28" t="s">
        <v>35</v>
      </c>
      <c r="D1806" s="28" t="s">
        <v>38</v>
      </c>
      <c r="E1806" s="41">
        <v>46156</v>
      </c>
      <c r="F1806" s="47">
        <v>0.59766203703703702</v>
      </c>
      <c r="G1806" s="44">
        <v>6.3</v>
      </c>
      <c r="H1806" s="43" t="s">
        <v>1364</v>
      </c>
      <c r="I1806" s="40" t="s">
        <v>1361</v>
      </c>
    </row>
    <row r="1807" spans="1:9" x14ac:dyDescent="0.25">
      <c r="A1807" s="40" t="s">
        <v>257</v>
      </c>
      <c r="B1807" s="28">
        <v>1878</v>
      </c>
      <c r="C1807" s="28" t="s">
        <v>35</v>
      </c>
      <c r="D1807" s="28" t="s">
        <v>38</v>
      </c>
      <c r="E1807" s="41">
        <v>46157</v>
      </c>
      <c r="F1807" s="47">
        <v>1.755787037037037E-2</v>
      </c>
      <c r="G1807" s="44">
        <v>6.3</v>
      </c>
      <c r="H1807" s="43" t="s">
        <v>1360</v>
      </c>
      <c r="I1807" s="40" t="s">
        <v>1361</v>
      </c>
    </row>
    <row r="1808" spans="1:9" x14ac:dyDescent="0.25">
      <c r="A1808" s="40" t="s">
        <v>257</v>
      </c>
      <c r="B1808" s="28">
        <v>1878</v>
      </c>
      <c r="C1808" s="28" t="s">
        <v>35</v>
      </c>
      <c r="D1808" s="28" t="s">
        <v>38</v>
      </c>
      <c r="E1808" s="41">
        <v>46157</v>
      </c>
      <c r="F1808" s="47">
        <v>0.15563657407407408</v>
      </c>
      <c r="G1808" s="44">
        <v>6.3</v>
      </c>
      <c r="H1808" s="43" t="s">
        <v>1369</v>
      </c>
      <c r="I1808" s="40" t="s">
        <v>1361</v>
      </c>
    </row>
    <row r="1809" spans="1:9" x14ac:dyDescent="0.25">
      <c r="A1809" s="40" t="s">
        <v>257</v>
      </c>
      <c r="B1809" s="28">
        <v>1878</v>
      </c>
      <c r="C1809" s="28" t="s">
        <v>35</v>
      </c>
      <c r="D1809" s="28" t="s">
        <v>38</v>
      </c>
      <c r="E1809" s="41">
        <v>46157</v>
      </c>
      <c r="F1809" s="47">
        <v>0.16016203703703705</v>
      </c>
      <c r="G1809" s="44">
        <v>6.3</v>
      </c>
      <c r="H1809" s="43" t="s">
        <v>1364</v>
      </c>
      <c r="I1809" s="40" t="s">
        <v>1361</v>
      </c>
    </row>
    <row r="1810" spans="1:9" x14ac:dyDescent="0.25">
      <c r="A1810" s="40" t="s">
        <v>257</v>
      </c>
      <c r="B1810" s="28">
        <v>1878</v>
      </c>
      <c r="C1810" s="28" t="s">
        <v>35</v>
      </c>
      <c r="D1810" s="28" t="s">
        <v>38</v>
      </c>
      <c r="E1810" s="41">
        <v>46157</v>
      </c>
      <c r="F1810" s="47">
        <v>0.23349537037037038</v>
      </c>
      <c r="G1810" s="44">
        <v>6.3</v>
      </c>
      <c r="H1810" s="43" t="s">
        <v>1363</v>
      </c>
      <c r="I1810" s="40" t="s">
        <v>1361</v>
      </c>
    </row>
    <row r="1811" spans="1:9" x14ac:dyDescent="0.25">
      <c r="A1811" s="40" t="s">
        <v>257</v>
      </c>
      <c r="B1811" s="28">
        <v>1878</v>
      </c>
      <c r="C1811" s="28" t="s">
        <v>35</v>
      </c>
      <c r="D1811" s="28" t="s">
        <v>38</v>
      </c>
      <c r="E1811" s="41">
        <v>46157</v>
      </c>
      <c r="F1811" s="47">
        <v>0.43193287037037037</v>
      </c>
      <c r="G1811" s="44">
        <v>6.3</v>
      </c>
      <c r="H1811" s="43" t="s">
        <v>1362</v>
      </c>
      <c r="I1811" s="40" t="s">
        <v>1361</v>
      </c>
    </row>
    <row r="1812" spans="1:9" x14ac:dyDescent="0.25">
      <c r="A1812" s="40" t="s">
        <v>257</v>
      </c>
      <c r="B1812" s="28">
        <v>1878</v>
      </c>
      <c r="C1812" s="28" t="s">
        <v>35</v>
      </c>
      <c r="D1812" s="28" t="s">
        <v>38</v>
      </c>
      <c r="E1812" s="41">
        <v>46157</v>
      </c>
      <c r="F1812" s="47">
        <v>0.6300810185185185</v>
      </c>
      <c r="G1812" s="44">
        <v>6.3</v>
      </c>
      <c r="H1812" s="43" t="s">
        <v>1364</v>
      </c>
      <c r="I1812" s="40" t="s">
        <v>1361</v>
      </c>
    </row>
    <row r="1813" spans="1:9" x14ac:dyDescent="0.25">
      <c r="A1813" s="40" t="s">
        <v>257</v>
      </c>
      <c r="B1813" s="28">
        <v>1878</v>
      </c>
      <c r="C1813" s="28">
        <v>5670761</v>
      </c>
      <c r="D1813" s="28"/>
      <c r="E1813" s="41">
        <v>46157</v>
      </c>
      <c r="F1813" s="47">
        <v>0.89932870370370366</v>
      </c>
      <c r="G1813" s="44">
        <v>6.3</v>
      </c>
      <c r="H1813" s="43" t="s">
        <v>1360</v>
      </c>
      <c r="I1813" s="40" t="s">
        <v>1361</v>
      </c>
    </row>
    <row r="1814" spans="1:9" x14ac:dyDescent="0.25">
      <c r="A1814" s="40" t="s">
        <v>257</v>
      </c>
      <c r="B1814" s="28">
        <v>1878</v>
      </c>
      <c r="C1814" s="28">
        <v>5670761</v>
      </c>
      <c r="D1814" s="28"/>
      <c r="E1814" s="41">
        <v>46157</v>
      </c>
      <c r="F1814" s="47">
        <v>0.9055671296296296</v>
      </c>
      <c r="G1814" s="44">
        <v>6.3</v>
      </c>
      <c r="H1814" s="43" t="s">
        <v>1368</v>
      </c>
      <c r="I1814" s="40" t="s">
        <v>1361</v>
      </c>
    </row>
    <row r="1815" spans="1:9" x14ac:dyDescent="0.25">
      <c r="A1815" s="40" t="s">
        <v>257</v>
      </c>
      <c r="B1815" s="28">
        <v>1878</v>
      </c>
      <c r="C1815" s="28">
        <v>5671295</v>
      </c>
      <c r="D1815" s="28" t="s">
        <v>37</v>
      </c>
      <c r="E1815" s="41">
        <v>46158</v>
      </c>
      <c r="F1815" s="47">
        <v>0.38260416666666669</v>
      </c>
      <c r="G1815" s="44">
        <v>6.3</v>
      </c>
      <c r="H1815" s="43" t="s">
        <v>1360</v>
      </c>
      <c r="I1815" s="40" t="s">
        <v>1365</v>
      </c>
    </row>
    <row r="1816" spans="1:9" x14ac:dyDescent="0.25">
      <c r="A1816" s="40" t="s">
        <v>257</v>
      </c>
      <c r="B1816" s="28">
        <v>1878</v>
      </c>
      <c r="C1816" s="28">
        <v>5671295</v>
      </c>
      <c r="D1816" s="28" t="s">
        <v>37</v>
      </c>
      <c r="E1816" s="41">
        <v>46158</v>
      </c>
      <c r="F1816" s="47">
        <v>0.39469907407407406</v>
      </c>
      <c r="G1816" s="44">
        <v>6.3</v>
      </c>
      <c r="H1816" s="43" t="s">
        <v>1362</v>
      </c>
      <c r="I1816" s="40" t="s">
        <v>1365</v>
      </c>
    </row>
    <row r="1817" spans="1:9" x14ac:dyDescent="0.25">
      <c r="A1817" s="40" t="s">
        <v>241</v>
      </c>
      <c r="B1817" s="28">
        <v>1891</v>
      </c>
      <c r="C1817" s="28">
        <v>5671579</v>
      </c>
      <c r="D1817" s="28" t="s">
        <v>37</v>
      </c>
      <c r="E1817" s="41">
        <v>46158</v>
      </c>
      <c r="F1817" s="47">
        <v>0.5765393518518519</v>
      </c>
      <c r="G1817" s="44">
        <v>6.3</v>
      </c>
      <c r="H1817" s="43" t="s">
        <v>1360</v>
      </c>
      <c r="I1817" s="40" t="s">
        <v>1365</v>
      </c>
    </row>
    <row r="1818" spans="1:9" x14ac:dyDescent="0.25">
      <c r="A1818" s="40" t="s">
        <v>241</v>
      </c>
      <c r="B1818" s="28">
        <v>1891</v>
      </c>
      <c r="C1818" s="28">
        <v>5671579</v>
      </c>
      <c r="D1818" s="28" t="s">
        <v>37</v>
      </c>
      <c r="E1818" s="41">
        <v>46158</v>
      </c>
      <c r="F1818" s="47">
        <v>0.59583333333333333</v>
      </c>
      <c r="G1818" s="44">
        <v>6.3</v>
      </c>
      <c r="H1818" s="43" t="s">
        <v>1362</v>
      </c>
      <c r="I1818" s="40" t="s">
        <v>1365</v>
      </c>
    </row>
    <row r="1819" spans="1:9" x14ac:dyDescent="0.25">
      <c r="A1819" s="40" t="s">
        <v>285</v>
      </c>
      <c r="B1819" s="28">
        <v>1894</v>
      </c>
      <c r="C1819" s="28" t="s">
        <v>711</v>
      </c>
      <c r="D1819" s="28"/>
      <c r="E1819" s="41">
        <v>46153</v>
      </c>
      <c r="F1819" s="47">
        <v>0.61402777777777773</v>
      </c>
      <c r="G1819" s="44">
        <v>6.3</v>
      </c>
      <c r="H1819" s="43" t="s">
        <v>1360</v>
      </c>
      <c r="I1819" s="40" t="s">
        <v>1361</v>
      </c>
    </row>
    <row r="1820" spans="1:9" x14ac:dyDescent="0.25">
      <c r="A1820" s="40" t="s">
        <v>285</v>
      </c>
      <c r="B1820" s="28">
        <v>1894</v>
      </c>
      <c r="C1820" s="28" t="s">
        <v>711</v>
      </c>
      <c r="D1820" s="28"/>
      <c r="E1820" s="41">
        <v>46153</v>
      </c>
      <c r="F1820" s="47">
        <v>0.62260416666666663</v>
      </c>
      <c r="G1820" s="44">
        <v>6.3</v>
      </c>
      <c r="H1820" s="43" t="s">
        <v>1362</v>
      </c>
      <c r="I1820" s="40" t="s">
        <v>1361</v>
      </c>
    </row>
    <row r="1821" spans="1:9" x14ac:dyDescent="0.25">
      <c r="A1821" s="40" t="s">
        <v>285</v>
      </c>
      <c r="B1821" s="28">
        <v>1894</v>
      </c>
      <c r="C1821" s="28" t="s">
        <v>712</v>
      </c>
      <c r="D1821" s="28"/>
      <c r="E1821" s="41">
        <v>46153</v>
      </c>
      <c r="F1821" s="47">
        <v>0.7003935185185185</v>
      </c>
      <c r="G1821" s="44">
        <v>6.3</v>
      </c>
      <c r="H1821" s="43" t="s">
        <v>1369</v>
      </c>
      <c r="I1821" s="40" t="s">
        <v>1361</v>
      </c>
    </row>
    <row r="1822" spans="1:9" x14ac:dyDescent="0.25">
      <c r="A1822" s="40" t="s">
        <v>285</v>
      </c>
      <c r="B1822" s="28">
        <v>1894</v>
      </c>
      <c r="C1822" s="28" t="s">
        <v>712</v>
      </c>
      <c r="D1822" s="28"/>
      <c r="E1822" s="41">
        <v>46153</v>
      </c>
      <c r="F1822" s="47">
        <v>0.70658564814814817</v>
      </c>
      <c r="G1822" s="44">
        <v>6.3</v>
      </c>
      <c r="H1822" s="43" t="s">
        <v>1364</v>
      </c>
      <c r="I1822" s="40" t="s">
        <v>1361</v>
      </c>
    </row>
    <row r="1823" spans="1:9" x14ac:dyDescent="0.25">
      <c r="A1823" s="40" t="s">
        <v>285</v>
      </c>
      <c r="B1823" s="28">
        <v>1894</v>
      </c>
      <c r="C1823" s="28" t="s">
        <v>713</v>
      </c>
      <c r="D1823" s="28"/>
      <c r="E1823" s="45">
        <v>46154</v>
      </c>
      <c r="F1823" s="48">
        <v>0.61469907407407409</v>
      </c>
      <c r="G1823" s="44">
        <v>6.3</v>
      </c>
      <c r="H1823" s="43" t="s">
        <v>1363</v>
      </c>
      <c r="I1823" s="40" t="s">
        <v>1361</v>
      </c>
    </row>
    <row r="1824" spans="1:9" x14ac:dyDescent="0.25">
      <c r="A1824" s="40" t="s">
        <v>285</v>
      </c>
      <c r="B1824" s="28">
        <v>1894</v>
      </c>
      <c r="C1824" s="28" t="s">
        <v>713</v>
      </c>
      <c r="D1824" s="28"/>
      <c r="E1824" s="41">
        <v>46154</v>
      </c>
      <c r="F1824" s="47">
        <v>0.63011574074074073</v>
      </c>
      <c r="G1824" s="42">
        <v>6.3</v>
      </c>
      <c r="H1824" s="40" t="s">
        <v>1364</v>
      </c>
      <c r="I1824" s="40" t="s">
        <v>1361</v>
      </c>
    </row>
    <row r="1825" spans="1:9" x14ac:dyDescent="0.25">
      <c r="A1825" s="40" t="s">
        <v>285</v>
      </c>
      <c r="B1825" s="28">
        <v>1894</v>
      </c>
      <c r="C1825" s="28" t="s">
        <v>714</v>
      </c>
      <c r="D1825" s="28"/>
      <c r="E1825" s="41">
        <v>46155</v>
      </c>
      <c r="F1825" s="47">
        <v>0.48706018518518518</v>
      </c>
      <c r="G1825" s="44">
        <v>6.3</v>
      </c>
      <c r="H1825" s="43" t="s">
        <v>1363</v>
      </c>
      <c r="I1825" s="40" t="s">
        <v>1361</v>
      </c>
    </row>
    <row r="1826" spans="1:9" x14ac:dyDescent="0.25">
      <c r="A1826" s="40" t="s">
        <v>285</v>
      </c>
      <c r="B1826" s="28">
        <v>1894</v>
      </c>
      <c r="C1826" s="28" t="s">
        <v>714</v>
      </c>
      <c r="D1826" s="28"/>
      <c r="E1826" s="45">
        <v>46155</v>
      </c>
      <c r="F1826" s="48">
        <v>0.49363425925925924</v>
      </c>
      <c r="G1826" s="44">
        <v>6.3</v>
      </c>
      <c r="H1826" s="43" t="s">
        <v>1364</v>
      </c>
      <c r="I1826" s="40" t="s">
        <v>1361</v>
      </c>
    </row>
    <row r="1827" spans="1:9" x14ac:dyDescent="0.25">
      <c r="A1827" s="40" t="s">
        <v>285</v>
      </c>
      <c r="B1827" s="28">
        <v>1894</v>
      </c>
      <c r="C1827" s="28" t="s">
        <v>715</v>
      </c>
      <c r="D1827" s="28"/>
      <c r="E1827" s="41">
        <v>46155</v>
      </c>
      <c r="F1827" s="47">
        <v>0.56076388888888884</v>
      </c>
      <c r="G1827" s="44">
        <v>6.3</v>
      </c>
      <c r="H1827" s="43" t="s">
        <v>1360</v>
      </c>
      <c r="I1827" s="40" t="s">
        <v>1361</v>
      </c>
    </row>
    <row r="1828" spans="1:9" x14ac:dyDescent="0.25">
      <c r="A1828" s="40" t="s">
        <v>285</v>
      </c>
      <c r="B1828" s="28">
        <v>1894</v>
      </c>
      <c r="C1828" s="28" t="s">
        <v>715</v>
      </c>
      <c r="D1828" s="28"/>
      <c r="E1828" s="45">
        <v>46155</v>
      </c>
      <c r="F1828" s="48">
        <v>0.57069444444444439</v>
      </c>
      <c r="G1828" s="44">
        <v>6.3</v>
      </c>
      <c r="H1828" s="43" t="s">
        <v>1362</v>
      </c>
      <c r="I1828" s="40" t="s">
        <v>1361</v>
      </c>
    </row>
    <row r="1829" spans="1:9" x14ac:dyDescent="0.25">
      <c r="A1829" s="40" t="s">
        <v>285</v>
      </c>
      <c r="B1829" s="28">
        <v>1894</v>
      </c>
      <c r="C1829" s="28" t="s">
        <v>716</v>
      </c>
      <c r="D1829" s="28"/>
      <c r="E1829" s="41">
        <v>46155</v>
      </c>
      <c r="F1829" s="47">
        <v>0.69038194444444445</v>
      </c>
      <c r="G1829" s="44">
        <v>6.3</v>
      </c>
      <c r="H1829" s="43" t="s">
        <v>1363</v>
      </c>
      <c r="I1829" s="40" t="s">
        <v>1361</v>
      </c>
    </row>
    <row r="1830" spans="1:9" x14ac:dyDescent="0.25">
      <c r="A1830" s="40" t="s">
        <v>285</v>
      </c>
      <c r="B1830" s="28">
        <v>1894</v>
      </c>
      <c r="C1830" s="28" t="s">
        <v>716</v>
      </c>
      <c r="D1830" s="28"/>
      <c r="E1830" s="41">
        <v>46155</v>
      </c>
      <c r="F1830" s="47">
        <v>0.69913194444444449</v>
      </c>
      <c r="G1830" s="44">
        <v>6.3</v>
      </c>
      <c r="H1830" s="43" t="s">
        <v>1364</v>
      </c>
      <c r="I1830" s="40" t="s">
        <v>1361</v>
      </c>
    </row>
    <row r="1831" spans="1:9" x14ac:dyDescent="0.25">
      <c r="A1831" s="40" t="s">
        <v>285</v>
      </c>
      <c r="B1831" s="28">
        <v>1894</v>
      </c>
      <c r="C1831" s="28" t="s">
        <v>717</v>
      </c>
      <c r="D1831" s="28"/>
      <c r="E1831" s="41">
        <v>46156</v>
      </c>
      <c r="F1831" s="47">
        <v>0.55704861111111115</v>
      </c>
      <c r="G1831" s="44">
        <v>6.3</v>
      </c>
      <c r="H1831" s="43" t="s">
        <v>1360</v>
      </c>
      <c r="I1831" s="40" t="s">
        <v>1361</v>
      </c>
    </row>
    <row r="1832" spans="1:9" x14ac:dyDescent="0.25">
      <c r="A1832" s="40" t="s">
        <v>285</v>
      </c>
      <c r="B1832" s="28">
        <v>1894</v>
      </c>
      <c r="C1832" s="28" t="s">
        <v>717</v>
      </c>
      <c r="D1832" s="28"/>
      <c r="E1832" s="41">
        <v>46156</v>
      </c>
      <c r="F1832" s="47">
        <v>0.56785879629629632</v>
      </c>
      <c r="G1832" s="44">
        <v>6.3</v>
      </c>
      <c r="H1832" s="43" t="s">
        <v>1362</v>
      </c>
      <c r="I1832" s="40" t="s">
        <v>1361</v>
      </c>
    </row>
    <row r="1833" spans="1:9" x14ac:dyDescent="0.25">
      <c r="A1833" s="40" t="s">
        <v>285</v>
      </c>
      <c r="B1833" s="28">
        <v>1894</v>
      </c>
      <c r="C1833" s="28" t="s">
        <v>718</v>
      </c>
      <c r="D1833" s="28"/>
      <c r="E1833" s="45">
        <v>46157</v>
      </c>
      <c r="F1833" s="48">
        <v>0.61355324074074069</v>
      </c>
      <c r="G1833" s="44">
        <v>6.3</v>
      </c>
      <c r="H1833" s="43" t="s">
        <v>1360</v>
      </c>
      <c r="I1833" s="40" t="s">
        <v>1361</v>
      </c>
    </row>
    <row r="1834" spans="1:9" x14ac:dyDescent="0.25">
      <c r="A1834" s="40" t="s">
        <v>285</v>
      </c>
      <c r="B1834" s="28">
        <v>1894</v>
      </c>
      <c r="C1834" s="28" t="s">
        <v>718</v>
      </c>
      <c r="D1834" s="28"/>
      <c r="E1834" s="41">
        <v>46157</v>
      </c>
      <c r="F1834" s="47">
        <v>0.63104166666666661</v>
      </c>
      <c r="G1834" s="42">
        <v>6.3</v>
      </c>
      <c r="H1834" s="40" t="s">
        <v>1362</v>
      </c>
      <c r="I1834" s="40" t="s">
        <v>1361</v>
      </c>
    </row>
    <row r="1835" spans="1:9" x14ac:dyDescent="0.25">
      <c r="A1835" s="40" t="s">
        <v>285</v>
      </c>
      <c r="B1835" s="28">
        <v>1894</v>
      </c>
      <c r="C1835" s="28" t="s">
        <v>719</v>
      </c>
      <c r="D1835" s="28"/>
      <c r="E1835" s="41">
        <v>46157</v>
      </c>
      <c r="F1835" s="47">
        <v>0.68369212962962966</v>
      </c>
      <c r="G1835" s="42">
        <v>6.3</v>
      </c>
      <c r="H1835" s="40" t="s">
        <v>1363</v>
      </c>
      <c r="I1835" s="40" t="s">
        <v>1361</v>
      </c>
    </row>
    <row r="1836" spans="1:9" x14ac:dyDescent="0.25">
      <c r="A1836" s="40" t="s">
        <v>285</v>
      </c>
      <c r="B1836" s="28">
        <v>1894</v>
      </c>
      <c r="C1836" s="28" t="s">
        <v>719</v>
      </c>
      <c r="D1836" s="28"/>
      <c r="E1836" s="41">
        <v>46157</v>
      </c>
      <c r="F1836" s="47">
        <v>0.69790509259259259</v>
      </c>
      <c r="G1836" s="42">
        <v>6.3</v>
      </c>
      <c r="H1836" s="40" t="s">
        <v>1364</v>
      </c>
      <c r="I1836" s="40" t="s">
        <v>1361</v>
      </c>
    </row>
    <row r="1837" spans="1:9" x14ac:dyDescent="0.25">
      <c r="A1837" s="40" t="s">
        <v>285</v>
      </c>
      <c r="B1837" s="28">
        <v>1894</v>
      </c>
      <c r="C1837" s="28" t="s">
        <v>720</v>
      </c>
      <c r="D1837" s="28"/>
      <c r="E1837" s="41">
        <v>46157</v>
      </c>
      <c r="F1837" s="47">
        <v>0.8155324074074074</v>
      </c>
      <c r="G1837" s="44">
        <v>6.3</v>
      </c>
      <c r="H1837" s="43" t="s">
        <v>1360</v>
      </c>
      <c r="I1837" s="40" t="s">
        <v>1361</v>
      </c>
    </row>
    <row r="1838" spans="1:9" x14ac:dyDescent="0.25">
      <c r="A1838" s="40" t="s">
        <v>285</v>
      </c>
      <c r="B1838" s="28">
        <v>1894</v>
      </c>
      <c r="C1838" s="28" t="s">
        <v>720</v>
      </c>
      <c r="D1838" s="28"/>
      <c r="E1838" s="41">
        <v>46157</v>
      </c>
      <c r="F1838" s="47">
        <v>0.83745370370370376</v>
      </c>
      <c r="G1838" s="44">
        <v>6.3</v>
      </c>
      <c r="H1838" s="43" t="s">
        <v>1362</v>
      </c>
      <c r="I1838" s="40" t="s">
        <v>1361</v>
      </c>
    </row>
    <row r="1839" spans="1:9" x14ac:dyDescent="0.25">
      <c r="A1839" s="40" t="s">
        <v>285</v>
      </c>
      <c r="B1839" s="28">
        <v>1894</v>
      </c>
      <c r="C1839" s="28" t="s">
        <v>721</v>
      </c>
      <c r="D1839" s="28"/>
      <c r="E1839" s="45">
        <v>46157</v>
      </c>
      <c r="F1839" s="48">
        <v>0.89905092592592595</v>
      </c>
      <c r="G1839" s="44">
        <v>6.3</v>
      </c>
      <c r="H1839" s="43" t="s">
        <v>1364</v>
      </c>
      <c r="I1839" s="40" t="s">
        <v>1361</v>
      </c>
    </row>
    <row r="1840" spans="1:9" x14ac:dyDescent="0.25">
      <c r="A1840" s="40" t="s">
        <v>285</v>
      </c>
      <c r="B1840" s="28">
        <v>1894</v>
      </c>
      <c r="C1840" s="28" t="s">
        <v>722</v>
      </c>
      <c r="D1840" s="28"/>
      <c r="E1840" s="41">
        <v>46158</v>
      </c>
      <c r="F1840" s="47">
        <v>0.3033912037037037</v>
      </c>
      <c r="G1840" s="44">
        <v>6.3</v>
      </c>
      <c r="H1840" s="43" t="s">
        <v>1360</v>
      </c>
      <c r="I1840" s="40" t="s">
        <v>1365</v>
      </c>
    </row>
    <row r="1841" spans="1:9" x14ac:dyDescent="0.25">
      <c r="A1841" s="40" t="s">
        <v>285</v>
      </c>
      <c r="B1841" s="28">
        <v>1894</v>
      </c>
      <c r="C1841" s="28" t="s">
        <v>722</v>
      </c>
      <c r="D1841" s="28"/>
      <c r="E1841" s="41">
        <v>46158</v>
      </c>
      <c r="F1841" s="47">
        <v>0.31716435185185188</v>
      </c>
      <c r="G1841" s="44">
        <v>6.3</v>
      </c>
      <c r="H1841" s="43" t="s">
        <v>1362</v>
      </c>
      <c r="I1841" s="40" t="s">
        <v>1365</v>
      </c>
    </row>
    <row r="1842" spans="1:9" x14ac:dyDescent="0.25">
      <c r="A1842" s="40" t="s">
        <v>285</v>
      </c>
      <c r="B1842" s="28">
        <v>1894</v>
      </c>
      <c r="C1842" s="28" t="s">
        <v>723</v>
      </c>
      <c r="D1842" s="28"/>
      <c r="E1842" s="45">
        <v>46158</v>
      </c>
      <c r="F1842" s="48">
        <v>0.3946412037037037</v>
      </c>
      <c r="G1842" s="44">
        <v>6.3</v>
      </c>
      <c r="H1842" s="43" t="s">
        <v>1363</v>
      </c>
      <c r="I1842" s="40" t="s">
        <v>1365</v>
      </c>
    </row>
    <row r="1843" spans="1:9" x14ac:dyDescent="0.25">
      <c r="A1843" s="40" t="s">
        <v>285</v>
      </c>
      <c r="B1843" s="28">
        <v>1894</v>
      </c>
      <c r="C1843" s="28" t="s">
        <v>723</v>
      </c>
      <c r="D1843" s="28"/>
      <c r="E1843" s="41">
        <v>46158</v>
      </c>
      <c r="F1843" s="47">
        <v>0.40041666666666664</v>
      </c>
      <c r="G1843" s="44">
        <v>6.3</v>
      </c>
      <c r="H1843" s="43" t="s">
        <v>1364</v>
      </c>
      <c r="I1843" s="40" t="s">
        <v>1365</v>
      </c>
    </row>
    <row r="1844" spans="1:9" x14ac:dyDescent="0.25">
      <c r="A1844" s="40" t="s">
        <v>285</v>
      </c>
      <c r="B1844" s="28">
        <v>1894</v>
      </c>
      <c r="C1844" s="28" t="s">
        <v>724</v>
      </c>
      <c r="D1844" s="28"/>
      <c r="E1844" s="41">
        <v>46158</v>
      </c>
      <c r="F1844" s="47">
        <v>0.59630787037037036</v>
      </c>
      <c r="G1844" s="44">
        <v>6.3</v>
      </c>
      <c r="H1844" s="43" t="s">
        <v>1363</v>
      </c>
      <c r="I1844" s="40" t="s">
        <v>1365</v>
      </c>
    </row>
    <row r="1845" spans="1:9" x14ac:dyDescent="0.25">
      <c r="A1845" s="40" t="s">
        <v>285</v>
      </c>
      <c r="B1845" s="28">
        <v>1894</v>
      </c>
      <c r="C1845" s="28" t="s">
        <v>724</v>
      </c>
      <c r="D1845" s="28"/>
      <c r="E1845" s="41">
        <v>46158</v>
      </c>
      <c r="F1845" s="47">
        <v>0.60829861111111116</v>
      </c>
      <c r="G1845" s="44">
        <v>6.3</v>
      </c>
      <c r="H1845" s="43" t="s">
        <v>1364</v>
      </c>
      <c r="I1845" s="40" t="s">
        <v>1365</v>
      </c>
    </row>
    <row r="1846" spans="1:9" x14ac:dyDescent="0.25">
      <c r="A1846" s="40" t="s">
        <v>285</v>
      </c>
      <c r="B1846" s="28">
        <v>1894</v>
      </c>
      <c r="C1846" s="28" t="s">
        <v>725</v>
      </c>
      <c r="D1846" s="28"/>
      <c r="E1846" s="41">
        <v>46159</v>
      </c>
      <c r="F1846" s="47">
        <v>0.48010416666666667</v>
      </c>
      <c r="G1846" s="44">
        <v>6.3</v>
      </c>
      <c r="H1846" s="43" t="s">
        <v>1360</v>
      </c>
      <c r="I1846" s="40" t="s">
        <v>1365</v>
      </c>
    </row>
    <row r="1847" spans="1:9" x14ac:dyDescent="0.25">
      <c r="A1847" s="40" t="s">
        <v>285</v>
      </c>
      <c r="B1847" s="28">
        <v>1894</v>
      </c>
      <c r="C1847" s="28" t="s">
        <v>725</v>
      </c>
      <c r="D1847" s="28"/>
      <c r="E1847" s="45">
        <v>46159</v>
      </c>
      <c r="F1847" s="48">
        <v>0.48747685185185186</v>
      </c>
      <c r="G1847" s="44">
        <v>6.3</v>
      </c>
      <c r="H1847" s="43" t="s">
        <v>1362</v>
      </c>
      <c r="I1847" s="40" t="s">
        <v>1365</v>
      </c>
    </row>
    <row r="1848" spans="1:9" x14ac:dyDescent="0.25">
      <c r="A1848" s="40" t="s">
        <v>285</v>
      </c>
      <c r="B1848" s="28">
        <v>1894</v>
      </c>
      <c r="C1848" s="28" t="s">
        <v>726</v>
      </c>
      <c r="D1848" s="28"/>
      <c r="E1848" s="41">
        <v>46159</v>
      </c>
      <c r="F1848" s="47">
        <v>0.53060185185185182</v>
      </c>
      <c r="G1848" s="44">
        <v>6.3</v>
      </c>
      <c r="H1848" s="43" t="s">
        <v>1363</v>
      </c>
      <c r="I1848" s="40" t="s">
        <v>1365</v>
      </c>
    </row>
    <row r="1849" spans="1:9" x14ac:dyDescent="0.25">
      <c r="A1849" s="40" t="s">
        <v>285</v>
      </c>
      <c r="B1849" s="28">
        <v>1894</v>
      </c>
      <c r="C1849" s="28" t="s">
        <v>726</v>
      </c>
      <c r="D1849" s="28"/>
      <c r="E1849" s="41">
        <v>46159</v>
      </c>
      <c r="F1849" s="47">
        <v>0.53587962962962965</v>
      </c>
      <c r="G1849" s="44">
        <v>6.3</v>
      </c>
      <c r="H1849" s="43" t="s">
        <v>1364</v>
      </c>
      <c r="I1849" s="40" t="s">
        <v>1365</v>
      </c>
    </row>
    <row r="1850" spans="1:9" x14ac:dyDescent="0.25">
      <c r="A1850" s="40" t="s">
        <v>285</v>
      </c>
      <c r="B1850" s="28">
        <v>1894</v>
      </c>
      <c r="C1850" s="28" t="s">
        <v>727</v>
      </c>
      <c r="D1850" s="28"/>
      <c r="E1850" s="45">
        <v>46159</v>
      </c>
      <c r="F1850" s="48">
        <v>0.76600694444444439</v>
      </c>
      <c r="G1850" s="44">
        <v>6.3</v>
      </c>
      <c r="H1850" s="43" t="s">
        <v>1360</v>
      </c>
      <c r="I1850" s="40" t="s">
        <v>1365</v>
      </c>
    </row>
    <row r="1851" spans="1:9" x14ac:dyDescent="0.25">
      <c r="A1851" s="40" t="s">
        <v>285</v>
      </c>
      <c r="B1851" s="28">
        <v>1894</v>
      </c>
      <c r="C1851" s="28" t="s">
        <v>727</v>
      </c>
      <c r="D1851" s="28"/>
      <c r="E1851" s="41">
        <v>46159</v>
      </c>
      <c r="F1851" s="47">
        <v>0.77413194444444444</v>
      </c>
      <c r="G1851" s="44">
        <v>6.3</v>
      </c>
      <c r="H1851" s="43" t="s">
        <v>1362</v>
      </c>
      <c r="I1851" s="40" t="s">
        <v>1365</v>
      </c>
    </row>
    <row r="1852" spans="1:9" x14ac:dyDescent="0.25">
      <c r="A1852" s="40" t="s">
        <v>285</v>
      </c>
      <c r="B1852" s="28">
        <v>1894</v>
      </c>
      <c r="C1852" s="28" t="s">
        <v>728</v>
      </c>
      <c r="D1852" s="28"/>
      <c r="E1852" s="41">
        <v>46159</v>
      </c>
      <c r="F1852" s="47">
        <v>0.85231481481481486</v>
      </c>
      <c r="G1852" s="44">
        <v>6.3</v>
      </c>
      <c r="H1852" s="43" t="s">
        <v>1363</v>
      </c>
      <c r="I1852" s="40" t="s">
        <v>1365</v>
      </c>
    </row>
    <row r="1853" spans="1:9" x14ac:dyDescent="0.25">
      <c r="A1853" s="40" t="s">
        <v>285</v>
      </c>
      <c r="B1853" s="28">
        <v>1894</v>
      </c>
      <c r="C1853" s="28" t="s">
        <v>728</v>
      </c>
      <c r="D1853" s="28"/>
      <c r="E1853" s="41">
        <v>46159</v>
      </c>
      <c r="F1853" s="47">
        <v>0.85777777777777775</v>
      </c>
      <c r="G1853" s="44">
        <v>6.3</v>
      </c>
      <c r="H1853" s="43" t="s">
        <v>1364</v>
      </c>
      <c r="I1853" s="40" t="s">
        <v>1365</v>
      </c>
    </row>
    <row r="1854" spans="1:9" x14ac:dyDescent="0.25">
      <c r="A1854" s="40" t="s">
        <v>119</v>
      </c>
      <c r="B1854" s="28">
        <v>1915</v>
      </c>
      <c r="C1854" s="28">
        <v>5661708</v>
      </c>
      <c r="D1854" s="28"/>
      <c r="E1854" s="41">
        <v>46153</v>
      </c>
      <c r="F1854" s="47">
        <v>0.17827546296296296</v>
      </c>
      <c r="G1854" s="44">
        <v>6.3</v>
      </c>
      <c r="H1854" s="43" t="s">
        <v>1370</v>
      </c>
      <c r="I1854" s="40" t="s">
        <v>1361</v>
      </c>
    </row>
    <row r="1855" spans="1:9" x14ac:dyDescent="0.25">
      <c r="A1855" s="40" t="s">
        <v>119</v>
      </c>
      <c r="B1855" s="28">
        <v>1915</v>
      </c>
      <c r="C1855" s="28">
        <v>5661708</v>
      </c>
      <c r="D1855" s="28"/>
      <c r="E1855" s="45">
        <v>46153</v>
      </c>
      <c r="F1855" s="48">
        <v>0.18291666666666667</v>
      </c>
      <c r="G1855" s="44">
        <v>6.3</v>
      </c>
      <c r="H1855" s="43" t="s">
        <v>1364</v>
      </c>
      <c r="I1855" s="40" t="s">
        <v>1361</v>
      </c>
    </row>
    <row r="1856" spans="1:9" x14ac:dyDescent="0.25">
      <c r="A1856" s="40" t="s">
        <v>119</v>
      </c>
      <c r="B1856" s="28">
        <v>1915</v>
      </c>
      <c r="C1856" s="28">
        <v>5662258</v>
      </c>
      <c r="D1856" s="28"/>
      <c r="E1856" s="41">
        <v>46153</v>
      </c>
      <c r="F1856" s="47">
        <v>0.24475694444444446</v>
      </c>
      <c r="G1856" s="44">
        <v>6.3</v>
      </c>
      <c r="H1856" s="43" t="s">
        <v>1360</v>
      </c>
      <c r="I1856" s="40" t="s">
        <v>1361</v>
      </c>
    </row>
    <row r="1857" spans="1:9" x14ac:dyDescent="0.25">
      <c r="A1857" s="40" t="s">
        <v>119</v>
      </c>
      <c r="B1857" s="28">
        <v>1915</v>
      </c>
      <c r="C1857" s="28">
        <v>5662258</v>
      </c>
      <c r="D1857" s="28"/>
      <c r="E1857" s="41">
        <v>46153</v>
      </c>
      <c r="F1857" s="47">
        <v>0.25268518518518518</v>
      </c>
      <c r="G1857" s="44">
        <v>6.3</v>
      </c>
      <c r="H1857" s="43" t="s">
        <v>1366</v>
      </c>
      <c r="I1857" s="40" t="s">
        <v>1361</v>
      </c>
    </row>
    <row r="1858" spans="1:9" x14ac:dyDescent="0.25">
      <c r="A1858" s="40" t="s">
        <v>119</v>
      </c>
      <c r="B1858" s="28">
        <v>1915</v>
      </c>
      <c r="C1858" s="28" t="s">
        <v>35</v>
      </c>
      <c r="D1858" s="28" t="s">
        <v>38</v>
      </c>
      <c r="E1858" s="41">
        <v>46154</v>
      </c>
      <c r="F1858" s="47">
        <v>0.51872685185185186</v>
      </c>
      <c r="G1858" s="42">
        <v>6.3</v>
      </c>
      <c r="H1858" s="40" t="s">
        <v>1370</v>
      </c>
      <c r="I1858" s="40" t="s">
        <v>1361</v>
      </c>
    </row>
    <row r="1859" spans="1:9" x14ac:dyDescent="0.25">
      <c r="A1859" s="40" t="s">
        <v>119</v>
      </c>
      <c r="B1859" s="28">
        <v>1915</v>
      </c>
      <c r="C1859" s="28">
        <v>5665598</v>
      </c>
      <c r="D1859" s="28"/>
      <c r="E1859" s="41">
        <v>46155</v>
      </c>
      <c r="F1859" s="47">
        <v>0.3618865740740741</v>
      </c>
      <c r="G1859" s="42">
        <v>6.3</v>
      </c>
      <c r="H1859" s="40" t="s">
        <v>1362</v>
      </c>
      <c r="I1859" s="40" t="s">
        <v>1361</v>
      </c>
    </row>
    <row r="1860" spans="1:9" x14ac:dyDescent="0.25">
      <c r="A1860" s="40" t="s">
        <v>119</v>
      </c>
      <c r="B1860" s="28">
        <v>1915</v>
      </c>
      <c r="C1860" s="28" t="s">
        <v>35</v>
      </c>
      <c r="D1860" s="28" t="s">
        <v>38</v>
      </c>
      <c r="E1860" s="41">
        <v>46155</v>
      </c>
      <c r="F1860" s="47">
        <v>0.3865277777777778</v>
      </c>
      <c r="G1860" s="42">
        <v>6.3</v>
      </c>
      <c r="H1860" s="40" t="s">
        <v>1363</v>
      </c>
      <c r="I1860" s="40" t="s">
        <v>1361</v>
      </c>
    </row>
    <row r="1861" spans="1:9" x14ac:dyDescent="0.25">
      <c r="A1861" s="40" t="s">
        <v>119</v>
      </c>
      <c r="B1861" s="28">
        <v>1915</v>
      </c>
      <c r="C1861" s="28" t="s">
        <v>35</v>
      </c>
      <c r="D1861" s="28" t="s">
        <v>38</v>
      </c>
      <c r="E1861" s="41">
        <v>46156</v>
      </c>
      <c r="F1861" s="47">
        <v>0.53045138888888888</v>
      </c>
      <c r="G1861" s="42">
        <v>6.3</v>
      </c>
      <c r="H1861" s="40" t="s">
        <v>1370</v>
      </c>
      <c r="I1861" s="40" t="s">
        <v>1361</v>
      </c>
    </row>
    <row r="1862" spans="1:9" x14ac:dyDescent="0.25">
      <c r="A1862" s="40" t="s">
        <v>120</v>
      </c>
      <c r="B1862" s="28">
        <v>1981</v>
      </c>
      <c r="C1862" s="28" t="s">
        <v>35</v>
      </c>
      <c r="D1862" s="28" t="s">
        <v>38</v>
      </c>
      <c r="E1862" s="45">
        <v>46156</v>
      </c>
      <c r="F1862" s="48">
        <v>0.55680555555555555</v>
      </c>
      <c r="G1862" s="44">
        <v>6.3</v>
      </c>
      <c r="H1862" s="43" t="s">
        <v>1363</v>
      </c>
      <c r="I1862" s="40" t="s">
        <v>1361</v>
      </c>
    </row>
    <row r="1863" spans="1:9" x14ac:dyDescent="0.25">
      <c r="A1863" s="40" t="s">
        <v>120</v>
      </c>
      <c r="B1863" s="28">
        <v>1981</v>
      </c>
      <c r="C1863" s="28" t="s">
        <v>35</v>
      </c>
      <c r="D1863" s="28" t="s">
        <v>38</v>
      </c>
      <c r="E1863" s="41">
        <v>46156</v>
      </c>
      <c r="F1863" s="47">
        <v>0.56246527777777777</v>
      </c>
      <c r="G1863" s="44">
        <v>6.3</v>
      </c>
      <c r="H1863" s="43" t="s">
        <v>1364</v>
      </c>
      <c r="I1863" s="40" t="s">
        <v>1361</v>
      </c>
    </row>
    <row r="1864" spans="1:9" x14ac:dyDescent="0.25">
      <c r="A1864" s="40" t="s">
        <v>120</v>
      </c>
      <c r="B1864" s="28">
        <v>1981</v>
      </c>
      <c r="C1864" s="28" t="s">
        <v>35</v>
      </c>
      <c r="D1864" s="28" t="s">
        <v>38</v>
      </c>
      <c r="E1864" s="41">
        <v>46158</v>
      </c>
      <c r="F1864" s="47">
        <v>0.42996527777777777</v>
      </c>
      <c r="G1864" s="44">
        <v>6.3</v>
      </c>
      <c r="H1864" s="43" t="s">
        <v>1363</v>
      </c>
      <c r="I1864" s="40" t="s">
        <v>1365</v>
      </c>
    </row>
    <row r="1865" spans="1:9" x14ac:dyDescent="0.25">
      <c r="A1865" s="40" t="s">
        <v>120</v>
      </c>
      <c r="B1865" s="28">
        <v>1981</v>
      </c>
      <c r="C1865" s="28" t="s">
        <v>35</v>
      </c>
      <c r="D1865" s="28" t="s">
        <v>38</v>
      </c>
      <c r="E1865" s="41">
        <v>46159</v>
      </c>
      <c r="F1865" s="47">
        <v>0.28467592592592594</v>
      </c>
      <c r="G1865" s="44">
        <v>6.3</v>
      </c>
      <c r="H1865" s="43" t="s">
        <v>1362</v>
      </c>
      <c r="I1865" s="40" t="s">
        <v>1365</v>
      </c>
    </row>
    <row r="1866" spans="1:9" x14ac:dyDescent="0.25">
      <c r="A1866" s="40" t="s">
        <v>120</v>
      </c>
      <c r="B1866" s="28">
        <v>1981</v>
      </c>
      <c r="C1866" s="28" t="s">
        <v>35</v>
      </c>
      <c r="D1866" s="28" t="s">
        <v>38</v>
      </c>
      <c r="E1866" s="41">
        <v>46159</v>
      </c>
      <c r="F1866" s="47">
        <v>0.31918981481481479</v>
      </c>
      <c r="G1866" s="44">
        <v>6.3</v>
      </c>
      <c r="H1866" s="43" t="s">
        <v>1363</v>
      </c>
      <c r="I1866" s="40" t="s">
        <v>1365</v>
      </c>
    </row>
    <row r="1867" spans="1:9" x14ac:dyDescent="0.25">
      <c r="A1867" s="40" t="s">
        <v>120</v>
      </c>
      <c r="B1867" s="28">
        <v>1981</v>
      </c>
      <c r="C1867" s="28" t="s">
        <v>35</v>
      </c>
      <c r="D1867" s="28" t="s">
        <v>38</v>
      </c>
      <c r="E1867" s="41">
        <v>46159</v>
      </c>
      <c r="F1867" s="47">
        <v>0.32454861111111111</v>
      </c>
      <c r="G1867" s="44">
        <v>6.3</v>
      </c>
      <c r="H1867" s="43" t="s">
        <v>1364</v>
      </c>
      <c r="I1867" s="40" t="s">
        <v>1365</v>
      </c>
    </row>
    <row r="1868" spans="1:9" x14ac:dyDescent="0.25">
      <c r="A1868" s="40" t="s">
        <v>120</v>
      </c>
      <c r="B1868" s="28">
        <v>1981</v>
      </c>
      <c r="C1868" s="28" t="s">
        <v>35</v>
      </c>
      <c r="D1868" s="28" t="s">
        <v>38</v>
      </c>
      <c r="E1868" s="41">
        <v>46159</v>
      </c>
      <c r="F1868" s="47">
        <v>0.55682870370370374</v>
      </c>
      <c r="G1868" s="44">
        <v>6.3</v>
      </c>
      <c r="H1868" s="43" t="s">
        <v>1363</v>
      </c>
      <c r="I1868" s="40" t="s">
        <v>1365</v>
      </c>
    </row>
    <row r="1869" spans="1:9" x14ac:dyDescent="0.25">
      <c r="A1869" s="40" t="s">
        <v>414</v>
      </c>
      <c r="B1869" s="28">
        <v>2005</v>
      </c>
      <c r="C1869" s="28">
        <v>5670486</v>
      </c>
      <c r="D1869" s="28"/>
      <c r="E1869" s="41">
        <v>46158</v>
      </c>
      <c r="F1869" s="47">
        <v>0.97363425925925928</v>
      </c>
      <c r="G1869" s="44">
        <v>6.3</v>
      </c>
      <c r="H1869" s="43" t="s">
        <v>1360</v>
      </c>
      <c r="I1869" s="40" t="s">
        <v>1365</v>
      </c>
    </row>
    <row r="1870" spans="1:9" x14ac:dyDescent="0.25">
      <c r="A1870" s="40" t="s">
        <v>415</v>
      </c>
      <c r="B1870" s="28">
        <v>2014</v>
      </c>
      <c r="C1870" s="28" t="s">
        <v>729</v>
      </c>
      <c r="D1870" s="28"/>
      <c r="E1870" s="41">
        <v>46153</v>
      </c>
      <c r="F1870" s="47">
        <v>0.47508101851851853</v>
      </c>
      <c r="G1870" s="44">
        <v>6.3</v>
      </c>
      <c r="H1870" s="43" t="s">
        <v>1360</v>
      </c>
      <c r="I1870" s="40" t="s">
        <v>1361</v>
      </c>
    </row>
    <row r="1871" spans="1:9" x14ac:dyDescent="0.25">
      <c r="A1871" s="40" t="s">
        <v>415</v>
      </c>
      <c r="B1871" s="28">
        <v>2014</v>
      </c>
      <c r="C1871" s="28" t="s">
        <v>729</v>
      </c>
      <c r="D1871" s="28"/>
      <c r="E1871" s="41">
        <v>46153</v>
      </c>
      <c r="F1871" s="47">
        <v>0.48476851851851854</v>
      </c>
      <c r="G1871" s="42">
        <v>6.3</v>
      </c>
      <c r="H1871" s="40" t="s">
        <v>1362</v>
      </c>
      <c r="I1871" s="40" t="s">
        <v>1361</v>
      </c>
    </row>
    <row r="1872" spans="1:9" x14ac:dyDescent="0.25">
      <c r="A1872" s="40" t="s">
        <v>415</v>
      </c>
      <c r="B1872" s="28">
        <v>2014</v>
      </c>
      <c r="C1872" s="28">
        <v>5665983</v>
      </c>
      <c r="D1872" s="28"/>
      <c r="E1872" s="41">
        <v>46155</v>
      </c>
      <c r="F1872" s="47">
        <v>0.35380787037037037</v>
      </c>
      <c r="G1872" s="42">
        <v>6.3</v>
      </c>
      <c r="H1872" s="40" t="s">
        <v>1363</v>
      </c>
      <c r="I1872" s="40" t="s">
        <v>1361</v>
      </c>
    </row>
    <row r="1873" spans="1:9" x14ac:dyDescent="0.25">
      <c r="A1873" s="40" t="s">
        <v>415</v>
      </c>
      <c r="B1873" s="28">
        <v>2014</v>
      </c>
      <c r="C1873" s="28">
        <v>5666932</v>
      </c>
      <c r="D1873" s="28"/>
      <c r="E1873" s="41">
        <v>46155</v>
      </c>
      <c r="F1873" s="47">
        <v>0.70098379629629626</v>
      </c>
      <c r="G1873" s="42">
        <v>6.3</v>
      </c>
      <c r="H1873" s="40" t="s">
        <v>1360</v>
      </c>
      <c r="I1873" s="40" t="s">
        <v>1361</v>
      </c>
    </row>
    <row r="1874" spans="1:9" x14ac:dyDescent="0.25">
      <c r="A1874" s="40" t="s">
        <v>415</v>
      </c>
      <c r="B1874" s="28">
        <v>2014</v>
      </c>
      <c r="C1874" s="28" t="s">
        <v>730</v>
      </c>
      <c r="D1874" s="28"/>
      <c r="E1874" s="41">
        <v>46157</v>
      </c>
      <c r="F1874" s="47">
        <v>0.48412037037037037</v>
      </c>
      <c r="G1874" s="42">
        <v>6.3</v>
      </c>
      <c r="H1874" s="40" t="s">
        <v>1360</v>
      </c>
      <c r="I1874" s="40" t="s">
        <v>1361</v>
      </c>
    </row>
    <row r="1875" spans="1:9" x14ac:dyDescent="0.25">
      <c r="A1875" s="40" t="s">
        <v>415</v>
      </c>
      <c r="B1875" s="28">
        <v>2014</v>
      </c>
      <c r="C1875" s="28" t="s">
        <v>730</v>
      </c>
      <c r="D1875" s="28"/>
      <c r="E1875" s="41">
        <v>46157</v>
      </c>
      <c r="F1875" s="47">
        <v>0.49451388888888886</v>
      </c>
      <c r="G1875" s="42">
        <v>6.3</v>
      </c>
      <c r="H1875" s="40" t="s">
        <v>1362</v>
      </c>
      <c r="I1875" s="40" t="s">
        <v>1361</v>
      </c>
    </row>
    <row r="1876" spans="1:9" x14ac:dyDescent="0.25">
      <c r="A1876" s="40" t="s">
        <v>415</v>
      </c>
      <c r="B1876" s="28">
        <v>2014</v>
      </c>
      <c r="C1876" s="28">
        <v>5670099</v>
      </c>
      <c r="D1876" s="28"/>
      <c r="E1876" s="41">
        <v>46157</v>
      </c>
      <c r="F1876" s="47">
        <v>0.87814814814814812</v>
      </c>
      <c r="G1876" s="44">
        <v>6.3</v>
      </c>
      <c r="H1876" s="43" t="s">
        <v>1360</v>
      </c>
      <c r="I1876" s="40" t="s">
        <v>1361</v>
      </c>
    </row>
    <row r="1877" spans="1:9" x14ac:dyDescent="0.25">
      <c r="A1877" s="40" t="s">
        <v>415</v>
      </c>
      <c r="B1877" s="28">
        <v>2014</v>
      </c>
      <c r="C1877" s="28">
        <v>5670099</v>
      </c>
      <c r="D1877" s="28"/>
      <c r="E1877" s="41">
        <v>46157</v>
      </c>
      <c r="F1877" s="47">
        <v>0.89430555555555558</v>
      </c>
      <c r="G1877" s="44">
        <v>6.3</v>
      </c>
      <c r="H1877" s="43" t="s">
        <v>1366</v>
      </c>
      <c r="I1877" s="40" t="s">
        <v>1361</v>
      </c>
    </row>
    <row r="1878" spans="1:9" x14ac:dyDescent="0.25">
      <c r="A1878" s="40" t="s">
        <v>415</v>
      </c>
      <c r="B1878" s="28">
        <v>2014</v>
      </c>
      <c r="C1878" s="28">
        <v>5671370</v>
      </c>
      <c r="D1878" s="28"/>
      <c r="E1878" s="41">
        <v>46158</v>
      </c>
      <c r="F1878" s="47">
        <v>0.48576388888888888</v>
      </c>
      <c r="G1878" s="44">
        <v>6.3</v>
      </c>
      <c r="H1878" s="43" t="s">
        <v>1363</v>
      </c>
      <c r="I1878" s="40" t="s">
        <v>1365</v>
      </c>
    </row>
    <row r="1879" spans="1:9" x14ac:dyDescent="0.25">
      <c r="A1879" s="40" t="s">
        <v>415</v>
      </c>
      <c r="B1879" s="28">
        <v>2014</v>
      </c>
      <c r="C1879" s="28">
        <v>5671370</v>
      </c>
      <c r="D1879" s="28"/>
      <c r="E1879" s="41">
        <v>46158</v>
      </c>
      <c r="F1879" s="47">
        <v>0.4921875</v>
      </c>
      <c r="G1879" s="44">
        <v>6.3</v>
      </c>
      <c r="H1879" s="43" t="s">
        <v>1364</v>
      </c>
      <c r="I1879" s="40" t="s">
        <v>1365</v>
      </c>
    </row>
    <row r="1880" spans="1:9" x14ac:dyDescent="0.25">
      <c r="A1880" s="40" t="s">
        <v>139</v>
      </c>
      <c r="B1880" s="28">
        <v>2020</v>
      </c>
      <c r="C1880" s="28">
        <v>5667995</v>
      </c>
      <c r="D1880" s="28"/>
      <c r="E1880" s="41">
        <v>46156</v>
      </c>
      <c r="F1880" s="47">
        <v>0.76569444444444446</v>
      </c>
      <c r="G1880" s="44">
        <v>6.3</v>
      </c>
      <c r="H1880" s="43" t="s">
        <v>1363</v>
      </c>
      <c r="I1880" s="40" t="s">
        <v>1361</v>
      </c>
    </row>
    <row r="1881" spans="1:9" x14ac:dyDescent="0.25">
      <c r="A1881" s="40" t="s">
        <v>139</v>
      </c>
      <c r="B1881" s="28">
        <v>2020</v>
      </c>
      <c r="C1881" s="28">
        <v>5667995</v>
      </c>
      <c r="D1881" s="28"/>
      <c r="E1881" s="41">
        <v>46156</v>
      </c>
      <c r="F1881" s="47">
        <v>0.7828356481481481</v>
      </c>
      <c r="G1881" s="44">
        <v>6.3</v>
      </c>
      <c r="H1881" s="43" t="s">
        <v>1364</v>
      </c>
      <c r="I1881" s="40" t="s">
        <v>1361</v>
      </c>
    </row>
    <row r="1882" spans="1:9" x14ac:dyDescent="0.25">
      <c r="A1882" s="40" t="s">
        <v>139</v>
      </c>
      <c r="B1882" s="28">
        <v>2020</v>
      </c>
      <c r="C1882" s="28">
        <v>5669061</v>
      </c>
      <c r="D1882" s="28"/>
      <c r="E1882" s="41">
        <v>46156</v>
      </c>
      <c r="F1882" s="47">
        <v>0.8852430555555556</v>
      </c>
      <c r="G1882" s="44">
        <v>6.3</v>
      </c>
      <c r="H1882" s="43" t="s">
        <v>1360</v>
      </c>
      <c r="I1882" s="40" t="s">
        <v>1361</v>
      </c>
    </row>
    <row r="1883" spans="1:9" x14ac:dyDescent="0.25">
      <c r="A1883" s="40" t="s">
        <v>139</v>
      </c>
      <c r="B1883" s="28">
        <v>2020</v>
      </c>
      <c r="C1883" s="28">
        <v>5669061</v>
      </c>
      <c r="D1883" s="28"/>
      <c r="E1883" s="45">
        <v>46156</v>
      </c>
      <c r="F1883" s="48">
        <v>0.89293981481481477</v>
      </c>
      <c r="G1883" s="44">
        <v>6.3</v>
      </c>
      <c r="H1883" s="43" t="s">
        <v>1362</v>
      </c>
      <c r="I1883" s="40" t="s">
        <v>1361</v>
      </c>
    </row>
    <row r="1884" spans="1:9" x14ac:dyDescent="0.25">
      <c r="A1884" s="40" t="s">
        <v>139</v>
      </c>
      <c r="B1884" s="28">
        <v>2020</v>
      </c>
      <c r="C1884" s="28">
        <v>5670006</v>
      </c>
      <c r="D1884" s="28"/>
      <c r="E1884" s="45">
        <v>46157</v>
      </c>
      <c r="F1884" s="48">
        <v>0.65744212962962967</v>
      </c>
      <c r="G1884" s="44">
        <v>6.3</v>
      </c>
      <c r="H1884" s="43" t="s">
        <v>1363</v>
      </c>
      <c r="I1884" s="40" t="s">
        <v>1361</v>
      </c>
    </row>
    <row r="1885" spans="1:9" x14ac:dyDescent="0.25">
      <c r="A1885" s="40" t="s">
        <v>121</v>
      </c>
      <c r="B1885" s="28">
        <v>2030</v>
      </c>
      <c r="C1885" s="28">
        <v>5662607</v>
      </c>
      <c r="D1885" s="28" t="s">
        <v>37</v>
      </c>
      <c r="E1885" s="41">
        <v>46153</v>
      </c>
      <c r="F1885" s="47">
        <v>0.44400462962962961</v>
      </c>
      <c r="G1885" s="44">
        <v>6.3</v>
      </c>
      <c r="H1885" s="43" t="s">
        <v>1364</v>
      </c>
      <c r="I1885" s="40" t="s">
        <v>1361</v>
      </c>
    </row>
    <row r="1886" spans="1:9" x14ac:dyDescent="0.25">
      <c r="A1886" s="40" t="s">
        <v>121</v>
      </c>
      <c r="B1886" s="28">
        <v>2030</v>
      </c>
      <c r="C1886" s="28">
        <v>5668175</v>
      </c>
      <c r="D1886" s="28"/>
      <c r="E1886" s="41">
        <v>46156</v>
      </c>
      <c r="F1886" s="47">
        <v>0.83239583333333333</v>
      </c>
      <c r="G1886" s="44">
        <v>6.3</v>
      </c>
      <c r="H1886" s="43" t="s">
        <v>1370</v>
      </c>
      <c r="I1886" s="40" t="s">
        <v>1361</v>
      </c>
    </row>
    <row r="1887" spans="1:9" x14ac:dyDescent="0.25">
      <c r="A1887" s="40" t="s">
        <v>121</v>
      </c>
      <c r="B1887" s="28">
        <v>2030</v>
      </c>
      <c r="C1887" s="28">
        <v>5668175</v>
      </c>
      <c r="D1887" s="28"/>
      <c r="E1887" s="41">
        <v>46156</v>
      </c>
      <c r="F1887" s="47">
        <v>0.84548611111111116</v>
      </c>
      <c r="G1887" s="44">
        <v>6.3</v>
      </c>
      <c r="H1887" s="43" t="s">
        <v>1364</v>
      </c>
      <c r="I1887" s="40" t="s">
        <v>1361</v>
      </c>
    </row>
    <row r="1888" spans="1:9" x14ac:dyDescent="0.25">
      <c r="A1888" s="40" t="s">
        <v>121</v>
      </c>
      <c r="B1888" s="28">
        <v>2030</v>
      </c>
      <c r="C1888" s="28">
        <v>5671041</v>
      </c>
      <c r="D1888" s="28"/>
      <c r="E1888" s="41">
        <v>46157</v>
      </c>
      <c r="F1888" s="47">
        <v>0.94535879629629627</v>
      </c>
      <c r="G1888" s="44">
        <v>6.3</v>
      </c>
      <c r="H1888" s="43" t="s">
        <v>1360</v>
      </c>
      <c r="I1888" s="40" t="s">
        <v>1361</v>
      </c>
    </row>
    <row r="1889" spans="1:9" x14ac:dyDescent="0.25">
      <c r="A1889" s="40" t="s">
        <v>121</v>
      </c>
      <c r="B1889" s="28">
        <v>2030</v>
      </c>
      <c r="C1889" s="28">
        <v>5671041</v>
      </c>
      <c r="D1889" s="28"/>
      <c r="E1889" s="41">
        <v>46157</v>
      </c>
      <c r="F1889" s="47">
        <v>0.95116898148148143</v>
      </c>
      <c r="G1889" s="44">
        <v>6.3</v>
      </c>
      <c r="H1889" s="43" t="s">
        <v>1366</v>
      </c>
      <c r="I1889" s="40" t="s">
        <v>1361</v>
      </c>
    </row>
    <row r="1890" spans="1:9" x14ac:dyDescent="0.25">
      <c r="A1890" s="40" t="s">
        <v>122</v>
      </c>
      <c r="B1890" s="28">
        <v>2039</v>
      </c>
      <c r="C1890" s="28" t="s">
        <v>35</v>
      </c>
      <c r="D1890" s="28" t="s">
        <v>38</v>
      </c>
      <c r="E1890" s="41">
        <v>46156</v>
      </c>
      <c r="F1890" s="47">
        <v>0.30754629629629632</v>
      </c>
      <c r="G1890" s="44">
        <v>6.3</v>
      </c>
      <c r="H1890" s="43" t="s">
        <v>1370</v>
      </c>
      <c r="I1890" s="40" t="s">
        <v>1361</v>
      </c>
    </row>
    <row r="1891" spans="1:9" x14ac:dyDescent="0.25">
      <c r="A1891" s="40" t="s">
        <v>122</v>
      </c>
      <c r="B1891" s="28">
        <v>2039</v>
      </c>
      <c r="C1891" s="28" t="s">
        <v>35</v>
      </c>
      <c r="D1891" s="28" t="s">
        <v>38</v>
      </c>
      <c r="E1891" s="41">
        <v>46156</v>
      </c>
      <c r="F1891" s="47">
        <v>0.31283564814814813</v>
      </c>
      <c r="G1891" s="44">
        <v>6.3</v>
      </c>
      <c r="H1891" s="43" t="s">
        <v>1364</v>
      </c>
      <c r="I1891" s="40" t="s">
        <v>1361</v>
      </c>
    </row>
    <row r="1892" spans="1:9" x14ac:dyDescent="0.25">
      <c r="A1892" s="40" t="s">
        <v>122</v>
      </c>
      <c r="B1892" s="28">
        <v>2039</v>
      </c>
      <c r="C1892" s="28" t="s">
        <v>35</v>
      </c>
      <c r="D1892" s="28" t="s">
        <v>38</v>
      </c>
      <c r="E1892" s="45">
        <v>46157</v>
      </c>
      <c r="F1892" s="48">
        <v>4.2060185185185187E-2</v>
      </c>
      <c r="G1892" s="44">
        <v>6.3</v>
      </c>
      <c r="H1892" s="43" t="s">
        <v>1360</v>
      </c>
      <c r="I1892" s="40" t="s">
        <v>1361</v>
      </c>
    </row>
    <row r="1893" spans="1:9" x14ac:dyDescent="0.25">
      <c r="A1893" s="40" t="s">
        <v>122</v>
      </c>
      <c r="B1893" s="28">
        <v>2039</v>
      </c>
      <c r="C1893" s="28" t="s">
        <v>35</v>
      </c>
      <c r="D1893" s="28" t="s">
        <v>38</v>
      </c>
      <c r="E1893" s="41">
        <v>46157</v>
      </c>
      <c r="F1893" s="47">
        <v>4.9062500000000002E-2</v>
      </c>
      <c r="G1893" s="44">
        <v>6.3</v>
      </c>
      <c r="H1893" s="43" t="s">
        <v>1368</v>
      </c>
      <c r="I1893" s="40" t="s">
        <v>1361</v>
      </c>
    </row>
    <row r="1894" spans="1:9" x14ac:dyDescent="0.25">
      <c r="A1894" s="40" t="s">
        <v>328</v>
      </c>
      <c r="B1894" s="28">
        <v>2051</v>
      </c>
      <c r="C1894" s="28" t="s">
        <v>731</v>
      </c>
      <c r="D1894" s="28"/>
      <c r="E1894" s="41">
        <v>46154</v>
      </c>
      <c r="F1894" s="47">
        <v>0.61109953703703701</v>
      </c>
      <c r="G1894" s="44">
        <v>6.3</v>
      </c>
      <c r="H1894" s="43" t="s">
        <v>1360</v>
      </c>
      <c r="I1894" s="40" t="s">
        <v>1361</v>
      </c>
    </row>
    <row r="1895" spans="1:9" x14ac:dyDescent="0.25">
      <c r="A1895" s="40" t="s">
        <v>328</v>
      </c>
      <c r="B1895" s="28">
        <v>2051</v>
      </c>
      <c r="C1895" s="28" t="s">
        <v>731</v>
      </c>
      <c r="D1895" s="28"/>
      <c r="E1895" s="41">
        <v>46154</v>
      </c>
      <c r="F1895" s="47">
        <v>0.62123842592592593</v>
      </c>
      <c r="G1895" s="44">
        <v>6.3</v>
      </c>
      <c r="H1895" s="43" t="s">
        <v>1362</v>
      </c>
      <c r="I1895" s="40" t="s">
        <v>1361</v>
      </c>
    </row>
    <row r="1896" spans="1:9" x14ac:dyDescent="0.25">
      <c r="A1896" s="40" t="s">
        <v>328</v>
      </c>
      <c r="B1896" s="28">
        <v>2051</v>
      </c>
      <c r="C1896" s="28" t="s">
        <v>35</v>
      </c>
      <c r="D1896" s="28" t="s">
        <v>38</v>
      </c>
      <c r="E1896" s="41">
        <v>46154</v>
      </c>
      <c r="F1896" s="47">
        <v>0.66236111111111107</v>
      </c>
      <c r="G1896" s="44">
        <v>6.3</v>
      </c>
      <c r="H1896" s="43" t="s">
        <v>1369</v>
      </c>
      <c r="I1896" s="40" t="s">
        <v>1361</v>
      </c>
    </row>
    <row r="1897" spans="1:9" x14ac:dyDescent="0.25">
      <c r="A1897" s="40" t="s">
        <v>328</v>
      </c>
      <c r="B1897" s="28">
        <v>2051</v>
      </c>
      <c r="C1897" s="28" t="s">
        <v>35</v>
      </c>
      <c r="D1897" s="28" t="s">
        <v>38</v>
      </c>
      <c r="E1897" s="41">
        <v>46154</v>
      </c>
      <c r="F1897" s="47">
        <v>0.68115740740740738</v>
      </c>
      <c r="G1897" s="44">
        <v>6.3</v>
      </c>
      <c r="H1897" s="43" t="s">
        <v>1364</v>
      </c>
      <c r="I1897" s="40" t="s">
        <v>1361</v>
      </c>
    </row>
    <row r="1898" spans="1:9" x14ac:dyDescent="0.25">
      <c r="A1898" s="40" t="s">
        <v>328</v>
      </c>
      <c r="B1898" s="28">
        <v>2051</v>
      </c>
      <c r="C1898" s="28" t="s">
        <v>35</v>
      </c>
      <c r="D1898" s="28" t="s">
        <v>38</v>
      </c>
      <c r="E1898" s="41">
        <v>46156</v>
      </c>
      <c r="F1898" s="47">
        <v>0.26354166666666667</v>
      </c>
      <c r="G1898" s="44">
        <v>6.3</v>
      </c>
      <c r="H1898" s="43" t="s">
        <v>1369</v>
      </c>
      <c r="I1898" s="40" t="s">
        <v>1361</v>
      </c>
    </row>
    <row r="1899" spans="1:9" x14ac:dyDescent="0.25">
      <c r="A1899" s="40" t="s">
        <v>328</v>
      </c>
      <c r="B1899" s="28">
        <v>2051</v>
      </c>
      <c r="C1899" s="28" t="s">
        <v>35</v>
      </c>
      <c r="D1899" s="28" t="s">
        <v>38</v>
      </c>
      <c r="E1899" s="41">
        <v>46156</v>
      </c>
      <c r="F1899" s="47">
        <v>0.27079861111111109</v>
      </c>
      <c r="G1899" s="44">
        <v>6.3</v>
      </c>
      <c r="H1899" s="43" t="s">
        <v>1364</v>
      </c>
      <c r="I1899" s="40" t="s">
        <v>1361</v>
      </c>
    </row>
    <row r="1900" spans="1:9" x14ac:dyDescent="0.25">
      <c r="A1900" s="40" t="s">
        <v>328</v>
      </c>
      <c r="B1900" s="28">
        <v>2051</v>
      </c>
      <c r="C1900" s="28" t="s">
        <v>732</v>
      </c>
      <c r="D1900" s="28"/>
      <c r="E1900" s="41">
        <v>46158</v>
      </c>
      <c r="F1900" s="47">
        <v>0.36107638888888888</v>
      </c>
      <c r="G1900" s="44">
        <v>6.3</v>
      </c>
      <c r="H1900" s="43" t="s">
        <v>1360</v>
      </c>
      <c r="I1900" s="40" t="s">
        <v>1365</v>
      </c>
    </row>
    <row r="1901" spans="1:9" x14ac:dyDescent="0.25">
      <c r="A1901" s="40" t="s">
        <v>328</v>
      </c>
      <c r="B1901" s="28">
        <v>2051</v>
      </c>
      <c r="C1901" s="28" t="s">
        <v>732</v>
      </c>
      <c r="D1901" s="28"/>
      <c r="E1901" s="41">
        <v>46158</v>
      </c>
      <c r="F1901" s="47">
        <v>0.37141203703703701</v>
      </c>
      <c r="G1901" s="44">
        <v>6.3</v>
      </c>
      <c r="H1901" s="43" t="s">
        <v>1362</v>
      </c>
      <c r="I1901" s="40" t="s">
        <v>1365</v>
      </c>
    </row>
    <row r="1902" spans="1:9" x14ac:dyDescent="0.25">
      <c r="A1902" s="40" t="s">
        <v>416</v>
      </c>
      <c r="B1902" s="28">
        <v>2060</v>
      </c>
      <c r="C1902" s="28" t="s">
        <v>35</v>
      </c>
      <c r="D1902" s="28" t="s">
        <v>38</v>
      </c>
      <c r="E1902" s="41">
        <v>46153</v>
      </c>
      <c r="F1902" s="47">
        <v>0.60420138888888886</v>
      </c>
      <c r="G1902" s="44">
        <v>6.3</v>
      </c>
      <c r="H1902" s="43" t="s">
        <v>1363</v>
      </c>
      <c r="I1902" s="40" t="s">
        <v>1361</v>
      </c>
    </row>
    <row r="1903" spans="1:9" x14ac:dyDescent="0.25">
      <c r="A1903" s="40" t="s">
        <v>416</v>
      </c>
      <c r="B1903" s="28">
        <v>2060</v>
      </c>
      <c r="C1903" s="28" t="s">
        <v>35</v>
      </c>
      <c r="D1903" s="28" t="s">
        <v>38</v>
      </c>
      <c r="E1903" s="41">
        <v>46153</v>
      </c>
      <c r="F1903" s="47">
        <v>0.6096759259259259</v>
      </c>
      <c r="G1903" s="44">
        <v>6.3</v>
      </c>
      <c r="H1903" s="43" t="s">
        <v>1364</v>
      </c>
      <c r="I1903" s="40" t="s">
        <v>1361</v>
      </c>
    </row>
    <row r="1904" spans="1:9" x14ac:dyDescent="0.25">
      <c r="A1904" s="40" t="s">
        <v>416</v>
      </c>
      <c r="B1904" s="28">
        <v>2060</v>
      </c>
      <c r="C1904" s="28" t="s">
        <v>35</v>
      </c>
      <c r="D1904" s="28" t="s">
        <v>38</v>
      </c>
      <c r="E1904" s="41">
        <v>46158</v>
      </c>
      <c r="F1904" s="47">
        <v>0.70766203703703701</v>
      </c>
      <c r="G1904" s="44">
        <v>6.3</v>
      </c>
      <c r="H1904" s="43" t="s">
        <v>1360</v>
      </c>
      <c r="I1904" s="40" t="s">
        <v>1365</v>
      </c>
    </row>
    <row r="1905" spans="1:9" x14ac:dyDescent="0.25">
      <c r="A1905" s="40" t="s">
        <v>416</v>
      </c>
      <c r="B1905" s="28">
        <v>2060</v>
      </c>
      <c r="C1905" s="28" t="s">
        <v>35</v>
      </c>
      <c r="D1905" s="28" t="s">
        <v>38</v>
      </c>
      <c r="E1905" s="41">
        <v>46158</v>
      </c>
      <c r="F1905" s="47">
        <v>0.71487268518518521</v>
      </c>
      <c r="G1905" s="44">
        <v>6.3</v>
      </c>
      <c r="H1905" s="43" t="s">
        <v>1362</v>
      </c>
      <c r="I1905" s="40" t="s">
        <v>1365</v>
      </c>
    </row>
    <row r="1906" spans="1:9" x14ac:dyDescent="0.25">
      <c r="A1906" s="40" t="s">
        <v>123</v>
      </c>
      <c r="B1906" s="28">
        <v>2168</v>
      </c>
      <c r="C1906" s="28">
        <v>5661417</v>
      </c>
      <c r="D1906" s="28"/>
      <c r="E1906" s="41">
        <v>46153</v>
      </c>
      <c r="F1906" s="47">
        <v>0.17560185185185184</v>
      </c>
      <c r="G1906" s="44">
        <v>6.3</v>
      </c>
      <c r="H1906" s="43" t="s">
        <v>1363</v>
      </c>
      <c r="I1906" s="40" t="s">
        <v>1361</v>
      </c>
    </row>
    <row r="1907" spans="1:9" x14ac:dyDescent="0.25">
      <c r="A1907" s="40" t="s">
        <v>123</v>
      </c>
      <c r="B1907" s="28">
        <v>2168</v>
      </c>
      <c r="C1907" s="28">
        <v>5661417</v>
      </c>
      <c r="D1907" s="28"/>
      <c r="E1907" s="41">
        <v>46153</v>
      </c>
      <c r="F1907" s="47">
        <v>0.18077546296296296</v>
      </c>
      <c r="G1907" s="44">
        <v>6.3</v>
      </c>
      <c r="H1907" s="43" t="s">
        <v>1364</v>
      </c>
      <c r="I1907" s="40" t="s">
        <v>1361</v>
      </c>
    </row>
    <row r="1908" spans="1:9" x14ac:dyDescent="0.25">
      <c r="A1908" s="40" t="s">
        <v>123</v>
      </c>
      <c r="B1908" s="28">
        <v>2168</v>
      </c>
      <c r="C1908" s="28">
        <v>5660971</v>
      </c>
      <c r="D1908" s="28"/>
      <c r="E1908" s="41">
        <v>46153</v>
      </c>
      <c r="F1908" s="47">
        <v>0.3268287037037037</v>
      </c>
      <c r="G1908" s="44">
        <v>6.3</v>
      </c>
      <c r="H1908" s="43" t="s">
        <v>1364</v>
      </c>
      <c r="I1908" s="40" t="s">
        <v>1361</v>
      </c>
    </row>
    <row r="1909" spans="1:9" x14ac:dyDescent="0.25">
      <c r="A1909" s="40" t="s">
        <v>123</v>
      </c>
      <c r="B1909" s="28">
        <v>2168</v>
      </c>
      <c r="C1909" s="28">
        <v>5662683</v>
      </c>
      <c r="D1909" s="28"/>
      <c r="E1909" s="41">
        <v>46153</v>
      </c>
      <c r="F1909" s="47">
        <v>0.54827546296296292</v>
      </c>
      <c r="G1909" s="44">
        <v>6.3</v>
      </c>
      <c r="H1909" s="43" t="s">
        <v>1363</v>
      </c>
      <c r="I1909" s="40" t="s">
        <v>1361</v>
      </c>
    </row>
    <row r="1910" spans="1:9" x14ac:dyDescent="0.25">
      <c r="A1910" s="40" t="s">
        <v>123</v>
      </c>
      <c r="B1910" s="28">
        <v>2168</v>
      </c>
      <c r="C1910" s="28">
        <v>5662683</v>
      </c>
      <c r="D1910" s="28"/>
      <c r="E1910" s="41">
        <v>46153</v>
      </c>
      <c r="F1910" s="47">
        <v>0.55402777777777779</v>
      </c>
      <c r="G1910" s="44">
        <v>6.3</v>
      </c>
      <c r="H1910" s="43" t="s">
        <v>1364</v>
      </c>
      <c r="I1910" s="40" t="s">
        <v>1361</v>
      </c>
    </row>
    <row r="1911" spans="1:9" x14ac:dyDescent="0.25">
      <c r="A1911" s="40" t="s">
        <v>123</v>
      </c>
      <c r="B1911" s="28">
        <v>2168</v>
      </c>
      <c r="C1911" s="28">
        <v>5664214</v>
      </c>
      <c r="D1911" s="28"/>
      <c r="E1911" s="41">
        <v>46154</v>
      </c>
      <c r="F1911" s="47">
        <v>0.19483796296296296</v>
      </c>
      <c r="G1911" s="44">
        <v>6.3</v>
      </c>
      <c r="H1911" s="43" t="s">
        <v>1364</v>
      </c>
      <c r="I1911" s="40" t="s">
        <v>1361</v>
      </c>
    </row>
    <row r="1912" spans="1:9" x14ac:dyDescent="0.25">
      <c r="A1912" s="40" t="s">
        <v>123</v>
      </c>
      <c r="B1912" s="28">
        <v>2168</v>
      </c>
      <c r="C1912" s="28">
        <v>5663725</v>
      </c>
      <c r="D1912" s="28"/>
      <c r="E1912" s="41">
        <v>46154</v>
      </c>
      <c r="F1912" s="47">
        <v>0.3193171296296296</v>
      </c>
      <c r="G1912" s="44">
        <v>6.3</v>
      </c>
      <c r="H1912" s="43" t="s">
        <v>1360</v>
      </c>
      <c r="I1912" s="40" t="s">
        <v>1361</v>
      </c>
    </row>
    <row r="1913" spans="1:9" x14ac:dyDescent="0.25">
      <c r="A1913" s="40" t="s">
        <v>123</v>
      </c>
      <c r="B1913" s="28">
        <v>2168</v>
      </c>
      <c r="C1913" s="28">
        <v>5663725</v>
      </c>
      <c r="D1913" s="28"/>
      <c r="E1913" s="41">
        <v>46154</v>
      </c>
      <c r="F1913" s="47">
        <v>0.33531250000000001</v>
      </c>
      <c r="G1913" s="44">
        <v>6.3</v>
      </c>
      <c r="H1913" s="43" t="s">
        <v>1362</v>
      </c>
      <c r="I1913" s="40" t="s">
        <v>1361</v>
      </c>
    </row>
    <row r="1914" spans="1:9" x14ac:dyDescent="0.25">
      <c r="A1914" s="40" t="s">
        <v>123</v>
      </c>
      <c r="B1914" s="28">
        <v>2168</v>
      </c>
      <c r="C1914" s="28">
        <v>5665317</v>
      </c>
      <c r="D1914" s="28"/>
      <c r="E1914" s="41">
        <v>46155</v>
      </c>
      <c r="F1914" s="47">
        <v>0.19291666666666665</v>
      </c>
      <c r="G1914" s="44">
        <v>6.3</v>
      </c>
      <c r="H1914" s="43" t="s">
        <v>1369</v>
      </c>
      <c r="I1914" s="40" t="s">
        <v>1361</v>
      </c>
    </row>
    <row r="1915" spans="1:9" x14ac:dyDescent="0.25">
      <c r="A1915" s="40" t="s">
        <v>123</v>
      </c>
      <c r="B1915" s="28">
        <v>2168</v>
      </c>
      <c r="C1915" s="28">
        <v>5665317</v>
      </c>
      <c r="D1915" s="28"/>
      <c r="E1915" s="41">
        <v>46155</v>
      </c>
      <c r="F1915" s="47">
        <v>0.19803240740740741</v>
      </c>
      <c r="G1915" s="44">
        <v>6.3</v>
      </c>
      <c r="H1915" s="43" t="s">
        <v>1364</v>
      </c>
      <c r="I1915" s="40" t="s">
        <v>1361</v>
      </c>
    </row>
    <row r="1916" spans="1:9" x14ac:dyDescent="0.25">
      <c r="A1916" s="40" t="s">
        <v>123</v>
      </c>
      <c r="B1916" s="28">
        <v>2168</v>
      </c>
      <c r="C1916" s="28" t="s">
        <v>35</v>
      </c>
      <c r="D1916" s="28" t="s">
        <v>38</v>
      </c>
      <c r="E1916" s="41">
        <v>46155</v>
      </c>
      <c r="F1916" s="47">
        <v>0.53730324074074076</v>
      </c>
      <c r="G1916" s="44">
        <v>6.3</v>
      </c>
      <c r="H1916" s="43" t="s">
        <v>1360</v>
      </c>
      <c r="I1916" s="40" t="s">
        <v>1361</v>
      </c>
    </row>
    <row r="1917" spans="1:9" x14ac:dyDescent="0.25">
      <c r="A1917" s="40" t="s">
        <v>123</v>
      </c>
      <c r="B1917" s="28">
        <v>2168</v>
      </c>
      <c r="C1917" s="28">
        <v>5667980</v>
      </c>
      <c r="D1917" s="28"/>
      <c r="E1917" s="41">
        <v>46156</v>
      </c>
      <c r="F1917" s="47">
        <v>0.53776620370370365</v>
      </c>
      <c r="G1917" s="42">
        <v>6.3</v>
      </c>
      <c r="H1917" s="40" t="s">
        <v>1360</v>
      </c>
      <c r="I1917" s="40" t="s">
        <v>1361</v>
      </c>
    </row>
    <row r="1918" spans="1:9" x14ac:dyDescent="0.25">
      <c r="A1918" s="40" t="s">
        <v>123</v>
      </c>
      <c r="B1918" s="28">
        <v>2168</v>
      </c>
      <c r="C1918" s="28">
        <v>5667980</v>
      </c>
      <c r="D1918" s="28"/>
      <c r="E1918" s="41">
        <v>46156</v>
      </c>
      <c r="F1918" s="47">
        <v>0.54805555555555552</v>
      </c>
      <c r="G1918" s="42">
        <v>6.3</v>
      </c>
      <c r="H1918" s="40" t="s">
        <v>1362</v>
      </c>
      <c r="I1918" s="40" t="s">
        <v>1361</v>
      </c>
    </row>
    <row r="1919" spans="1:9" x14ac:dyDescent="0.25">
      <c r="A1919" s="40" t="s">
        <v>123</v>
      </c>
      <c r="B1919" s="28">
        <v>2168</v>
      </c>
      <c r="C1919" s="28">
        <v>5668614</v>
      </c>
      <c r="D1919" s="28" t="s">
        <v>37</v>
      </c>
      <c r="E1919" s="41">
        <v>46157</v>
      </c>
      <c r="F1919" s="47">
        <v>0.1877662037037037</v>
      </c>
      <c r="G1919" s="42">
        <v>6.3</v>
      </c>
      <c r="H1919" s="40" t="s">
        <v>1364</v>
      </c>
      <c r="I1919" s="40" t="s">
        <v>1361</v>
      </c>
    </row>
    <row r="1920" spans="1:9" x14ac:dyDescent="0.25">
      <c r="A1920" s="40" t="s">
        <v>123</v>
      </c>
      <c r="B1920" s="28">
        <v>2168</v>
      </c>
      <c r="C1920" s="28">
        <v>5669675</v>
      </c>
      <c r="D1920" s="28" t="s">
        <v>37</v>
      </c>
      <c r="E1920" s="41">
        <v>46157</v>
      </c>
      <c r="F1920" s="47">
        <v>0.3740162037037037</v>
      </c>
      <c r="G1920" s="42">
        <v>6.3</v>
      </c>
      <c r="H1920" s="40" t="s">
        <v>1363</v>
      </c>
      <c r="I1920" s="40" t="s">
        <v>1361</v>
      </c>
    </row>
    <row r="1921" spans="1:9" x14ac:dyDescent="0.25">
      <c r="A1921" s="40" t="s">
        <v>123</v>
      </c>
      <c r="B1921" s="28">
        <v>2168</v>
      </c>
      <c r="C1921" s="28">
        <v>5669675</v>
      </c>
      <c r="D1921" s="28" t="s">
        <v>37</v>
      </c>
      <c r="E1921" s="41">
        <v>46157</v>
      </c>
      <c r="F1921" s="47">
        <v>0.38096064814814817</v>
      </c>
      <c r="G1921" s="42">
        <v>6.3</v>
      </c>
      <c r="H1921" s="40" t="s">
        <v>1364</v>
      </c>
      <c r="I1921" s="40" t="s">
        <v>1361</v>
      </c>
    </row>
    <row r="1922" spans="1:9" x14ac:dyDescent="0.25">
      <c r="A1922" s="40" t="s">
        <v>123</v>
      </c>
      <c r="B1922" s="28">
        <v>2168</v>
      </c>
      <c r="C1922" s="28">
        <v>5669675</v>
      </c>
      <c r="D1922" s="28" t="s">
        <v>37</v>
      </c>
      <c r="E1922" s="41">
        <v>46157</v>
      </c>
      <c r="F1922" s="47">
        <v>0.4161111111111111</v>
      </c>
      <c r="G1922" s="42">
        <v>6.3</v>
      </c>
      <c r="H1922" s="40" t="s">
        <v>1360</v>
      </c>
      <c r="I1922" s="40" t="s">
        <v>1361</v>
      </c>
    </row>
    <row r="1923" spans="1:9" x14ac:dyDescent="0.25">
      <c r="A1923" s="40" t="s">
        <v>123</v>
      </c>
      <c r="B1923" s="28">
        <v>2168</v>
      </c>
      <c r="C1923" s="28">
        <v>5669675</v>
      </c>
      <c r="D1923" s="28" t="s">
        <v>37</v>
      </c>
      <c r="E1923" s="41">
        <v>46157</v>
      </c>
      <c r="F1923" s="47">
        <v>0.43061342592592594</v>
      </c>
      <c r="G1923" s="42">
        <v>6.3</v>
      </c>
      <c r="H1923" s="40" t="s">
        <v>1362</v>
      </c>
      <c r="I1923" s="40" t="s">
        <v>1361</v>
      </c>
    </row>
    <row r="1924" spans="1:9" x14ac:dyDescent="0.25">
      <c r="A1924" s="40" t="s">
        <v>417</v>
      </c>
      <c r="B1924" s="28">
        <v>2186</v>
      </c>
      <c r="C1924" s="28">
        <v>5662453</v>
      </c>
      <c r="D1924" s="28" t="s">
        <v>37</v>
      </c>
      <c r="E1924" s="45">
        <v>46153</v>
      </c>
      <c r="F1924" s="48">
        <v>0.5440625</v>
      </c>
      <c r="G1924" s="42">
        <v>6.3</v>
      </c>
      <c r="H1924" s="40" t="s">
        <v>1370</v>
      </c>
      <c r="I1924" s="40" t="s">
        <v>1361</v>
      </c>
    </row>
    <row r="1925" spans="1:9" x14ac:dyDescent="0.25">
      <c r="A1925" s="40" t="s">
        <v>417</v>
      </c>
      <c r="B1925" s="28">
        <v>2186</v>
      </c>
      <c r="C1925" s="28">
        <v>5662453</v>
      </c>
      <c r="D1925" s="28" t="s">
        <v>37</v>
      </c>
      <c r="E1925" s="41">
        <v>46153</v>
      </c>
      <c r="F1925" s="47">
        <v>0.54915509259259254</v>
      </c>
      <c r="G1925" s="42">
        <v>6.3</v>
      </c>
      <c r="H1925" s="40" t="s">
        <v>1364</v>
      </c>
      <c r="I1925" s="40" t="s">
        <v>1361</v>
      </c>
    </row>
    <row r="1926" spans="1:9" x14ac:dyDescent="0.25">
      <c r="A1926" s="40" t="s">
        <v>417</v>
      </c>
      <c r="B1926" s="28">
        <v>2186</v>
      </c>
      <c r="C1926" s="28">
        <v>5663544</v>
      </c>
      <c r="D1926" s="28"/>
      <c r="E1926" s="41">
        <v>46154</v>
      </c>
      <c r="F1926" s="47">
        <v>0.32317129629629632</v>
      </c>
      <c r="G1926" s="44">
        <v>6.3</v>
      </c>
      <c r="H1926" s="43" t="s">
        <v>1360</v>
      </c>
      <c r="I1926" s="40" t="s">
        <v>1361</v>
      </c>
    </row>
    <row r="1927" spans="1:9" x14ac:dyDescent="0.25">
      <c r="A1927" s="40" t="s">
        <v>417</v>
      </c>
      <c r="B1927" s="28">
        <v>2186</v>
      </c>
      <c r="C1927" s="28">
        <v>5663544</v>
      </c>
      <c r="D1927" s="28"/>
      <c r="E1927" s="41">
        <v>46154</v>
      </c>
      <c r="F1927" s="47">
        <v>0.33761574074074074</v>
      </c>
      <c r="G1927" s="44">
        <v>6.3</v>
      </c>
      <c r="H1927" s="43" t="s">
        <v>1362</v>
      </c>
      <c r="I1927" s="40" t="s">
        <v>1361</v>
      </c>
    </row>
    <row r="1928" spans="1:9" x14ac:dyDescent="0.25">
      <c r="A1928" s="40" t="s">
        <v>239</v>
      </c>
      <c r="B1928" s="28">
        <v>2189</v>
      </c>
      <c r="C1928" s="28">
        <v>5664125</v>
      </c>
      <c r="D1928" s="28"/>
      <c r="E1928" s="41">
        <v>46154</v>
      </c>
      <c r="F1928" s="47">
        <v>0.23858796296296297</v>
      </c>
      <c r="G1928" s="44">
        <v>6.3</v>
      </c>
      <c r="H1928" s="43" t="s">
        <v>1360</v>
      </c>
      <c r="I1928" s="40" t="s">
        <v>1361</v>
      </c>
    </row>
    <row r="1929" spans="1:9" x14ac:dyDescent="0.25">
      <c r="A1929" s="40" t="s">
        <v>239</v>
      </c>
      <c r="B1929" s="28">
        <v>2189</v>
      </c>
      <c r="C1929" s="28">
        <v>5665955</v>
      </c>
      <c r="D1929" s="28"/>
      <c r="E1929" s="41">
        <v>46155</v>
      </c>
      <c r="F1929" s="47">
        <v>0.24965277777777778</v>
      </c>
      <c r="G1929" s="44">
        <v>6.3</v>
      </c>
      <c r="H1929" s="43" t="s">
        <v>1362</v>
      </c>
      <c r="I1929" s="40" t="s">
        <v>1361</v>
      </c>
    </row>
    <row r="1930" spans="1:9" x14ac:dyDescent="0.25">
      <c r="A1930" s="40" t="s">
        <v>239</v>
      </c>
      <c r="B1930" s="28">
        <v>2189</v>
      </c>
      <c r="C1930" s="28" t="s">
        <v>35</v>
      </c>
      <c r="D1930" s="28" t="s">
        <v>38</v>
      </c>
      <c r="E1930" s="41">
        <v>46155</v>
      </c>
      <c r="F1930" s="47">
        <v>0.43456018518518519</v>
      </c>
      <c r="G1930" s="44">
        <v>6.3</v>
      </c>
      <c r="H1930" s="43" t="s">
        <v>1363</v>
      </c>
      <c r="I1930" s="40" t="s">
        <v>1361</v>
      </c>
    </row>
    <row r="1931" spans="1:9" x14ac:dyDescent="0.25">
      <c r="A1931" s="40" t="s">
        <v>239</v>
      </c>
      <c r="B1931" s="28">
        <v>2189</v>
      </c>
      <c r="C1931" s="28" t="s">
        <v>35</v>
      </c>
      <c r="D1931" s="28" t="s">
        <v>38</v>
      </c>
      <c r="E1931" s="45">
        <v>46158</v>
      </c>
      <c r="F1931" s="48">
        <v>0.76188657407407412</v>
      </c>
      <c r="G1931" s="44">
        <v>6.3</v>
      </c>
      <c r="H1931" s="43" t="s">
        <v>1362</v>
      </c>
      <c r="I1931" s="40" t="s">
        <v>1365</v>
      </c>
    </row>
    <row r="1932" spans="1:9" x14ac:dyDescent="0.25">
      <c r="A1932" s="40" t="s">
        <v>239</v>
      </c>
      <c r="B1932" s="28">
        <v>2189</v>
      </c>
      <c r="C1932" s="28">
        <v>5671650</v>
      </c>
      <c r="D1932" s="28"/>
      <c r="E1932" s="41">
        <v>46158</v>
      </c>
      <c r="F1932" s="47">
        <v>0.86495370370370372</v>
      </c>
      <c r="G1932" s="44">
        <v>6.3</v>
      </c>
      <c r="H1932" s="43" t="s">
        <v>1363</v>
      </c>
      <c r="I1932" s="40" t="s">
        <v>1365</v>
      </c>
    </row>
    <row r="1933" spans="1:9" x14ac:dyDescent="0.25">
      <c r="A1933" s="40" t="s">
        <v>239</v>
      </c>
      <c r="B1933" s="28">
        <v>2189</v>
      </c>
      <c r="C1933" s="28">
        <v>5671650</v>
      </c>
      <c r="D1933" s="28" t="s">
        <v>36</v>
      </c>
      <c r="E1933" s="41">
        <v>46158</v>
      </c>
      <c r="F1933" s="47">
        <v>0.87113425925925925</v>
      </c>
      <c r="G1933" s="44">
        <v>6.3</v>
      </c>
      <c r="H1933" s="43" t="s">
        <v>1364</v>
      </c>
      <c r="I1933" s="40" t="s">
        <v>1365</v>
      </c>
    </row>
    <row r="1934" spans="1:9" x14ac:dyDescent="0.25">
      <c r="A1934" s="40" t="s">
        <v>239</v>
      </c>
      <c r="B1934" s="28">
        <v>2189</v>
      </c>
      <c r="C1934" s="28">
        <v>5671649</v>
      </c>
      <c r="D1934" s="28"/>
      <c r="E1934" s="41">
        <v>46158</v>
      </c>
      <c r="F1934" s="47">
        <v>0.96156249999999999</v>
      </c>
      <c r="G1934" s="44">
        <v>6.3</v>
      </c>
      <c r="H1934" s="43" t="s">
        <v>1360</v>
      </c>
      <c r="I1934" s="40" t="s">
        <v>1365</v>
      </c>
    </row>
    <row r="1935" spans="1:9" x14ac:dyDescent="0.25">
      <c r="A1935" s="40" t="s">
        <v>333</v>
      </c>
      <c r="B1935" s="28">
        <v>2210</v>
      </c>
      <c r="C1935" s="28">
        <v>10663730</v>
      </c>
      <c r="D1935" s="28"/>
      <c r="E1935" s="45">
        <v>46156</v>
      </c>
      <c r="F1935" s="48">
        <v>2.5358796296296296E-2</v>
      </c>
      <c r="G1935" s="44">
        <v>6.3</v>
      </c>
      <c r="H1935" s="43" t="s">
        <v>1360</v>
      </c>
      <c r="I1935" s="40" t="s">
        <v>1361</v>
      </c>
    </row>
    <row r="1936" spans="1:9" x14ac:dyDescent="0.25">
      <c r="A1936" s="40" t="s">
        <v>333</v>
      </c>
      <c r="B1936" s="28">
        <v>2210</v>
      </c>
      <c r="C1936" s="28">
        <v>10663730</v>
      </c>
      <c r="D1936" s="28"/>
      <c r="E1936" s="41">
        <v>46156</v>
      </c>
      <c r="F1936" s="47">
        <v>3.6145833333333335E-2</v>
      </c>
      <c r="G1936" s="44">
        <v>6.3</v>
      </c>
      <c r="H1936" s="43" t="s">
        <v>1362</v>
      </c>
      <c r="I1936" s="40" t="s">
        <v>1361</v>
      </c>
    </row>
    <row r="1937" spans="1:9" x14ac:dyDescent="0.25">
      <c r="A1937" s="40" t="s">
        <v>333</v>
      </c>
      <c r="B1937" s="28">
        <v>2210</v>
      </c>
      <c r="C1937" s="28" t="s">
        <v>733</v>
      </c>
      <c r="D1937" s="28"/>
      <c r="E1937" s="41">
        <v>46156</v>
      </c>
      <c r="F1937" s="47">
        <v>0.22440972222222222</v>
      </c>
      <c r="G1937" s="44">
        <v>6.3</v>
      </c>
      <c r="H1937" s="43" t="s">
        <v>1363</v>
      </c>
      <c r="I1937" s="40" t="s">
        <v>1361</v>
      </c>
    </row>
    <row r="1938" spans="1:9" x14ac:dyDescent="0.25">
      <c r="A1938" s="40" t="s">
        <v>333</v>
      </c>
      <c r="B1938" s="28">
        <v>2210</v>
      </c>
      <c r="C1938" s="28" t="s">
        <v>733</v>
      </c>
      <c r="D1938" s="28"/>
      <c r="E1938" s="41">
        <v>46156</v>
      </c>
      <c r="F1938" s="47">
        <v>0.2308912037037037</v>
      </c>
      <c r="G1938" s="44">
        <v>6.3</v>
      </c>
      <c r="H1938" s="43" t="s">
        <v>1364</v>
      </c>
      <c r="I1938" s="40" t="s">
        <v>1361</v>
      </c>
    </row>
    <row r="1939" spans="1:9" x14ac:dyDescent="0.25">
      <c r="A1939" s="40" t="s">
        <v>365</v>
      </c>
      <c r="B1939" s="28">
        <v>2218</v>
      </c>
      <c r="C1939" s="28">
        <v>5663922</v>
      </c>
      <c r="D1939" s="28"/>
      <c r="E1939" s="41">
        <v>46154</v>
      </c>
      <c r="F1939" s="47">
        <v>1.1261574074074075E-2</v>
      </c>
      <c r="G1939" s="44">
        <v>6.3</v>
      </c>
      <c r="H1939" s="43" t="s">
        <v>1370</v>
      </c>
      <c r="I1939" s="40" t="s">
        <v>1361</v>
      </c>
    </row>
    <row r="1940" spans="1:9" x14ac:dyDescent="0.25">
      <c r="A1940" s="40" t="s">
        <v>365</v>
      </c>
      <c r="B1940" s="28">
        <v>2218</v>
      </c>
      <c r="C1940" s="28">
        <v>5663922</v>
      </c>
      <c r="D1940" s="28"/>
      <c r="E1940" s="41">
        <v>46154</v>
      </c>
      <c r="F1940" s="47">
        <v>1.5208333333333334E-2</v>
      </c>
      <c r="G1940" s="44">
        <v>6.3</v>
      </c>
      <c r="H1940" s="43" t="s">
        <v>1364</v>
      </c>
      <c r="I1940" s="40" t="s">
        <v>1361</v>
      </c>
    </row>
    <row r="1941" spans="1:9" x14ac:dyDescent="0.25">
      <c r="A1941" s="40" t="s">
        <v>365</v>
      </c>
      <c r="B1941" s="28">
        <v>2218</v>
      </c>
      <c r="C1941" s="28">
        <v>5665678</v>
      </c>
      <c r="D1941" s="28"/>
      <c r="E1941" s="41">
        <v>46154</v>
      </c>
      <c r="F1941" s="47">
        <v>0.93880787037037039</v>
      </c>
      <c r="G1941" s="44">
        <v>6.3</v>
      </c>
      <c r="H1941" s="43" t="s">
        <v>1367</v>
      </c>
      <c r="I1941" s="40" t="s">
        <v>1361</v>
      </c>
    </row>
    <row r="1942" spans="1:9" x14ac:dyDescent="0.25">
      <c r="A1942" s="40" t="s">
        <v>365</v>
      </c>
      <c r="B1942" s="28">
        <v>2218</v>
      </c>
      <c r="C1942" s="28">
        <v>5665981</v>
      </c>
      <c r="D1942" s="28"/>
      <c r="E1942" s="41">
        <v>46155</v>
      </c>
      <c r="F1942" s="47">
        <v>2.9953703703703705E-2</v>
      </c>
      <c r="G1942" s="44">
        <v>6.3</v>
      </c>
      <c r="H1942" s="43" t="s">
        <v>1363</v>
      </c>
      <c r="I1942" s="40" t="s">
        <v>1361</v>
      </c>
    </row>
    <row r="1943" spans="1:9" x14ac:dyDescent="0.25">
      <c r="A1943" s="40" t="s">
        <v>365</v>
      </c>
      <c r="B1943" s="28">
        <v>2218</v>
      </c>
      <c r="C1943" s="28">
        <v>5665981</v>
      </c>
      <c r="D1943" s="28"/>
      <c r="E1943" s="41">
        <v>46155</v>
      </c>
      <c r="F1943" s="47">
        <v>3.4583333333333334E-2</v>
      </c>
      <c r="G1943" s="44">
        <v>6.3</v>
      </c>
      <c r="H1943" s="43" t="s">
        <v>1364</v>
      </c>
      <c r="I1943" s="40" t="s">
        <v>1361</v>
      </c>
    </row>
    <row r="1944" spans="1:9" x14ac:dyDescent="0.25">
      <c r="A1944" s="40" t="s">
        <v>365</v>
      </c>
      <c r="B1944" s="28">
        <v>2218</v>
      </c>
      <c r="C1944" s="28">
        <v>5665627</v>
      </c>
      <c r="D1944" s="28"/>
      <c r="E1944" s="41">
        <v>46155</v>
      </c>
      <c r="F1944" s="47">
        <v>0.35509259259259257</v>
      </c>
      <c r="G1944" s="44">
        <v>6.3</v>
      </c>
      <c r="H1944" s="43" t="s">
        <v>1366</v>
      </c>
      <c r="I1944" s="40" t="s">
        <v>1361</v>
      </c>
    </row>
    <row r="1945" spans="1:9" x14ac:dyDescent="0.25">
      <c r="A1945" s="40" t="s">
        <v>365</v>
      </c>
      <c r="B1945" s="28">
        <v>2218</v>
      </c>
      <c r="C1945" s="28">
        <v>5667464</v>
      </c>
      <c r="D1945" s="28"/>
      <c r="E1945" s="41">
        <v>46156</v>
      </c>
      <c r="F1945" s="47">
        <v>0.11925925925925926</v>
      </c>
      <c r="G1945" s="42">
        <v>6.3</v>
      </c>
      <c r="H1945" s="40" t="s">
        <v>1360</v>
      </c>
      <c r="I1945" s="40" t="s">
        <v>1361</v>
      </c>
    </row>
    <row r="1946" spans="1:9" x14ac:dyDescent="0.25">
      <c r="A1946" s="40" t="s">
        <v>365</v>
      </c>
      <c r="B1946" s="28">
        <v>2218</v>
      </c>
      <c r="C1946" s="28" t="s">
        <v>35</v>
      </c>
      <c r="D1946" s="28" t="s">
        <v>38</v>
      </c>
      <c r="E1946" s="45">
        <v>46156</v>
      </c>
      <c r="F1946" s="48">
        <v>0.31585648148148149</v>
      </c>
      <c r="G1946" s="42">
        <v>6.3</v>
      </c>
      <c r="H1946" s="40" t="s">
        <v>1360</v>
      </c>
      <c r="I1946" s="40" t="s">
        <v>1361</v>
      </c>
    </row>
    <row r="1947" spans="1:9" x14ac:dyDescent="0.25">
      <c r="A1947" s="40" t="s">
        <v>124</v>
      </c>
      <c r="B1947" s="28">
        <v>2220</v>
      </c>
      <c r="C1947" s="28" t="s">
        <v>35</v>
      </c>
      <c r="D1947" s="28" t="s">
        <v>38</v>
      </c>
      <c r="E1947" s="41">
        <v>46153</v>
      </c>
      <c r="F1947" s="47">
        <v>0.22980324074074074</v>
      </c>
      <c r="G1947" s="44">
        <v>6.3</v>
      </c>
      <c r="H1947" s="43" t="s">
        <v>1363</v>
      </c>
      <c r="I1947" s="40" t="s">
        <v>1361</v>
      </c>
    </row>
    <row r="1948" spans="1:9" x14ac:dyDescent="0.25">
      <c r="A1948" s="40" t="s">
        <v>124</v>
      </c>
      <c r="B1948" s="28">
        <v>2220</v>
      </c>
      <c r="C1948" s="28" t="s">
        <v>35</v>
      </c>
      <c r="D1948" s="28" t="s">
        <v>38</v>
      </c>
      <c r="E1948" s="41">
        <v>46153</v>
      </c>
      <c r="F1948" s="47">
        <v>0.68606481481481485</v>
      </c>
      <c r="G1948" s="44">
        <v>6.3</v>
      </c>
      <c r="H1948" s="43" t="s">
        <v>1362</v>
      </c>
      <c r="I1948" s="40" t="s">
        <v>1361</v>
      </c>
    </row>
    <row r="1949" spans="1:9" x14ac:dyDescent="0.25">
      <c r="A1949" s="40" t="s">
        <v>124</v>
      </c>
      <c r="B1949" s="28">
        <v>2220</v>
      </c>
      <c r="C1949" s="28">
        <v>5663868</v>
      </c>
      <c r="D1949" s="28"/>
      <c r="E1949" s="41">
        <v>46154</v>
      </c>
      <c r="F1949" s="47">
        <v>0.24374999999999999</v>
      </c>
      <c r="G1949" s="44">
        <v>6.3</v>
      </c>
      <c r="H1949" s="43" t="s">
        <v>1360</v>
      </c>
      <c r="I1949" s="40" t="s">
        <v>1361</v>
      </c>
    </row>
    <row r="1950" spans="1:9" x14ac:dyDescent="0.25">
      <c r="A1950" s="40" t="s">
        <v>124</v>
      </c>
      <c r="B1950" s="28">
        <v>2220</v>
      </c>
      <c r="C1950" s="28">
        <v>5663868</v>
      </c>
      <c r="D1950" s="28"/>
      <c r="E1950" s="41">
        <v>46154</v>
      </c>
      <c r="F1950" s="47">
        <v>0.25214120370370369</v>
      </c>
      <c r="G1950" s="44">
        <v>6.3</v>
      </c>
      <c r="H1950" s="43" t="s">
        <v>1368</v>
      </c>
      <c r="I1950" s="40" t="s">
        <v>1361</v>
      </c>
    </row>
    <row r="1951" spans="1:9" x14ac:dyDescent="0.25">
      <c r="A1951" s="40" t="s">
        <v>124</v>
      </c>
      <c r="B1951" s="28">
        <v>2220</v>
      </c>
      <c r="C1951" s="28">
        <v>5667004</v>
      </c>
      <c r="D1951" s="28"/>
      <c r="E1951" s="41">
        <v>46155</v>
      </c>
      <c r="F1951" s="47">
        <v>0.84502314814814816</v>
      </c>
      <c r="G1951" s="44">
        <v>6.3</v>
      </c>
      <c r="H1951" s="43" t="s">
        <v>1364</v>
      </c>
      <c r="I1951" s="40" t="s">
        <v>1361</v>
      </c>
    </row>
    <row r="1952" spans="1:9" x14ac:dyDescent="0.25">
      <c r="A1952" s="40" t="s">
        <v>124</v>
      </c>
      <c r="B1952" s="28">
        <v>2220</v>
      </c>
      <c r="C1952" s="28">
        <v>5668404</v>
      </c>
      <c r="D1952" s="28"/>
      <c r="E1952" s="41">
        <v>46156</v>
      </c>
      <c r="F1952" s="47">
        <v>0.62445601851851851</v>
      </c>
      <c r="G1952" s="44">
        <v>6.3</v>
      </c>
      <c r="H1952" s="43" t="s">
        <v>1362</v>
      </c>
      <c r="I1952" s="40" t="s">
        <v>1361</v>
      </c>
    </row>
    <row r="1953" spans="1:9" x14ac:dyDescent="0.25">
      <c r="A1953" s="40" t="s">
        <v>124</v>
      </c>
      <c r="B1953" s="28">
        <v>2220</v>
      </c>
      <c r="C1953" s="28">
        <v>5668765</v>
      </c>
      <c r="D1953" s="28"/>
      <c r="E1953" s="41">
        <v>46156</v>
      </c>
      <c r="F1953" s="47">
        <v>0.85913194444444441</v>
      </c>
      <c r="G1953" s="44">
        <v>6.3</v>
      </c>
      <c r="H1953" s="43" t="s">
        <v>1370</v>
      </c>
      <c r="I1953" s="40" t="s">
        <v>1361</v>
      </c>
    </row>
    <row r="1954" spans="1:9" x14ac:dyDescent="0.25">
      <c r="A1954" s="40" t="s">
        <v>124</v>
      </c>
      <c r="B1954" s="28">
        <v>2220</v>
      </c>
      <c r="C1954" s="28">
        <v>5669263</v>
      </c>
      <c r="D1954" s="28"/>
      <c r="E1954" s="41">
        <v>46157</v>
      </c>
      <c r="F1954" s="47">
        <v>0.30799768518518517</v>
      </c>
      <c r="G1954" s="44">
        <v>6.3</v>
      </c>
      <c r="H1954" s="43" t="s">
        <v>1360</v>
      </c>
      <c r="I1954" s="40" t="s">
        <v>1361</v>
      </c>
    </row>
    <row r="1955" spans="1:9" x14ac:dyDescent="0.25">
      <c r="A1955" s="40" t="s">
        <v>124</v>
      </c>
      <c r="B1955" s="28">
        <v>2220</v>
      </c>
      <c r="C1955" s="28">
        <v>5669263</v>
      </c>
      <c r="D1955" s="28"/>
      <c r="E1955" s="41">
        <v>46157</v>
      </c>
      <c r="F1955" s="47">
        <v>0.32181712962962961</v>
      </c>
      <c r="G1955" s="44">
        <v>6.3</v>
      </c>
      <c r="H1955" s="43" t="s">
        <v>1362</v>
      </c>
      <c r="I1955" s="40" t="s">
        <v>1361</v>
      </c>
    </row>
    <row r="1956" spans="1:9" x14ac:dyDescent="0.25">
      <c r="A1956" s="40" t="s">
        <v>124</v>
      </c>
      <c r="B1956" s="28">
        <v>2220</v>
      </c>
      <c r="C1956" s="28">
        <v>5669978</v>
      </c>
      <c r="D1956" s="28"/>
      <c r="E1956" s="41">
        <v>46157</v>
      </c>
      <c r="F1956" s="47">
        <v>0.62039351851851854</v>
      </c>
      <c r="G1956" s="44">
        <v>6.3</v>
      </c>
      <c r="H1956" s="43" t="s">
        <v>1360</v>
      </c>
      <c r="I1956" s="40" t="s">
        <v>1361</v>
      </c>
    </row>
    <row r="1957" spans="1:9" x14ac:dyDescent="0.25">
      <c r="A1957" s="40" t="s">
        <v>124</v>
      </c>
      <c r="B1957" s="28">
        <v>2220</v>
      </c>
      <c r="C1957" s="28">
        <v>5669978</v>
      </c>
      <c r="D1957" s="28"/>
      <c r="E1957" s="41">
        <v>46157</v>
      </c>
      <c r="F1957" s="47">
        <v>0.63287037037037042</v>
      </c>
      <c r="G1957" s="42">
        <v>6.3</v>
      </c>
      <c r="H1957" s="40" t="s">
        <v>1362</v>
      </c>
      <c r="I1957" s="40" t="s">
        <v>1361</v>
      </c>
    </row>
    <row r="1958" spans="1:9" x14ac:dyDescent="0.25">
      <c r="A1958" s="40" t="s">
        <v>124</v>
      </c>
      <c r="B1958" s="28">
        <v>2220</v>
      </c>
      <c r="C1958" s="28">
        <v>5669941</v>
      </c>
      <c r="D1958" s="28"/>
      <c r="E1958" s="41">
        <v>46157</v>
      </c>
      <c r="F1958" s="47">
        <v>0.73006944444444444</v>
      </c>
      <c r="G1958" s="42">
        <v>6.3</v>
      </c>
      <c r="H1958" s="40" t="s">
        <v>1363</v>
      </c>
      <c r="I1958" s="40" t="s">
        <v>1361</v>
      </c>
    </row>
    <row r="1959" spans="1:9" x14ac:dyDescent="0.25">
      <c r="A1959" s="40" t="s">
        <v>491</v>
      </c>
      <c r="B1959" s="28">
        <v>2225</v>
      </c>
      <c r="C1959" s="28" t="s">
        <v>35</v>
      </c>
      <c r="D1959" s="28" t="s">
        <v>38</v>
      </c>
      <c r="E1959" s="41">
        <v>46158</v>
      </c>
      <c r="F1959" s="47">
        <v>0.35856481481481484</v>
      </c>
      <c r="G1959" s="44">
        <v>6.3</v>
      </c>
      <c r="H1959" s="43" t="s">
        <v>1360</v>
      </c>
      <c r="I1959" s="40" t="s">
        <v>1365</v>
      </c>
    </row>
    <row r="1960" spans="1:9" x14ac:dyDescent="0.25">
      <c r="A1960" s="40" t="s">
        <v>491</v>
      </c>
      <c r="B1960" s="28">
        <v>2225</v>
      </c>
      <c r="C1960" s="28" t="s">
        <v>35</v>
      </c>
      <c r="D1960" s="28" t="s">
        <v>38</v>
      </c>
      <c r="E1960" s="41">
        <v>46158</v>
      </c>
      <c r="F1960" s="47">
        <v>0.37020833333333331</v>
      </c>
      <c r="G1960" s="44">
        <v>6.3</v>
      </c>
      <c r="H1960" s="43" t="s">
        <v>1362</v>
      </c>
      <c r="I1960" s="40" t="s">
        <v>1365</v>
      </c>
    </row>
    <row r="1961" spans="1:9" x14ac:dyDescent="0.25">
      <c r="A1961" s="40" t="s">
        <v>283</v>
      </c>
      <c r="B1961" s="28">
        <v>2246</v>
      </c>
      <c r="C1961" s="28">
        <v>5665051</v>
      </c>
      <c r="D1961" s="28"/>
      <c r="E1961" s="41">
        <v>46154</v>
      </c>
      <c r="F1961" s="47">
        <v>0.89423611111111112</v>
      </c>
      <c r="G1961" s="44">
        <v>6.3</v>
      </c>
      <c r="H1961" s="43" t="s">
        <v>1362</v>
      </c>
      <c r="I1961" s="40" t="s">
        <v>1361</v>
      </c>
    </row>
    <row r="1962" spans="1:9" x14ac:dyDescent="0.25">
      <c r="A1962" s="40" t="s">
        <v>283</v>
      </c>
      <c r="B1962" s="28">
        <v>2246</v>
      </c>
      <c r="C1962" s="28">
        <v>5667880</v>
      </c>
      <c r="D1962" s="28"/>
      <c r="E1962" s="41">
        <v>46156</v>
      </c>
      <c r="F1962" s="47">
        <v>0.42328703703703702</v>
      </c>
      <c r="G1962" s="44">
        <v>6.3</v>
      </c>
      <c r="H1962" s="43" t="s">
        <v>1364</v>
      </c>
      <c r="I1962" s="40" t="s">
        <v>1361</v>
      </c>
    </row>
    <row r="1963" spans="1:9" x14ac:dyDescent="0.25">
      <c r="A1963" s="40" t="s">
        <v>283</v>
      </c>
      <c r="B1963" s="28">
        <v>2246</v>
      </c>
      <c r="C1963" s="28">
        <v>5667880</v>
      </c>
      <c r="D1963" s="28"/>
      <c r="E1963" s="41">
        <v>46156</v>
      </c>
      <c r="F1963" s="47">
        <v>0.47314814814814815</v>
      </c>
      <c r="G1963" s="44">
        <v>6.3</v>
      </c>
      <c r="H1963" s="43" t="s">
        <v>1360</v>
      </c>
      <c r="I1963" s="40" t="s">
        <v>1361</v>
      </c>
    </row>
    <row r="1964" spans="1:9" x14ac:dyDescent="0.25">
      <c r="A1964" s="40" t="s">
        <v>283</v>
      </c>
      <c r="B1964" s="28">
        <v>2246</v>
      </c>
      <c r="C1964" s="28">
        <v>5667880</v>
      </c>
      <c r="D1964" s="28"/>
      <c r="E1964" s="45">
        <v>46156</v>
      </c>
      <c r="F1964" s="48">
        <v>0.48555555555555557</v>
      </c>
      <c r="G1964" s="44">
        <v>6.3</v>
      </c>
      <c r="H1964" s="43" t="s">
        <v>1368</v>
      </c>
      <c r="I1964" s="40" t="s">
        <v>1361</v>
      </c>
    </row>
    <row r="1965" spans="1:9" x14ac:dyDescent="0.25">
      <c r="A1965" s="40" t="s">
        <v>283</v>
      </c>
      <c r="B1965" s="28">
        <v>2246</v>
      </c>
      <c r="C1965" s="28">
        <v>5673094</v>
      </c>
      <c r="D1965" s="28"/>
      <c r="E1965" s="41">
        <v>46159</v>
      </c>
      <c r="F1965" s="47">
        <v>0.85594907407407406</v>
      </c>
      <c r="G1965" s="44">
        <v>6.3</v>
      </c>
      <c r="H1965" s="43" t="s">
        <v>1366</v>
      </c>
      <c r="I1965" s="40" t="s">
        <v>1365</v>
      </c>
    </row>
    <row r="1966" spans="1:9" x14ac:dyDescent="0.25">
      <c r="A1966" s="40" t="s">
        <v>190</v>
      </c>
      <c r="B1966" s="28">
        <v>2275</v>
      </c>
      <c r="C1966" s="28">
        <v>5661408</v>
      </c>
      <c r="D1966" s="28" t="s">
        <v>37</v>
      </c>
      <c r="E1966" s="41">
        <v>46153</v>
      </c>
      <c r="F1966" s="47">
        <v>0.21481481481481482</v>
      </c>
      <c r="G1966" s="44">
        <v>6.3</v>
      </c>
      <c r="H1966" s="43" t="s">
        <v>1363</v>
      </c>
      <c r="I1966" s="40" t="s">
        <v>1361</v>
      </c>
    </row>
    <row r="1967" spans="1:9" x14ac:dyDescent="0.25">
      <c r="A1967" s="40" t="s">
        <v>190</v>
      </c>
      <c r="B1967" s="28">
        <v>2275</v>
      </c>
      <c r="C1967" s="28">
        <v>5661408</v>
      </c>
      <c r="D1967" s="28" t="s">
        <v>37</v>
      </c>
      <c r="E1967" s="41">
        <v>46153</v>
      </c>
      <c r="F1967" s="47">
        <v>0.22016203703703704</v>
      </c>
      <c r="G1967" s="44">
        <v>6.3</v>
      </c>
      <c r="H1967" s="43" t="s">
        <v>1364</v>
      </c>
      <c r="I1967" s="40" t="s">
        <v>1361</v>
      </c>
    </row>
    <row r="1968" spans="1:9" x14ac:dyDescent="0.25">
      <c r="A1968" s="40" t="s">
        <v>190</v>
      </c>
      <c r="B1968" s="28">
        <v>2275</v>
      </c>
      <c r="C1968" s="28" t="s">
        <v>35</v>
      </c>
      <c r="D1968" s="28" t="s">
        <v>38</v>
      </c>
      <c r="E1968" s="41">
        <v>46153</v>
      </c>
      <c r="F1968" s="47">
        <v>0.57431712962962966</v>
      </c>
      <c r="G1968" s="44">
        <v>6.3</v>
      </c>
      <c r="H1968" s="43" t="s">
        <v>1360</v>
      </c>
      <c r="I1968" s="40" t="s">
        <v>1361</v>
      </c>
    </row>
    <row r="1969" spans="1:9" x14ac:dyDescent="0.25">
      <c r="A1969" s="40" t="s">
        <v>190</v>
      </c>
      <c r="B1969" s="28">
        <v>2275</v>
      </c>
      <c r="C1969" s="28" t="s">
        <v>35</v>
      </c>
      <c r="D1969" s="28" t="s">
        <v>38</v>
      </c>
      <c r="E1969" s="41">
        <v>46153</v>
      </c>
      <c r="F1969" s="47">
        <v>0.58642361111111108</v>
      </c>
      <c r="G1969" s="44">
        <v>6.3</v>
      </c>
      <c r="H1969" s="43" t="s">
        <v>1366</v>
      </c>
      <c r="I1969" s="40" t="s">
        <v>1361</v>
      </c>
    </row>
    <row r="1970" spans="1:9" x14ac:dyDescent="0.25">
      <c r="A1970" s="40" t="s">
        <v>190</v>
      </c>
      <c r="B1970" s="28">
        <v>2275</v>
      </c>
      <c r="C1970" s="28" t="s">
        <v>35</v>
      </c>
      <c r="D1970" s="28" t="s">
        <v>38</v>
      </c>
      <c r="E1970" s="41">
        <v>46153</v>
      </c>
      <c r="F1970" s="47">
        <v>0.65500000000000003</v>
      </c>
      <c r="G1970" s="44">
        <v>6.3</v>
      </c>
      <c r="H1970" s="43" t="s">
        <v>1367</v>
      </c>
      <c r="I1970" s="40" t="s">
        <v>1361</v>
      </c>
    </row>
    <row r="1971" spans="1:9" x14ac:dyDescent="0.25">
      <c r="A1971" s="40" t="s">
        <v>190</v>
      </c>
      <c r="B1971" s="28">
        <v>2275</v>
      </c>
      <c r="C1971" s="28" t="s">
        <v>35</v>
      </c>
      <c r="D1971" s="28" t="s">
        <v>38</v>
      </c>
      <c r="E1971" s="41">
        <v>46153</v>
      </c>
      <c r="F1971" s="47">
        <v>0.67003472222222227</v>
      </c>
      <c r="G1971" s="44">
        <v>6.3</v>
      </c>
      <c r="H1971" s="43" t="s">
        <v>1364</v>
      </c>
      <c r="I1971" s="40" t="s">
        <v>1361</v>
      </c>
    </row>
    <row r="1972" spans="1:9" x14ac:dyDescent="0.25">
      <c r="A1972" s="40" t="s">
        <v>190</v>
      </c>
      <c r="B1972" s="28">
        <v>2275</v>
      </c>
      <c r="C1972" s="28">
        <v>5667462</v>
      </c>
      <c r="D1972" s="28"/>
      <c r="E1972" s="45">
        <v>46156</v>
      </c>
      <c r="F1972" s="48">
        <v>0.2124537037037037</v>
      </c>
      <c r="G1972" s="44">
        <v>6.3</v>
      </c>
      <c r="H1972" s="43" t="s">
        <v>1360</v>
      </c>
      <c r="I1972" s="40" t="s">
        <v>1361</v>
      </c>
    </row>
    <row r="1973" spans="1:9" x14ac:dyDescent="0.25">
      <c r="A1973" s="40" t="s">
        <v>190</v>
      </c>
      <c r="B1973" s="28">
        <v>2275</v>
      </c>
      <c r="C1973" s="28">
        <v>5667462</v>
      </c>
      <c r="D1973" s="28"/>
      <c r="E1973" s="45">
        <v>46156</v>
      </c>
      <c r="F1973" s="48">
        <v>0.21944444444444444</v>
      </c>
      <c r="G1973" s="44">
        <v>6.3</v>
      </c>
      <c r="H1973" s="43" t="s">
        <v>1368</v>
      </c>
      <c r="I1973" s="40" t="s">
        <v>1361</v>
      </c>
    </row>
    <row r="1974" spans="1:9" x14ac:dyDescent="0.25">
      <c r="A1974" s="40" t="s">
        <v>190</v>
      </c>
      <c r="B1974" s="28">
        <v>2275</v>
      </c>
      <c r="C1974" s="28" t="s">
        <v>35</v>
      </c>
      <c r="D1974" s="28" t="s">
        <v>38</v>
      </c>
      <c r="E1974" s="41">
        <v>46156</v>
      </c>
      <c r="F1974" s="47">
        <v>0.24038194444444444</v>
      </c>
      <c r="G1974" s="44">
        <v>6.3</v>
      </c>
      <c r="H1974" s="43" t="s">
        <v>1369</v>
      </c>
      <c r="I1974" s="40" t="s">
        <v>1361</v>
      </c>
    </row>
    <row r="1975" spans="1:9" x14ac:dyDescent="0.25">
      <c r="A1975" s="40" t="s">
        <v>190</v>
      </c>
      <c r="B1975" s="28">
        <v>2275</v>
      </c>
      <c r="C1975" s="28" t="s">
        <v>35</v>
      </c>
      <c r="D1975" s="28" t="s">
        <v>38</v>
      </c>
      <c r="E1975" s="45">
        <v>46156</v>
      </c>
      <c r="F1975" s="48">
        <v>0.24625</v>
      </c>
      <c r="G1975" s="42">
        <v>6.3</v>
      </c>
      <c r="H1975" s="40" t="s">
        <v>1364</v>
      </c>
      <c r="I1975" s="40" t="s">
        <v>1361</v>
      </c>
    </row>
    <row r="1976" spans="1:9" x14ac:dyDescent="0.25">
      <c r="A1976" s="40" t="s">
        <v>190</v>
      </c>
      <c r="B1976" s="28">
        <v>2275</v>
      </c>
      <c r="C1976" s="28" t="s">
        <v>734</v>
      </c>
      <c r="D1976" s="28"/>
      <c r="E1976" s="41">
        <v>46156</v>
      </c>
      <c r="F1976" s="47">
        <v>0.93803240740740745</v>
      </c>
      <c r="G1976" s="42">
        <v>6.3</v>
      </c>
      <c r="H1976" s="40" t="s">
        <v>1360</v>
      </c>
      <c r="I1976" s="40" t="s">
        <v>1361</v>
      </c>
    </row>
    <row r="1977" spans="1:9" x14ac:dyDescent="0.25">
      <c r="A1977" s="40" t="s">
        <v>190</v>
      </c>
      <c r="B1977" s="28">
        <v>2275</v>
      </c>
      <c r="C1977" s="28" t="s">
        <v>734</v>
      </c>
      <c r="D1977" s="28"/>
      <c r="E1977" s="41">
        <v>46156</v>
      </c>
      <c r="F1977" s="47">
        <v>0.94508101851851856</v>
      </c>
      <c r="G1977" s="42">
        <v>6.3</v>
      </c>
      <c r="H1977" s="40" t="s">
        <v>1362</v>
      </c>
      <c r="I1977" s="40" t="s">
        <v>1361</v>
      </c>
    </row>
    <row r="1978" spans="1:9" x14ac:dyDescent="0.25">
      <c r="A1978" s="40" t="s">
        <v>190</v>
      </c>
      <c r="B1978" s="28">
        <v>2275</v>
      </c>
      <c r="C1978" s="28" t="s">
        <v>735</v>
      </c>
      <c r="D1978" s="28"/>
      <c r="E1978" s="41">
        <v>46157</v>
      </c>
      <c r="F1978" s="47">
        <v>4.3495370370370372E-2</v>
      </c>
      <c r="G1978" s="42">
        <v>6.3</v>
      </c>
      <c r="H1978" s="40" t="s">
        <v>1360</v>
      </c>
      <c r="I1978" s="40" t="s">
        <v>1361</v>
      </c>
    </row>
    <row r="1979" spans="1:9" x14ac:dyDescent="0.25">
      <c r="A1979" s="40" t="s">
        <v>190</v>
      </c>
      <c r="B1979" s="28">
        <v>2275</v>
      </c>
      <c r="C1979" s="28" t="s">
        <v>735</v>
      </c>
      <c r="D1979" s="28"/>
      <c r="E1979" s="41">
        <v>46157</v>
      </c>
      <c r="F1979" s="47">
        <v>5.392361111111111E-2</v>
      </c>
      <c r="G1979" s="44">
        <v>6.3</v>
      </c>
      <c r="H1979" s="43" t="s">
        <v>1362</v>
      </c>
      <c r="I1979" s="40" t="s">
        <v>1361</v>
      </c>
    </row>
    <row r="1980" spans="1:9" x14ac:dyDescent="0.25">
      <c r="A1980" s="40" t="s">
        <v>190</v>
      </c>
      <c r="B1980" s="28">
        <v>2275</v>
      </c>
      <c r="C1980" s="28" t="s">
        <v>736</v>
      </c>
      <c r="D1980" s="28"/>
      <c r="E1980" s="45">
        <v>46159</v>
      </c>
      <c r="F1980" s="48">
        <v>1.9722222222222221E-2</v>
      </c>
      <c r="G1980" s="44">
        <v>6.3</v>
      </c>
      <c r="H1980" s="43" t="s">
        <v>1360</v>
      </c>
      <c r="I1980" s="40" t="s">
        <v>1365</v>
      </c>
    </row>
    <row r="1981" spans="1:9" x14ac:dyDescent="0.25">
      <c r="A1981" s="40" t="s">
        <v>190</v>
      </c>
      <c r="B1981" s="28">
        <v>2275</v>
      </c>
      <c r="C1981" s="28" t="s">
        <v>736</v>
      </c>
      <c r="D1981" s="28"/>
      <c r="E1981" s="45">
        <v>46159</v>
      </c>
      <c r="F1981" s="48">
        <v>2.6805555555555555E-2</v>
      </c>
      <c r="G1981" s="44">
        <v>6.3</v>
      </c>
      <c r="H1981" s="43" t="s">
        <v>1362</v>
      </c>
      <c r="I1981" s="40" t="s">
        <v>1365</v>
      </c>
    </row>
    <row r="1982" spans="1:9" x14ac:dyDescent="0.25">
      <c r="A1982" s="40" t="s">
        <v>125</v>
      </c>
      <c r="B1982" s="28">
        <v>2278</v>
      </c>
      <c r="C1982" s="28">
        <v>5663547</v>
      </c>
      <c r="D1982" s="28"/>
      <c r="E1982" s="41">
        <v>46154</v>
      </c>
      <c r="F1982" s="47">
        <v>0.16070601851851851</v>
      </c>
      <c r="G1982" s="44">
        <v>6.3</v>
      </c>
      <c r="H1982" s="43" t="s">
        <v>1366</v>
      </c>
      <c r="I1982" s="40" t="s">
        <v>1361</v>
      </c>
    </row>
    <row r="1983" spans="1:9" x14ac:dyDescent="0.25">
      <c r="A1983" s="40" t="s">
        <v>125</v>
      </c>
      <c r="B1983" s="28">
        <v>2278</v>
      </c>
      <c r="C1983" s="28">
        <v>5664044</v>
      </c>
      <c r="D1983" s="28"/>
      <c r="E1983" s="41">
        <v>46154</v>
      </c>
      <c r="F1983" s="47">
        <v>0.25672453703703701</v>
      </c>
      <c r="G1983" s="44">
        <v>6.3</v>
      </c>
      <c r="H1983" s="43" t="s">
        <v>1368</v>
      </c>
      <c r="I1983" s="40" t="s">
        <v>1361</v>
      </c>
    </row>
    <row r="1984" spans="1:9" x14ac:dyDescent="0.25">
      <c r="A1984" s="40" t="s">
        <v>125</v>
      </c>
      <c r="B1984" s="28">
        <v>2278</v>
      </c>
      <c r="C1984" s="28">
        <v>5664006</v>
      </c>
      <c r="D1984" s="28"/>
      <c r="E1984" s="41">
        <v>46154</v>
      </c>
      <c r="F1984" s="47">
        <v>0.30449074074074073</v>
      </c>
      <c r="G1984" s="44">
        <v>6.3</v>
      </c>
      <c r="H1984" s="43" t="s">
        <v>1369</v>
      </c>
      <c r="I1984" s="40" t="s">
        <v>1361</v>
      </c>
    </row>
    <row r="1985" spans="1:9" x14ac:dyDescent="0.25">
      <c r="A1985" s="40" t="s">
        <v>125</v>
      </c>
      <c r="B1985" s="28">
        <v>2278</v>
      </c>
      <c r="C1985" s="28">
        <v>5664006</v>
      </c>
      <c r="D1985" s="28"/>
      <c r="E1985" s="41">
        <v>46154</v>
      </c>
      <c r="F1985" s="47">
        <v>0.31418981481481484</v>
      </c>
      <c r="G1985" s="44">
        <v>6.3</v>
      </c>
      <c r="H1985" s="43" t="s">
        <v>1364</v>
      </c>
      <c r="I1985" s="40" t="s">
        <v>1361</v>
      </c>
    </row>
    <row r="1986" spans="1:9" x14ac:dyDescent="0.25">
      <c r="A1986" s="40" t="s">
        <v>125</v>
      </c>
      <c r="B1986" s="28">
        <v>2278</v>
      </c>
      <c r="C1986" s="28">
        <v>5666987</v>
      </c>
      <c r="D1986" s="28"/>
      <c r="E1986" s="41">
        <v>46156</v>
      </c>
      <c r="F1986" s="47">
        <v>0.20577546296296295</v>
      </c>
      <c r="G1986" s="44">
        <v>6.3</v>
      </c>
      <c r="H1986" s="43" t="s">
        <v>1360</v>
      </c>
      <c r="I1986" s="40" t="s">
        <v>1361</v>
      </c>
    </row>
    <row r="1987" spans="1:9" x14ac:dyDescent="0.25">
      <c r="A1987" s="40" t="s">
        <v>125</v>
      </c>
      <c r="B1987" s="28">
        <v>2278</v>
      </c>
      <c r="C1987" s="28">
        <v>5666987</v>
      </c>
      <c r="D1987" s="28"/>
      <c r="E1987" s="41">
        <v>46156</v>
      </c>
      <c r="F1987" s="47">
        <v>0.21212962962962964</v>
      </c>
      <c r="G1987" s="44">
        <v>6.3</v>
      </c>
      <c r="H1987" s="43" t="s">
        <v>1362</v>
      </c>
      <c r="I1987" s="40" t="s">
        <v>1361</v>
      </c>
    </row>
    <row r="1988" spans="1:9" x14ac:dyDescent="0.25">
      <c r="A1988" s="40" t="s">
        <v>125</v>
      </c>
      <c r="B1988" s="28">
        <v>2278</v>
      </c>
      <c r="C1988" s="28">
        <v>5667791</v>
      </c>
      <c r="D1988" s="28"/>
      <c r="E1988" s="41">
        <v>46156</v>
      </c>
      <c r="F1988" s="47">
        <v>0.25702546296296297</v>
      </c>
      <c r="G1988" s="44">
        <v>6.3</v>
      </c>
      <c r="H1988" s="43" t="s">
        <v>1363</v>
      </c>
      <c r="I1988" s="40" t="s">
        <v>1361</v>
      </c>
    </row>
    <row r="1989" spans="1:9" x14ac:dyDescent="0.25">
      <c r="A1989" s="40" t="s">
        <v>125</v>
      </c>
      <c r="B1989" s="28">
        <v>2278</v>
      </c>
      <c r="C1989" s="28">
        <v>5667791</v>
      </c>
      <c r="D1989" s="28"/>
      <c r="E1989" s="41">
        <v>46156</v>
      </c>
      <c r="F1989" s="47">
        <v>0.26283564814814814</v>
      </c>
      <c r="G1989" s="44">
        <v>6.3</v>
      </c>
      <c r="H1989" s="43" t="s">
        <v>1364</v>
      </c>
      <c r="I1989" s="40" t="s">
        <v>1361</v>
      </c>
    </row>
    <row r="1990" spans="1:9" x14ac:dyDescent="0.25">
      <c r="A1990" s="40" t="s">
        <v>125</v>
      </c>
      <c r="B1990" s="28">
        <v>2278</v>
      </c>
      <c r="C1990" s="28">
        <v>5669728</v>
      </c>
      <c r="D1990" s="28"/>
      <c r="E1990" s="41">
        <v>46157</v>
      </c>
      <c r="F1990" s="47">
        <v>0.43980324074074073</v>
      </c>
      <c r="G1990" s="42">
        <v>6.3</v>
      </c>
      <c r="H1990" s="40" t="s">
        <v>1360</v>
      </c>
      <c r="I1990" s="40" t="s">
        <v>1361</v>
      </c>
    </row>
    <row r="1991" spans="1:9" x14ac:dyDescent="0.25">
      <c r="A1991" s="40" t="s">
        <v>125</v>
      </c>
      <c r="B1991" s="28">
        <v>2278</v>
      </c>
      <c r="C1991" s="28">
        <v>5669728</v>
      </c>
      <c r="D1991" s="28"/>
      <c r="E1991" s="41">
        <v>46157</v>
      </c>
      <c r="F1991" s="47">
        <v>0.44975694444444442</v>
      </c>
      <c r="G1991" s="42">
        <v>6.3</v>
      </c>
      <c r="H1991" s="40" t="s">
        <v>1366</v>
      </c>
      <c r="I1991" s="40" t="s">
        <v>1361</v>
      </c>
    </row>
    <row r="1992" spans="1:9" x14ac:dyDescent="0.25">
      <c r="A1992" s="40" t="s">
        <v>125</v>
      </c>
      <c r="B1992" s="28">
        <v>2278</v>
      </c>
      <c r="C1992" s="28" t="s">
        <v>35</v>
      </c>
      <c r="D1992" s="28" t="s">
        <v>38</v>
      </c>
      <c r="E1992" s="41">
        <v>46157</v>
      </c>
      <c r="F1992" s="47">
        <v>0.48788194444444444</v>
      </c>
      <c r="G1992" s="42">
        <v>6.3</v>
      </c>
      <c r="H1992" s="40" t="s">
        <v>1367</v>
      </c>
      <c r="I1992" s="40" t="s">
        <v>1361</v>
      </c>
    </row>
    <row r="1993" spans="1:9" x14ac:dyDescent="0.25">
      <c r="A1993" s="40" t="s">
        <v>126</v>
      </c>
      <c r="B1993" s="28">
        <v>2308</v>
      </c>
      <c r="C1993" s="28">
        <v>5662801</v>
      </c>
      <c r="D1993" s="28"/>
      <c r="E1993" s="41">
        <v>46153</v>
      </c>
      <c r="F1993" s="47">
        <v>0.68331018518518516</v>
      </c>
      <c r="G1993" s="42">
        <v>6.3</v>
      </c>
      <c r="H1993" s="40" t="s">
        <v>1360</v>
      </c>
      <c r="I1993" s="40" t="s">
        <v>1361</v>
      </c>
    </row>
    <row r="1994" spans="1:9" x14ac:dyDescent="0.25">
      <c r="A1994" s="40" t="s">
        <v>126</v>
      </c>
      <c r="B1994" s="28">
        <v>2308</v>
      </c>
      <c r="C1994" s="28">
        <v>5662801</v>
      </c>
      <c r="D1994" s="28"/>
      <c r="E1994" s="41">
        <v>46153</v>
      </c>
      <c r="F1994" s="47">
        <v>0.69366898148148148</v>
      </c>
      <c r="G1994" s="42">
        <v>6.3</v>
      </c>
      <c r="H1994" s="40" t="s">
        <v>1362</v>
      </c>
      <c r="I1994" s="40" t="s">
        <v>1361</v>
      </c>
    </row>
    <row r="1995" spans="1:9" x14ac:dyDescent="0.25">
      <c r="A1995" s="40" t="s">
        <v>126</v>
      </c>
      <c r="B1995" s="28">
        <v>2308</v>
      </c>
      <c r="C1995" s="28" t="s">
        <v>35</v>
      </c>
      <c r="D1995" s="28" t="s">
        <v>38</v>
      </c>
      <c r="E1995" s="45">
        <v>46155</v>
      </c>
      <c r="F1995" s="48">
        <v>0.43679398148148146</v>
      </c>
      <c r="G1995" s="42">
        <v>6.3</v>
      </c>
      <c r="H1995" s="40" t="s">
        <v>1363</v>
      </c>
      <c r="I1995" s="40" t="s">
        <v>1361</v>
      </c>
    </row>
    <row r="1996" spans="1:9" x14ac:dyDescent="0.25">
      <c r="A1996" s="40" t="s">
        <v>126</v>
      </c>
      <c r="B1996" s="28">
        <v>2308</v>
      </c>
      <c r="C1996" s="28">
        <v>5666609</v>
      </c>
      <c r="D1996" s="28"/>
      <c r="E1996" s="41">
        <v>46158</v>
      </c>
      <c r="F1996" s="47">
        <v>0.40201388888888889</v>
      </c>
      <c r="G1996" s="42">
        <v>6.3</v>
      </c>
      <c r="H1996" s="40" t="s">
        <v>1360</v>
      </c>
      <c r="I1996" s="40" t="s">
        <v>1365</v>
      </c>
    </row>
    <row r="1997" spans="1:9" x14ac:dyDescent="0.25">
      <c r="A1997" s="40" t="s">
        <v>126</v>
      </c>
      <c r="B1997" s="28">
        <v>2308</v>
      </c>
      <c r="C1997" s="28">
        <v>5666609</v>
      </c>
      <c r="D1997" s="28"/>
      <c r="E1997" s="41">
        <v>46158</v>
      </c>
      <c r="F1997" s="47">
        <v>0.41165509259259259</v>
      </c>
      <c r="G1997" s="42">
        <v>6.3</v>
      </c>
      <c r="H1997" s="40" t="s">
        <v>1368</v>
      </c>
      <c r="I1997" s="40" t="s">
        <v>1365</v>
      </c>
    </row>
    <row r="1998" spans="1:9" x14ac:dyDescent="0.25">
      <c r="A1998" s="40" t="s">
        <v>126</v>
      </c>
      <c r="B1998" s="28">
        <v>2308</v>
      </c>
      <c r="C1998" s="28">
        <v>5670480</v>
      </c>
      <c r="D1998" s="28"/>
      <c r="E1998" s="41">
        <v>46158</v>
      </c>
      <c r="F1998" s="47">
        <v>0.52188657407407413</v>
      </c>
      <c r="G1998" s="44">
        <v>6.3</v>
      </c>
      <c r="H1998" s="43" t="s">
        <v>1369</v>
      </c>
      <c r="I1998" s="40" t="s">
        <v>1365</v>
      </c>
    </row>
    <row r="1999" spans="1:9" x14ac:dyDescent="0.25">
      <c r="A1999" s="40" t="s">
        <v>126</v>
      </c>
      <c r="B1999" s="28">
        <v>2308</v>
      </c>
      <c r="C1999" s="28">
        <v>5670480</v>
      </c>
      <c r="D1999" s="28"/>
      <c r="E1999" s="41">
        <v>46158</v>
      </c>
      <c r="F1999" s="47">
        <v>0.52803240740740742</v>
      </c>
      <c r="G1999" s="44">
        <v>6.3</v>
      </c>
      <c r="H1999" s="43" t="s">
        <v>1364</v>
      </c>
      <c r="I1999" s="40" t="s">
        <v>1365</v>
      </c>
    </row>
    <row r="2000" spans="1:9" x14ac:dyDescent="0.25">
      <c r="A2000" s="40" t="s">
        <v>126</v>
      </c>
      <c r="B2000" s="28">
        <v>2308</v>
      </c>
      <c r="C2000" s="28">
        <v>5671567</v>
      </c>
      <c r="D2000" s="28"/>
      <c r="E2000" s="41">
        <v>46158</v>
      </c>
      <c r="F2000" s="47">
        <v>0.61693287037037037</v>
      </c>
      <c r="G2000" s="44">
        <v>6.3</v>
      </c>
      <c r="H2000" s="43" t="s">
        <v>1360</v>
      </c>
      <c r="I2000" s="40" t="s">
        <v>1365</v>
      </c>
    </row>
    <row r="2001" spans="1:9" x14ac:dyDescent="0.25">
      <c r="A2001" s="40" t="s">
        <v>126</v>
      </c>
      <c r="B2001" s="28">
        <v>2308</v>
      </c>
      <c r="C2001" s="28">
        <v>5671567</v>
      </c>
      <c r="D2001" s="28"/>
      <c r="E2001" s="41">
        <v>46158</v>
      </c>
      <c r="F2001" s="47">
        <v>0.6303009259259259</v>
      </c>
      <c r="G2001" s="44">
        <v>6.3</v>
      </c>
      <c r="H2001" s="43" t="s">
        <v>1362</v>
      </c>
      <c r="I2001" s="40" t="s">
        <v>1365</v>
      </c>
    </row>
    <row r="2002" spans="1:9" x14ac:dyDescent="0.25">
      <c r="A2002" s="40" t="s">
        <v>186</v>
      </c>
      <c r="B2002" s="28">
        <v>2349</v>
      </c>
      <c r="C2002" s="28">
        <v>5661741</v>
      </c>
      <c r="D2002" s="28"/>
      <c r="E2002" s="41">
        <v>46153</v>
      </c>
      <c r="F2002" s="47">
        <v>0.43864583333333335</v>
      </c>
      <c r="G2002" s="44">
        <v>6.3</v>
      </c>
      <c r="H2002" s="43" t="s">
        <v>1363</v>
      </c>
      <c r="I2002" s="40" t="s">
        <v>1361</v>
      </c>
    </row>
    <row r="2003" spans="1:9" x14ac:dyDescent="0.25">
      <c r="A2003" s="40" t="s">
        <v>186</v>
      </c>
      <c r="B2003" s="28">
        <v>2349</v>
      </c>
      <c r="C2003" s="28">
        <v>5670595</v>
      </c>
      <c r="D2003" s="28"/>
      <c r="E2003" s="41">
        <v>46157</v>
      </c>
      <c r="F2003" s="47">
        <v>0.77145833333333336</v>
      </c>
      <c r="G2003" s="44">
        <v>6.3</v>
      </c>
      <c r="H2003" s="43" t="s">
        <v>1360</v>
      </c>
      <c r="I2003" s="40" t="s">
        <v>1361</v>
      </c>
    </row>
    <row r="2004" spans="1:9" x14ac:dyDescent="0.25">
      <c r="A2004" s="40" t="s">
        <v>186</v>
      </c>
      <c r="B2004" s="28">
        <v>2349</v>
      </c>
      <c r="C2004" s="28">
        <v>5670988</v>
      </c>
      <c r="D2004" s="28"/>
      <c r="E2004" s="41">
        <v>46158</v>
      </c>
      <c r="F2004" s="47">
        <v>0.1018287037037037</v>
      </c>
      <c r="G2004" s="44">
        <v>6.3</v>
      </c>
      <c r="H2004" s="43" t="s">
        <v>1371</v>
      </c>
      <c r="I2004" s="40" t="s">
        <v>1365</v>
      </c>
    </row>
    <row r="2005" spans="1:9" x14ac:dyDescent="0.25">
      <c r="A2005" s="40" t="s">
        <v>186</v>
      </c>
      <c r="B2005" s="28">
        <v>2349</v>
      </c>
      <c r="C2005" s="28">
        <v>5670988</v>
      </c>
      <c r="D2005" s="28"/>
      <c r="E2005" s="45">
        <v>46158</v>
      </c>
      <c r="F2005" s="48">
        <v>0.1084837962962963</v>
      </c>
      <c r="G2005" s="44">
        <v>6.3</v>
      </c>
      <c r="H2005" s="43" t="s">
        <v>1368</v>
      </c>
      <c r="I2005" s="40" t="s">
        <v>1365</v>
      </c>
    </row>
    <row r="2006" spans="1:9" x14ac:dyDescent="0.25">
      <c r="A2006" s="40" t="s">
        <v>186</v>
      </c>
      <c r="B2006" s="28">
        <v>2349</v>
      </c>
      <c r="C2006" s="28">
        <v>5671329</v>
      </c>
      <c r="D2006" s="28"/>
      <c r="E2006" s="45">
        <v>46158</v>
      </c>
      <c r="F2006" s="48">
        <v>0.6325115740740741</v>
      </c>
      <c r="G2006" s="44">
        <v>6.3</v>
      </c>
      <c r="H2006" s="43" t="s">
        <v>1362</v>
      </c>
      <c r="I2006" s="40" t="s">
        <v>1365</v>
      </c>
    </row>
    <row r="2007" spans="1:9" x14ac:dyDescent="0.25">
      <c r="A2007" s="40" t="s">
        <v>334</v>
      </c>
      <c r="B2007" s="28">
        <v>2356</v>
      </c>
      <c r="C2007" s="28">
        <v>5661008</v>
      </c>
      <c r="D2007" s="28"/>
      <c r="E2007" s="41">
        <v>46153</v>
      </c>
      <c r="F2007" s="47">
        <v>0.15434027777777778</v>
      </c>
      <c r="G2007" s="44">
        <v>6.3</v>
      </c>
      <c r="H2007" s="43" t="s">
        <v>1363</v>
      </c>
      <c r="I2007" s="40" t="s">
        <v>1361</v>
      </c>
    </row>
    <row r="2008" spans="1:9" x14ac:dyDescent="0.25">
      <c r="A2008" s="40" t="s">
        <v>334</v>
      </c>
      <c r="B2008" s="28">
        <v>2356</v>
      </c>
      <c r="C2008" s="28">
        <v>5661008</v>
      </c>
      <c r="D2008" s="28"/>
      <c r="E2008" s="41">
        <v>46153</v>
      </c>
      <c r="F2008" s="47">
        <v>0.15914351851851852</v>
      </c>
      <c r="G2008" s="44">
        <v>6.3</v>
      </c>
      <c r="H2008" s="43" t="s">
        <v>1364</v>
      </c>
      <c r="I2008" s="40" t="s">
        <v>1361</v>
      </c>
    </row>
    <row r="2009" spans="1:9" x14ac:dyDescent="0.25">
      <c r="A2009" s="40" t="s">
        <v>334</v>
      </c>
      <c r="B2009" s="28">
        <v>2356</v>
      </c>
      <c r="C2009" s="28">
        <v>5664165</v>
      </c>
      <c r="D2009" s="28" t="s">
        <v>36</v>
      </c>
      <c r="E2009" s="41">
        <v>46154</v>
      </c>
      <c r="F2009" s="47">
        <v>0.28207175925925926</v>
      </c>
      <c r="G2009" s="44">
        <v>6.3</v>
      </c>
      <c r="H2009" s="43" t="s">
        <v>1360</v>
      </c>
      <c r="I2009" s="40" t="s">
        <v>1361</v>
      </c>
    </row>
    <row r="2010" spans="1:9" x14ac:dyDescent="0.25">
      <c r="A2010" s="40" t="s">
        <v>334</v>
      </c>
      <c r="B2010" s="28">
        <v>2356</v>
      </c>
      <c r="C2010" s="28">
        <v>5664165</v>
      </c>
      <c r="D2010" s="28" t="s">
        <v>36</v>
      </c>
      <c r="E2010" s="45">
        <v>46154</v>
      </c>
      <c r="F2010" s="48">
        <v>0.29145833333333332</v>
      </c>
      <c r="G2010" s="44">
        <v>6.3</v>
      </c>
      <c r="H2010" s="43" t="s">
        <v>1368</v>
      </c>
      <c r="I2010" s="40" t="s">
        <v>1361</v>
      </c>
    </row>
    <row r="2011" spans="1:9" x14ac:dyDescent="0.25">
      <c r="A2011" s="40" t="s">
        <v>334</v>
      </c>
      <c r="B2011" s="28">
        <v>2356</v>
      </c>
      <c r="C2011" s="28" t="s">
        <v>35</v>
      </c>
      <c r="D2011" s="28" t="s">
        <v>38</v>
      </c>
      <c r="E2011" s="41">
        <v>46156</v>
      </c>
      <c r="F2011" s="47">
        <v>0.55884259259259261</v>
      </c>
      <c r="G2011" s="44">
        <v>6.3</v>
      </c>
      <c r="H2011" s="43" t="s">
        <v>1360</v>
      </c>
      <c r="I2011" s="40" t="s">
        <v>1361</v>
      </c>
    </row>
    <row r="2012" spans="1:9" x14ac:dyDescent="0.25">
      <c r="A2012" s="40" t="s">
        <v>334</v>
      </c>
      <c r="B2012" s="28">
        <v>2356</v>
      </c>
      <c r="C2012" s="28">
        <v>5667866</v>
      </c>
      <c r="D2012" s="28"/>
      <c r="E2012" s="41">
        <v>46156</v>
      </c>
      <c r="F2012" s="47">
        <v>0.60930555555555554</v>
      </c>
      <c r="G2012" s="44">
        <v>6.3</v>
      </c>
      <c r="H2012" s="43" t="s">
        <v>1370</v>
      </c>
      <c r="I2012" s="40" t="s">
        <v>1361</v>
      </c>
    </row>
    <row r="2013" spans="1:9" x14ac:dyDescent="0.25">
      <c r="A2013" s="40" t="s">
        <v>334</v>
      </c>
      <c r="B2013" s="28">
        <v>2356</v>
      </c>
      <c r="C2013" s="28">
        <v>5667866</v>
      </c>
      <c r="D2013" s="28"/>
      <c r="E2013" s="41">
        <v>46156</v>
      </c>
      <c r="F2013" s="47">
        <v>0.61447916666666669</v>
      </c>
      <c r="G2013" s="44">
        <v>6.3</v>
      </c>
      <c r="H2013" s="43" t="s">
        <v>1364</v>
      </c>
      <c r="I2013" s="40" t="s">
        <v>1361</v>
      </c>
    </row>
    <row r="2014" spans="1:9" x14ac:dyDescent="0.25">
      <c r="A2014" s="40" t="s">
        <v>161</v>
      </c>
      <c r="B2014" s="28">
        <v>2390</v>
      </c>
      <c r="C2014" s="28">
        <v>5663296</v>
      </c>
      <c r="D2014" s="28"/>
      <c r="E2014" s="41">
        <v>46154</v>
      </c>
      <c r="F2014" s="47">
        <v>0.29190972222222222</v>
      </c>
      <c r="G2014" s="44">
        <v>6.3</v>
      </c>
      <c r="H2014" s="43" t="s">
        <v>1360</v>
      </c>
      <c r="I2014" s="40" t="s">
        <v>1361</v>
      </c>
    </row>
    <row r="2015" spans="1:9" x14ac:dyDescent="0.25">
      <c r="A2015" s="40" t="s">
        <v>161</v>
      </c>
      <c r="B2015" s="28">
        <v>2390</v>
      </c>
      <c r="C2015" s="28">
        <v>5663296</v>
      </c>
      <c r="D2015" s="28"/>
      <c r="E2015" s="45">
        <v>46154</v>
      </c>
      <c r="F2015" s="48">
        <v>0.30324074074074076</v>
      </c>
      <c r="G2015" s="44">
        <v>6.3</v>
      </c>
      <c r="H2015" s="43" t="s">
        <v>1368</v>
      </c>
      <c r="I2015" s="40" t="s">
        <v>1361</v>
      </c>
    </row>
    <row r="2016" spans="1:9" x14ac:dyDescent="0.25">
      <c r="A2016" s="40" t="s">
        <v>161</v>
      </c>
      <c r="B2016" s="28">
        <v>2390</v>
      </c>
      <c r="C2016" s="28" t="s">
        <v>35</v>
      </c>
      <c r="D2016" s="28" t="s">
        <v>38</v>
      </c>
      <c r="E2016" s="41">
        <v>46158</v>
      </c>
      <c r="F2016" s="47">
        <v>0.46457175925925925</v>
      </c>
      <c r="G2016" s="44">
        <v>6.3</v>
      </c>
      <c r="H2016" s="43" t="s">
        <v>1360</v>
      </c>
      <c r="I2016" s="40" t="s">
        <v>1365</v>
      </c>
    </row>
    <row r="2017" spans="1:9" x14ac:dyDescent="0.25">
      <c r="A2017" s="40" t="s">
        <v>161</v>
      </c>
      <c r="B2017" s="28">
        <v>2390</v>
      </c>
      <c r="C2017" s="28" t="s">
        <v>35</v>
      </c>
      <c r="D2017" s="28" t="s">
        <v>38</v>
      </c>
      <c r="E2017" s="41">
        <v>46158</v>
      </c>
      <c r="F2017" s="47">
        <v>0.47518518518518521</v>
      </c>
      <c r="G2017" s="44">
        <v>6.3</v>
      </c>
      <c r="H2017" s="43" t="s">
        <v>1362</v>
      </c>
      <c r="I2017" s="40" t="s">
        <v>1365</v>
      </c>
    </row>
    <row r="2018" spans="1:9" x14ac:dyDescent="0.25">
      <c r="A2018" s="40" t="s">
        <v>361</v>
      </c>
      <c r="B2018" s="28">
        <v>2394</v>
      </c>
      <c r="C2018" s="28">
        <v>5663394</v>
      </c>
      <c r="D2018" s="28" t="s">
        <v>36</v>
      </c>
      <c r="E2018" s="41">
        <v>46153</v>
      </c>
      <c r="F2018" s="47">
        <v>0.85677083333333337</v>
      </c>
      <c r="G2018" s="44">
        <v>6.3</v>
      </c>
      <c r="H2018" s="43" t="s">
        <v>1362</v>
      </c>
      <c r="I2018" s="40" t="s">
        <v>1361</v>
      </c>
    </row>
    <row r="2019" spans="1:9" x14ac:dyDescent="0.25">
      <c r="A2019" s="40" t="s">
        <v>361</v>
      </c>
      <c r="B2019" s="28">
        <v>2394</v>
      </c>
      <c r="C2019" s="28" t="s">
        <v>35</v>
      </c>
      <c r="D2019" s="28" t="s">
        <v>38</v>
      </c>
      <c r="E2019" s="41">
        <v>46153</v>
      </c>
      <c r="F2019" s="47">
        <v>0.91918981481481477</v>
      </c>
      <c r="G2019" s="44">
        <v>6.3</v>
      </c>
      <c r="H2019" s="43" t="s">
        <v>1364</v>
      </c>
      <c r="I2019" s="40" t="s">
        <v>1361</v>
      </c>
    </row>
    <row r="2020" spans="1:9" x14ac:dyDescent="0.25">
      <c r="A2020" s="40" t="s">
        <v>361</v>
      </c>
      <c r="B2020" s="28">
        <v>2394</v>
      </c>
      <c r="C2020" s="28">
        <v>5665254</v>
      </c>
      <c r="D2020" s="28"/>
      <c r="E2020" s="45">
        <v>46154</v>
      </c>
      <c r="F2020" s="48">
        <v>0.88535879629629632</v>
      </c>
      <c r="G2020" s="44">
        <v>6.3</v>
      </c>
      <c r="H2020" s="43" t="s">
        <v>1370</v>
      </c>
      <c r="I2020" s="40" t="s">
        <v>1361</v>
      </c>
    </row>
    <row r="2021" spans="1:9" x14ac:dyDescent="0.25">
      <c r="A2021" s="40" t="s">
        <v>361</v>
      </c>
      <c r="B2021" s="28">
        <v>2394</v>
      </c>
      <c r="C2021" s="28">
        <v>5665254</v>
      </c>
      <c r="D2021" s="28"/>
      <c r="E2021" s="41">
        <v>46154</v>
      </c>
      <c r="F2021" s="47">
        <v>0.88998842592592597</v>
      </c>
      <c r="G2021" s="44">
        <v>6.3</v>
      </c>
      <c r="H2021" s="43" t="s">
        <v>1364</v>
      </c>
      <c r="I2021" s="40" t="s">
        <v>1361</v>
      </c>
    </row>
    <row r="2022" spans="1:9" x14ac:dyDescent="0.25">
      <c r="A2022" s="40" t="s">
        <v>361</v>
      </c>
      <c r="B2022" s="28">
        <v>2394</v>
      </c>
      <c r="C2022" s="28">
        <v>5665817</v>
      </c>
      <c r="D2022" s="28"/>
      <c r="E2022" s="41">
        <v>46155</v>
      </c>
      <c r="F2022" s="47">
        <v>0.32850694444444445</v>
      </c>
      <c r="G2022" s="44">
        <v>6.3</v>
      </c>
      <c r="H2022" s="43" t="s">
        <v>1360</v>
      </c>
      <c r="I2022" s="40" t="s">
        <v>1361</v>
      </c>
    </row>
    <row r="2023" spans="1:9" x14ac:dyDescent="0.25">
      <c r="A2023" s="40" t="s">
        <v>361</v>
      </c>
      <c r="B2023" s="28">
        <v>2394</v>
      </c>
      <c r="C2023" s="28">
        <v>5665817</v>
      </c>
      <c r="D2023" s="28"/>
      <c r="E2023" s="41">
        <v>46155</v>
      </c>
      <c r="F2023" s="47">
        <v>0.37012731481481481</v>
      </c>
      <c r="G2023" s="44">
        <v>6.3</v>
      </c>
      <c r="H2023" s="43" t="s">
        <v>1362</v>
      </c>
      <c r="I2023" s="40" t="s">
        <v>1361</v>
      </c>
    </row>
    <row r="2024" spans="1:9" x14ac:dyDescent="0.25">
      <c r="A2024" s="40" t="s">
        <v>361</v>
      </c>
      <c r="B2024" s="28">
        <v>2394</v>
      </c>
      <c r="C2024" s="28" t="s">
        <v>35</v>
      </c>
      <c r="D2024" s="28" t="s">
        <v>38</v>
      </c>
      <c r="E2024" s="41">
        <v>46155</v>
      </c>
      <c r="F2024" s="47">
        <v>0.46517361111111111</v>
      </c>
      <c r="G2024" s="44">
        <v>6.3</v>
      </c>
      <c r="H2024" s="43" t="s">
        <v>1363</v>
      </c>
      <c r="I2024" s="40" t="s">
        <v>1361</v>
      </c>
    </row>
    <row r="2025" spans="1:9" x14ac:dyDescent="0.25">
      <c r="A2025" s="40" t="s">
        <v>361</v>
      </c>
      <c r="B2025" s="28">
        <v>2394</v>
      </c>
      <c r="C2025" s="28" t="s">
        <v>35</v>
      </c>
      <c r="D2025" s="28" t="s">
        <v>38</v>
      </c>
      <c r="E2025" s="41">
        <v>46155</v>
      </c>
      <c r="F2025" s="47">
        <v>0.47138888888888891</v>
      </c>
      <c r="G2025" s="44">
        <v>6.3</v>
      </c>
      <c r="H2025" s="43" t="s">
        <v>1364</v>
      </c>
      <c r="I2025" s="40" t="s">
        <v>1361</v>
      </c>
    </row>
    <row r="2026" spans="1:9" x14ac:dyDescent="0.25">
      <c r="A2026" s="40" t="s">
        <v>361</v>
      </c>
      <c r="B2026" s="28">
        <v>2394</v>
      </c>
      <c r="C2026" s="28" t="s">
        <v>35</v>
      </c>
      <c r="D2026" s="28" t="s">
        <v>38</v>
      </c>
      <c r="E2026" s="41">
        <v>46155</v>
      </c>
      <c r="F2026" s="47">
        <v>0.79324074074074069</v>
      </c>
      <c r="G2026" s="44">
        <v>6.3</v>
      </c>
      <c r="H2026" s="43" t="s">
        <v>1360</v>
      </c>
      <c r="I2026" s="40" t="s">
        <v>1361</v>
      </c>
    </row>
    <row r="2027" spans="1:9" x14ac:dyDescent="0.25">
      <c r="A2027" s="40" t="s">
        <v>361</v>
      </c>
      <c r="B2027" s="28">
        <v>2394</v>
      </c>
      <c r="C2027" s="28" t="s">
        <v>35</v>
      </c>
      <c r="D2027" s="28" t="s">
        <v>38</v>
      </c>
      <c r="E2027" s="41">
        <v>46155</v>
      </c>
      <c r="F2027" s="47">
        <v>0.80436342592592591</v>
      </c>
      <c r="G2027" s="44">
        <v>6.3</v>
      </c>
      <c r="H2027" s="43" t="s">
        <v>1362</v>
      </c>
      <c r="I2027" s="40" t="s">
        <v>1361</v>
      </c>
    </row>
    <row r="2028" spans="1:9" x14ac:dyDescent="0.25">
      <c r="A2028" s="40" t="s">
        <v>361</v>
      </c>
      <c r="B2028" s="28">
        <v>2394</v>
      </c>
      <c r="C2028" s="28" t="s">
        <v>35</v>
      </c>
      <c r="D2028" s="28" t="s">
        <v>38</v>
      </c>
      <c r="E2028" s="41">
        <v>46155</v>
      </c>
      <c r="F2028" s="47">
        <v>0.92671296296296302</v>
      </c>
      <c r="G2028" s="44">
        <v>6.3</v>
      </c>
      <c r="H2028" s="43" t="s">
        <v>1364</v>
      </c>
      <c r="I2028" s="40" t="s">
        <v>1361</v>
      </c>
    </row>
    <row r="2029" spans="1:9" x14ac:dyDescent="0.25">
      <c r="A2029" s="40" t="s">
        <v>361</v>
      </c>
      <c r="B2029" s="28">
        <v>2394</v>
      </c>
      <c r="C2029" s="28">
        <v>5666824</v>
      </c>
      <c r="D2029" s="28"/>
      <c r="E2029" s="41">
        <v>46156</v>
      </c>
      <c r="F2029" s="47">
        <v>0.4192939814814815</v>
      </c>
      <c r="G2029" s="44">
        <v>6.3</v>
      </c>
      <c r="H2029" s="43" t="s">
        <v>1370</v>
      </c>
      <c r="I2029" s="40" t="s">
        <v>1361</v>
      </c>
    </row>
    <row r="2030" spans="1:9" x14ac:dyDescent="0.25">
      <c r="A2030" s="40" t="s">
        <v>361</v>
      </c>
      <c r="B2030" s="28">
        <v>2394</v>
      </c>
      <c r="C2030" s="28">
        <v>5666824</v>
      </c>
      <c r="D2030" s="28"/>
      <c r="E2030" s="41">
        <v>46156</v>
      </c>
      <c r="F2030" s="47">
        <v>0.42552083333333335</v>
      </c>
      <c r="G2030" s="44">
        <v>6.3</v>
      </c>
      <c r="H2030" s="43" t="s">
        <v>1364</v>
      </c>
      <c r="I2030" s="40" t="s">
        <v>1361</v>
      </c>
    </row>
    <row r="2031" spans="1:9" x14ac:dyDescent="0.25">
      <c r="A2031" s="40" t="s">
        <v>361</v>
      </c>
      <c r="B2031" s="28">
        <v>2394</v>
      </c>
      <c r="C2031" s="28">
        <v>5668663</v>
      </c>
      <c r="D2031" s="28"/>
      <c r="E2031" s="45">
        <v>46156</v>
      </c>
      <c r="F2031" s="48">
        <v>0.81966435185185182</v>
      </c>
      <c r="G2031" s="44">
        <v>6.3</v>
      </c>
      <c r="H2031" s="43" t="s">
        <v>1363</v>
      </c>
      <c r="I2031" s="40" t="s">
        <v>1361</v>
      </c>
    </row>
    <row r="2032" spans="1:9" x14ac:dyDescent="0.25">
      <c r="A2032" s="40" t="s">
        <v>361</v>
      </c>
      <c r="B2032" s="28">
        <v>2394</v>
      </c>
      <c r="C2032" s="28">
        <v>5668663</v>
      </c>
      <c r="D2032" s="28"/>
      <c r="E2032" s="41">
        <v>46156</v>
      </c>
      <c r="F2032" s="47">
        <v>0.83678240740740739</v>
      </c>
      <c r="G2032" s="44">
        <v>6.3</v>
      </c>
      <c r="H2032" s="43" t="s">
        <v>1364</v>
      </c>
      <c r="I2032" s="40" t="s">
        <v>1361</v>
      </c>
    </row>
    <row r="2033" spans="1:9" x14ac:dyDescent="0.25">
      <c r="A2033" s="40" t="s">
        <v>361</v>
      </c>
      <c r="B2033" s="28">
        <v>2394</v>
      </c>
      <c r="C2033" s="28">
        <v>5669562</v>
      </c>
      <c r="D2033" s="28"/>
      <c r="E2033" s="41">
        <v>46157</v>
      </c>
      <c r="F2033" s="47">
        <v>0.29465277777777776</v>
      </c>
      <c r="G2033" s="42">
        <v>6.3</v>
      </c>
      <c r="H2033" s="40" t="s">
        <v>1360</v>
      </c>
      <c r="I2033" s="40" t="s">
        <v>1361</v>
      </c>
    </row>
    <row r="2034" spans="1:9" x14ac:dyDescent="0.25">
      <c r="A2034" s="40" t="s">
        <v>361</v>
      </c>
      <c r="B2034" s="28">
        <v>2394</v>
      </c>
      <c r="C2034" s="28">
        <v>5669562</v>
      </c>
      <c r="D2034" s="28"/>
      <c r="E2034" s="41">
        <v>46157</v>
      </c>
      <c r="F2034" s="47">
        <v>0.3079513888888889</v>
      </c>
      <c r="G2034" s="42">
        <v>6.3</v>
      </c>
      <c r="H2034" s="40" t="s">
        <v>1362</v>
      </c>
      <c r="I2034" s="40" t="s">
        <v>1361</v>
      </c>
    </row>
    <row r="2035" spans="1:9" x14ac:dyDescent="0.25">
      <c r="A2035" s="40" t="s">
        <v>361</v>
      </c>
      <c r="B2035" s="28">
        <v>2394</v>
      </c>
      <c r="C2035" s="28" t="s">
        <v>35</v>
      </c>
      <c r="D2035" s="28" t="s">
        <v>38</v>
      </c>
      <c r="E2035" s="41">
        <v>46157</v>
      </c>
      <c r="F2035" s="47">
        <v>0.40775462962962961</v>
      </c>
      <c r="G2035" s="42">
        <v>6.3</v>
      </c>
      <c r="H2035" s="40" t="s">
        <v>1363</v>
      </c>
      <c r="I2035" s="40" t="s">
        <v>1361</v>
      </c>
    </row>
    <row r="2036" spans="1:9" x14ac:dyDescent="0.25">
      <c r="A2036" s="40" t="s">
        <v>361</v>
      </c>
      <c r="B2036" s="28">
        <v>2394</v>
      </c>
      <c r="C2036" s="28" t="s">
        <v>35</v>
      </c>
      <c r="D2036" s="28" t="s">
        <v>38</v>
      </c>
      <c r="E2036" s="41">
        <v>46157</v>
      </c>
      <c r="F2036" s="47">
        <v>0.41600694444444447</v>
      </c>
      <c r="G2036" s="42">
        <v>6.3</v>
      </c>
      <c r="H2036" s="40" t="s">
        <v>1364</v>
      </c>
      <c r="I2036" s="40" t="s">
        <v>1361</v>
      </c>
    </row>
    <row r="2037" spans="1:9" x14ac:dyDescent="0.25">
      <c r="A2037" s="40" t="s">
        <v>361</v>
      </c>
      <c r="B2037" s="28">
        <v>2394</v>
      </c>
      <c r="C2037" s="28" t="s">
        <v>35</v>
      </c>
      <c r="D2037" s="28" t="s">
        <v>38</v>
      </c>
      <c r="E2037" s="41">
        <v>46157</v>
      </c>
      <c r="F2037" s="47">
        <v>0.98244212962962962</v>
      </c>
      <c r="G2037" s="44">
        <v>6.3</v>
      </c>
      <c r="H2037" s="43" t="s">
        <v>1363</v>
      </c>
      <c r="I2037" s="40" t="s">
        <v>1365</v>
      </c>
    </row>
    <row r="2038" spans="1:9" x14ac:dyDescent="0.25">
      <c r="A2038" s="40" t="s">
        <v>361</v>
      </c>
      <c r="B2038" s="28">
        <v>2394</v>
      </c>
      <c r="C2038" s="28" t="s">
        <v>35</v>
      </c>
      <c r="D2038" s="28" t="s">
        <v>38</v>
      </c>
      <c r="E2038" s="41">
        <v>46159</v>
      </c>
      <c r="F2038" s="47">
        <v>0.89574074074074073</v>
      </c>
      <c r="G2038" s="44">
        <v>6.3</v>
      </c>
      <c r="H2038" s="43" t="s">
        <v>1363</v>
      </c>
      <c r="I2038" s="40" t="s">
        <v>1365</v>
      </c>
    </row>
    <row r="2039" spans="1:9" x14ac:dyDescent="0.25">
      <c r="A2039" s="40" t="s">
        <v>236</v>
      </c>
      <c r="B2039" s="28">
        <v>2416</v>
      </c>
      <c r="C2039" s="28" t="s">
        <v>35</v>
      </c>
      <c r="D2039" s="28" t="s">
        <v>38</v>
      </c>
      <c r="E2039" s="41">
        <v>46157</v>
      </c>
      <c r="F2039" s="47">
        <v>0.52508101851851852</v>
      </c>
      <c r="G2039" s="44">
        <v>6.3</v>
      </c>
      <c r="H2039" s="43" t="s">
        <v>1369</v>
      </c>
      <c r="I2039" s="40" t="s">
        <v>1361</v>
      </c>
    </row>
    <row r="2040" spans="1:9" x14ac:dyDescent="0.25">
      <c r="A2040" s="40" t="s">
        <v>236</v>
      </c>
      <c r="B2040" s="28">
        <v>2416</v>
      </c>
      <c r="C2040" s="28">
        <v>5670108</v>
      </c>
      <c r="D2040" s="28" t="s">
        <v>37</v>
      </c>
      <c r="E2040" s="45">
        <v>46157</v>
      </c>
      <c r="F2040" s="48">
        <v>0.64877314814814813</v>
      </c>
      <c r="G2040" s="44">
        <v>6.3</v>
      </c>
      <c r="H2040" s="43" t="s">
        <v>1367</v>
      </c>
      <c r="I2040" s="40" t="s">
        <v>1361</v>
      </c>
    </row>
    <row r="2041" spans="1:9" x14ac:dyDescent="0.25">
      <c r="A2041" s="40" t="s">
        <v>236</v>
      </c>
      <c r="B2041" s="28">
        <v>2416</v>
      </c>
      <c r="C2041" s="28">
        <v>5670108</v>
      </c>
      <c r="D2041" s="28" t="s">
        <v>37</v>
      </c>
      <c r="E2041" s="41">
        <v>46157</v>
      </c>
      <c r="F2041" s="47">
        <v>0.6521527777777778</v>
      </c>
      <c r="G2041" s="44">
        <v>6.3</v>
      </c>
      <c r="H2041" s="43" t="s">
        <v>1364</v>
      </c>
      <c r="I2041" s="40" t="s">
        <v>1361</v>
      </c>
    </row>
    <row r="2042" spans="1:9" x14ac:dyDescent="0.25">
      <c r="A2042" s="40" t="s">
        <v>236</v>
      </c>
      <c r="B2042" s="28">
        <v>2416</v>
      </c>
      <c r="C2042" s="28" t="s">
        <v>35</v>
      </c>
      <c r="D2042" s="28" t="s">
        <v>38</v>
      </c>
      <c r="E2042" s="41">
        <v>46157</v>
      </c>
      <c r="F2042" s="47">
        <v>0.78021990740740743</v>
      </c>
      <c r="G2042" s="44">
        <v>6.3</v>
      </c>
      <c r="H2042" s="43" t="s">
        <v>1363</v>
      </c>
      <c r="I2042" s="40" t="s">
        <v>1361</v>
      </c>
    </row>
    <row r="2043" spans="1:9" x14ac:dyDescent="0.25">
      <c r="A2043" s="40" t="s">
        <v>127</v>
      </c>
      <c r="B2043" s="28">
        <v>2441</v>
      </c>
      <c r="C2043" s="28">
        <v>5661649</v>
      </c>
      <c r="D2043" s="28"/>
      <c r="E2043" s="41">
        <v>46153</v>
      </c>
      <c r="F2043" s="47">
        <v>0.39245370370370369</v>
      </c>
      <c r="G2043" s="44">
        <v>6.3</v>
      </c>
      <c r="H2043" s="43" t="s">
        <v>1363</v>
      </c>
      <c r="I2043" s="40" t="s">
        <v>1361</v>
      </c>
    </row>
    <row r="2044" spans="1:9" x14ac:dyDescent="0.25">
      <c r="A2044" s="40" t="s">
        <v>127</v>
      </c>
      <c r="B2044" s="28">
        <v>2441</v>
      </c>
      <c r="C2044" s="28">
        <v>5661649</v>
      </c>
      <c r="D2044" s="28"/>
      <c r="E2044" s="41">
        <v>46153</v>
      </c>
      <c r="F2044" s="47">
        <v>0.40303240740740742</v>
      </c>
      <c r="G2044" s="44">
        <v>6.3</v>
      </c>
      <c r="H2044" s="43" t="s">
        <v>1364</v>
      </c>
      <c r="I2044" s="40" t="s">
        <v>1361</v>
      </c>
    </row>
    <row r="2045" spans="1:9" x14ac:dyDescent="0.25">
      <c r="A2045" s="40" t="s">
        <v>127</v>
      </c>
      <c r="B2045" s="28">
        <v>2441</v>
      </c>
      <c r="C2045" s="28">
        <v>5663913</v>
      </c>
      <c r="D2045" s="28"/>
      <c r="E2045" s="41">
        <v>46154</v>
      </c>
      <c r="F2045" s="47">
        <v>0.29621527777777779</v>
      </c>
      <c r="G2045" s="44">
        <v>6.3</v>
      </c>
      <c r="H2045" s="43" t="s">
        <v>1360</v>
      </c>
      <c r="I2045" s="40" t="s">
        <v>1361</v>
      </c>
    </row>
    <row r="2046" spans="1:9" x14ac:dyDescent="0.25">
      <c r="A2046" s="40" t="s">
        <v>127</v>
      </c>
      <c r="B2046" s="28">
        <v>2441</v>
      </c>
      <c r="C2046" s="28">
        <v>5663913</v>
      </c>
      <c r="D2046" s="28"/>
      <c r="E2046" s="41">
        <v>46154</v>
      </c>
      <c r="F2046" s="47">
        <v>0.30612268518518521</v>
      </c>
      <c r="G2046" s="44">
        <v>6.3</v>
      </c>
      <c r="H2046" s="43" t="s">
        <v>1368</v>
      </c>
      <c r="I2046" s="40" t="s">
        <v>1361</v>
      </c>
    </row>
    <row r="2047" spans="1:9" x14ac:dyDescent="0.25">
      <c r="A2047" s="40" t="s">
        <v>127</v>
      </c>
      <c r="B2047" s="28">
        <v>2441</v>
      </c>
      <c r="C2047" s="28">
        <v>5664548</v>
      </c>
      <c r="D2047" s="28"/>
      <c r="E2047" s="41">
        <v>46154</v>
      </c>
      <c r="F2047" s="47">
        <v>0.4634375</v>
      </c>
      <c r="G2047" s="44">
        <v>6.3</v>
      </c>
      <c r="H2047" s="43" t="s">
        <v>1363</v>
      </c>
      <c r="I2047" s="40" t="s">
        <v>1361</v>
      </c>
    </row>
    <row r="2048" spans="1:9" x14ac:dyDescent="0.25">
      <c r="A2048" s="40" t="s">
        <v>127</v>
      </c>
      <c r="B2048" s="28">
        <v>2441</v>
      </c>
      <c r="C2048" s="28">
        <v>5664548</v>
      </c>
      <c r="D2048" s="28"/>
      <c r="E2048" s="41">
        <v>46154</v>
      </c>
      <c r="F2048" s="47">
        <v>0.46917824074074072</v>
      </c>
      <c r="G2048" s="44">
        <v>6.3</v>
      </c>
      <c r="H2048" s="43" t="s">
        <v>1364</v>
      </c>
      <c r="I2048" s="40" t="s">
        <v>1361</v>
      </c>
    </row>
    <row r="2049" spans="1:9" x14ac:dyDescent="0.25">
      <c r="A2049" s="40" t="s">
        <v>127</v>
      </c>
      <c r="B2049" s="28">
        <v>2441</v>
      </c>
      <c r="C2049" s="28">
        <v>5668002</v>
      </c>
      <c r="D2049" s="28"/>
      <c r="E2049" s="41">
        <v>46156</v>
      </c>
      <c r="F2049" s="47">
        <v>0.42215277777777777</v>
      </c>
      <c r="G2049" s="44">
        <v>6.3</v>
      </c>
      <c r="H2049" s="43" t="s">
        <v>1363</v>
      </c>
      <c r="I2049" s="40" t="s">
        <v>1361</v>
      </c>
    </row>
    <row r="2050" spans="1:9" x14ac:dyDescent="0.25">
      <c r="A2050" s="40" t="s">
        <v>127</v>
      </c>
      <c r="B2050" s="28">
        <v>2441</v>
      </c>
      <c r="C2050" s="28">
        <v>5668002</v>
      </c>
      <c r="D2050" s="28"/>
      <c r="E2050" s="41">
        <v>46156</v>
      </c>
      <c r="F2050" s="47">
        <v>0.42981481481481482</v>
      </c>
      <c r="G2050" s="44">
        <v>6.3</v>
      </c>
      <c r="H2050" s="43" t="s">
        <v>1364</v>
      </c>
      <c r="I2050" s="40" t="s">
        <v>1361</v>
      </c>
    </row>
    <row r="2051" spans="1:9" x14ac:dyDescent="0.25">
      <c r="A2051" s="40" t="s">
        <v>128</v>
      </c>
      <c r="B2051" s="28">
        <v>2463</v>
      </c>
      <c r="C2051" s="28" t="s">
        <v>737</v>
      </c>
      <c r="D2051" s="28"/>
      <c r="E2051" s="41">
        <v>46153</v>
      </c>
      <c r="F2051" s="47">
        <v>0.63092592592592589</v>
      </c>
      <c r="G2051" s="44">
        <v>6.3</v>
      </c>
      <c r="H2051" s="43" t="s">
        <v>1360</v>
      </c>
      <c r="I2051" s="40" t="s">
        <v>1361</v>
      </c>
    </row>
    <row r="2052" spans="1:9" x14ac:dyDescent="0.25">
      <c r="A2052" s="40" t="s">
        <v>128</v>
      </c>
      <c r="B2052" s="28">
        <v>2463</v>
      </c>
      <c r="C2052" s="28" t="s">
        <v>737</v>
      </c>
      <c r="D2052" s="28"/>
      <c r="E2052" s="41">
        <v>46153</v>
      </c>
      <c r="F2052" s="47">
        <v>0.63923611111111112</v>
      </c>
      <c r="G2052" s="44">
        <v>6.3</v>
      </c>
      <c r="H2052" s="43" t="s">
        <v>1362</v>
      </c>
      <c r="I2052" s="40" t="s">
        <v>1361</v>
      </c>
    </row>
    <row r="2053" spans="1:9" x14ac:dyDescent="0.25">
      <c r="A2053" s="40" t="s">
        <v>128</v>
      </c>
      <c r="B2053" s="28">
        <v>2463</v>
      </c>
      <c r="C2053" s="28">
        <v>10642243</v>
      </c>
      <c r="D2053" s="28"/>
      <c r="E2053" s="41">
        <v>46153</v>
      </c>
      <c r="F2053" s="47">
        <v>0.69699074074074074</v>
      </c>
      <c r="G2053" s="44">
        <v>6.3</v>
      </c>
      <c r="H2053" s="43" t="s">
        <v>1364</v>
      </c>
      <c r="I2053" s="40" t="s">
        <v>1361</v>
      </c>
    </row>
    <row r="2054" spans="1:9" x14ac:dyDescent="0.25">
      <c r="A2054" s="40" t="s">
        <v>128</v>
      </c>
      <c r="B2054" s="28">
        <v>2463</v>
      </c>
      <c r="C2054" s="28" t="s">
        <v>35</v>
      </c>
      <c r="D2054" s="28" t="s">
        <v>38</v>
      </c>
      <c r="E2054" s="41">
        <v>46154</v>
      </c>
      <c r="F2054" s="47">
        <v>0.3866087962962963</v>
      </c>
      <c r="G2054" s="44">
        <v>6.3</v>
      </c>
      <c r="H2054" s="43" t="s">
        <v>1370</v>
      </c>
      <c r="I2054" s="40" t="s">
        <v>1361</v>
      </c>
    </row>
    <row r="2055" spans="1:9" x14ac:dyDescent="0.25">
      <c r="A2055" s="40" t="s">
        <v>128</v>
      </c>
      <c r="B2055" s="28">
        <v>2463</v>
      </c>
      <c r="C2055" s="28" t="s">
        <v>35</v>
      </c>
      <c r="D2055" s="28" t="s">
        <v>38</v>
      </c>
      <c r="E2055" s="41">
        <v>46154</v>
      </c>
      <c r="F2055" s="47">
        <v>0.39379629629629631</v>
      </c>
      <c r="G2055" s="44">
        <v>6.3</v>
      </c>
      <c r="H2055" s="43" t="s">
        <v>1364</v>
      </c>
      <c r="I2055" s="40" t="s">
        <v>1361</v>
      </c>
    </row>
    <row r="2056" spans="1:9" x14ac:dyDescent="0.25">
      <c r="A2056" s="40" t="s">
        <v>128</v>
      </c>
      <c r="B2056" s="28">
        <v>2463</v>
      </c>
      <c r="C2056" s="28">
        <v>5664994</v>
      </c>
      <c r="D2056" s="28"/>
      <c r="E2056" s="41">
        <v>46154</v>
      </c>
      <c r="F2056" s="47">
        <v>0.62284722222222222</v>
      </c>
      <c r="G2056" s="44">
        <v>6.3</v>
      </c>
      <c r="H2056" s="43" t="s">
        <v>1360</v>
      </c>
      <c r="I2056" s="40" t="s">
        <v>1361</v>
      </c>
    </row>
    <row r="2057" spans="1:9" x14ac:dyDescent="0.25">
      <c r="A2057" s="40" t="s">
        <v>128</v>
      </c>
      <c r="B2057" s="28">
        <v>2463</v>
      </c>
      <c r="C2057" s="28">
        <v>5664994</v>
      </c>
      <c r="D2057" s="28"/>
      <c r="E2057" s="45">
        <v>46154</v>
      </c>
      <c r="F2057" s="48">
        <v>0.6353240740740741</v>
      </c>
      <c r="G2057" s="44">
        <v>6.3</v>
      </c>
      <c r="H2057" s="43" t="s">
        <v>1368</v>
      </c>
      <c r="I2057" s="40" t="s">
        <v>1361</v>
      </c>
    </row>
    <row r="2058" spans="1:9" x14ac:dyDescent="0.25">
      <c r="A2058" s="40" t="s">
        <v>128</v>
      </c>
      <c r="B2058" s="28">
        <v>2463</v>
      </c>
      <c r="C2058" s="28">
        <v>5671951</v>
      </c>
      <c r="D2058" s="28"/>
      <c r="E2058" s="41">
        <v>46158</v>
      </c>
      <c r="F2058" s="47">
        <v>0.89270833333333333</v>
      </c>
      <c r="G2058" s="42">
        <v>6.3</v>
      </c>
      <c r="H2058" s="40" t="s">
        <v>1360</v>
      </c>
      <c r="I2058" s="40" t="s">
        <v>1365</v>
      </c>
    </row>
    <row r="2059" spans="1:9" x14ac:dyDescent="0.25">
      <c r="A2059" s="40" t="s">
        <v>128</v>
      </c>
      <c r="B2059" s="28">
        <v>2463</v>
      </c>
      <c r="C2059" s="28">
        <v>5671951</v>
      </c>
      <c r="D2059" s="28"/>
      <c r="E2059" s="41">
        <v>46158</v>
      </c>
      <c r="F2059" s="47">
        <v>0.89974537037037039</v>
      </c>
      <c r="G2059" s="42">
        <v>6.3</v>
      </c>
      <c r="H2059" s="40" t="s">
        <v>1362</v>
      </c>
      <c r="I2059" s="40" t="s">
        <v>1365</v>
      </c>
    </row>
    <row r="2060" spans="1:9" x14ac:dyDescent="0.25">
      <c r="A2060" s="40" t="s">
        <v>128</v>
      </c>
      <c r="B2060" s="28">
        <v>2463</v>
      </c>
      <c r="C2060" s="28" t="s">
        <v>738</v>
      </c>
      <c r="D2060" s="28"/>
      <c r="E2060" s="41">
        <v>46159</v>
      </c>
      <c r="F2060" s="47">
        <v>5.5266203703703706E-2</v>
      </c>
      <c r="G2060" s="44">
        <v>6.3</v>
      </c>
      <c r="H2060" s="43" t="s">
        <v>1360</v>
      </c>
      <c r="I2060" s="40" t="s">
        <v>1365</v>
      </c>
    </row>
    <row r="2061" spans="1:9" x14ac:dyDescent="0.25">
      <c r="A2061" s="40" t="s">
        <v>128</v>
      </c>
      <c r="B2061" s="28">
        <v>2463</v>
      </c>
      <c r="C2061" s="28" t="s">
        <v>738</v>
      </c>
      <c r="D2061" s="28"/>
      <c r="E2061" s="41">
        <v>46159</v>
      </c>
      <c r="F2061" s="47">
        <v>6.2592592592592589E-2</v>
      </c>
      <c r="G2061" s="44">
        <v>6.3</v>
      </c>
      <c r="H2061" s="43" t="s">
        <v>1362</v>
      </c>
      <c r="I2061" s="40" t="s">
        <v>1365</v>
      </c>
    </row>
    <row r="2062" spans="1:9" x14ac:dyDescent="0.25">
      <c r="A2062" s="40" t="s">
        <v>128</v>
      </c>
      <c r="B2062" s="28">
        <v>2463</v>
      </c>
      <c r="C2062" s="28" t="s">
        <v>35</v>
      </c>
      <c r="D2062" s="28" t="s">
        <v>38</v>
      </c>
      <c r="E2062" s="41">
        <v>46159</v>
      </c>
      <c r="F2062" s="47">
        <v>0.29651620370370368</v>
      </c>
      <c r="G2062" s="44">
        <v>6.3</v>
      </c>
      <c r="H2062" s="43" t="s">
        <v>1363</v>
      </c>
      <c r="I2062" s="40" t="s">
        <v>1365</v>
      </c>
    </row>
    <row r="2063" spans="1:9" x14ac:dyDescent="0.25">
      <c r="A2063" s="40" t="s">
        <v>128</v>
      </c>
      <c r="B2063" s="28">
        <v>2463</v>
      </c>
      <c r="C2063" s="28" t="s">
        <v>35</v>
      </c>
      <c r="D2063" s="28" t="s">
        <v>38</v>
      </c>
      <c r="E2063" s="41">
        <v>46159</v>
      </c>
      <c r="F2063" s="47">
        <v>0.30196759259259259</v>
      </c>
      <c r="G2063" s="44">
        <v>6.3</v>
      </c>
      <c r="H2063" s="43" t="s">
        <v>1364</v>
      </c>
      <c r="I2063" s="40" t="s">
        <v>1365</v>
      </c>
    </row>
    <row r="2064" spans="1:9" x14ac:dyDescent="0.25">
      <c r="A2064" s="40" t="s">
        <v>500</v>
      </c>
      <c r="B2064" s="28">
        <v>2467</v>
      </c>
      <c r="C2064" s="28">
        <v>5664538</v>
      </c>
      <c r="D2064" s="28"/>
      <c r="E2064" s="41">
        <v>46154</v>
      </c>
      <c r="F2064" s="47">
        <v>0.97035879629629629</v>
      </c>
      <c r="G2064" s="44">
        <v>6.3</v>
      </c>
      <c r="H2064" s="43" t="s">
        <v>1363</v>
      </c>
      <c r="I2064" s="40" t="s">
        <v>1361</v>
      </c>
    </row>
    <row r="2065" spans="1:9" x14ac:dyDescent="0.25">
      <c r="A2065" s="40" t="s">
        <v>500</v>
      </c>
      <c r="B2065" s="28">
        <v>2467</v>
      </c>
      <c r="C2065" s="28" t="s">
        <v>35</v>
      </c>
      <c r="D2065" s="28" t="s">
        <v>38</v>
      </c>
      <c r="E2065" s="41">
        <v>46155</v>
      </c>
      <c r="F2065" s="47">
        <v>0.62762731481481482</v>
      </c>
      <c r="G2065" s="44">
        <v>6.3</v>
      </c>
      <c r="H2065" s="43" t="s">
        <v>1362</v>
      </c>
      <c r="I2065" s="40" t="s">
        <v>1361</v>
      </c>
    </row>
    <row r="2066" spans="1:9" x14ac:dyDescent="0.25">
      <c r="A2066" s="40" t="s">
        <v>500</v>
      </c>
      <c r="B2066" s="28">
        <v>2467</v>
      </c>
      <c r="C2066" s="28" t="s">
        <v>35</v>
      </c>
      <c r="D2066" s="28" t="s">
        <v>38</v>
      </c>
      <c r="E2066" s="41">
        <v>46158</v>
      </c>
      <c r="F2066" s="47">
        <v>0.91437500000000005</v>
      </c>
      <c r="G2066" s="44">
        <v>6.3</v>
      </c>
      <c r="H2066" s="43" t="s">
        <v>1363</v>
      </c>
      <c r="I2066" s="40" t="s">
        <v>1365</v>
      </c>
    </row>
    <row r="2067" spans="1:9" x14ac:dyDescent="0.25">
      <c r="A2067" s="40" t="s">
        <v>129</v>
      </c>
      <c r="B2067" s="28">
        <v>2501</v>
      </c>
      <c r="C2067" s="28">
        <v>5667899</v>
      </c>
      <c r="D2067" s="28"/>
      <c r="E2067" s="41">
        <v>46156</v>
      </c>
      <c r="F2067" s="47">
        <v>0.41365740740740742</v>
      </c>
      <c r="G2067" s="44">
        <v>6.3</v>
      </c>
      <c r="H2067" s="43" t="s">
        <v>1360</v>
      </c>
      <c r="I2067" s="40" t="s">
        <v>1361</v>
      </c>
    </row>
    <row r="2068" spans="1:9" x14ac:dyDescent="0.25">
      <c r="A2068" s="40" t="s">
        <v>129</v>
      </c>
      <c r="B2068" s="28">
        <v>2501</v>
      </c>
      <c r="C2068" s="28">
        <v>5667899</v>
      </c>
      <c r="D2068" s="28"/>
      <c r="E2068" s="41">
        <v>46156</v>
      </c>
      <c r="F2068" s="47">
        <v>0.42570601851851853</v>
      </c>
      <c r="G2068" s="44">
        <v>6.3</v>
      </c>
      <c r="H2068" s="43" t="s">
        <v>1362</v>
      </c>
      <c r="I2068" s="40" t="s">
        <v>1361</v>
      </c>
    </row>
    <row r="2069" spans="1:9" x14ac:dyDescent="0.25">
      <c r="A2069" s="40" t="s">
        <v>129</v>
      </c>
      <c r="B2069" s="28">
        <v>2501</v>
      </c>
      <c r="C2069" s="28" t="s">
        <v>35</v>
      </c>
      <c r="D2069" s="28" t="s">
        <v>38</v>
      </c>
      <c r="E2069" s="45">
        <v>46159</v>
      </c>
      <c r="F2069" s="48">
        <v>4.7974537037037038E-2</v>
      </c>
      <c r="G2069" s="44">
        <v>6.3</v>
      </c>
      <c r="H2069" s="43" t="s">
        <v>1360</v>
      </c>
      <c r="I2069" s="40" t="s">
        <v>1365</v>
      </c>
    </row>
    <row r="2070" spans="1:9" x14ac:dyDescent="0.25">
      <c r="A2070" s="40" t="s">
        <v>129</v>
      </c>
      <c r="B2070" s="28">
        <v>2501</v>
      </c>
      <c r="C2070" s="28" t="s">
        <v>35</v>
      </c>
      <c r="D2070" s="28" t="s">
        <v>38</v>
      </c>
      <c r="E2070" s="41">
        <v>46159</v>
      </c>
      <c r="F2070" s="47">
        <v>5.5011574074074074E-2</v>
      </c>
      <c r="G2070" s="44">
        <v>6.3</v>
      </c>
      <c r="H2070" s="43" t="s">
        <v>1362</v>
      </c>
      <c r="I2070" s="40" t="s">
        <v>1365</v>
      </c>
    </row>
    <row r="2071" spans="1:9" x14ac:dyDescent="0.25">
      <c r="A2071" s="40" t="s">
        <v>129</v>
      </c>
      <c r="B2071" s="28">
        <v>2501</v>
      </c>
      <c r="C2071" s="28">
        <v>5672005</v>
      </c>
      <c r="D2071" s="28"/>
      <c r="E2071" s="41">
        <v>46159</v>
      </c>
      <c r="F2071" s="47">
        <v>0.24504629629629629</v>
      </c>
      <c r="G2071" s="42">
        <v>6.3</v>
      </c>
      <c r="H2071" s="40" t="s">
        <v>1363</v>
      </c>
      <c r="I2071" s="40" t="s">
        <v>1365</v>
      </c>
    </row>
    <row r="2072" spans="1:9" x14ac:dyDescent="0.25">
      <c r="A2072" s="40" t="s">
        <v>129</v>
      </c>
      <c r="B2072" s="28">
        <v>2501</v>
      </c>
      <c r="C2072" s="28">
        <v>5672005</v>
      </c>
      <c r="D2072" s="28"/>
      <c r="E2072" s="45">
        <v>46159</v>
      </c>
      <c r="F2072" s="48">
        <v>0.25015046296296295</v>
      </c>
      <c r="G2072" s="42">
        <v>6.3</v>
      </c>
      <c r="H2072" s="40" t="s">
        <v>1364</v>
      </c>
      <c r="I2072" s="40" t="s">
        <v>1365</v>
      </c>
    </row>
    <row r="2073" spans="1:9" x14ac:dyDescent="0.25">
      <c r="A2073" s="40" t="s">
        <v>418</v>
      </c>
      <c r="B2073" s="28">
        <v>2520</v>
      </c>
      <c r="C2073" s="28">
        <v>5662094</v>
      </c>
      <c r="D2073" s="28"/>
      <c r="E2073" s="41">
        <v>46153</v>
      </c>
      <c r="F2073" s="47">
        <v>0.2699537037037037</v>
      </c>
      <c r="G2073" s="44">
        <v>6.3</v>
      </c>
      <c r="H2073" s="43" t="s">
        <v>1362</v>
      </c>
      <c r="I2073" s="40" t="s">
        <v>1361</v>
      </c>
    </row>
    <row r="2074" spans="1:9" x14ac:dyDescent="0.25">
      <c r="A2074" s="40" t="s">
        <v>418</v>
      </c>
      <c r="B2074" s="28">
        <v>2520</v>
      </c>
      <c r="C2074" s="28">
        <v>5663446</v>
      </c>
      <c r="D2074" s="28"/>
      <c r="E2074" s="41">
        <v>46153</v>
      </c>
      <c r="F2074" s="47">
        <v>0.82337962962962963</v>
      </c>
      <c r="G2074" s="44">
        <v>6.3</v>
      </c>
      <c r="H2074" s="43" t="s">
        <v>1362</v>
      </c>
      <c r="I2074" s="40" t="s">
        <v>1361</v>
      </c>
    </row>
    <row r="2075" spans="1:9" x14ac:dyDescent="0.25">
      <c r="A2075" s="40" t="s">
        <v>418</v>
      </c>
      <c r="B2075" s="28">
        <v>2520</v>
      </c>
      <c r="C2075" s="28">
        <v>5665142</v>
      </c>
      <c r="D2075" s="28"/>
      <c r="E2075" s="41">
        <v>46155</v>
      </c>
      <c r="F2075" s="47">
        <v>0.30418981481481483</v>
      </c>
      <c r="G2075" s="44">
        <v>6.3</v>
      </c>
      <c r="H2075" s="43" t="s">
        <v>1360</v>
      </c>
      <c r="I2075" s="40" t="s">
        <v>1361</v>
      </c>
    </row>
    <row r="2076" spans="1:9" x14ac:dyDescent="0.25">
      <c r="A2076" s="40" t="s">
        <v>418</v>
      </c>
      <c r="B2076" s="28">
        <v>2520</v>
      </c>
      <c r="C2076" s="28">
        <v>5665142</v>
      </c>
      <c r="D2076" s="28"/>
      <c r="E2076" s="41">
        <v>46155</v>
      </c>
      <c r="F2076" s="47">
        <v>0.34038194444444442</v>
      </c>
      <c r="G2076" s="44">
        <v>6.3</v>
      </c>
      <c r="H2076" s="43" t="s">
        <v>1362</v>
      </c>
      <c r="I2076" s="40" t="s">
        <v>1361</v>
      </c>
    </row>
    <row r="2077" spans="1:9" x14ac:dyDescent="0.25">
      <c r="A2077" s="40" t="s">
        <v>418</v>
      </c>
      <c r="B2077" s="28">
        <v>2520</v>
      </c>
      <c r="C2077" s="28">
        <v>5666951</v>
      </c>
      <c r="D2077" s="28"/>
      <c r="E2077" s="41">
        <v>46155</v>
      </c>
      <c r="F2077" s="47">
        <v>0.74861111111111112</v>
      </c>
      <c r="G2077" s="44">
        <v>6.3</v>
      </c>
      <c r="H2077" s="43" t="s">
        <v>1370</v>
      </c>
      <c r="I2077" s="40" t="s">
        <v>1361</v>
      </c>
    </row>
    <row r="2078" spans="1:9" x14ac:dyDescent="0.25">
      <c r="A2078" s="40" t="s">
        <v>418</v>
      </c>
      <c r="B2078" s="28">
        <v>2520</v>
      </c>
      <c r="C2078" s="28">
        <v>5667050</v>
      </c>
      <c r="D2078" s="28"/>
      <c r="E2078" s="41">
        <v>46155</v>
      </c>
      <c r="F2078" s="47">
        <v>0.8837962962962963</v>
      </c>
      <c r="G2078" s="44">
        <v>6.3</v>
      </c>
      <c r="H2078" s="43" t="s">
        <v>1362</v>
      </c>
      <c r="I2078" s="40" t="s">
        <v>1361</v>
      </c>
    </row>
    <row r="2079" spans="1:9" x14ac:dyDescent="0.25">
      <c r="A2079" s="40" t="s">
        <v>418</v>
      </c>
      <c r="B2079" s="28">
        <v>2520</v>
      </c>
      <c r="C2079" s="28">
        <v>5667605</v>
      </c>
      <c r="D2079" s="28"/>
      <c r="E2079" s="41">
        <v>46156</v>
      </c>
      <c r="F2079" s="47">
        <v>0.25885416666666666</v>
      </c>
      <c r="G2079" s="44">
        <v>6.3</v>
      </c>
      <c r="H2079" s="43" t="s">
        <v>1362</v>
      </c>
      <c r="I2079" s="40" t="s">
        <v>1361</v>
      </c>
    </row>
    <row r="2080" spans="1:9" x14ac:dyDescent="0.25">
      <c r="A2080" s="40" t="s">
        <v>418</v>
      </c>
      <c r="B2080" s="28">
        <v>2520</v>
      </c>
      <c r="C2080" s="28" t="s">
        <v>35</v>
      </c>
      <c r="D2080" s="28" t="s">
        <v>38</v>
      </c>
      <c r="E2080" s="41">
        <v>46156</v>
      </c>
      <c r="F2080" s="47">
        <v>0.82070601851851854</v>
      </c>
      <c r="G2080" s="44">
        <v>6.3</v>
      </c>
      <c r="H2080" s="43" t="s">
        <v>1366</v>
      </c>
      <c r="I2080" s="40" t="s">
        <v>1361</v>
      </c>
    </row>
    <row r="2081" spans="1:9" x14ac:dyDescent="0.25">
      <c r="A2081" s="40" t="s">
        <v>418</v>
      </c>
      <c r="B2081" s="28">
        <v>2520</v>
      </c>
      <c r="C2081" s="28" t="s">
        <v>35</v>
      </c>
      <c r="D2081" s="28" t="s">
        <v>38</v>
      </c>
      <c r="E2081" s="41">
        <v>46156</v>
      </c>
      <c r="F2081" s="47">
        <v>0.88752314814814814</v>
      </c>
      <c r="G2081" s="44">
        <v>6.3</v>
      </c>
      <c r="H2081" s="43" t="s">
        <v>1362</v>
      </c>
      <c r="I2081" s="40" t="s">
        <v>1361</v>
      </c>
    </row>
    <row r="2082" spans="1:9" x14ac:dyDescent="0.25">
      <c r="A2082" s="40" t="s">
        <v>418</v>
      </c>
      <c r="B2082" s="28">
        <v>2520</v>
      </c>
      <c r="C2082" s="28">
        <v>5671587</v>
      </c>
      <c r="D2082" s="28"/>
      <c r="E2082" s="41">
        <v>46158</v>
      </c>
      <c r="F2082" s="47">
        <v>0.60552083333333329</v>
      </c>
      <c r="G2082" s="44">
        <v>6.3</v>
      </c>
      <c r="H2082" s="43" t="s">
        <v>1360</v>
      </c>
      <c r="I2082" s="40" t="s">
        <v>1365</v>
      </c>
    </row>
    <row r="2083" spans="1:9" x14ac:dyDescent="0.25">
      <c r="A2083" s="40" t="s">
        <v>418</v>
      </c>
      <c r="B2083" s="28">
        <v>2520</v>
      </c>
      <c r="C2083" s="28">
        <v>5671587</v>
      </c>
      <c r="D2083" s="28"/>
      <c r="E2083" s="41">
        <v>46158</v>
      </c>
      <c r="F2083" s="47">
        <v>0.61888888888888893</v>
      </c>
      <c r="G2083" s="44">
        <v>6.3</v>
      </c>
      <c r="H2083" s="43" t="s">
        <v>1362</v>
      </c>
      <c r="I2083" s="40" t="s">
        <v>1365</v>
      </c>
    </row>
    <row r="2084" spans="1:9" x14ac:dyDescent="0.25">
      <c r="A2084" s="40" t="s">
        <v>418</v>
      </c>
      <c r="B2084" s="28">
        <v>2520</v>
      </c>
      <c r="C2084" s="28">
        <v>5671698</v>
      </c>
      <c r="D2084" s="28"/>
      <c r="E2084" s="41">
        <v>46158</v>
      </c>
      <c r="F2084" s="47">
        <v>0.74672453703703701</v>
      </c>
      <c r="G2084" s="44">
        <v>6.3</v>
      </c>
      <c r="H2084" s="43" t="s">
        <v>1369</v>
      </c>
      <c r="I2084" s="40" t="s">
        <v>1365</v>
      </c>
    </row>
    <row r="2085" spans="1:9" x14ac:dyDescent="0.25">
      <c r="A2085" s="40" t="s">
        <v>418</v>
      </c>
      <c r="B2085" s="28">
        <v>2520</v>
      </c>
      <c r="C2085" s="28">
        <v>5671698</v>
      </c>
      <c r="D2085" s="28"/>
      <c r="E2085" s="41">
        <v>46158</v>
      </c>
      <c r="F2085" s="47">
        <v>0.75410879629629635</v>
      </c>
      <c r="G2085" s="44">
        <v>6.3</v>
      </c>
      <c r="H2085" s="43" t="s">
        <v>1364</v>
      </c>
      <c r="I2085" s="40" t="s">
        <v>1365</v>
      </c>
    </row>
    <row r="2086" spans="1:9" x14ac:dyDescent="0.25">
      <c r="A2086" s="40" t="s">
        <v>418</v>
      </c>
      <c r="B2086" s="28">
        <v>2520</v>
      </c>
      <c r="C2086" s="28">
        <v>5672452</v>
      </c>
      <c r="D2086" s="28"/>
      <c r="E2086" s="45">
        <v>46159</v>
      </c>
      <c r="F2086" s="48">
        <v>0.49395833333333333</v>
      </c>
      <c r="G2086" s="44">
        <v>6.3</v>
      </c>
      <c r="H2086" s="43" t="s">
        <v>1360</v>
      </c>
      <c r="I2086" s="40" t="s">
        <v>1365</v>
      </c>
    </row>
    <row r="2087" spans="1:9" x14ac:dyDescent="0.25">
      <c r="A2087" s="40" t="s">
        <v>418</v>
      </c>
      <c r="B2087" s="28">
        <v>2520</v>
      </c>
      <c r="C2087" s="28">
        <v>5672452</v>
      </c>
      <c r="D2087" s="28"/>
      <c r="E2087" s="45">
        <v>46159</v>
      </c>
      <c r="F2087" s="48">
        <v>0.49981481481481482</v>
      </c>
      <c r="G2087" s="44">
        <v>6.3</v>
      </c>
      <c r="H2087" s="43" t="s">
        <v>1362</v>
      </c>
      <c r="I2087" s="40" t="s">
        <v>1365</v>
      </c>
    </row>
    <row r="2088" spans="1:9" x14ac:dyDescent="0.25">
      <c r="A2088" s="40" t="s">
        <v>130</v>
      </c>
      <c r="B2088" s="28">
        <v>2547</v>
      </c>
      <c r="C2088" s="28" t="s">
        <v>35</v>
      </c>
      <c r="D2088" s="28" t="s">
        <v>38</v>
      </c>
      <c r="E2088" s="41">
        <v>46153</v>
      </c>
      <c r="F2088" s="47">
        <v>0.3402662037037037</v>
      </c>
      <c r="G2088" s="44">
        <v>6.3</v>
      </c>
      <c r="H2088" s="43" t="s">
        <v>1363</v>
      </c>
      <c r="I2088" s="40" t="s">
        <v>1361</v>
      </c>
    </row>
    <row r="2089" spans="1:9" x14ac:dyDescent="0.25">
      <c r="A2089" s="40" t="s">
        <v>130</v>
      </c>
      <c r="B2089" s="28">
        <v>2547</v>
      </c>
      <c r="C2089" s="28">
        <v>5669050</v>
      </c>
      <c r="D2089" s="28" t="s">
        <v>36</v>
      </c>
      <c r="E2089" s="41">
        <v>46156</v>
      </c>
      <c r="F2089" s="47">
        <v>0.88935185185185184</v>
      </c>
      <c r="G2089" s="44">
        <v>6.3</v>
      </c>
      <c r="H2089" s="43" t="s">
        <v>1360</v>
      </c>
      <c r="I2089" s="40" t="s">
        <v>1361</v>
      </c>
    </row>
    <row r="2090" spans="1:9" x14ac:dyDescent="0.25">
      <c r="A2090" s="40" t="s">
        <v>130</v>
      </c>
      <c r="B2090" s="28">
        <v>2547</v>
      </c>
      <c r="C2090" s="28">
        <v>5669050</v>
      </c>
      <c r="D2090" s="28" t="s">
        <v>36</v>
      </c>
      <c r="E2090" s="41">
        <v>46156</v>
      </c>
      <c r="F2090" s="47">
        <v>0.89533564814814814</v>
      </c>
      <c r="G2090" s="44">
        <v>6.3</v>
      </c>
      <c r="H2090" s="43" t="s">
        <v>1368</v>
      </c>
      <c r="I2090" s="40" t="s">
        <v>1361</v>
      </c>
    </row>
    <row r="2091" spans="1:9" x14ac:dyDescent="0.25">
      <c r="A2091" s="40" t="s">
        <v>130</v>
      </c>
      <c r="B2091" s="28">
        <v>2547</v>
      </c>
      <c r="C2091" s="28">
        <v>5642064</v>
      </c>
      <c r="D2091" s="28"/>
      <c r="E2091" s="41">
        <v>46157</v>
      </c>
      <c r="F2091" s="47">
        <v>0.54442129629629632</v>
      </c>
      <c r="G2091" s="44">
        <v>6.3</v>
      </c>
      <c r="H2091" s="43" t="s">
        <v>1367</v>
      </c>
      <c r="I2091" s="40" t="s">
        <v>1361</v>
      </c>
    </row>
    <row r="2092" spans="1:9" x14ac:dyDescent="0.25">
      <c r="A2092" s="40" t="s">
        <v>130</v>
      </c>
      <c r="B2092" s="28">
        <v>2547</v>
      </c>
      <c r="C2092" s="28" t="s">
        <v>35</v>
      </c>
      <c r="D2092" s="28" t="s">
        <v>38</v>
      </c>
      <c r="E2092" s="41">
        <v>46157</v>
      </c>
      <c r="F2092" s="47">
        <v>0.555150462962963</v>
      </c>
      <c r="G2092" s="44">
        <v>6.3</v>
      </c>
      <c r="H2092" s="43" t="s">
        <v>1362</v>
      </c>
      <c r="I2092" s="40" t="s">
        <v>1361</v>
      </c>
    </row>
    <row r="2093" spans="1:9" x14ac:dyDescent="0.25">
      <c r="A2093" s="40" t="s">
        <v>130</v>
      </c>
      <c r="B2093" s="28">
        <v>2547</v>
      </c>
      <c r="C2093" s="28" t="s">
        <v>35</v>
      </c>
      <c r="D2093" s="28" t="s">
        <v>38</v>
      </c>
      <c r="E2093" s="41">
        <v>46159</v>
      </c>
      <c r="F2093" s="47">
        <v>0.33755787037037038</v>
      </c>
      <c r="G2093" s="44">
        <v>6.3</v>
      </c>
      <c r="H2093" s="43" t="s">
        <v>1363</v>
      </c>
      <c r="I2093" s="40" t="s">
        <v>1365</v>
      </c>
    </row>
    <row r="2094" spans="1:9" x14ac:dyDescent="0.25">
      <c r="A2094" s="40" t="s">
        <v>130</v>
      </c>
      <c r="B2094" s="28">
        <v>2547</v>
      </c>
      <c r="C2094" s="28" t="s">
        <v>35</v>
      </c>
      <c r="D2094" s="28" t="s">
        <v>38</v>
      </c>
      <c r="E2094" s="41">
        <v>46159</v>
      </c>
      <c r="F2094" s="47">
        <v>0.7011574074074074</v>
      </c>
      <c r="G2094" s="44">
        <v>6.3</v>
      </c>
      <c r="H2094" s="43" t="s">
        <v>1368</v>
      </c>
      <c r="I2094" s="40" t="s">
        <v>1365</v>
      </c>
    </row>
    <row r="2095" spans="1:9" x14ac:dyDescent="0.25">
      <c r="A2095" s="40" t="s">
        <v>137</v>
      </c>
      <c r="B2095" s="28">
        <v>2549</v>
      </c>
      <c r="C2095" s="28" t="s">
        <v>35</v>
      </c>
      <c r="D2095" s="28" t="s">
        <v>38</v>
      </c>
      <c r="E2095" s="41">
        <v>46154</v>
      </c>
      <c r="F2095" s="47">
        <v>0.68511574074074078</v>
      </c>
      <c r="G2095" s="44">
        <v>6.3</v>
      </c>
      <c r="H2095" s="43" t="s">
        <v>1360</v>
      </c>
      <c r="I2095" s="40" t="s">
        <v>1361</v>
      </c>
    </row>
    <row r="2096" spans="1:9" x14ac:dyDescent="0.25">
      <c r="A2096" s="40" t="s">
        <v>137</v>
      </c>
      <c r="B2096" s="28">
        <v>2549</v>
      </c>
      <c r="C2096" s="28" t="s">
        <v>35</v>
      </c>
      <c r="D2096" s="28" t="s">
        <v>38</v>
      </c>
      <c r="E2096" s="41">
        <v>46154</v>
      </c>
      <c r="F2096" s="47">
        <v>0.70101851851851849</v>
      </c>
      <c r="G2096" s="44">
        <v>6.3</v>
      </c>
      <c r="H2096" s="43" t="s">
        <v>1364</v>
      </c>
      <c r="I2096" s="40" t="s">
        <v>1361</v>
      </c>
    </row>
    <row r="2097" spans="1:9" x14ac:dyDescent="0.25">
      <c r="A2097" s="40" t="s">
        <v>137</v>
      </c>
      <c r="B2097" s="28">
        <v>2549</v>
      </c>
      <c r="C2097" s="28">
        <v>5665700</v>
      </c>
      <c r="D2097" s="28"/>
      <c r="E2097" s="41">
        <v>46155</v>
      </c>
      <c r="F2097" s="47">
        <v>0.22321759259259261</v>
      </c>
      <c r="G2097" s="44">
        <v>6.3</v>
      </c>
      <c r="H2097" s="43" t="s">
        <v>1363</v>
      </c>
      <c r="I2097" s="40" t="s">
        <v>1361</v>
      </c>
    </row>
    <row r="2098" spans="1:9" x14ac:dyDescent="0.25">
      <c r="A2098" s="40" t="s">
        <v>137</v>
      </c>
      <c r="B2098" s="28">
        <v>2549</v>
      </c>
      <c r="C2098" s="28">
        <v>5665700</v>
      </c>
      <c r="D2098" s="28"/>
      <c r="E2098" s="41">
        <v>46155</v>
      </c>
      <c r="F2098" s="47">
        <v>0.22974537037037038</v>
      </c>
      <c r="G2098" s="44">
        <v>6.3</v>
      </c>
      <c r="H2098" s="43" t="s">
        <v>1364</v>
      </c>
      <c r="I2098" s="40" t="s">
        <v>1361</v>
      </c>
    </row>
    <row r="2099" spans="1:9" x14ac:dyDescent="0.25">
      <c r="A2099" s="40" t="s">
        <v>137</v>
      </c>
      <c r="B2099" s="28">
        <v>2549</v>
      </c>
      <c r="C2099" s="28">
        <v>5669617</v>
      </c>
      <c r="D2099" s="28"/>
      <c r="E2099" s="41">
        <v>46157</v>
      </c>
      <c r="F2099" s="47">
        <v>0.43299768518518517</v>
      </c>
      <c r="G2099" s="44">
        <v>6.3</v>
      </c>
      <c r="H2099" s="43" t="s">
        <v>1360</v>
      </c>
      <c r="I2099" s="40" t="s">
        <v>1361</v>
      </c>
    </row>
    <row r="2100" spans="1:9" x14ac:dyDescent="0.25">
      <c r="A2100" s="40" t="s">
        <v>137</v>
      </c>
      <c r="B2100" s="28">
        <v>2549</v>
      </c>
      <c r="C2100" s="28">
        <v>5669617</v>
      </c>
      <c r="D2100" s="28"/>
      <c r="E2100" s="41">
        <v>46157</v>
      </c>
      <c r="F2100" s="47">
        <v>0.44425925925925924</v>
      </c>
      <c r="G2100" s="44">
        <v>6.3</v>
      </c>
      <c r="H2100" s="43" t="s">
        <v>1362</v>
      </c>
      <c r="I2100" s="40" t="s">
        <v>1361</v>
      </c>
    </row>
    <row r="2101" spans="1:9" x14ac:dyDescent="0.25">
      <c r="A2101" s="40" t="s">
        <v>137</v>
      </c>
      <c r="B2101" s="28">
        <v>2549</v>
      </c>
      <c r="C2101" s="28" t="s">
        <v>35</v>
      </c>
      <c r="D2101" s="28" t="s">
        <v>38</v>
      </c>
      <c r="E2101" s="41">
        <v>46157</v>
      </c>
      <c r="F2101" s="47">
        <v>0.46841435185185187</v>
      </c>
      <c r="G2101" s="44">
        <v>6.3</v>
      </c>
      <c r="H2101" s="43" t="s">
        <v>1363</v>
      </c>
      <c r="I2101" s="40" t="s">
        <v>1361</v>
      </c>
    </row>
    <row r="2102" spans="1:9" x14ac:dyDescent="0.25">
      <c r="A2102" s="40" t="s">
        <v>137</v>
      </c>
      <c r="B2102" s="28">
        <v>2549</v>
      </c>
      <c r="C2102" s="28" t="s">
        <v>35</v>
      </c>
      <c r="D2102" s="28" t="s">
        <v>38</v>
      </c>
      <c r="E2102" s="41">
        <v>46157</v>
      </c>
      <c r="F2102" s="47">
        <v>0.47480324074074076</v>
      </c>
      <c r="G2102" s="44">
        <v>6.3</v>
      </c>
      <c r="H2102" s="43" t="s">
        <v>1364</v>
      </c>
      <c r="I2102" s="40" t="s">
        <v>1361</v>
      </c>
    </row>
    <row r="2103" spans="1:9" x14ac:dyDescent="0.25">
      <c r="A2103" s="40" t="s">
        <v>419</v>
      </c>
      <c r="B2103" s="28">
        <v>2583</v>
      </c>
      <c r="C2103" s="28">
        <v>5661591</v>
      </c>
      <c r="D2103" s="28"/>
      <c r="E2103" s="41">
        <v>46153</v>
      </c>
      <c r="F2103" s="47">
        <v>3.8553240740740742E-2</v>
      </c>
      <c r="G2103" s="44">
        <v>6.3</v>
      </c>
      <c r="H2103" s="43" t="s">
        <v>1360</v>
      </c>
      <c r="I2103" s="40" t="s">
        <v>1361</v>
      </c>
    </row>
    <row r="2104" spans="1:9" x14ac:dyDescent="0.25">
      <c r="A2104" s="40" t="s">
        <v>419</v>
      </c>
      <c r="B2104" s="28">
        <v>2583</v>
      </c>
      <c r="C2104" s="28">
        <v>5661591</v>
      </c>
      <c r="D2104" s="28"/>
      <c r="E2104" s="45">
        <v>46153</v>
      </c>
      <c r="F2104" s="48">
        <v>4.4351851851851851E-2</v>
      </c>
      <c r="G2104" s="44">
        <v>6.3</v>
      </c>
      <c r="H2104" s="43" t="s">
        <v>1362</v>
      </c>
      <c r="I2104" s="40" t="s">
        <v>1361</v>
      </c>
    </row>
    <row r="2105" spans="1:9" x14ac:dyDescent="0.25">
      <c r="A2105" s="40" t="s">
        <v>419</v>
      </c>
      <c r="B2105" s="28">
        <v>2583</v>
      </c>
      <c r="C2105" s="28" t="s">
        <v>35</v>
      </c>
      <c r="D2105" s="28" t="s">
        <v>38</v>
      </c>
      <c r="E2105" s="41">
        <v>46153</v>
      </c>
      <c r="F2105" s="47">
        <v>8.4745370370370374E-2</v>
      </c>
      <c r="G2105" s="44">
        <v>6.3</v>
      </c>
      <c r="H2105" s="43" t="s">
        <v>1363</v>
      </c>
      <c r="I2105" s="40" t="s">
        <v>1361</v>
      </c>
    </row>
    <row r="2106" spans="1:9" x14ac:dyDescent="0.25">
      <c r="A2106" s="40" t="s">
        <v>419</v>
      </c>
      <c r="B2106" s="28">
        <v>2583</v>
      </c>
      <c r="C2106" s="28" t="s">
        <v>35</v>
      </c>
      <c r="D2106" s="28" t="s">
        <v>38</v>
      </c>
      <c r="E2106" s="41">
        <v>46153</v>
      </c>
      <c r="F2106" s="47">
        <v>8.9641203703703709E-2</v>
      </c>
      <c r="G2106" s="44">
        <v>6.3</v>
      </c>
      <c r="H2106" s="43" t="s">
        <v>1364</v>
      </c>
      <c r="I2106" s="40" t="s">
        <v>1361</v>
      </c>
    </row>
    <row r="2107" spans="1:9" x14ac:dyDescent="0.25">
      <c r="A2107" s="40" t="s">
        <v>419</v>
      </c>
      <c r="B2107" s="28">
        <v>2583</v>
      </c>
      <c r="C2107" s="28">
        <v>5662174</v>
      </c>
      <c r="D2107" s="28" t="s">
        <v>37</v>
      </c>
      <c r="E2107" s="41">
        <v>46153</v>
      </c>
      <c r="F2107" s="47">
        <v>0.15915509259259258</v>
      </c>
      <c r="G2107" s="44">
        <v>6.3</v>
      </c>
      <c r="H2107" s="43" t="s">
        <v>1364</v>
      </c>
      <c r="I2107" s="40" t="s">
        <v>1361</v>
      </c>
    </row>
    <row r="2108" spans="1:9" x14ac:dyDescent="0.25">
      <c r="A2108" s="40" t="s">
        <v>419</v>
      </c>
      <c r="B2108" s="28">
        <v>2583</v>
      </c>
      <c r="C2108" s="28" t="s">
        <v>739</v>
      </c>
      <c r="D2108" s="28"/>
      <c r="E2108" s="41">
        <v>46153</v>
      </c>
      <c r="F2108" s="47">
        <v>0.22167824074074075</v>
      </c>
      <c r="G2108" s="44">
        <v>6.3</v>
      </c>
      <c r="H2108" s="43" t="s">
        <v>1360</v>
      </c>
      <c r="I2108" s="40" t="s">
        <v>1361</v>
      </c>
    </row>
    <row r="2109" spans="1:9" x14ac:dyDescent="0.25">
      <c r="A2109" s="40" t="s">
        <v>419</v>
      </c>
      <c r="B2109" s="28">
        <v>2583</v>
      </c>
      <c r="C2109" s="28" t="s">
        <v>739</v>
      </c>
      <c r="D2109" s="28"/>
      <c r="E2109" s="41">
        <v>46153</v>
      </c>
      <c r="F2109" s="47">
        <v>0.22820601851851852</v>
      </c>
      <c r="G2109" s="42">
        <v>6.3</v>
      </c>
      <c r="H2109" s="40" t="s">
        <v>1362</v>
      </c>
      <c r="I2109" s="40" t="s">
        <v>1361</v>
      </c>
    </row>
    <row r="2110" spans="1:9" x14ac:dyDescent="0.25">
      <c r="A2110" s="40" t="s">
        <v>419</v>
      </c>
      <c r="B2110" s="28">
        <v>2583</v>
      </c>
      <c r="C2110" s="28">
        <v>5663495</v>
      </c>
      <c r="D2110" s="28"/>
      <c r="E2110" s="41">
        <v>46154</v>
      </c>
      <c r="F2110" s="47">
        <v>0.20592592592592593</v>
      </c>
      <c r="G2110" s="42">
        <v>6.3</v>
      </c>
      <c r="H2110" s="40" t="s">
        <v>1367</v>
      </c>
      <c r="I2110" s="40" t="s">
        <v>1361</v>
      </c>
    </row>
    <row r="2111" spans="1:9" x14ac:dyDescent="0.25">
      <c r="A2111" s="40" t="s">
        <v>419</v>
      </c>
      <c r="B2111" s="28">
        <v>2583</v>
      </c>
      <c r="C2111" s="28">
        <v>5663495</v>
      </c>
      <c r="D2111" s="28"/>
      <c r="E2111" s="41">
        <v>46154</v>
      </c>
      <c r="F2111" s="47">
        <v>0.2083912037037037</v>
      </c>
      <c r="G2111" s="44">
        <v>6.3</v>
      </c>
      <c r="H2111" s="43" t="s">
        <v>1364</v>
      </c>
      <c r="I2111" s="40" t="s">
        <v>1361</v>
      </c>
    </row>
    <row r="2112" spans="1:9" x14ac:dyDescent="0.25">
      <c r="A2112" s="40" t="s">
        <v>419</v>
      </c>
      <c r="B2112" s="28">
        <v>2583</v>
      </c>
      <c r="C2112" s="28" t="s">
        <v>740</v>
      </c>
      <c r="D2112" s="28"/>
      <c r="E2112" s="41">
        <v>46154</v>
      </c>
      <c r="F2112" s="47">
        <v>0.90935185185185186</v>
      </c>
      <c r="G2112" s="44">
        <v>6.3</v>
      </c>
      <c r="H2112" s="43" t="s">
        <v>1360</v>
      </c>
      <c r="I2112" s="40" t="s">
        <v>1361</v>
      </c>
    </row>
    <row r="2113" spans="1:9" x14ac:dyDescent="0.25">
      <c r="A2113" s="40" t="s">
        <v>419</v>
      </c>
      <c r="B2113" s="28">
        <v>2583</v>
      </c>
      <c r="C2113" s="28" t="s">
        <v>740</v>
      </c>
      <c r="D2113" s="28"/>
      <c r="E2113" s="41">
        <v>46154</v>
      </c>
      <c r="F2113" s="47">
        <v>0.91629629629629628</v>
      </c>
      <c r="G2113" s="44">
        <v>6.3</v>
      </c>
      <c r="H2113" s="43" t="s">
        <v>1362</v>
      </c>
      <c r="I2113" s="40" t="s">
        <v>1361</v>
      </c>
    </row>
    <row r="2114" spans="1:9" x14ac:dyDescent="0.25">
      <c r="A2114" s="40" t="s">
        <v>419</v>
      </c>
      <c r="B2114" s="28">
        <v>2583</v>
      </c>
      <c r="C2114" s="28">
        <v>5665531</v>
      </c>
      <c r="D2114" s="28"/>
      <c r="E2114" s="41">
        <v>46155</v>
      </c>
      <c r="F2114" s="47">
        <v>0.23052083333333334</v>
      </c>
      <c r="G2114" s="44">
        <v>6.3</v>
      </c>
      <c r="H2114" s="43" t="s">
        <v>1367</v>
      </c>
      <c r="I2114" s="40" t="s">
        <v>1361</v>
      </c>
    </row>
    <row r="2115" spans="1:9" x14ac:dyDescent="0.25">
      <c r="A2115" s="40" t="s">
        <v>419</v>
      </c>
      <c r="B2115" s="28">
        <v>2583</v>
      </c>
      <c r="C2115" s="28">
        <v>5665531</v>
      </c>
      <c r="D2115" s="28"/>
      <c r="E2115" s="41">
        <v>46155</v>
      </c>
      <c r="F2115" s="47">
        <v>0.23342592592592593</v>
      </c>
      <c r="G2115" s="44">
        <v>6.3</v>
      </c>
      <c r="H2115" s="43" t="s">
        <v>1364</v>
      </c>
      <c r="I2115" s="40" t="s">
        <v>1361</v>
      </c>
    </row>
    <row r="2116" spans="1:9" x14ac:dyDescent="0.25">
      <c r="A2116" s="40" t="s">
        <v>419</v>
      </c>
      <c r="B2116" s="28">
        <v>2583</v>
      </c>
      <c r="C2116" s="28">
        <v>5665165</v>
      </c>
      <c r="D2116" s="28"/>
      <c r="E2116" s="41">
        <v>46155</v>
      </c>
      <c r="F2116" s="47">
        <v>0.55475694444444446</v>
      </c>
      <c r="G2116" s="44">
        <v>6.3</v>
      </c>
      <c r="H2116" s="43" t="s">
        <v>1363</v>
      </c>
      <c r="I2116" s="40" t="s">
        <v>1361</v>
      </c>
    </row>
    <row r="2117" spans="1:9" x14ac:dyDescent="0.25">
      <c r="A2117" s="40" t="s">
        <v>419</v>
      </c>
      <c r="B2117" s="28">
        <v>2583</v>
      </c>
      <c r="C2117" s="28">
        <v>5665165</v>
      </c>
      <c r="D2117" s="28"/>
      <c r="E2117" s="45">
        <v>46155</v>
      </c>
      <c r="F2117" s="48">
        <v>0.56099537037037039</v>
      </c>
      <c r="G2117" s="44">
        <v>6.3</v>
      </c>
      <c r="H2117" s="43" t="s">
        <v>1364</v>
      </c>
      <c r="I2117" s="40" t="s">
        <v>1361</v>
      </c>
    </row>
    <row r="2118" spans="1:9" x14ac:dyDescent="0.25">
      <c r="A2118" s="40" t="s">
        <v>419</v>
      </c>
      <c r="B2118" s="28">
        <v>2583</v>
      </c>
      <c r="C2118" s="28">
        <v>5666953</v>
      </c>
      <c r="D2118" s="28"/>
      <c r="E2118" s="41">
        <v>46155</v>
      </c>
      <c r="F2118" s="47">
        <v>0.77491898148148153</v>
      </c>
      <c r="G2118" s="44">
        <v>6.3</v>
      </c>
      <c r="H2118" s="43" t="s">
        <v>1364</v>
      </c>
      <c r="I2118" s="40" t="s">
        <v>1361</v>
      </c>
    </row>
    <row r="2119" spans="1:9" x14ac:dyDescent="0.25">
      <c r="A2119" s="40" t="s">
        <v>419</v>
      </c>
      <c r="B2119" s="28">
        <v>2583</v>
      </c>
      <c r="C2119" s="28">
        <v>5668805</v>
      </c>
      <c r="D2119" s="28" t="s">
        <v>37</v>
      </c>
      <c r="E2119" s="41">
        <v>46156</v>
      </c>
      <c r="F2119" s="47">
        <v>0.76575231481481476</v>
      </c>
      <c r="G2119" s="44">
        <v>6.3</v>
      </c>
      <c r="H2119" s="43" t="s">
        <v>1367</v>
      </c>
      <c r="I2119" s="40" t="s">
        <v>1361</v>
      </c>
    </row>
    <row r="2120" spans="1:9" x14ac:dyDescent="0.25">
      <c r="A2120" s="40" t="s">
        <v>419</v>
      </c>
      <c r="B2120" s="28">
        <v>2583</v>
      </c>
      <c r="C2120" s="28">
        <v>5668907</v>
      </c>
      <c r="D2120" s="28"/>
      <c r="E2120" s="41">
        <v>46157</v>
      </c>
      <c r="F2120" s="47">
        <v>0.18694444444444444</v>
      </c>
      <c r="G2120" s="44">
        <v>6.3</v>
      </c>
      <c r="H2120" s="43" t="s">
        <v>1363</v>
      </c>
      <c r="I2120" s="40" t="s">
        <v>1361</v>
      </c>
    </row>
    <row r="2121" spans="1:9" x14ac:dyDescent="0.25">
      <c r="A2121" s="40" t="s">
        <v>419</v>
      </c>
      <c r="B2121" s="28">
        <v>2583</v>
      </c>
      <c r="C2121" s="28">
        <v>5668907</v>
      </c>
      <c r="D2121" s="28"/>
      <c r="E2121" s="41">
        <v>46157</v>
      </c>
      <c r="F2121" s="47">
        <v>0.19093750000000001</v>
      </c>
      <c r="G2121" s="44">
        <v>6.3</v>
      </c>
      <c r="H2121" s="43" t="s">
        <v>1364</v>
      </c>
      <c r="I2121" s="40" t="s">
        <v>1361</v>
      </c>
    </row>
    <row r="2122" spans="1:9" x14ac:dyDescent="0.25">
      <c r="A2122" s="40" t="s">
        <v>419</v>
      </c>
      <c r="B2122" s="28">
        <v>2583</v>
      </c>
      <c r="C2122" s="28" t="s">
        <v>35</v>
      </c>
      <c r="D2122" s="28" t="s">
        <v>38</v>
      </c>
      <c r="E2122" s="41">
        <v>46157</v>
      </c>
      <c r="F2122" s="47">
        <v>0.8467824074074074</v>
      </c>
      <c r="G2122" s="44">
        <v>6.3</v>
      </c>
      <c r="H2122" s="43" t="s">
        <v>1363</v>
      </c>
      <c r="I2122" s="40" t="s">
        <v>1361</v>
      </c>
    </row>
    <row r="2123" spans="1:9" x14ac:dyDescent="0.25">
      <c r="A2123" s="40" t="s">
        <v>419</v>
      </c>
      <c r="B2123" s="28">
        <v>2583</v>
      </c>
      <c r="C2123" s="28" t="s">
        <v>35</v>
      </c>
      <c r="D2123" s="28" t="s">
        <v>38</v>
      </c>
      <c r="E2123" s="41">
        <v>46157</v>
      </c>
      <c r="F2123" s="47">
        <v>0.86186342592592591</v>
      </c>
      <c r="G2123" s="44">
        <v>6.3</v>
      </c>
      <c r="H2123" s="43" t="s">
        <v>1364</v>
      </c>
      <c r="I2123" s="40" t="s">
        <v>1361</v>
      </c>
    </row>
    <row r="2124" spans="1:9" x14ac:dyDescent="0.25">
      <c r="A2124" s="40" t="s">
        <v>419</v>
      </c>
      <c r="B2124" s="28">
        <v>2583</v>
      </c>
      <c r="C2124" s="28" t="s">
        <v>35</v>
      </c>
      <c r="D2124" s="28" t="s">
        <v>38</v>
      </c>
      <c r="E2124" s="45">
        <v>46158</v>
      </c>
      <c r="F2124" s="48">
        <v>0.29806712962962961</v>
      </c>
      <c r="G2124" s="44">
        <v>6.3</v>
      </c>
      <c r="H2124" s="43" t="s">
        <v>1367</v>
      </c>
      <c r="I2124" s="40" t="s">
        <v>1365</v>
      </c>
    </row>
    <row r="2125" spans="1:9" x14ac:dyDescent="0.25">
      <c r="A2125" s="40" t="s">
        <v>419</v>
      </c>
      <c r="B2125" s="28">
        <v>2583</v>
      </c>
      <c r="C2125" s="28" t="s">
        <v>35</v>
      </c>
      <c r="D2125" s="28" t="s">
        <v>38</v>
      </c>
      <c r="E2125" s="41">
        <v>46158</v>
      </c>
      <c r="F2125" s="47">
        <v>0.67093749999999996</v>
      </c>
      <c r="G2125" s="42">
        <v>6.3</v>
      </c>
      <c r="H2125" s="40" t="s">
        <v>1360</v>
      </c>
      <c r="I2125" s="40" t="s">
        <v>1365</v>
      </c>
    </row>
    <row r="2126" spans="1:9" x14ac:dyDescent="0.25">
      <c r="A2126" s="40" t="s">
        <v>419</v>
      </c>
      <c r="B2126" s="28">
        <v>2583</v>
      </c>
      <c r="C2126" s="28" t="s">
        <v>35</v>
      </c>
      <c r="D2126" s="28" t="s">
        <v>38</v>
      </c>
      <c r="E2126" s="45">
        <v>46158</v>
      </c>
      <c r="F2126" s="48">
        <v>0.67966435185185181</v>
      </c>
      <c r="G2126" s="42">
        <v>6.3</v>
      </c>
      <c r="H2126" s="40" t="s">
        <v>1362</v>
      </c>
      <c r="I2126" s="40" t="s">
        <v>1365</v>
      </c>
    </row>
    <row r="2127" spans="1:9" x14ac:dyDescent="0.25">
      <c r="A2127" s="40" t="s">
        <v>419</v>
      </c>
      <c r="B2127" s="28">
        <v>2583</v>
      </c>
      <c r="C2127" s="28">
        <v>5671660</v>
      </c>
      <c r="D2127" s="28"/>
      <c r="E2127" s="41">
        <v>46158</v>
      </c>
      <c r="F2127" s="47">
        <v>0.8607407407407407</v>
      </c>
      <c r="G2127" s="44">
        <v>6.3</v>
      </c>
      <c r="H2127" s="43" t="s">
        <v>1363</v>
      </c>
      <c r="I2127" s="40" t="s">
        <v>1365</v>
      </c>
    </row>
    <row r="2128" spans="1:9" x14ac:dyDescent="0.25">
      <c r="A2128" s="40" t="s">
        <v>419</v>
      </c>
      <c r="B2128" s="28">
        <v>2583</v>
      </c>
      <c r="C2128" s="28">
        <v>5671660</v>
      </c>
      <c r="D2128" s="28"/>
      <c r="E2128" s="41">
        <v>46158</v>
      </c>
      <c r="F2128" s="47">
        <v>0.8661226851851852</v>
      </c>
      <c r="G2128" s="44">
        <v>6.3</v>
      </c>
      <c r="H2128" s="43" t="s">
        <v>1364</v>
      </c>
      <c r="I2128" s="40" t="s">
        <v>1365</v>
      </c>
    </row>
    <row r="2129" spans="1:9" x14ac:dyDescent="0.25">
      <c r="A2129" s="40" t="s">
        <v>419</v>
      </c>
      <c r="B2129" s="28">
        <v>2583</v>
      </c>
      <c r="C2129" s="28" t="s">
        <v>741</v>
      </c>
      <c r="D2129" s="28"/>
      <c r="E2129" s="41">
        <v>46158</v>
      </c>
      <c r="F2129" s="47">
        <v>0.92539351851851848</v>
      </c>
      <c r="G2129" s="44">
        <v>6.3</v>
      </c>
      <c r="H2129" s="43" t="s">
        <v>1360</v>
      </c>
      <c r="I2129" s="40" t="s">
        <v>1365</v>
      </c>
    </row>
    <row r="2130" spans="1:9" x14ac:dyDescent="0.25">
      <c r="A2130" s="40" t="s">
        <v>419</v>
      </c>
      <c r="B2130" s="28">
        <v>2583</v>
      </c>
      <c r="C2130" s="28" t="s">
        <v>741</v>
      </c>
      <c r="D2130" s="28"/>
      <c r="E2130" s="41">
        <v>46158</v>
      </c>
      <c r="F2130" s="47">
        <v>0.9332407407407407</v>
      </c>
      <c r="G2130" s="44">
        <v>6.3</v>
      </c>
      <c r="H2130" s="43" t="s">
        <v>1362</v>
      </c>
      <c r="I2130" s="40" t="s">
        <v>1365</v>
      </c>
    </row>
    <row r="2131" spans="1:9" x14ac:dyDescent="0.25">
      <c r="A2131" s="40" t="s">
        <v>419</v>
      </c>
      <c r="B2131" s="28">
        <v>2583</v>
      </c>
      <c r="C2131" s="28">
        <v>5671702</v>
      </c>
      <c r="D2131" s="28"/>
      <c r="E2131" s="41">
        <v>46159</v>
      </c>
      <c r="F2131" s="47">
        <v>0.35515046296296299</v>
      </c>
      <c r="G2131" s="44">
        <v>6.3</v>
      </c>
      <c r="H2131" s="43" t="s">
        <v>1369</v>
      </c>
      <c r="I2131" s="40" t="s">
        <v>1365</v>
      </c>
    </row>
    <row r="2132" spans="1:9" x14ac:dyDescent="0.25">
      <c r="A2132" s="40" t="s">
        <v>419</v>
      </c>
      <c r="B2132" s="28">
        <v>2583</v>
      </c>
      <c r="C2132" s="28">
        <v>5671702</v>
      </c>
      <c r="D2132" s="28"/>
      <c r="E2132" s="41">
        <v>46159</v>
      </c>
      <c r="F2132" s="47">
        <v>0.36038194444444444</v>
      </c>
      <c r="G2132" s="44">
        <v>6.3</v>
      </c>
      <c r="H2132" s="43" t="s">
        <v>1364</v>
      </c>
      <c r="I2132" s="40" t="s">
        <v>1365</v>
      </c>
    </row>
    <row r="2133" spans="1:9" x14ac:dyDescent="0.25">
      <c r="A2133" s="40" t="s">
        <v>420</v>
      </c>
      <c r="B2133" s="28">
        <v>2586</v>
      </c>
      <c r="C2133" s="28" t="s">
        <v>35</v>
      </c>
      <c r="D2133" s="28" t="s">
        <v>38</v>
      </c>
      <c r="E2133" s="41">
        <v>46153</v>
      </c>
      <c r="F2133" s="47">
        <v>0.2678935185185185</v>
      </c>
      <c r="G2133" s="42">
        <v>6.3</v>
      </c>
      <c r="H2133" s="40" t="s">
        <v>1360</v>
      </c>
      <c r="I2133" s="40" t="s">
        <v>1361</v>
      </c>
    </row>
    <row r="2134" spans="1:9" x14ac:dyDescent="0.25">
      <c r="A2134" s="40" t="s">
        <v>420</v>
      </c>
      <c r="B2134" s="28">
        <v>2586</v>
      </c>
      <c r="C2134" s="28" t="s">
        <v>35</v>
      </c>
      <c r="D2134" s="28" t="s">
        <v>38</v>
      </c>
      <c r="E2134" s="41">
        <v>46155</v>
      </c>
      <c r="F2134" s="47">
        <v>0.47589120370370369</v>
      </c>
      <c r="G2134" s="42">
        <v>6.3</v>
      </c>
      <c r="H2134" s="40" t="s">
        <v>1360</v>
      </c>
      <c r="I2134" s="40" t="s">
        <v>1361</v>
      </c>
    </row>
    <row r="2135" spans="1:9" x14ac:dyDescent="0.25">
      <c r="A2135" s="40" t="s">
        <v>420</v>
      </c>
      <c r="B2135" s="28">
        <v>2586</v>
      </c>
      <c r="C2135" s="28" t="s">
        <v>35</v>
      </c>
      <c r="D2135" s="28" t="s">
        <v>38</v>
      </c>
      <c r="E2135" s="41">
        <v>46155</v>
      </c>
      <c r="F2135" s="47">
        <v>0.49555555555555558</v>
      </c>
      <c r="G2135" s="42">
        <v>6.3</v>
      </c>
      <c r="H2135" s="40" t="s">
        <v>1362</v>
      </c>
      <c r="I2135" s="40" t="s">
        <v>1361</v>
      </c>
    </row>
    <row r="2136" spans="1:9" x14ac:dyDescent="0.25">
      <c r="A2136" s="40" t="s">
        <v>420</v>
      </c>
      <c r="B2136" s="28">
        <v>2586</v>
      </c>
      <c r="C2136" s="28" t="s">
        <v>35</v>
      </c>
      <c r="D2136" s="28" t="s">
        <v>38</v>
      </c>
      <c r="E2136" s="45">
        <v>46159</v>
      </c>
      <c r="F2136" s="48">
        <v>0.42370370370370369</v>
      </c>
      <c r="G2136" s="42">
        <v>6.3</v>
      </c>
      <c r="H2136" s="40" t="s">
        <v>1363</v>
      </c>
      <c r="I2136" s="40" t="s">
        <v>1365</v>
      </c>
    </row>
    <row r="2137" spans="1:9" x14ac:dyDescent="0.25">
      <c r="A2137" s="40" t="s">
        <v>420</v>
      </c>
      <c r="B2137" s="28">
        <v>2586</v>
      </c>
      <c r="C2137" s="28" t="s">
        <v>35</v>
      </c>
      <c r="D2137" s="28" t="s">
        <v>38</v>
      </c>
      <c r="E2137" s="41">
        <v>46159</v>
      </c>
      <c r="F2137" s="47">
        <v>0.78520833333333329</v>
      </c>
      <c r="G2137" s="44">
        <v>6.3</v>
      </c>
      <c r="H2137" s="43" t="s">
        <v>1362</v>
      </c>
      <c r="I2137" s="40" t="s">
        <v>1365</v>
      </c>
    </row>
    <row r="2138" spans="1:9" x14ac:dyDescent="0.25">
      <c r="A2138" s="40" t="s">
        <v>338</v>
      </c>
      <c r="B2138" s="28">
        <v>2597</v>
      </c>
      <c r="C2138" s="28">
        <v>10652914</v>
      </c>
      <c r="D2138" s="28"/>
      <c r="E2138" s="41">
        <v>46155</v>
      </c>
      <c r="F2138" s="47">
        <v>0.65244212962962966</v>
      </c>
      <c r="G2138" s="44">
        <v>6.3</v>
      </c>
      <c r="H2138" s="43" t="s">
        <v>1360</v>
      </c>
      <c r="I2138" s="40" t="s">
        <v>1361</v>
      </c>
    </row>
    <row r="2139" spans="1:9" x14ac:dyDescent="0.25">
      <c r="A2139" s="40" t="s">
        <v>338</v>
      </c>
      <c r="B2139" s="28">
        <v>2597</v>
      </c>
      <c r="C2139" s="28">
        <v>10652914</v>
      </c>
      <c r="D2139" s="28"/>
      <c r="E2139" s="41">
        <v>46155</v>
      </c>
      <c r="F2139" s="47">
        <v>0.66024305555555551</v>
      </c>
      <c r="G2139" s="44">
        <v>6.3</v>
      </c>
      <c r="H2139" s="43" t="s">
        <v>1362</v>
      </c>
      <c r="I2139" s="40" t="s">
        <v>1361</v>
      </c>
    </row>
    <row r="2140" spans="1:9" x14ac:dyDescent="0.25">
      <c r="A2140" s="40" t="s">
        <v>338</v>
      </c>
      <c r="B2140" s="28">
        <v>2597</v>
      </c>
      <c r="C2140" s="28" t="s">
        <v>35</v>
      </c>
      <c r="D2140" s="28" t="s">
        <v>38</v>
      </c>
      <c r="E2140" s="45">
        <v>46156</v>
      </c>
      <c r="F2140" s="48">
        <v>0.68675925925925929</v>
      </c>
      <c r="G2140" s="44">
        <v>6.3</v>
      </c>
      <c r="H2140" s="43" t="s">
        <v>1363</v>
      </c>
      <c r="I2140" s="40" t="s">
        <v>1361</v>
      </c>
    </row>
    <row r="2141" spans="1:9" x14ac:dyDescent="0.25">
      <c r="A2141" s="40" t="s">
        <v>338</v>
      </c>
      <c r="B2141" s="28">
        <v>2597</v>
      </c>
      <c r="C2141" s="28">
        <v>10668087</v>
      </c>
      <c r="D2141" s="28" t="s">
        <v>36</v>
      </c>
      <c r="E2141" s="41">
        <v>46157</v>
      </c>
      <c r="F2141" s="47">
        <v>0.69504629629629633</v>
      </c>
      <c r="G2141" s="44">
        <v>6.3</v>
      </c>
      <c r="H2141" s="43" t="s">
        <v>1360</v>
      </c>
      <c r="I2141" s="40" t="s">
        <v>1361</v>
      </c>
    </row>
    <row r="2142" spans="1:9" x14ac:dyDescent="0.25">
      <c r="A2142" s="40" t="s">
        <v>338</v>
      </c>
      <c r="B2142" s="28">
        <v>2597</v>
      </c>
      <c r="C2142" s="28">
        <v>10668087</v>
      </c>
      <c r="D2142" s="28" t="s">
        <v>36</v>
      </c>
      <c r="E2142" s="41">
        <v>46157</v>
      </c>
      <c r="F2142" s="47">
        <v>0.71005787037037038</v>
      </c>
      <c r="G2142" s="44">
        <v>6.3</v>
      </c>
      <c r="H2142" s="43" t="s">
        <v>1362</v>
      </c>
      <c r="I2142" s="40" t="s">
        <v>1361</v>
      </c>
    </row>
    <row r="2143" spans="1:9" x14ac:dyDescent="0.25">
      <c r="A2143" s="40" t="s">
        <v>421</v>
      </c>
      <c r="B2143" s="28">
        <v>2609</v>
      </c>
      <c r="C2143" s="28" t="s">
        <v>742</v>
      </c>
      <c r="D2143" s="28"/>
      <c r="E2143" s="41">
        <v>46155</v>
      </c>
      <c r="F2143" s="47">
        <v>0.11957175925925925</v>
      </c>
      <c r="G2143" s="44">
        <v>6.3</v>
      </c>
      <c r="H2143" s="43" t="s">
        <v>1363</v>
      </c>
      <c r="I2143" s="40" t="s">
        <v>1361</v>
      </c>
    </row>
    <row r="2144" spans="1:9" x14ac:dyDescent="0.25">
      <c r="A2144" s="40" t="s">
        <v>421</v>
      </c>
      <c r="B2144" s="28">
        <v>2609</v>
      </c>
      <c r="C2144" s="28" t="s">
        <v>742</v>
      </c>
      <c r="D2144" s="28"/>
      <c r="E2144" s="41">
        <v>46155</v>
      </c>
      <c r="F2144" s="47">
        <v>0.12615740740740741</v>
      </c>
      <c r="G2144" s="44">
        <v>6.3</v>
      </c>
      <c r="H2144" s="43" t="s">
        <v>1364</v>
      </c>
      <c r="I2144" s="40" t="s">
        <v>1361</v>
      </c>
    </row>
    <row r="2145" spans="1:9" x14ac:dyDescent="0.25">
      <c r="A2145" s="40" t="s">
        <v>421</v>
      </c>
      <c r="B2145" s="28">
        <v>2609</v>
      </c>
      <c r="C2145" s="28" t="s">
        <v>35</v>
      </c>
      <c r="D2145" s="28" t="s">
        <v>38</v>
      </c>
      <c r="E2145" s="41">
        <v>46155</v>
      </c>
      <c r="F2145" s="47">
        <v>0.1496875</v>
      </c>
      <c r="G2145" s="44">
        <v>6.3</v>
      </c>
      <c r="H2145" s="43" t="s">
        <v>1360</v>
      </c>
      <c r="I2145" s="40" t="s">
        <v>1361</v>
      </c>
    </row>
    <row r="2146" spans="1:9" x14ac:dyDescent="0.25">
      <c r="A2146" s="40" t="s">
        <v>421</v>
      </c>
      <c r="B2146" s="28">
        <v>2609</v>
      </c>
      <c r="C2146" s="28" t="s">
        <v>743</v>
      </c>
      <c r="D2146" s="28"/>
      <c r="E2146" s="45">
        <v>46155</v>
      </c>
      <c r="F2146" s="48">
        <v>0.15987268518518519</v>
      </c>
      <c r="G2146" s="44">
        <v>6.3</v>
      </c>
      <c r="H2146" s="43" t="s">
        <v>1362</v>
      </c>
      <c r="I2146" s="40" t="s">
        <v>1361</v>
      </c>
    </row>
    <row r="2147" spans="1:9" x14ac:dyDescent="0.25">
      <c r="A2147" s="40" t="s">
        <v>421</v>
      </c>
      <c r="B2147" s="28">
        <v>2609</v>
      </c>
      <c r="C2147" s="28" t="s">
        <v>743</v>
      </c>
      <c r="D2147" s="28"/>
      <c r="E2147" s="41">
        <v>46155</v>
      </c>
      <c r="F2147" s="47">
        <v>0.20006944444444444</v>
      </c>
      <c r="G2147" s="44">
        <v>6.3</v>
      </c>
      <c r="H2147" s="43" t="s">
        <v>1363</v>
      </c>
      <c r="I2147" s="40" t="s">
        <v>1361</v>
      </c>
    </row>
    <row r="2148" spans="1:9" x14ac:dyDescent="0.25">
      <c r="A2148" s="40" t="s">
        <v>421</v>
      </c>
      <c r="B2148" s="28">
        <v>2609</v>
      </c>
      <c r="C2148" s="28" t="s">
        <v>743</v>
      </c>
      <c r="D2148" s="28"/>
      <c r="E2148" s="45">
        <v>46155</v>
      </c>
      <c r="F2148" s="48">
        <v>0.20516203703703703</v>
      </c>
      <c r="G2148" s="44">
        <v>6.3</v>
      </c>
      <c r="H2148" s="43" t="s">
        <v>1364</v>
      </c>
      <c r="I2148" s="40" t="s">
        <v>1361</v>
      </c>
    </row>
    <row r="2149" spans="1:9" x14ac:dyDescent="0.25">
      <c r="A2149" s="40" t="s">
        <v>421</v>
      </c>
      <c r="B2149" s="28">
        <v>2609</v>
      </c>
      <c r="C2149" s="28" t="s">
        <v>744</v>
      </c>
      <c r="D2149" s="28"/>
      <c r="E2149" s="45">
        <v>46156</v>
      </c>
      <c r="F2149" s="48">
        <v>0.84370370370370373</v>
      </c>
      <c r="G2149" s="44">
        <v>6.3</v>
      </c>
      <c r="H2149" s="43" t="s">
        <v>1360</v>
      </c>
      <c r="I2149" s="40" t="s">
        <v>1361</v>
      </c>
    </row>
    <row r="2150" spans="1:9" x14ac:dyDescent="0.25">
      <c r="A2150" s="40" t="s">
        <v>421</v>
      </c>
      <c r="B2150" s="28">
        <v>2609</v>
      </c>
      <c r="C2150" s="28" t="s">
        <v>744</v>
      </c>
      <c r="D2150" s="28"/>
      <c r="E2150" s="41">
        <v>46156</v>
      </c>
      <c r="F2150" s="47">
        <v>0.85250000000000004</v>
      </c>
      <c r="G2150" s="44">
        <v>6.3</v>
      </c>
      <c r="H2150" s="43" t="s">
        <v>1362</v>
      </c>
      <c r="I2150" s="40" t="s">
        <v>1361</v>
      </c>
    </row>
    <row r="2151" spans="1:9" x14ac:dyDescent="0.25">
      <c r="A2151" s="40" t="s">
        <v>421</v>
      </c>
      <c r="B2151" s="28">
        <v>2609</v>
      </c>
      <c r="C2151" s="28" t="s">
        <v>745</v>
      </c>
      <c r="D2151" s="28"/>
      <c r="E2151" s="45">
        <v>46156</v>
      </c>
      <c r="F2151" s="48">
        <v>0.94332175925925921</v>
      </c>
      <c r="G2151" s="44">
        <v>6.3</v>
      </c>
      <c r="H2151" s="43" t="s">
        <v>1363</v>
      </c>
      <c r="I2151" s="40" t="s">
        <v>1361</v>
      </c>
    </row>
    <row r="2152" spans="1:9" x14ac:dyDescent="0.25">
      <c r="A2152" s="40" t="s">
        <v>421</v>
      </c>
      <c r="B2152" s="28">
        <v>2609</v>
      </c>
      <c r="C2152" s="28" t="s">
        <v>745</v>
      </c>
      <c r="D2152" s="28"/>
      <c r="E2152" s="41">
        <v>46156</v>
      </c>
      <c r="F2152" s="47">
        <v>0.94847222222222227</v>
      </c>
      <c r="G2152" s="44">
        <v>6.3</v>
      </c>
      <c r="H2152" s="43" t="s">
        <v>1364</v>
      </c>
      <c r="I2152" s="40" t="s">
        <v>1361</v>
      </c>
    </row>
    <row r="2153" spans="1:9" x14ac:dyDescent="0.25">
      <c r="A2153" s="40" t="s">
        <v>421</v>
      </c>
      <c r="B2153" s="28">
        <v>2609</v>
      </c>
      <c r="C2153" s="28" t="s">
        <v>746</v>
      </c>
      <c r="D2153" s="28"/>
      <c r="E2153" s="41">
        <v>46157</v>
      </c>
      <c r="F2153" s="47">
        <v>1.2094907407407407E-2</v>
      </c>
      <c r="G2153" s="44">
        <v>6.3</v>
      </c>
      <c r="H2153" s="43" t="s">
        <v>1360</v>
      </c>
      <c r="I2153" s="40" t="s">
        <v>1361</v>
      </c>
    </row>
    <row r="2154" spans="1:9" x14ac:dyDescent="0.25">
      <c r="A2154" s="40" t="s">
        <v>421</v>
      </c>
      <c r="B2154" s="28">
        <v>2609</v>
      </c>
      <c r="C2154" s="28" t="s">
        <v>746</v>
      </c>
      <c r="D2154" s="28"/>
      <c r="E2154" s="41">
        <v>46157</v>
      </c>
      <c r="F2154" s="47">
        <v>2.1261574074074075E-2</v>
      </c>
      <c r="G2154" s="44">
        <v>6.3</v>
      </c>
      <c r="H2154" s="43" t="s">
        <v>1362</v>
      </c>
      <c r="I2154" s="40" t="s">
        <v>1361</v>
      </c>
    </row>
    <row r="2155" spans="1:9" x14ac:dyDescent="0.25">
      <c r="A2155" s="40" t="s">
        <v>421</v>
      </c>
      <c r="B2155" s="28">
        <v>2609</v>
      </c>
      <c r="C2155" s="28" t="s">
        <v>747</v>
      </c>
      <c r="D2155" s="28"/>
      <c r="E2155" s="41">
        <v>46157</v>
      </c>
      <c r="F2155" s="47">
        <v>0.11322916666666667</v>
      </c>
      <c r="G2155" s="44">
        <v>6.3</v>
      </c>
      <c r="H2155" s="43" t="s">
        <v>1363</v>
      </c>
      <c r="I2155" s="40" t="s">
        <v>1361</v>
      </c>
    </row>
    <row r="2156" spans="1:9" x14ac:dyDescent="0.25">
      <c r="A2156" s="40" t="s">
        <v>421</v>
      </c>
      <c r="B2156" s="28">
        <v>2609</v>
      </c>
      <c r="C2156" s="28" t="s">
        <v>747</v>
      </c>
      <c r="D2156" s="28"/>
      <c r="E2156" s="41">
        <v>46157</v>
      </c>
      <c r="F2156" s="47">
        <v>0.12053240740740741</v>
      </c>
      <c r="G2156" s="44">
        <v>6.3</v>
      </c>
      <c r="H2156" s="43" t="s">
        <v>1364</v>
      </c>
      <c r="I2156" s="40" t="s">
        <v>1361</v>
      </c>
    </row>
    <row r="2157" spans="1:9" x14ac:dyDescent="0.25">
      <c r="A2157" s="40" t="s">
        <v>421</v>
      </c>
      <c r="B2157" s="28">
        <v>2609</v>
      </c>
      <c r="C2157" s="28" t="s">
        <v>748</v>
      </c>
      <c r="D2157" s="28"/>
      <c r="E2157" s="41">
        <v>46158</v>
      </c>
      <c r="F2157" s="47">
        <v>0.90392361111111108</v>
      </c>
      <c r="G2157" s="44">
        <v>6.3</v>
      </c>
      <c r="H2157" s="43" t="s">
        <v>1360</v>
      </c>
      <c r="I2157" s="40" t="s">
        <v>1365</v>
      </c>
    </row>
    <row r="2158" spans="1:9" x14ac:dyDescent="0.25">
      <c r="A2158" s="40" t="s">
        <v>421</v>
      </c>
      <c r="B2158" s="28">
        <v>2609</v>
      </c>
      <c r="C2158" s="28" t="s">
        <v>748</v>
      </c>
      <c r="D2158" s="28"/>
      <c r="E2158" s="41">
        <v>46158</v>
      </c>
      <c r="F2158" s="47">
        <v>0.91694444444444445</v>
      </c>
      <c r="G2158" s="44">
        <v>6.3</v>
      </c>
      <c r="H2158" s="43" t="s">
        <v>1362</v>
      </c>
      <c r="I2158" s="40" t="s">
        <v>1365</v>
      </c>
    </row>
    <row r="2159" spans="1:9" x14ac:dyDescent="0.25">
      <c r="A2159" s="40" t="s">
        <v>421</v>
      </c>
      <c r="B2159" s="28">
        <v>2609</v>
      </c>
      <c r="C2159" s="28" t="s">
        <v>749</v>
      </c>
      <c r="D2159" s="28"/>
      <c r="E2159" s="41">
        <v>46158</v>
      </c>
      <c r="F2159" s="47">
        <v>0.95512731481481483</v>
      </c>
      <c r="G2159" s="44">
        <v>6.3</v>
      </c>
      <c r="H2159" s="43" t="s">
        <v>1363</v>
      </c>
      <c r="I2159" s="40" t="s">
        <v>1365</v>
      </c>
    </row>
    <row r="2160" spans="1:9" x14ac:dyDescent="0.25">
      <c r="A2160" s="40" t="s">
        <v>421</v>
      </c>
      <c r="B2160" s="28">
        <v>2609</v>
      </c>
      <c r="C2160" s="28" t="s">
        <v>749</v>
      </c>
      <c r="D2160" s="28"/>
      <c r="E2160" s="45">
        <v>46158</v>
      </c>
      <c r="F2160" s="48">
        <v>0.96039351851851851</v>
      </c>
      <c r="G2160" s="44">
        <v>6.3</v>
      </c>
      <c r="H2160" s="43" t="s">
        <v>1364</v>
      </c>
      <c r="I2160" s="40" t="s">
        <v>1365</v>
      </c>
    </row>
    <row r="2161" spans="1:9" x14ac:dyDescent="0.25">
      <c r="A2161" s="40" t="s">
        <v>421</v>
      </c>
      <c r="B2161" s="28">
        <v>2609</v>
      </c>
      <c r="C2161" s="28" t="s">
        <v>750</v>
      </c>
      <c r="D2161" s="28"/>
      <c r="E2161" s="41">
        <v>46159</v>
      </c>
      <c r="F2161" s="47">
        <v>0.15417824074074074</v>
      </c>
      <c r="G2161" s="44">
        <v>6.3</v>
      </c>
      <c r="H2161" s="43" t="s">
        <v>1363</v>
      </c>
      <c r="I2161" s="40" t="s">
        <v>1365</v>
      </c>
    </row>
    <row r="2162" spans="1:9" x14ac:dyDescent="0.25">
      <c r="A2162" s="40" t="s">
        <v>421</v>
      </c>
      <c r="B2162" s="28">
        <v>2609</v>
      </c>
      <c r="C2162" s="28" t="s">
        <v>750</v>
      </c>
      <c r="D2162" s="28"/>
      <c r="E2162" s="41">
        <v>46159</v>
      </c>
      <c r="F2162" s="47">
        <v>0.15918981481481481</v>
      </c>
      <c r="G2162" s="44">
        <v>6.3</v>
      </c>
      <c r="H2162" s="43" t="s">
        <v>1364</v>
      </c>
      <c r="I2162" s="40" t="s">
        <v>1365</v>
      </c>
    </row>
    <row r="2163" spans="1:9" x14ac:dyDescent="0.25">
      <c r="A2163" s="40" t="s">
        <v>307</v>
      </c>
      <c r="B2163" s="28">
        <v>2653</v>
      </c>
      <c r="C2163" s="28">
        <v>5660981</v>
      </c>
      <c r="D2163" s="28"/>
      <c r="E2163" s="41">
        <v>46153</v>
      </c>
      <c r="F2163" s="47">
        <v>0.17061342592592593</v>
      </c>
      <c r="G2163" s="44">
        <v>6.3</v>
      </c>
      <c r="H2163" s="43" t="s">
        <v>1369</v>
      </c>
      <c r="I2163" s="40" t="s">
        <v>1361</v>
      </c>
    </row>
    <row r="2164" spans="1:9" x14ac:dyDescent="0.25">
      <c r="A2164" s="40" t="s">
        <v>307</v>
      </c>
      <c r="B2164" s="28">
        <v>2653</v>
      </c>
      <c r="C2164" s="28">
        <v>5660981</v>
      </c>
      <c r="D2164" s="28"/>
      <c r="E2164" s="45">
        <v>46153</v>
      </c>
      <c r="F2164" s="48">
        <v>0.17550925925925925</v>
      </c>
      <c r="G2164" s="44">
        <v>6.3</v>
      </c>
      <c r="H2164" s="43" t="s">
        <v>1364</v>
      </c>
      <c r="I2164" s="40" t="s">
        <v>1361</v>
      </c>
    </row>
    <row r="2165" spans="1:9" x14ac:dyDescent="0.25">
      <c r="A2165" s="40" t="s">
        <v>307</v>
      </c>
      <c r="B2165" s="28">
        <v>2653</v>
      </c>
      <c r="C2165" s="28" t="s">
        <v>35</v>
      </c>
      <c r="D2165" s="28" t="s">
        <v>38</v>
      </c>
      <c r="E2165" s="41">
        <v>46153</v>
      </c>
      <c r="F2165" s="47">
        <v>0.23979166666666665</v>
      </c>
      <c r="G2165" s="42">
        <v>6.3</v>
      </c>
      <c r="H2165" s="40" t="s">
        <v>1363</v>
      </c>
      <c r="I2165" s="40" t="s">
        <v>1361</v>
      </c>
    </row>
    <row r="2166" spans="1:9" x14ac:dyDescent="0.25">
      <c r="A2166" s="40" t="s">
        <v>307</v>
      </c>
      <c r="B2166" s="28">
        <v>2653</v>
      </c>
      <c r="C2166" s="28" t="s">
        <v>35</v>
      </c>
      <c r="D2166" s="28" t="s">
        <v>38</v>
      </c>
      <c r="E2166" s="45">
        <v>46153</v>
      </c>
      <c r="F2166" s="48">
        <v>0.24480324074074075</v>
      </c>
      <c r="G2166" s="42">
        <v>6.3</v>
      </c>
      <c r="H2166" s="40" t="s">
        <v>1364</v>
      </c>
      <c r="I2166" s="40" t="s">
        <v>1361</v>
      </c>
    </row>
    <row r="2167" spans="1:9" x14ac:dyDescent="0.25">
      <c r="A2167" s="40" t="s">
        <v>307</v>
      </c>
      <c r="B2167" s="28">
        <v>2653</v>
      </c>
      <c r="C2167" s="28">
        <v>5662218</v>
      </c>
      <c r="D2167" s="28" t="s">
        <v>36</v>
      </c>
      <c r="E2167" s="45">
        <v>46153</v>
      </c>
      <c r="F2167" s="48">
        <v>0.35302083333333334</v>
      </c>
      <c r="G2167" s="42">
        <v>6.3</v>
      </c>
      <c r="H2167" s="40" t="s">
        <v>1363</v>
      </c>
      <c r="I2167" s="40" t="s">
        <v>1361</v>
      </c>
    </row>
    <row r="2168" spans="1:9" x14ac:dyDescent="0.25">
      <c r="A2168" s="40" t="s">
        <v>307</v>
      </c>
      <c r="B2168" s="28">
        <v>2653</v>
      </c>
      <c r="C2168" s="28">
        <v>5662218</v>
      </c>
      <c r="D2168" s="28" t="s">
        <v>36</v>
      </c>
      <c r="E2168" s="41">
        <v>46153</v>
      </c>
      <c r="F2168" s="47">
        <v>0.36833333333333335</v>
      </c>
      <c r="G2168" s="44">
        <v>6.3</v>
      </c>
      <c r="H2168" s="43" t="s">
        <v>1364</v>
      </c>
      <c r="I2168" s="40" t="s">
        <v>1361</v>
      </c>
    </row>
    <row r="2169" spans="1:9" x14ac:dyDescent="0.25">
      <c r="A2169" s="40" t="s">
        <v>307</v>
      </c>
      <c r="B2169" s="28">
        <v>2653</v>
      </c>
      <c r="C2169" s="28">
        <v>5663812</v>
      </c>
      <c r="D2169" s="28"/>
      <c r="E2169" s="41">
        <v>46154</v>
      </c>
      <c r="F2169" s="47">
        <v>0.1962962962962963</v>
      </c>
      <c r="G2169" s="44">
        <v>6.3</v>
      </c>
      <c r="H2169" s="43" t="s">
        <v>1370</v>
      </c>
      <c r="I2169" s="40" t="s">
        <v>1361</v>
      </c>
    </row>
    <row r="2170" spans="1:9" x14ac:dyDescent="0.25">
      <c r="A2170" s="40" t="s">
        <v>307</v>
      </c>
      <c r="B2170" s="28">
        <v>2653</v>
      </c>
      <c r="C2170" s="28">
        <v>5663812</v>
      </c>
      <c r="D2170" s="28"/>
      <c r="E2170" s="41">
        <v>46154</v>
      </c>
      <c r="F2170" s="47">
        <v>0.20086805555555556</v>
      </c>
      <c r="G2170" s="44">
        <v>6.3</v>
      </c>
      <c r="H2170" s="43" t="s">
        <v>1364</v>
      </c>
      <c r="I2170" s="40" t="s">
        <v>1361</v>
      </c>
    </row>
    <row r="2171" spans="1:9" x14ac:dyDescent="0.25">
      <c r="A2171" s="40" t="s">
        <v>307</v>
      </c>
      <c r="B2171" s="28">
        <v>2653</v>
      </c>
      <c r="C2171" s="28">
        <v>5665218</v>
      </c>
      <c r="D2171" s="28"/>
      <c r="E2171" s="41">
        <v>46154</v>
      </c>
      <c r="F2171" s="47">
        <v>0.76505787037037032</v>
      </c>
      <c r="G2171" s="44">
        <v>6.3</v>
      </c>
      <c r="H2171" s="43" t="s">
        <v>1363</v>
      </c>
      <c r="I2171" s="40" t="s">
        <v>1361</v>
      </c>
    </row>
    <row r="2172" spans="1:9" x14ac:dyDescent="0.25">
      <c r="A2172" s="40" t="s">
        <v>307</v>
      </c>
      <c r="B2172" s="28">
        <v>2653</v>
      </c>
      <c r="C2172" s="28">
        <v>5665218</v>
      </c>
      <c r="D2172" s="28"/>
      <c r="E2172" s="41">
        <v>46154</v>
      </c>
      <c r="F2172" s="47">
        <v>0.78168981481481481</v>
      </c>
      <c r="G2172" s="44">
        <v>6.3</v>
      </c>
      <c r="H2172" s="43" t="s">
        <v>1364</v>
      </c>
      <c r="I2172" s="40" t="s">
        <v>1361</v>
      </c>
    </row>
    <row r="2173" spans="1:9" x14ac:dyDescent="0.25">
      <c r="A2173" s="40" t="s">
        <v>307</v>
      </c>
      <c r="B2173" s="28">
        <v>2653</v>
      </c>
      <c r="C2173" s="28">
        <v>5665238</v>
      </c>
      <c r="D2173" s="28"/>
      <c r="E2173" s="41">
        <v>46155</v>
      </c>
      <c r="F2173" s="47">
        <v>0.27204861111111112</v>
      </c>
      <c r="G2173" s="44">
        <v>6.3</v>
      </c>
      <c r="H2173" s="43" t="s">
        <v>1364</v>
      </c>
      <c r="I2173" s="40" t="s">
        <v>1361</v>
      </c>
    </row>
    <row r="2174" spans="1:9" x14ac:dyDescent="0.25">
      <c r="A2174" s="40" t="s">
        <v>307</v>
      </c>
      <c r="B2174" s="28">
        <v>2653</v>
      </c>
      <c r="C2174" s="28">
        <v>5666340</v>
      </c>
      <c r="D2174" s="28"/>
      <c r="E2174" s="41">
        <v>46155</v>
      </c>
      <c r="F2174" s="47">
        <v>0.4442476851851852</v>
      </c>
      <c r="G2174" s="44">
        <v>6.3</v>
      </c>
      <c r="H2174" s="43" t="s">
        <v>1360</v>
      </c>
      <c r="I2174" s="40" t="s">
        <v>1361</v>
      </c>
    </row>
    <row r="2175" spans="1:9" x14ac:dyDescent="0.25">
      <c r="A2175" s="40" t="s">
        <v>307</v>
      </c>
      <c r="B2175" s="28">
        <v>2653</v>
      </c>
      <c r="C2175" s="28" t="s">
        <v>35</v>
      </c>
      <c r="D2175" s="28" t="s">
        <v>38</v>
      </c>
      <c r="E2175" s="41">
        <v>46155</v>
      </c>
      <c r="F2175" s="47">
        <v>0.49908564814814815</v>
      </c>
      <c r="G2175" s="44">
        <v>6.3</v>
      </c>
      <c r="H2175" s="43" t="s">
        <v>1370</v>
      </c>
      <c r="I2175" s="40" t="s">
        <v>1361</v>
      </c>
    </row>
    <row r="2176" spans="1:9" x14ac:dyDescent="0.25">
      <c r="A2176" s="40" t="s">
        <v>307</v>
      </c>
      <c r="B2176" s="28">
        <v>2653</v>
      </c>
      <c r="C2176" s="28" t="s">
        <v>35</v>
      </c>
      <c r="D2176" s="28" t="s">
        <v>38</v>
      </c>
      <c r="E2176" s="41">
        <v>46155</v>
      </c>
      <c r="F2176" s="47">
        <v>0.50672453703703701</v>
      </c>
      <c r="G2176" s="44">
        <v>6.3</v>
      </c>
      <c r="H2176" s="43" t="s">
        <v>1364</v>
      </c>
      <c r="I2176" s="40" t="s">
        <v>1361</v>
      </c>
    </row>
    <row r="2177" spans="1:9" x14ac:dyDescent="0.25">
      <c r="A2177" s="40" t="s">
        <v>307</v>
      </c>
      <c r="B2177" s="28">
        <v>2653</v>
      </c>
      <c r="C2177" s="28">
        <v>5667903</v>
      </c>
      <c r="D2177" s="28"/>
      <c r="E2177" s="41">
        <v>46156</v>
      </c>
      <c r="F2177" s="47">
        <v>0.33981481481481479</v>
      </c>
      <c r="G2177" s="44">
        <v>6.3</v>
      </c>
      <c r="H2177" s="43" t="s">
        <v>1360</v>
      </c>
      <c r="I2177" s="40" t="s">
        <v>1361</v>
      </c>
    </row>
    <row r="2178" spans="1:9" x14ac:dyDescent="0.25">
      <c r="A2178" s="40" t="s">
        <v>307</v>
      </c>
      <c r="B2178" s="28">
        <v>2653</v>
      </c>
      <c r="C2178" s="28">
        <v>5667903</v>
      </c>
      <c r="D2178" s="28"/>
      <c r="E2178" s="41">
        <v>46156</v>
      </c>
      <c r="F2178" s="47">
        <v>0.35618055555555556</v>
      </c>
      <c r="G2178" s="44">
        <v>6.3</v>
      </c>
      <c r="H2178" s="43" t="s">
        <v>1362</v>
      </c>
      <c r="I2178" s="40" t="s">
        <v>1361</v>
      </c>
    </row>
    <row r="2179" spans="1:9" x14ac:dyDescent="0.25">
      <c r="A2179" s="40" t="s">
        <v>307</v>
      </c>
      <c r="B2179" s="28">
        <v>2653</v>
      </c>
      <c r="C2179" s="28">
        <v>5667594</v>
      </c>
      <c r="D2179" s="28"/>
      <c r="E2179" s="41">
        <v>46156</v>
      </c>
      <c r="F2179" s="47">
        <v>0.42032407407407407</v>
      </c>
      <c r="G2179" s="44">
        <v>6.3</v>
      </c>
      <c r="H2179" s="43" t="s">
        <v>1363</v>
      </c>
      <c r="I2179" s="40" t="s">
        <v>1361</v>
      </c>
    </row>
    <row r="2180" spans="1:9" x14ac:dyDescent="0.25">
      <c r="A2180" s="40" t="s">
        <v>307</v>
      </c>
      <c r="B2180" s="28">
        <v>2653</v>
      </c>
      <c r="C2180" s="28">
        <v>5667594</v>
      </c>
      <c r="D2180" s="28"/>
      <c r="E2180" s="41">
        <v>46156</v>
      </c>
      <c r="F2180" s="47">
        <v>0.42802083333333335</v>
      </c>
      <c r="G2180" s="44">
        <v>6.3</v>
      </c>
      <c r="H2180" s="43" t="s">
        <v>1364</v>
      </c>
      <c r="I2180" s="40" t="s">
        <v>1361</v>
      </c>
    </row>
    <row r="2181" spans="1:9" x14ac:dyDescent="0.25">
      <c r="A2181" s="40" t="s">
        <v>307</v>
      </c>
      <c r="B2181" s="28">
        <v>2653</v>
      </c>
      <c r="C2181" s="28">
        <v>5667834</v>
      </c>
      <c r="D2181" s="28" t="s">
        <v>37</v>
      </c>
      <c r="E2181" s="41">
        <v>46156</v>
      </c>
      <c r="F2181" s="47">
        <v>0.51596064814814813</v>
      </c>
      <c r="G2181" s="44">
        <v>6.3</v>
      </c>
      <c r="H2181" s="43" t="s">
        <v>1360</v>
      </c>
      <c r="I2181" s="40" t="s">
        <v>1361</v>
      </c>
    </row>
    <row r="2182" spans="1:9" x14ac:dyDescent="0.25">
      <c r="A2182" s="40" t="s">
        <v>307</v>
      </c>
      <c r="B2182" s="28">
        <v>2653</v>
      </c>
      <c r="C2182" s="28">
        <v>5667834</v>
      </c>
      <c r="D2182" s="28" t="s">
        <v>37</v>
      </c>
      <c r="E2182" s="45">
        <v>46156</v>
      </c>
      <c r="F2182" s="48">
        <v>0.52729166666666671</v>
      </c>
      <c r="G2182" s="42">
        <v>6.3</v>
      </c>
      <c r="H2182" s="40" t="s">
        <v>1362</v>
      </c>
      <c r="I2182" s="40" t="s">
        <v>1361</v>
      </c>
    </row>
    <row r="2183" spans="1:9" x14ac:dyDescent="0.25">
      <c r="A2183" s="40" t="s">
        <v>307</v>
      </c>
      <c r="B2183" s="28">
        <v>2653</v>
      </c>
      <c r="C2183" s="28">
        <v>5667569</v>
      </c>
      <c r="D2183" s="28"/>
      <c r="E2183" s="41">
        <v>46156</v>
      </c>
      <c r="F2183" s="47">
        <v>0.58509259259259261</v>
      </c>
      <c r="G2183" s="44">
        <v>6.3</v>
      </c>
      <c r="H2183" s="43" t="s">
        <v>1363</v>
      </c>
      <c r="I2183" s="40" t="s">
        <v>1361</v>
      </c>
    </row>
    <row r="2184" spans="1:9" x14ac:dyDescent="0.25">
      <c r="A2184" s="40" t="s">
        <v>307</v>
      </c>
      <c r="B2184" s="28">
        <v>2653</v>
      </c>
      <c r="C2184" s="28">
        <v>5667569</v>
      </c>
      <c r="D2184" s="28"/>
      <c r="E2184" s="41">
        <v>46156</v>
      </c>
      <c r="F2184" s="47">
        <v>0.59142361111111108</v>
      </c>
      <c r="G2184" s="44">
        <v>6.3</v>
      </c>
      <c r="H2184" s="43" t="s">
        <v>1364</v>
      </c>
      <c r="I2184" s="40" t="s">
        <v>1361</v>
      </c>
    </row>
    <row r="2185" spans="1:9" x14ac:dyDescent="0.25">
      <c r="A2185" s="40" t="s">
        <v>307</v>
      </c>
      <c r="B2185" s="28">
        <v>2653</v>
      </c>
      <c r="C2185" s="28" t="s">
        <v>751</v>
      </c>
      <c r="D2185" s="28"/>
      <c r="E2185" s="41">
        <v>46156</v>
      </c>
      <c r="F2185" s="47">
        <v>0.77967592592592594</v>
      </c>
      <c r="G2185" s="44">
        <v>6.3</v>
      </c>
      <c r="H2185" s="43" t="s">
        <v>1360</v>
      </c>
      <c r="I2185" s="40" t="s">
        <v>1361</v>
      </c>
    </row>
    <row r="2186" spans="1:9" x14ac:dyDescent="0.25">
      <c r="A2186" s="40" t="s">
        <v>307</v>
      </c>
      <c r="B2186" s="28">
        <v>2653</v>
      </c>
      <c r="C2186" s="28" t="s">
        <v>751</v>
      </c>
      <c r="D2186" s="28"/>
      <c r="E2186" s="41">
        <v>46156</v>
      </c>
      <c r="F2186" s="47">
        <v>0.79716435185185186</v>
      </c>
      <c r="G2186" s="44">
        <v>6.3</v>
      </c>
      <c r="H2186" s="43" t="s">
        <v>1362</v>
      </c>
      <c r="I2186" s="40" t="s">
        <v>1361</v>
      </c>
    </row>
    <row r="2187" spans="1:9" x14ac:dyDescent="0.25">
      <c r="A2187" s="40" t="s">
        <v>307</v>
      </c>
      <c r="B2187" s="28">
        <v>2653</v>
      </c>
      <c r="C2187" s="28" t="s">
        <v>35</v>
      </c>
      <c r="D2187" s="28" t="s">
        <v>38</v>
      </c>
      <c r="E2187" s="41">
        <v>46157</v>
      </c>
      <c r="F2187" s="47">
        <v>0.49618055555555557</v>
      </c>
      <c r="G2187" s="44">
        <v>6.3</v>
      </c>
      <c r="H2187" s="43" t="s">
        <v>1360</v>
      </c>
      <c r="I2187" s="40" t="s">
        <v>1361</v>
      </c>
    </row>
    <row r="2188" spans="1:9" x14ac:dyDescent="0.25">
      <c r="A2188" s="40" t="s">
        <v>307</v>
      </c>
      <c r="B2188" s="28">
        <v>2653</v>
      </c>
      <c r="C2188" s="28" t="s">
        <v>35</v>
      </c>
      <c r="D2188" s="28" t="s">
        <v>38</v>
      </c>
      <c r="E2188" s="41">
        <v>46158</v>
      </c>
      <c r="F2188" s="47">
        <v>0.32891203703703703</v>
      </c>
      <c r="G2188" s="44">
        <v>6.3</v>
      </c>
      <c r="H2188" s="43" t="s">
        <v>1370</v>
      </c>
      <c r="I2188" s="40" t="s">
        <v>1365</v>
      </c>
    </row>
    <row r="2189" spans="1:9" x14ac:dyDescent="0.25">
      <c r="A2189" s="40" t="s">
        <v>307</v>
      </c>
      <c r="B2189" s="28">
        <v>2653</v>
      </c>
      <c r="C2189" s="28" t="s">
        <v>35</v>
      </c>
      <c r="D2189" s="28" t="s">
        <v>38</v>
      </c>
      <c r="E2189" s="41">
        <v>46158</v>
      </c>
      <c r="F2189" s="47">
        <v>0.33537037037037037</v>
      </c>
      <c r="G2189" s="44">
        <v>6.3</v>
      </c>
      <c r="H2189" s="43" t="s">
        <v>1364</v>
      </c>
      <c r="I2189" s="40" t="s">
        <v>1365</v>
      </c>
    </row>
    <row r="2190" spans="1:9" x14ac:dyDescent="0.25">
      <c r="A2190" s="40" t="s">
        <v>307</v>
      </c>
      <c r="B2190" s="28">
        <v>2653</v>
      </c>
      <c r="C2190" s="28">
        <v>5671666</v>
      </c>
      <c r="D2190" s="28"/>
      <c r="E2190" s="45">
        <v>46158</v>
      </c>
      <c r="F2190" s="48">
        <v>0.85293981481481485</v>
      </c>
      <c r="G2190" s="44">
        <v>6.3</v>
      </c>
      <c r="H2190" s="43" t="s">
        <v>1360</v>
      </c>
      <c r="I2190" s="40" t="s">
        <v>1365</v>
      </c>
    </row>
    <row r="2191" spans="1:9" x14ac:dyDescent="0.25">
      <c r="A2191" s="40" t="s">
        <v>307</v>
      </c>
      <c r="B2191" s="28">
        <v>2653</v>
      </c>
      <c r="C2191" s="28">
        <v>5671666</v>
      </c>
      <c r="D2191" s="28"/>
      <c r="E2191" s="41">
        <v>46158</v>
      </c>
      <c r="F2191" s="47">
        <v>0.85938657407407404</v>
      </c>
      <c r="G2191" s="44">
        <v>6.3</v>
      </c>
      <c r="H2191" s="43" t="s">
        <v>1366</v>
      </c>
      <c r="I2191" s="40" t="s">
        <v>1365</v>
      </c>
    </row>
    <row r="2192" spans="1:9" x14ac:dyDescent="0.25">
      <c r="A2192" s="40" t="s">
        <v>307</v>
      </c>
      <c r="B2192" s="28">
        <v>2653</v>
      </c>
      <c r="C2192" s="28" t="s">
        <v>35</v>
      </c>
      <c r="D2192" s="28" t="s">
        <v>38</v>
      </c>
      <c r="E2192" s="41">
        <v>46159</v>
      </c>
      <c r="F2192" s="47">
        <v>0.27482638888888888</v>
      </c>
      <c r="G2192" s="44">
        <v>6.3</v>
      </c>
      <c r="H2192" s="43" t="s">
        <v>1367</v>
      </c>
      <c r="I2192" s="40" t="s">
        <v>1365</v>
      </c>
    </row>
    <row r="2193" spans="1:9" x14ac:dyDescent="0.25">
      <c r="A2193" s="40" t="s">
        <v>307</v>
      </c>
      <c r="B2193" s="28">
        <v>2653</v>
      </c>
      <c r="C2193" s="28" t="s">
        <v>35</v>
      </c>
      <c r="D2193" s="28" t="s">
        <v>38</v>
      </c>
      <c r="E2193" s="45">
        <v>46159</v>
      </c>
      <c r="F2193" s="48">
        <v>0.27740740740740738</v>
      </c>
      <c r="G2193" s="44">
        <v>6.3</v>
      </c>
      <c r="H2193" s="43" t="s">
        <v>1364</v>
      </c>
      <c r="I2193" s="40" t="s">
        <v>1365</v>
      </c>
    </row>
    <row r="2194" spans="1:9" x14ac:dyDescent="0.25">
      <c r="A2194" s="40" t="s">
        <v>307</v>
      </c>
      <c r="B2194" s="28">
        <v>2653</v>
      </c>
      <c r="C2194" s="28">
        <v>5672265</v>
      </c>
      <c r="D2194" s="28"/>
      <c r="E2194" s="41">
        <v>46159</v>
      </c>
      <c r="F2194" s="47">
        <v>0.40569444444444447</v>
      </c>
      <c r="G2194" s="44">
        <v>6.3</v>
      </c>
      <c r="H2194" s="43" t="s">
        <v>1369</v>
      </c>
      <c r="I2194" s="40" t="s">
        <v>1365</v>
      </c>
    </row>
    <row r="2195" spans="1:9" x14ac:dyDescent="0.25">
      <c r="A2195" s="40" t="s">
        <v>307</v>
      </c>
      <c r="B2195" s="28">
        <v>2653</v>
      </c>
      <c r="C2195" s="28">
        <v>5672265</v>
      </c>
      <c r="D2195" s="28"/>
      <c r="E2195" s="41">
        <v>46159</v>
      </c>
      <c r="F2195" s="47">
        <v>0.41060185185185183</v>
      </c>
      <c r="G2195" s="44">
        <v>6.3</v>
      </c>
      <c r="H2195" s="43" t="s">
        <v>1364</v>
      </c>
      <c r="I2195" s="40" t="s">
        <v>1365</v>
      </c>
    </row>
    <row r="2196" spans="1:9" x14ac:dyDescent="0.25">
      <c r="A2196" s="40" t="s">
        <v>92</v>
      </c>
      <c r="B2196" s="28">
        <v>9045</v>
      </c>
      <c r="C2196" s="28">
        <v>10644722</v>
      </c>
      <c r="D2196" s="28"/>
      <c r="E2196" s="41">
        <v>46154</v>
      </c>
      <c r="F2196" s="47">
        <v>0.58484953703703701</v>
      </c>
      <c r="G2196" s="44">
        <v>6.3</v>
      </c>
      <c r="H2196" s="43" t="s">
        <v>1360</v>
      </c>
      <c r="I2196" s="40" t="s">
        <v>1361</v>
      </c>
    </row>
    <row r="2197" spans="1:9" x14ac:dyDescent="0.25">
      <c r="A2197" s="40" t="s">
        <v>92</v>
      </c>
      <c r="B2197" s="28">
        <v>9045</v>
      </c>
      <c r="C2197" s="28">
        <v>10644722</v>
      </c>
      <c r="D2197" s="28"/>
      <c r="E2197" s="41">
        <v>46154</v>
      </c>
      <c r="F2197" s="47">
        <v>0.59539351851851852</v>
      </c>
      <c r="G2197" s="44">
        <v>6.3</v>
      </c>
      <c r="H2197" s="43" t="s">
        <v>1362</v>
      </c>
      <c r="I2197" s="40" t="s">
        <v>1361</v>
      </c>
    </row>
    <row r="2198" spans="1:9" x14ac:dyDescent="0.25">
      <c r="A2198" s="40" t="s">
        <v>92</v>
      </c>
      <c r="B2198" s="28">
        <v>9045</v>
      </c>
      <c r="C2198" s="28">
        <v>10645855</v>
      </c>
      <c r="D2198" s="28"/>
      <c r="E2198" s="45">
        <v>46154</v>
      </c>
      <c r="F2198" s="48">
        <v>0.68214120370370368</v>
      </c>
      <c r="G2198" s="44">
        <v>6.3</v>
      </c>
      <c r="H2198" s="43" t="s">
        <v>1363</v>
      </c>
      <c r="I2198" s="40" t="s">
        <v>1361</v>
      </c>
    </row>
    <row r="2199" spans="1:9" x14ac:dyDescent="0.25">
      <c r="A2199" s="40" t="s">
        <v>92</v>
      </c>
      <c r="B2199" s="28">
        <v>9045</v>
      </c>
      <c r="C2199" s="28">
        <v>10645855</v>
      </c>
      <c r="D2199" s="28"/>
      <c r="E2199" s="41">
        <v>46154</v>
      </c>
      <c r="F2199" s="47">
        <v>0.69445601851851857</v>
      </c>
      <c r="G2199" s="44">
        <v>6.3</v>
      </c>
      <c r="H2199" s="43" t="s">
        <v>1364</v>
      </c>
      <c r="I2199" s="40" t="s">
        <v>1361</v>
      </c>
    </row>
    <row r="2200" spans="1:9" x14ac:dyDescent="0.25">
      <c r="A2200" s="40" t="s">
        <v>92</v>
      </c>
      <c r="B2200" s="28">
        <v>2674</v>
      </c>
      <c r="C2200" s="28">
        <v>5665013</v>
      </c>
      <c r="D2200" s="28"/>
      <c r="E2200" s="41">
        <v>46155</v>
      </c>
      <c r="F2200" s="47">
        <v>0.1190625</v>
      </c>
      <c r="G2200" s="44">
        <v>6.3</v>
      </c>
      <c r="H2200" s="43" t="s">
        <v>1363</v>
      </c>
      <c r="I2200" s="40" t="s">
        <v>1361</v>
      </c>
    </row>
    <row r="2201" spans="1:9" x14ac:dyDescent="0.25">
      <c r="A2201" s="40" t="s">
        <v>92</v>
      </c>
      <c r="B2201" s="28">
        <v>2674</v>
      </c>
      <c r="C2201" s="28">
        <v>5665013</v>
      </c>
      <c r="D2201" s="28"/>
      <c r="E2201" s="41">
        <v>46155</v>
      </c>
      <c r="F2201" s="47">
        <v>0.12406250000000001</v>
      </c>
      <c r="G2201" s="44">
        <v>6.3</v>
      </c>
      <c r="H2201" s="43" t="s">
        <v>1364</v>
      </c>
      <c r="I2201" s="40" t="s">
        <v>1361</v>
      </c>
    </row>
    <row r="2202" spans="1:9" x14ac:dyDescent="0.25">
      <c r="A2202" s="40" t="s">
        <v>92</v>
      </c>
      <c r="B2202" s="28">
        <v>9045</v>
      </c>
      <c r="C2202" s="28">
        <v>10658967</v>
      </c>
      <c r="D2202" s="28"/>
      <c r="E2202" s="41">
        <v>46156</v>
      </c>
      <c r="F2202" s="47">
        <v>0.7610069444444445</v>
      </c>
      <c r="G2202" s="44">
        <v>6.3</v>
      </c>
      <c r="H2202" s="43" t="s">
        <v>1363</v>
      </c>
      <c r="I2202" s="40" t="s">
        <v>1361</v>
      </c>
    </row>
    <row r="2203" spans="1:9" x14ac:dyDescent="0.25">
      <c r="A2203" s="40" t="s">
        <v>92</v>
      </c>
      <c r="B2203" s="28">
        <v>9045</v>
      </c>
      <c r="C2203" s="28">
        <v>10658967</v>
      </c>
      <c r="D2203" s="28"/>
      <c r="E2203" s="41">
        <v>46156</v>
      </c>
      <c r="F2203" s="47">
        <v>0.77541666666666664</v>
      </c>
      <c r="G2203" s="44">
        <v>6.3</v>
      </c>
      <c r="H2203" s="43" t="s">
        <v>1364</v>
      </c>
      <c r="I2203" s="40" t="s">
        <v>1361</v>
      </c>
    </row>
    <row r="2204" spans="1:9" x14ac:dyDescent="0.25">
      <c r="A2204" s="40" t="s">
        <v>92</v>
      </c>
      <c r="B2204" s="28">
        <v>9045</v>
      </c>
      <c r="C2204" s="28">
        <v>10673002</v>
      </c>
      <c r="D2204" s="28"/>
      <c r="E2204" s="41">
        <v>46157</v>
      </c>
      <c r="F2204" s="47">
        <v>0.61831018518518521</v>
      </c>
      <c r="G2204" s="44">
        <v>6.3</v>
      </c>
      <c r="H2204" s="43" t="s">
        <v>1360</v>
      </c>
      <c r="I2204" s="40" t="s">
        <v>1361</v>
      </c>
    </row>
    <row r="2205" spans="1:9" x14ac:dyDescent="0.25">
      <c r="A2205" s="40" t="s">
        <v>92</v>
      </c>
      <c r="B2205" s="28">
        <v>9045</v>
      </c>
      <c r="C2205" s="28">
        <v>10673002</v>
      </c>
      <c r="D2205" s="28"/>
      <c r="E2205" s="41">
        <v>46157</v>
      </c>
      <c r="F2205" s="47">
        <v>0.63108796296296299</v>
      </c>
      <c r="G2205" s="42">
        <v>6.3</v>
      </c>
      <c r="H2205" s="40" t="s">
        <v>1362</v>
      </c>
      <c r="I2205" s="40" t="s">
        <v>1361</v>
      </c>
    </row>
    <row r="2206" spans="1:9" x14ac:dyDescent="0.25">
      <c r="A2206" s="40" t="s">
        <v>92</v>
      </c>
      <c r="B2206" s="28">
        <v>9045</v>
      </c>
      <c r="C2206" s="28">
        <v>10675316</v>
      </c>
      <c r="D2206" s="28"/>
      <c r="E2206" s="45">
        <v>46158</v>
      </c>
      <c r="F2206" s="48">
        <v>0.59416666666666662</v>
      </c>
      <c r="G2206" s="42">
        <v>6.3</v>
      </c>
      <c r="H2206" s="40" t="s">
        <v>1360</v>
      </c>
      <c r="I2206" s="40" t="s">
        <v>1365</v>
      </c>
    </row>
    <row r="2207" spans="1:9" x14ac:dyDescent="0.25">
      <c r="A2207" s="40" t="s">
        <v>92</v>
      </c>
      <c r="B2207" s="28">
        <v>9045</v>
      </c>
      <c r="C2207" s="28">
        <v>10675316</v>
      </c>
      <c r="D2207" s="28"/>
      <c r="E2207" s="45">
        <v>46158</v>
      </c>
      <c r="F2207" s="48">
        <v>0.608912037037037</v>
      </c>
      <c r="G2207" s="44">
        <v>6.3</v>
      </c>
      <c r="H2207" s="43" t="s">
        <v>1362</v>
      </c>
      <c r="I2207" s="40" t="s">
        <v>1365</v>
      </c>
    </row>
    <row r="2208" spans="1:9" x14ac:dyDescent="0.25">
      <c r="A2208" s="40" t="s">
        <v>92</v>
      </c>
      <c r="B2208" s="28">
        <v>9045</v>
      </c>
      <c r="C2208" s="28">
        <v>10678501</v>
      </c>
      <c r="D2208" s="28"/>
      <c r="E2208" s="45">
        <v>46158</v>
      </c>
      <c r="F2208" s="48">
        <v>0.70716435185185189</v>
      </c>
      <c r="G2208" s="44">
        <v>6.3</v>
      </c>
      <c r="H2208" s="43" t="s">
        <v>1363</v>
      </c>
      <c r="I2208" s="40" t="s">
        <v>1365</v>
      </c>
    </row>
    <row r="2209" spans="1:9" x14ac:dyDescent="0.25">
      <c r="A2209" s="40" t="s">
        <v>92</v>
      </c>
      <c r="B2209" s="28">
        <v>9045</v>
      </c>
      <c r="C2209" s="28">
        <v>10678501</v>
      </c>
      <c r="D2209" s="28"/>
      <c r="E2209" s="41">
        <v>46158</v>
      </c>
      <c r="F2209" s="47">
        <v>0.71741898148148153</v>
      </c>
      <c r="G2209" s="44">
        <v>6.3</v>
      </c>
      <c r="H2209" s="43" t="s">
        <v>1364</v>
      </c>
      <c r="I2209" s="40" t="s">
        <v>1365</v>
      </c>
    </row>
    <row r="2210" spans="1:9" x14ac:dyDescent="0.25">
      <c r="A2210" s="40" t="s">
        <v>92</v>
      </c>
      <c r="B2210" s="28">
        <v>9045</v>
      </c>
      <c r="C2210" s="28" t="s">
        <v>752</v>
      </c>
      <c r="D2210" s="28"/>
      <c r="E2210" s="41">
        <v>46159</v>
      </c>
      <c r="F2210" s="47">
        <v>0.45358796296296294</v>
      </c>
      <c r="G2210" s="44">
        <v>6.3</v>
      </c>
      <c r="H2210" s="43" t="s">
        <v>1360</v>
      </c>
      <c r="I2210" s="40" t="s">
        <v>1365</v>
      </c>
    </row>
    <row r="2211" spans="1:9" x14ac:dyDescent="0.25">
      <c r="A2211" s="40" t="s">
        <v>92</v>
      </c>
      <c r="B2211" s="28">
        <v>9045</v>
      </c>
      <c r="C2211" s="28" t="s">
        <v>752</v>
      </c>
      <c r="D2211" s="28"/>
      <c r="E2211" s="41">
        <v>46159</v>
      </c>
      <c r="F2211" s="47">
        <v>0.4611689814814815</v>
      </c>
      <c r="G2211" s="42">
        <v>6.3</v>
      </c>
      <c r="H2211" s="40" t="s">
        <v>1362</v>
      </c>
      <c r="I2211" s="40" t="s">
        <v>1365</v>
      </c>
    </row>
    <row r="2212" spans="1:9" x14ac:dyDescent="0.25">
      <c r="A2212" s="40" t="s">
        <v>92</v>
      </c>
      <c r="B2212" s="28">
        <v>9045</v>
      </c>
      <c r="C2212" s="28">
        <v>5672442</v>
      </c>
      <c r="D2212" s="28"/>
      <c r="E2212" s="45">
        <v>46159</v>
      </c>
      <c r="F2212" s="48">
        <v>0.89567129629629627</v>
      </c>
      <c r="G2212" s="42">
        <v>6.3</v>
      </c>
      <c r="H2212" s="40" t="s">
        <v>1363</v>
      </c>
      <c r="I2212" s="40" t="s">
        <v>1365</v>
      </c>
    </row>
    <row r="2213" spans="1:9" x14ac:dyDescent="0.25">
      <c r="A2213" s="40" t="s">
        <v>92</v>
      </c>
      <c r="B2213" s="28">
        <v>9045</v>
      </c>
      <c r="C2213" s="28">
        <v>5672442</v>
      </c>
      <c r="D2213" s="28"/>
      <c r="E2213" s="45">
        <v>46159</v>
      </c>
      <c r="F2213" s="48">
        <v>0.90156250000000004</v>
      </c>
      <c r="G2213" s="42">
        <v>6.3</v>
      </c>
      <c r="H2213" s="40" t="s">
        <v>1364</v>
      </c>
      <c r="I2213" s="40" t="s">
        <v>1365</v>
      </c>
    </row>
    <row r="2214" spans="1:9" x14ac:dyDescent="0.25">
      <c r="A2214" s="40" t="s">
        <v>243</v>
      </c>
      <c r="B2214" s="28">
        <v>2722</v>
      </c>
      <c r="C2214" s="28">
        <v>5661688</v>
      </c>
      <c r="D2214" s="28"/>
      <c r="E2214" s="41">
        <v>46153</v>
      </c>
      <c r="F2214" s="47">
        <v>0.22865740740740742</v>
      </c>
      <c r="G2214" s="44">
        <v>6.3</v>
      </c>
      <c r="H2214" s="43" t="s">
        <v>1363</v>
      </c>
      <c r="I2214" s="40" t="s">
        <v>1361</v>
      </c>
    </row>
    <row r="2215" spans="1:9" x14ac:dyDescent="0.25">
      <c r="A2215" s="40" t="s">
        <v>243</v>
      </c>
      <c r="B2215" s="28">
        <v>2722</v>
      </c>
      <c r="C2215" s="28">
        <v>5661688</v>
      </c>
      <c r="D2215" s="28"/>
      <c r="E2215" s="41">
        <v>46153</v>
      </c>
      <c r="F2215" s="47">
        <v>0.23416666666666666</v>
      </c>
      <c r="G2215" s="44">
        <v>6.3</v>
      </c>
      <c r="H2215" s="43" t="s">
        <v>1364</v>
      </c>
      <c r="I2215" s="40" t="s">
        <v>1361</v>
      </c>
    </row>
    <row r="2216" spans="1:9" x14ac:dyDescent="0.25">
      <c r="A2216" s="40" t="s">
        <v>243</v>
      </c>
      <c r="B2216" s="28">
        <v>2722</v>
      </c>
      <c r="C2216" s="28" t="s">
        <v>753</v>
      </c>
      <c r="D2216" s="28"/>
      <c r="E2216" s="41">
        <v>46153</v>
      </c>
      <c r="F2216" s="47">
        <v>0.27028935185185188</v>
      </c>
      <c r="G2216" s="44">
        <v>6.3</v>
      </c>
      <c r="H2216" s="43" t="s">
        <v>1360</v>
      </c>
      <c r="I2216" s="40" t="s">
        <v>1361</v>
      </c>
    </row>
    <row r="2217" spans="1:9" x14ac:dyDescent="0.25">
      <c r="A2217" s="40" t="s">
        <v>243</v>
      </c>
      <c r="B2217" s="28">
        <v>2722</v>
      </c>
      <c r="C2217" s="28" t="s">
        <v>753</v>
      </c>
      <c r="D2217" s="28"/>
      <c r="E2217" s="41">
        <v>46153</v>
      </c>
      <c r="F2217" s="47">
        <v>0.28131944444444446</v>
      </c>
      <c r="G2217" s="44">
        <v>6.3</v>
      </c>
      <c r="H2217" s="43" t="s">
        <v>1362</v>
      </c>
      <c r="I2217" s="40" t="s">
        <v>1361</v>
      </c>
    </row>
    <row r="2218" spans="1:9" x14ac:dyDescent="0.25">
      <c r="A2218" s="40" t="s">
        <v>243</v>
      </c>
      <c r="B2218" s="28">
        <v>2722</v>
      </c>
      <c r="C2218" s="28">
        <v>5661701</v>
      </c>
      <c r="D2218" s="28"/>
      <c r="E2218" s="41">
        <v>46153</v>
      </c>
      <c r="F2218" s="47">
        <v>0.34019675925925924</v>
      </c>
      <c r="G2218" s="44">
        <v>6.3</v>
      </c>
      <c r="H2218" s="43" t="s">
        <v>1369</v>
      </c>
      <c r="I2218" s="40" t="s">
        <v>1361</v>
      </c>
    </row>
    <row r="2219" spans="1:9" x14ac:dyDescent="0.25">
      <c r="A2219" s="40" t="s">
        <v>243</v>
      </c>
      <c r="B2219" s="28">
        <v>2722</v>
      </c>
      <c r="C2219" s="28">
        <v>5661701</v>
      </c>
      <c r="D2219" s="28"/>
      <c r="E2219" s="41">
        <v>46153</v>
      </c>
      <c r="F2219" s="47">
        <v>0.35451388888888891</v>
      </c>
      <c r="G2219" s="44">
        <v>6.3</v>
      </c>
      <c r="H2219" s="43" t="s">
        <v>1364</v>
      </c>
      <c r="I2219" s="40" t="s">
        <v>1361</v>
      </c>
    </row>
    <row r="2220" spans="1:9" x14ac:dyDescent="0.25">
      <c r="A2220" s="40" t="s">
        <v>243</v>
      </c>
      <c r="B2220" s="28">
        <v>2722</v>
      </c>
      <c r="C2220" s="28">
        <v>5662306</v>
      </c>
      <c r="D2220" s="28"/>
      <c r="E2220" s="45">
        <v>46153</v>
      </c>
      <c r="F2220" s="48">
        <v>0.40774305555555557</v>
      </c>
      <c r="G2220" s="44">
        <v>6.3</v>
      </c>
      <c r="H2220" s="43" t="s">
        <v>1360</v>
      </c>
      <c r="I2220" s="40" t="s">
        <v>1361</v>
      </c>
    </row>
    <row r="2221" spans="1:9" x14ac:dyDescent="0.25">
      <c r="A2221" s="40" t="s">
        <v>243</v>
      </c>
      <c r="B2221" s="28">
        <v>2722</v>
      </c>
      <c r="C2221" s="28">
        <v>5662306</v>
      </c>
      <c r="D2221" s="28"/>
      <c r="E2221" s="41">
        <v>46153</v>
      </c>
      <c r="F2221" s="47">
        <v>0.42296296296296299</v>
      </c>
      <c r="G2221" s="44">
        <v>6.3</v>
      </c>
      <c r="H2221" s="43" t="s">
        <v>1368</v>
      </c>
      <c r="I2221" s="40" t="s">
        <v>1361</v>
      </c>
    </row>
    <row r="2222" spans="1:9" x14ac:dyDescent="0.25">
      <c r="A2222" s="40" t="s">
        <v>243</v>
      </c>
      <c r="B2222" s="28">
        <v>2722</v>
      </c>
      <c r="C2222" s="28">
        <v>5667577</v>
      </c>
      <c r="D2222" s="28" t="s">
        <v>37</v>
      </c>
      <c r="E2222" s="41">
        <v>46156</v>
      </c>
      <c r="F2222" s="47">
        <v>0.35774305555555558</v>
      </c>
      <c r="G2222" s="44">
        <v>6.3</v>
      </c>
      <c r="H2222" s="43" t="s">
        <v>1363</v>
      </c>
      <c r="I2222" s="40" t="s">
        <v>1361</v>
      </c>
    </row>
    <row r="2223" spans="1:9" x14ac:dyDescent="0.25">
      <c r="A2223" s="40" t="s">
        <v>243</v>
      </c>
      <c r="B2223" s="28">
        <v>2722</v>
      </c>
      <c r="C2223" s="28">
        <v>5667577</v>
      </c>
      <c r="D2223" s="28" t="s">
        <v>37</v>
      </c>
      <c r="E2223" s="41">
        <v>46156</v>
      </c>
      <c r="F2223" s="47">
        <v>0.36496527777777776</v>
      </c>
      <c r="G2223" s="44">
        <v>6.3</v>
      </c>
      <c r="H2223" s="43" t="s">
        <v>1364</v>
      </c>
      <c r="I2223" s="40" t="s">
        <v>1361</v>
      </c>
    </row>
    <row r="2224" spans="1:9" x14ac:dyDescent="0.25">
      <c r="A2224" s="40" t="s">
        <v>243</v>
      </c>
      <c r="B2224" s="28">
        <v>2722</v>
      </c>
      <c r="C2224" s="28">
        <v>5668150</v>
      </c>
      <c r="D2224" s="28"/>
      <c r="E2224" s="41">
        <v>46156</v>
      </c>
      <c r="F2224" s="47">
        <v>0.48189814814814813</v>
      </c>
      <c r="G2224" s="44">
        <v>6.3</v>
      </c>
      <c r="H2224" s="43" t="s">
        <v>1360</v>
      </c>
      <c r="I2224" s="40" t="s">
        <v>1361</v>
      </c>
    </row>
    <row r="2225" spans="1:9" x14ac:dyDescent="0.25">
      <c r="A2225" s="40" t="s">
        <v>243</v>
      </c>
      <c r="B2225" s="28">
        <v>2722</v>
      </c>
      <c r="C2225" s="28" t="s">
        <v>35</v>
      </c>
      <c r="D2225" s="28" t="s">
        <v>38</v>
      </c>
      <c r="E2225" s="41">
        <v>46156</v>
      </c>
      <c r="F2225" s="47">
        <v>0.50181712962962965</v>
      </c>
      <c r="G2225" s="44">
        <v>6.3</v>
      </c>
      <c r="H2225" s="43" t="s">
        <v>1364</v>
      </c>
      <c r="I2225" s="40" t="s">
        <v>1361</v>
      </c>
    </row>
    <row r="2226" spans="1:9" x14ac:dyDescent="0.25">
      <c r="A2226" s="40" t="s">
        <v>243</v>
      </c>
      <c r="B2226" s="28">
        <v>2722</v>
      </c>
      <c r="C2226" s="28">
        <v>5669516</v>
      </c>
      <c r="D2226" s="28"/>
      <c r="E2226" s="45">
        <v>46157</v>
      </c>
      <c r="F2226" s="48">
        <v>0.33983796296296298</v>
      </c>
      <c r="G2226" s="44">
        <v>6.3</v>
      </c>
      <c r="H2226" s="43" t="s">
        <v>1360</v>
      </c>
      <c r="I2226" s="40" t="s">
        <v>1361</v>
      </c>
    </row>
    <row r="2227" spans="1:9" x14ac:dyDescent="0.25">
      <c r="A2227" s="40" t="s">
        <v>243</v>
      </c>
      <c r="B2227" s="28">
        <v>2722</v>
      </c>
      <c r="C2227" s="28">
        <v>5669516</v>
      </c>
      <c r="D2227" s="28"/>
      <c r="E2227" s="41">
        <v>46157</v>
      </c>
      <c r="F2227" s="47">
        <v>0.35638888888888887</v>
      </c>
      <c r="G2227" s="44">
        <v>6.3</v>
      </c>
      <c r="H2227" s="43" t="s">
        <v>1362</v>
      </c>
      <c r="I2227" s="40" t="s">
        <v>1361</v>
      </c>
    </row>
    <row r="2228" spans="1:9" x14ac:dyDescent="0.25">
      <c r="A2228" s="40" t="s">
        <v>243</v>
      </c>
      <c r="B2228" s="28">
        <v>2722</v>
      </c>
      <c r="C2228" s="28" t="s">
        <v>754</v>
      </c>
      <c r="D2228" s="28"/>
      <c r="E2228" s="41">
        <v>46157</v>
      </c>
      <c r="F2228" s="47">
        <v>0.43276620370370372</v>
      </c>
      <c r="G2228" s="42">
        <v>6.3</v>
      </c>
      <c r="H2228" s="40" t="s">
        <v>1360</v>
      </c>
      <c r="I2228" s="40" t="s">
        <v>1361</v>
      </c>
    </row>
    <row r="2229" spans="1:9" x14ac:dyDescent="0.25">
      <c r="A2229" s="40" t="s">
        <v>243</v>
      </c>
      <c r="B2229" s="28">
        <v>2722</v>
      </c>
      <c r="C2229" s="28" t="s">
        <v>754</v>
      </c>
      <c r="D2229" s="28"/>
      <c r="E2229" s="41">
        <v>46157</v>
      </c>
      <c r="F2229" s="47">
        <v>0.44428240740740743</v>
      </c>
      <c r="G2229" s="42">
        <v>6.3</v>
      </c>
      <c r="H2229" s="40" t="s">
        <v>1362</v>
      </c>
      <c r="I2229" s="40" t="s">
        <v>1361</v>
      </c>
    </row>
    <row r="2230" spans="1:9" x14ac:dyDescent="0.25">
      <c r="A2230" s="40" t="s">
        <v>243</v>
      </c>
      <c r="B2230" s="28">
        <v>2722</v>
      </c>
      <c r="C2230" s="28" t="s">
        <v>35</v>
      </c>
      <c r="D2230" s="28" t="s">
        <v>38</v>
      </c>
      <c r="E2230" s="41">
        <v>46157</v>
      </c>
      <c r="F2230" s="47">
        <v>0.4614699074074074</v>
      </c>
      <c r="G2230" s="44">
        <v>6.3</v>
      </c>
      <c r="H2230" s="43" t="s">
        <v>1363</v>
      </c>
      <c r="I2230" s="40" t="s">
        <v>1361</v>
      </c>
    </row>
    <row r="2231" spans="1:9" x14ac:dyDescent="0.25">
      <c r="A2231" s="40" t="s">
        <v>243</v>
      </c>
      <c r="B2231" s="28">
        <v>2722</v>
      </c>
      <c r="C2231" s="28" t="s">
        <v>35</v>
      </c>
      <c r="D2231" s="28" t="s">
        <v>38</v>
      </c>
      <c r="E2231" s="45">
        <v>46157</v>
      </c>
      <c r="F2231" s="48">
        <v>0.46842592592592591</v>
      </c>
      <c r="G2231" s="44">
        <v>6.3</v>
      </c>
      <c r="H2231" s="43" t="s">
        <v>1364</v>
      </c>
      <c r="I2231" s="40" t="s">
        <v>1361</v>
      </c>
    </row>
    <row r="2232" spans="1:9" x14ac:dyDescent="0.25">
      <c r="A2232" s="40" t="s">
        <v>243</v>
      </c>
      <c r="B2232" s="28">
        <v>2722</v>
      </c>
      <c r="C2232" s="28" t="s">
        <v>755</v>
      </c>
      <c r="D2232" s="28"/>
      <c r="E2232" s="45">
        <v>46157</v>
      </c>
      <c r="F2232" s="48">
        <v>0.6603472222222222</v>
      </c>
      <c r="G2232" s="44">
        <v>6.3</v>
      </c>
      <c r="H2232" s="43" t="s">
        <v>1360</v>
      </c>
      <c r="I2232" s="40" t="s">
        <v>1361</v>
      </c>
    </row>
    <row r="2233" spans="1:9" x14ac:dyDescent="0.25">
      <c r="A2233" s="40" t="s">
        <v>243</v>
      </c>
      <c r="B2233" s="28">
        <v>2722</v>
      </c>
      <c r="C2233" s="28" t="s">
        <v>755</v>
      </c>
      <c r="D2233" s="28"/>
      <c r="E2233" s="41">
        <v>46157</v>
      </c>
      <c r="F2233" s="47">
        <v>0.67062500000000003</v>
      </c>
      <c r="G2233" s="44">
        <v>6.3</v>
      </c>
      <c r="H2233" s="43" t="s">
        <v>1368</v>
      </c>
      <c r="I2233" s="40" t="s">
        <v>1361</v>
      </c>
    </row>
    <row r="2234" spans="1:9" x14ac:dyDescent="0.25">
      <c r="A2234" s="40" t="s">
        <v>243</v>
      </c>
      <c r="B2234" s="28">
        <v>2722</v>
      </c>
      <c r="C2234" s="28" t="s">
        <v>756</v>
      </c>
      <c r="D2234" s="28"/>
      <c r="E2234" s="41">
        <v>46159</v>
      </c>
      <c r="F2234" s="47">
        <v>0.23466435185185186</v>
      </c>
      <c r="G2234" s="44">
        <v>6.3</v>
      </c>
      <c r="H2234" s="43" t="s">
        <v>1360</v>
      </c>
      <c r="I2234" s="40" t="s">
        <v>1365</v>
      </c>
    </row>
    <row r="2235" spans="1:9" x14ac:dyDescent="0.25">
      <c r="A2235" s="40" t="s">
        <v>243</v>
      </c>
      <c r="B2235" s="28">
        <v>2722</v>
      </c>
      <c r="C2235" s="28" t="s">
        <v>756</v>
      </c>
      <c r="D2235" s="28"/>
      <c r="E2235" s="41">
        <v>46159</v>
      </c>
      <c r="F2235" s="47">
        <v>0.24158564814814815</v>
      </c>
      <c r="G2235" s="44">
        <v>6.3</v>
      </c>
      <c r="H2235" s="43" t="s">
        <v>1362</v>
      </c>
      <c r="I2235" s="40" t="s">
        <v>1365</v>
      </c>
    </row>
    <row r="2236" spans="1:9" x14ac:dyDescent="0.25">
      <c r="A2236" s="40" t="s">
        <v>243</v>
      </c>
      <c r="B2236" s="28">
        <v>2722</v>
      </c>
      <c r="C2236" s="28">
        <v>5672269</v>
      </c>
      <c r="D2236" s="28"/>
      <c r="E2236" s="41">
        <v>46159</v>
      </c>
      <c r="F2236" s="47">
        <v>0.42432870370370368</v>
      </c>
      <c r="G2236" s="44">
        <v>6.3</v>
      </c>
      <c r="H2236" s="43" t="s">
        <v>1363</v>
      </c>
      <c r="I2236" s="40" t="s">
        <v>1365</v>
      </c>
    </row>
    <row r="2237" spans="1:9" x14ac:dyDescent="0.25">
      <c r="A2237" s="40" t="s">
        <v>243</v>
      </c>
      <c r="B2237" s="28">
        <v>2722</v>
      </c>
      <c r="C2237" s="28">
        <v>5672269</v>
      </c>
      <c r="D2237" s="28"/>
      <c r="E2237" s="41">
        <v>46159</v>
      </c>
      <c r="F2237" s="47">
        <v>0.42964120370370368</v>
      </c>
      <c r="G2237" s="44">
        <v>6.3</v>
      </c>
      <c r="H2237" s="43" t="s">
        <v>1364</v>
      </c>
      <c r="I2237" s="40" t="s">
        <v>1365</v>
      </c>
    </row>
    <row r="2238" spans="1:9" x14ac:dyDescent="0.25">
      <c r="A2238" s="40" t="s">
        <v>243</v>
      </c>
      <c r="B2238" s="28">
        <v>2722</v>
      </c>
      <c r="C2238" s="28" t="s">
        <v>757</v>
      </c>
      <c r="D2238" s="28"/>
      <c r="E2238" s="41">
        <v>46159</v>
      </c>
      <c r="F2238" s="47">
        <v>0.58787037037037038</v>
      </c>
      <c r="G2238" s="44">
        <v>6.3</v>
      </c>
      <c r="H2238" s="43" t="s">
        <v>1360</v>
      </c>
      <c r="I2238" s="40" t="s">
        <v>1365</v>
      </c>
    </row>
    <row r="2239" spans="1:9" x14ac:dyDescent="0.25">
      <c r="A2239" s="40" t="s">
        <v>243</v>
      </c>
      <c r="B2239" s="28">
        <v>2722</v>
      </c>
      <c r="C2239" s="28" t="s">
        <v>757</v>
      </c>
      <c r="D2239" s="28"/>
      <c r="E2239" s="41">
        <v>46159</v>
      </c>
      <c r="F2239" s="47">
        <v>0.59589120370370374</v>
      </c>
      <c r="G2239" s="44">
        <v>6.3</v>
      </c>
      <c r="H2239" s="43" t="s">
        <v>1368</v>
      </c>
      <c r="I2239" s="40" t="s">
        <v>1365</v>
      </c>
    </row>
    <row r="2240" spans="1:9" x14ac:dyDescent="0.25">
      <c r="A2240" s="40" t="s">
        <v>164</v>
      </c>
      <c r="B2240" s="28">
        <v>2736</v>
      </c>
      <c r="C2240" s="28">
        <v>5671719</v>
      </c>
      <c r="D2240" s="28" t="s">
        <v>36</v>
      </c>
      <c r="E2240" s="41">
        <v>46158</v>
      </c>
      <c r="F2240" s="47">
        <v>0.69685185185185183</v>
      </c>
      <c r="G2240" s="44">
        <v>6.3</v>
      </c>
      <c r="H2240" s="43" t="s">
        <v>1363</v>
      </c>
      <c r="I2240" s="40" t="s">
        <v>1365</v>
      </c>
    </row>
    <row r="2241" spans="1:9" x14ac:dyDescent="0.25">
      <c r="A2241" s="40" t="s">
        <v>164</v>
      </c>
      <c r="B2241" s="28">
        <v>2736</v>
      </c>
      <c r="C2241" s="28">
        <v>5671719</v>
      </c>
      <c r="D2241" s="28" t="s">
        <v>36</v>
      </c>
      <c r="E2241" s="41">
        <v>46158</v>
      </c>
      <c r="F2241" s="47">
        <v>0.71048611111111115</v>
      </c>
      <c r="G2241" s="44">
        <v>6.3</v>
      </c>
      <c r="H2241" s="43" t="s">
        <v>1364</v>
      </c>
      <c r="I2241" s="40" t="s">
        <v>1365</v>
      </c>
    </row>
    <row r="2242" spans="1:9" x14ac:dyDescent="0.25">
      <c r="A2242" s="40" t="s">
        <v>357</v>
      </c>
      <c r="B2242" s="28">
        <v>2746</v>
      </c>
      <c r="C2242" s="28">
        <v>5666830</v>
      </c>
      <c r="D2242" s="28"/>
      <c r="E2242" s="41">
        <v>46155</v>
      </c>
      <c r="F2242" s="47">
        <v>0.71820601851851851</v>
      </c>
      <c r="G2242" s="44">
        <v>6.3</v>
      </c>
      <c r="H2242" s="43" t="s">
        <v>1370</v>
      </c>
      <c r="I2242" s="40" t="s">
        <v>1361</v>
      </c>
    </row>
    <row r="2243" spans="1:9" x14ac:dyDescent="0.25">
      <c r="A2243" s="40" t="s">
        <v>357</v>
      </c>
      <c r="B2243" s="28">
        <v>2746</v>
      </c>
      <c r="C2243" s="28">
        <v>5666830</v>
      </c>
      <c r="D2243" s="28"/>
      <c r="E2243" s="45">
        <v>46155</v>
      </c>
      <c r="F2243" s="48">
        <v>0.72902777777777783</v>
      </c>
      <c r="G2243" s="44">
        <v>6.3</v>
      </c>
      <c r="H2243" s="43" t="s">
        <v>1364</v>
      </c>
      <c r="I2243" s="40" t="s">
        <v>1361</v>
      </c>
    </row>
    <row r="2244" spans="1:9" x14ac:dyDescent="0.25">
      <c r="A2244" s="40" t="s">
        <v>357</v>
      </c>
      <c r="B2244" s="28">
        <v>2746</v>
      </c>
      <c r="C2244" s="28">
        <v>5668360</v>
      </c>
      <c r="D2244" s="28"/>
      <c r="E2244" s="41">
        <v>46156</v>
      </c>
      <c r="F2244" s="47">
        <v>0.5508912037037037</v>
      </c>
      <c r="G2244" s="44">
        <v>6.3</v>
      </c>
      <c r="H2244" s="43" t="s">
        <v>1363</v>
      </c>
      <c r="I2244" s="40" t="s">
        <v>1361</v>
      </c>
    </row>
    <row r="2245" spans="1:9" x14ac:dyDescent="0.25">
      <c r="A2245" s="40" t="s">
        <v>357</v>
      </c>
      <c r="B2245" s="28">
        <v>2746</v>
      </c>
      <c r="C2245" s="28">
        <v>5668360</v>
      </c>
      <c r="D2245" s="28"/>
      <c r="E2245" s="41">
        <v>46156</v>
      </c>
      <c r="F2245" s="47">
        <v>0.55640046296296297</v>
      </c>
      <c r="G2245" s="44">
        <v>6.3</v>
      </c>
      <c r="H2245" s="43" t="s">
        <v>1364</v>
      </c>
      <c r="I2245" s="40" t="s">
        <v>1361</v>
      </c>
    </row>
    <row r="2246" spans="1:9" x14ac:dyDescent="0.25">
      <c r="A2246" s="40" t="s">
        <v>357</v>
      </c>
      <c r="B2246" s="28">
        <v>2746</v>
      </c>
      <c r="C2246" s="28">
        <v>5671368</v>
      </c>
      <c r="D2246" s="28"/>
      <c r="E2246" s="41">
        <v>46158</v>
      </c>
      <c r="F2246" s="47">
        <v>0.51754629629629634</v>
      </c>
      <c r="G2246" s="44">
        <v>6.3</v>
      </c>
      <c r="H2246" s="43" t="s">
        <v>1364</v>
      </c>
      <c r="I2246" s="40" t="s">
        <v>1365</v>
      </c>
    </row>
    <row r="2247" spans="1:9" x14ac:dyDescent="0.25">
      <c r="A2247" s="40" t="s">
        <v>357</v>
      </c>
      <c r="B2247" s="28">
        <v>2746</v>
      </c>
      <c r="C2247" s="28">
        <v>5669825</v>
      </c>
      <c r="D2247" s="28"/>
      <c r="E2247" s="41">
        <v>46158</v>
      </c>
      <c r="F2247" s="47">
        <v>0.64572916666666669</v>
      </c>
      <c r="G2247" s="44">
        <v>6.3</v>
      </c>
      <c r="H2247" s="43" t="s">
        <v>1360</v>
      </c>
      <c r="I2247" s="40" t="s">
        <v>1365</v>
      </c>
    </row>
    <row r="2248" spans="1:9" x14ac:dyDescent="0.25">
      <c r="A2248" s="40" t="s">
        <v>357</v>
      </c>
      <c r="B2248" s="28">
        <v>2746</v>
      </c>
      <c r="C2248" s="28">
        <v>5669825</v>
      </c>
      <c r="D2248" s="28"/>
      <c r="E2248" s="41">
        <v>46158</v>
      </c>
      <c r="F2248" s="47">
        <v>0.65175925925925926</v>
      </c>
      <c r="G2248" s="44">
        <v>6.3</v>
      </c>
      <c r="H2248" s="43" t="s">
        <v>1368</v>
      </c>
      <c r="I2248" s="40" t="s">
        <v>1365</v>
      </c>
    </row>
    <row r="2249" spans="1:9" x14ac:dyDescent="0.25">
      <c r="A2249" s="40" t="s">
        <v>357</v>
      </c>
      <c r="B2249" s="28">
        <v>2746</v>
      </c>
      <c r="C2249" s="28" t="s">
        <v>35</v>
      </c>
      <c r="D2249" s="28" t="s">
        <v>38</v>
      </c>
      <c r="E2249" s="45">
        <v>46158</v>
      </c>
      <c r="F2249" s="48">
        <v>0.72603009259259255</v>
      </c>
      <c r="G2249" s="44">
        <v>6.3</v>
      </c>
      <c r="H2249" s="43" t="s">
        <v>1364</v>
      </c>
      <c r="I2249" s="40" t="s">
        <v>1365</v>
      </c>
    </row>
    <row r="2250" spans="1:9" x14ac:dyDescent="0.25">
      <c r="A2250" s="40" t="s">
        <v>357</v>
      </c>
      <c r="B2250" s="28">
        <v>2746</v>
      </c>
      <c r="C2250" s="28">
        <v>5671745</v>
      </c>
      <c r="D2250" s="28"/>
      <c r="E2250" s="45">
        <v>46158</v>
      </c>
      <c r="F2250" s="48">
        <v>0.76041666666666663</v>
      </c>
      <c r="G2250" s="44">
        <v>6.3</v>
      </c>
      <c r="H2250" s="43" t="s">
        <v>1364</v>
      </c>
      <c r="I2250" s="40" t="s">
        <v>1365</v>
      </c>
    </row>
    <row r="2251" spans="1:9" x14ac:dyDescent="0.25">
      <c r="A2251" s="40" t="s">
        <v>335</v>
      </c>
      <c r="B2251" s="28">
        <v>2755</v>
      </c>
      <c r="C2251" s="28">
        <v>5668927</v>
      </c>
      <c r="D2251" s="28"/>
      <c r="E2251" s="41">
        <v>46156</v>
      </c>
      <c r="F2251" s="47">
        <v>0.84753472222222226</v>
      </c>
      <c r="G2251" s="44">
        <v>6.3</v>
      </c>
      <c r="H2251" s="43" t="s">
        <v>1360</v>
      </c>
      <c r="I2251" s="40" t="s">
        <v>1361</v>
      </c>
    </row>
    <row r="2252" spans="1:9" x14ac:dyDescent="0.25">
      <c r="A2252" s="40" t="s">
        <v>335</v>
      </c>
      <c r="B2252" s="28">
        <v>2755</v>
      </c>
      <c r="C2252" s="28">
        <v>5668927</v>
      </c>
      <c r="D2252" s="28"/>
      <c r="E2252" s="45">
        <v>46156</v>
      </c>
      <c r="F2252" s="48">
        <v>0.85508101851851848</v>
      </c>
      <c r="G2252" s="44">
        <v>6.3</v>
      </c>
      <c r="H2252" s="43" t="s">
        <v>1362</v>
      </c>
      <c r="I2252" s="40" t="s">
        <v>1361</v>
      </c>
    </row>
    <row r="2253" spans="1:9" x14ac:dyDescent="0.25">
      <c r="A2253" s="40" t="s">
        <v>335</v>
      </c>
      <c r="B2253" s="28">
        <v>2755</v>
      </c>
      <c r="C2253" s="28">
        <v>5670947</v>
      </c>
      <c r="D2253" s="28"/>
      <c r="E2253" s="41">
        <v>46157</v>
      </c>
      <c r="F2253" s="47">
        <v>0.97415509259259259</v>
      </c>
      <c r="G2253" s="44">
        <v>6.3</v>
      </c>
      <c r="H2253" s="43" t="s">
        <v>1360</v>
      </c>
      <c r="I2253" s="40" t="s">
        <v>1365</v>
      </c>
    </row>
    <row r="2254" spans="1:9" x14ac:dyDescent="0.25">
      <c r="A2254" s="40" t="s">
        <v>335</v>
      </c>
      <c r="B2254" s="28">
        <v>2755</v>
      </c>
      <c r="C2254" s="28">
        <v>5670947</v>
      </c>
      <c r="D2254" s="28"/>
      <c r="E2254" s="41">
        <v>46157</v>
      </c>
      <c r="F2254" s="47">
        <v>0.98393518518518519</v>
      </c>
      <c r="G2254" s="44">
        <v>6.3</v>
      </c>
      <c r="H2254" s="43" t="s">
        <v>1362</v>
      </c>
      <c r="I2254" s="40" t="s">
        <v>1361</v>
      </c>
    </row>
    <row r="2255" spans="1:9" x14ac:dyDescent="0.25">
      <c r="A2255" s="40" t="s">
        <v>335</v>
      </c>
      <c r="B2255" s="28">
        <v>2755</v>
      </c>
      <c r="C2255" s="28">
        <v>5672073</v>
      </c>
      <c r="D2255" s="28"/>
      <c r="E2255" s="41">
        <v>46158</v>
      </c>
      <c r="F2255" s="47">
        <v>0.93447916666666664</v>
      </c>
      <c r="G2255" s="44">
        <v>6.3</v>
      </c>
      <c r="H2255" s="43" t="s">
        <v>1360</v>
      </c>
      <c r="I2255" s="40" t="s">
        <v>1365</v>
      </c>
    </row>
    <row r="2256" spans="1:9" x14ac:dyDescent="0.25">
      <c r="A2256" s="40" t="s">
        <v>335</v>
      </c>
      <c r="B2256" s="28">
        <v>2755</v>
      </c>
      <c r="C2256" s="28">
        <v>5672073</v>
      </c>
      <c r="D2256" s="28"/>
      <c r="E2256" s="41">
        <v>46158</v>
      </c>
      <c r="F2256" s="47">
        <v>0.94177083333333333</v>
      </c>
      <c r="G2256" s="44">
        <v>6.3</v>
      </c>
      <c r="H2256" s="43" t="s">
        <v>1362</v>
      </c>
      <c r="I2256" s="40" t="s">
        <v>1365</v>
      </c>
    </row>
    <row r="2257" spans="1:9" x14ac:dyDescent="0.25">
      <c r="A2257" s="40" t="s">
        <v>356</v>
      </c>
      <c r="B2257" s="28">
        <v>2777</v>
      </c>
      <c r="C2257" s="28" t="s">
        <v>758</v>
      </c>
      <c r="D2257" s="28"/>
      <c r="E2257" s="41">
        <v>46155</v>
      </c>
      <c r="F2257" s="47">
        <v>0.68821759259259263</v>
      </c>
      <c r="G2257" s="44">
        <v>6.3</v>
      </c>
      <c r="H2257" s="43" t="s">
        <v>1363</v>
      </c>
      <c r="I2257" s="40" t="s">
        <v>1361</v>
      </c>
    </row>
    <row r="2258" spans="1:9" x14ac:dyDescent="0.25">
      <c r="A2258" s="40" t="s">
        <v>356</v>
      </c>
      <c r="B2258" s="28">
        <v>2777</v>
      </c>
      <c r="C2258" s="28" t="s">
        <v>758</v>
      </c>
      <c r="D2258" s="28"/>
      <c r="E2258" s="41">
        <v>46155</v>
      </c>
      <c r="F2258" s="47">
        <v>0.69478009259259255</v>
      </c>
      <c r="G2258" s="44">
        <v>6.3</v>
      </c>
      <c r="H2258" s="43" t="s">
        <v>1364</v>
      </c>
      <c r="I2258" s="40" t="s">
        <v>1361</v>
      </c>
    </row>
    <row r="2259" spans="1:9" x14ac:dyDescent="0.25">
      <c r="A2259" s="40" t="s">
        <v>356</v>
      </c>
      <c r="B2259" s="28">
        <v>2777</v>
      </c>
      <c r="C2259" s="28" t="s">
        <v>759</v>
      </c>
      <c r="D2259" s="28"/>
      <c r="E2259" s="41">
        <v>46156</v>
      </c>
      <c r="F2259" s="47">
        <v>0.25321759259259258</v>
      </c>
      <c r="G2259" s="44">
        <v>6.3</v>
      </c>
      <c r="H2259" s="43" t="s">
        <v>1360</v>
      </c>
      <c r="I2259" s="40" t="s">
        <v>1361</v>
      </c>
    </row>
    <row r="2260" spans="1:9" x14ac:dyDescent="0.25">
      <c r="A2260" s="40" t="s">
        <v>356</v>
      </c>
      <c r="B2260" s="28">
        <v>2777</v>
      </c>
      <c r="C2260" s="28" t="s">
        <v>759</v>
      </c>
      <c r="D2260" s="28"/>
      <c r="E2260" s="41">
        <v>46156</v>
      </c>
      <c r="F2260" s="47">
        <v>0.26239583333333333</v>
      </c>
      <c r="G2260" s="44">
        <v>6.3</v>
      </c>
      <c r="H2260" s="43" t="s">
        <v>1368</v>
      </c>
      <c r="I2260" s="40" t="s">
        <v>1361</v>
      </c>
    </row>
    <row r="2261" spans="1:9" x14ac:dyDescent="0.25">
      <c r="A2261" s="40" t="s">
        <v>356</v>
      </c>
      <c r="B2261" s="28">
        <v>2777</v>
      </c>
      <c r="C2261" s="28" t="s">
        <v>35</v>
      </c>
      <c r="D2261" s="28" t="s">
        <v>38</v>
      </c>
      <c r="E2261" s="41">
        <v>46156</v>
      </c>
      <c r="F2261" s="47">
        <v>0.28684027777777776</v>
      </c>
      <c r="G2261" s="44">
        <v>6.3</v>
      </c>
      <c r="H2261" s="43" t="s">
        <v>1369</v>
      </c>
      <c r="I2261" s="40" t="s">
        <v>1361</v>
      </c>
    </row>
    <row r="2262" spans="1:9" x14ac:dyDescent="0.25">
      <c r="A2262" s="40" t="s">
        <v>356</v>
      </c>
      <c r="B2262" s="28">
        <v>2777</v>
      </c>
      <c r="C2262" s="28" t="s">
        <v>35</v>
      </c>
      <c r="D2262" s="28" t="s">
        <v>38</v>
      </c>
      <c r="E2262" s="41">
        <v>46156</v>
      </c>
      <c r="F2262" s="47">
        <v>0.29464120370370372</v>
      </c>
      <c r="G2262" s="44">
        <v>6.3</v>
      </c>
      <c r="H2262" s="43" t="s">
        <v>1364</v>
      </c>
      <c r="I2262" s="40" t="s">
        <v>1361</v>
      </c>
    </row>
    <row r="2263" spans="1:9" x14ac:dyDescent="0.25">
      <c r="A2263" s="40" t="s">
        <v>356</v>
      </c>
      <c r="B2263" s="28">
        <v>2777</v>
      </c>
      <c r="C2263" s="28">
        <v>10665819</v>
      </c>
      <c r="D2263" s="28"/>
      <c r="E2263" s="41">
        <v>46157</v>
      </c>
      <c r="F2263" s="47">
        <v>0.70033564814814819</v>
      </c>
      <c r="G2263" s="44">
        <v>6.3</v>
      </c>
      <c r="H2263" s="43" t="s">
        <v>1360</v>
      </c>
      <c r="I2263" s="40" t="s">
        <v>1361</v>
      </c>
    </row>
    <row r="2264" spans="1:9" x14ac:dyDescent="0.25">
      <c r="A2264" s="40" t="s">
        <v>356</v>
      </c>
      <c r="B2264" s="28">
        <v>2777</v>
      </c>
      <c r="C2264" s="28">
        <v>5669066</v>
      </c>
      <c r="D2264" s="28" t="s">
        <v>37</v>
      </c>
      <c r="E2264" s="45">
        <v>46157</v>
      </c>
      <c r="F2264" s="48">
        <v>0.8182638888888889</v>
      </c>
      <c r="G2264" s="44">
        <v>6.3</v>
      </c>
      <c r="H2264" s="43" t="s">
        <v>1364</v>
      </c>
      <c r="I2264" s="40" t="s">
        <v>1361</v>
      </c>
    </row>
    <row r="2265" spans="1:9" x14ac:dyDescent="0.25">
      <c r="A2265" s="40" t="s">
        <v>356</v>
      </c>
      <c r="B2265" s="28">
        <v>2777</v>
      </c>
      <c r="C2265" s="28" t="s">
        <v>760</v>
      </c>
      <c r="D2265" s="28"/>
      <c r="E2265" s="41">
        <v>46158</v>
      </c>
      <c r="F2265" s="47">
        <v>0.60469907407407408</v>
      </c>
      <c r="G2265" s="44">
        <v>6.3</v>
      </c>
      <c r="H2265" s="43" t="s">
        <v>1363</v>
      </c>
      <c r="I2265" s="40" t="s">
        <v>1365</v>
      </c>
    </row>
    <row r="2266" spans="1:9" x14ac:dyDescent="0.25">
      <c r="A2266" s="40" t="s">
        <v>356</v>
      </c>
      <c r="B2266" s="28">
        <v>2777</v>
      </c>
      <c r="C2266" s="28" t="s">
        <v>760</v>
      </c>
      <c r="D2266" s="28"/>
      <c r="E2266" s="41">
        <v>46158</v>
      </c>
      <c r="F2266" s="47">
        <v>0.61446759259259254</v>
      </c>
      <c r="G2266" s="42">
        <v>6.3</v>
      </c>
      <c r="H2266" s="40" t="s">
        <v>1364</v>
      </c>
      <c r="I2266" s="40" t="s">
        <v>1365</v>
      </c>
    </row>
    <row r="2267" spans="1:9" x14ac:dyDescent="0.25">
      <c r="A2267" s="40" t="s">
        <v>356</v>
      </c>
      <c r="B2267" s="28">
        <v>2777</v>
      </c>
      <c r="C2267" s="28" t="s">
        <v>761</v>
      </c>
      <c r="D2267" s="28"/>
      <c r="E2267" s="41">
        <v>46158</v>
      </c>
      <c r="F2267" s="47">
        <v>0.68564814814814812</v>
      </c>
      <c r="G2267" s="42">
        <v>6.3</v>
      </c>
      <c r="H2267" s="40" t="s">
        <v>1360</v>
      </c>
      <c r="I2267" s="40" t="s">
        <v>1365</v>
      </c>
    </row>
    <row r="2268" spans="1:9" x14ac:dyDescent="0.25">
      <c r="A2268" s="40" t="s">
        <v>356</v>
      </c>
      <c r="B2268" s="28">
        <v>2777</v>
      </c>
      <c r="C2268" s="28" t="s">
        <v>761</v>
      </c>
      <c r="D2268" s="28"/>
      <c r="E2268" s="41">
        <v>46158</v>
      </c>
      <c r="F2268" s="47">
        <v>0.69319444444444445</v>
      </c>
      <c r="G2268" s="42">
        <v>6.3</v>
      </c>
      <c r="H2268" s="40" t="s">
        <v>1368</v>
      </c>
      <c r="I2268" s="40" t="s">
        <v>1365</v>
      </c>
    </row>
    <row r="2269" spans="1:9" x14ac:dyDescent="0.25">
      <c r="A2269" s="40" t="s">
        <v>356</v>
      </c>
      <c r="B2269" s="28">
        <v>2777</v>
      </c>
      <c r="C2269" s="28" t="s">
        <v>762</v>
      </c>
      <c r="D2269" s="28"/>
      <c r="E2269" s="45">
        <v>46158</v>
      </c>
      <c r="F2269" s="48">
        <v>0.74050925925925926</v>
      </c>
      <c r="G2269" s="42">
        <v>6.3</v>
      </c>
      <c r="H2269" s="40" t="s">
        <v>1363</v>
      </c>
      <c r="I2269" s="40" t="s">
        <v>1365</v>
      </c>
    </row>
    <row r="2270" spans="1:9" x14ac:dyDescent="0.25">
      <c r="A2270" s="40" t="s">
        <v>356</v>
      </c>
      <c r="B2270" s="28">
        <v>2777</v>
      </c>
      <c r="C2270" s="28" t="s">
        <v>762</v>
      </c>
      <c r="D2270" s="28"/>
      <c r="E2270" s="41">
        <v>46158</v>
      </c>
      <c r="F2270" s="47">
        <v>0.75082175925925931</v>
      </c>
      <c r="G2270" s="44">
        <v>6.3</v>
      </c>
      <c r="H2270" s="43" t="s">
        <v>1364</v>
      </c>
      <c r="I2270" s="40" t="s">
        <v>1365</v>
      </c>
    </row>
    <row r="2271" spans="1:9" x14ac:dyDescent="0.25">
      <c r="A2271" s="40" t="s">
        <v>422</v>
      </c>
      <c r="B2271" s="28">
        <v>2784</v>
      </c>
      <c r="C2271" s="28">
        <v>5663337</v>
      </c>
      <c r="D2271" s="28"/>
      <c r="E2271" s="41">
        <v>46154</v>
      </c>
      <c r="F2271" s="47">
        <v>0.28593750000000001</v>
      </c>
      <c r="G2271" s="44">
        <v>6.3</v>
      </c>
      <c r="H2271" s="43" t="s">
        <v>1363</v>
      </c>
      <c r="I2271" s="40" t="s">
        <v>1361</v>
      </c>
    </row>
    <row r="2272" spans="1:9" x14ac:dyDescent="0.25">
      <c r="A2272" s="40" t="s">
        <v>422</v>
      </c>
      <c r="B2272" s="28">
        <v>2784</v>
      </c>
      <c r="C2272" s="28">
        <v>5669215</v>
      </c>
      <c r="D2272" s="28"/>
      <c r="E2272" s="41">
        <v>46156</v>
      </c>
      <c r="F2272" s="47">
        <v>0.99464120370370368</v>
      </c>
      <c r="G2272" s="44">
        <v>6.3</v>
      </c>
      <c r="H2272" s="43" t="s">
        <v>1370</v>
      </c>
      <c r="I2272" s="40" t="s">
        <v>1361</v>
      </c>
    </row>
    <row r="2273" spans="1:9" x14ac:dyDescent="0.25">
      <c r="A2273" s="40" t="s">
        <v>200</v>
      </c>
      <c r="B2273" s="28">
        <v>2810</v>
      </c>
      <c r="C2273" s="28">
        <v>5662122</v>
      </c>
      <c r="D2273" s="28"/>
      <c r="E2273" s="41">
        <v>46153</v>
      </c>
      <c r="F2273" s="47">
        <v>5.0694444444444441E-3</v>
      </c>
      <c r="G2273" s="44">
        <v>6.3</v>
      </c>
      <c r="H2273" s="43" t="s">
        <v>1360</v>
      </c>
      <c r="I2273" s="40" t="s">
        <v>1361</v>
      </c>
    </row>
    <row r="2274" spans="1:9" x14ac:dyDescent="0.25">
      <c r="A2274" s="40" t="s">
        <v>200</v>
      </c>
      <c r="B2274" s="28">
        <v>2810</v>
      </c>
      <c r="C2274" s="28">
        <v>5662122</v>
      </c>
      <c r="D2274" s="28"/>
      <c r="E2274" s="41">
        <v>46153</v>
      </c>
      <c r="F2274" s="47">
        <v>1.2418981481481482E-2</v>
      </c>
      <c r="G2274" s="44">
        <v>6.3</v>
      </c>
      <c r="H2274" s="43" t="s">
        <v>1362</v>
      </c>
      <c r="I2274" s="40" t="s">
        <v>1361</v>
      </c>
    </row>
    <row r="2275" spans="1:9" x14ac:dyDescent="0.25">
      <c r="A2275" s="40" t="s">
        <v>200</v>
      </c>
      <c r="B2275" s="28">
        <v>2810</v>
      </c>
      <c r="C2275" s="28" t="s">
        <v>35</v>
      </c>
      <c r="D2275" s="28" t="s">
        <v>38</v>
      </c>
      <c r="E2275" s="41">
        <v>46153</v>
      </c>
      <c r="F2275" s="47">
        <v>2.6851851851851852E-2</v>
      </c>
      <c r="G2275" s="44">
        <v>6.3</v>
      </c>
      <c r="H2275" s="43" t="s">
        <v>1363</v>
      </c>
      <c r="I2275" s="40" t="s">
        <v>1361</v>
      </c>
    </row>
    <row r="2276" spans="1:9" x14ac:dyDescent="0.25">
      <c r="A2276" s="40" t="s">
        <v>200</v>
      </c>
      <c r="B2276" s="28">
        <v>2810</v>
      </c>
      <c r="C2276" s="28" t="s">
        <v>35</v>
      </c>
      <c r="D2276" s="28" t="s">
        <v>38</v>
      </c>
      <c r="E2276" s="41">
        <v>46153</v>
      </c>
      <c r="F2276" s="47">
        <v>3.1863425925925927E-2</v>
      </c>
      <c r="G2276" s="44">
        <v>6.3</v>
      </c>
      <c r="H2276" s="43" t="s">
        <v>1364</v>
      </c>
      <c r="I2276" s="40" t="s">
        <v>1361</v>
      </c>
    </row>
    <row r="2277" spans="1:9" x14ac:dyDescent="0.25">
      <c r="A2277" s="40" t="s">
        <v>200</v>
      </c>
      <c r="B2277" s="28">
        <v>2810</v>
      </c>
      <c r="C2277" s="28">
        <v>5661623</v>
      </c>
      <c r="D2277" s="28"/>
      <c r="E2277" s="41">
        <v>46153</v>
      </c>
      <c r="F2277" s="47">
        <v>0.14741898148148147</v>
      </c>
      <c r="G2277" s="44">
        <v>6.3</v>
      </c>
      <c r="H2277" s="43" t="s">
        <v>1363</v>
      </c>
      <c r="I2277" s="40" t="s">
        <v>1361</v>
      </c>
    </row>
    <row r="2278" spans="1:9" x14ac:dyDescent="0.25">
      <c r="A2278" s="40" t="s">
        <v>200</v>
      </c>
      <c r="B2278" s="28">
        <v>2810</v>
      </c>
      <c r="C2278" s="28">
        <v>5661623</v>
      </c>
      <c r="D2278" s="28"/>
      <c r="E2278" s="41">
        <v>46153</v>
      </c>
      <c r="F2278" s="47">
        <v>0.15306712962962962</v>
      </c>
      <c r="G2278" s="44">
        <v>6.3</v>
      </c>
      <c r="H2278" s="43" t="s">
        <v>1364</v>
      </c>
      <c r="I2278" s="40" t="s">
        <v>1361</v>
      </c>
    </row>
    <row r="2279" spans="1:9" x14ac:dyDescent="0.25">
      <c r="A2279" s="40" t="s">
        <v>200</v>
      </c>
      <c r="B2279" s="28">
        <v>2810</v>
      </c>
      <c r="C2279" s="28" t="s">
        <v>35</v>
      </c>
      <c r="D2279" s="28" t="s">
        <v>38</v>
      </c>
      <c r="E2279" s="45">
        <v>46153</v>
      </c>
      <c r="F2279" s="48">
        <v>0.17738425925925927</v>
      </c>
      <c r="G2279" s="44">
        <v>6.3</v>
      </c>
      <c r="H2279" s="43" t="s">
        <v>1360</v>
      </c>
      <c r="I2279" s="40" t="s">
        <v>1361</v>
      </c>
    </row>
    <row r="2280" spans="1:9" x14ac:dyDescent="0.25">
      <c r="A2280" s="40" t="s">
        <v>200</v>
      </c>
      <c r="B2280" s="28">
        <v>2810</v>
      </c>
      <c r="C2280" s="28" t="s">
        <v>35</v>
      </c>
      <c r="D2280" s="28" t="s">
        <v>38</v>
      </c>
      <c r="E2280" s="41">
        <v>46153</v>
      </c>
      <c r="F2280" s="47">
        <v>0.1842361111111111</v>
      </c>
      <c r="G2280" s="44">
        <v>6.3</v>
      </c>
      <c r="H2280" s="43" t="s">
        <v>1368</v>
      </c>
      <c r="I2280" s="40" t="s">
        <v>1361</v>
      </c>
    </row>
    <row r="2281" spans="1:9" x14ac:dyDescent="0.25">
      <c r="A2281" s="40" t="s">
        <v>200</v>
      </c>
      <c r="B2281" s="28">
        <v>2810</v>
      </c>
      <c r="C2281" s="28">
        <v>5650659</v>
      </c>
      <c r="D2281" s="28"/>
      <c r="E2281" s="45">
        <v>46153</v>
      </c>
      <c r="F2281" s="48">
        <v>0.20050925925925925</v>
      </c>
      <c r="G2281" s="44">
        <v>6.3</v>
      </c>
      <c r="H2281" s="43" t="s">
        <v>1369</v>
      </c>
      <c r="I2281" s="40" t="s">
        <v>1361</v>
      </c>
    </row>
    <row r="2282" spans="1:9" x14ac:dyDescent="0.25">
      <c r="A2282" s="40" t="s">
        <v>200</v>
      </c>
      <c r="B2282" s="28">
        <v>2810</v>
      </c>
      <c r="C2282" s="28">
        <v>5650659</v>
      </c>
      <c r="D2282" s="28"/>
      <c r="E2282" s="41">
        <v>46153</v>
      </c>
      <c r="F2282" s="47">
        <v>0.20618055555555556</v>
      </c>
      <c r="G2282" s="44">
        <v>6.3</v>
      </c>
      <c r="H2282" s="43" t="s">
        <v>1364</v>
      </c>
      <c r="I2282" s="40" t="s">
        <v>1361</v>
      </c>
    </row>
    <row r="2283" spans="1:9" x14ac:dyDescent="0.25">
      <c r="A2283" s="40" t="s">
        <v>200</v>
      </c>
      <c r="B2283" s="28">
        <v>2810</v>
      </c>
      <c r="C2283" s="28" t="s">
        <v>763</v>
      </c>
      <c r="D2283" s="28"/>
      <c r="E2283" s="41">
        <v>46153</v>
      </c>
      <c r="F2283" s="47">
        <v>0.25386574074074075</v>
      </c>
      <c r="G2283" s="44">
        <v>6.3</v>
      </c>
      <c r="H2283" s="43" t="s">
        <v>1360</v>
      </c>
      <c r="I2283" s="40" t="s">
        <v>1361</v>
      </c>
    </row>
    <row r="2284" spans="1:9" x14ac:dyDescent="0.25">
      <c r="A2284" s="40" t="s">
        <v>200</v>
      </c>
      <c r="B2284" s="28">
        <v>2810</v>
      </c>
      <c r="C2284" s="28" t="s">
        <v>763</v>
      </c>
      <c r="D2284" s="28"/>
      <c r="E2284" s="41">
        <v>46153</v>
      </c>
      <c r="F2284" s="47">
        <v>0.26620370370370372</v>
      </c>
      <c r="G2284" s="44">
        <v>6.3</v>
      </c>
      <c r="H2284" s="43" t="s">
        <v>1362</v>
      </c>
      <c r="I2284" s="40" t="s">
        <v>1361</v>
      </c>
    </row>
    <row r="2285" spans="1:9" x14ac:dyDescent="0.25">
      <c r="A2285" s="40" t="s">
        <v>200</v>
      </c>
      <c r="B2285" s="28">
        <v>2810</v>
      </c>
      <c r="C2285" s="28">
        <v>5663098</v>
      </c>
      <c r="D2285" s="28"/>
      <c r="E2285" s="41">
        <v>46153</v>
      </c>
      <c r="F2285" s="47">
        <v>0.80403935185185182</v>
      </c>
      <c r="G2285" s="44">
        <v>6.3</v>
      </c>
      <c r="H2285" s="43" t="s">
        <v>1369</v>
      </c>
      <c r="I2285" s="40" t="s">
        <v>1361</v>
      </c>
    </row>
    <row r="2286" spans="1:9" x14ac:dyDescent="0.25">
      <c r="A2286" s="40" t="s">
        <v>200</v>
      </c>
      <c r="B2286" s="28">
        <v>2810</v>
      </c>
      <c r="C2286" s="28">
        <v>5663098</v>
      </c>
      <c r="D2286" s="28"/>
      <c r="E2286" s="45">
        <v>46153</v>
      </c>
      <c r="F2286" s="48">
        <v>0.81615740740740739</v>
      </c>
      <c r="G2286" s="42">
        <v>6.3</v>
      </c>
      <c r="H2286" s="40" t="s">
        <v>1364</v>
      </c>
      <c r="I2286" s="40" t="s">
        <v>1361</v>
      </c>
    </row>
    <row r="2287" spans="1:9" x14ac:dyDescent="0.25">
      <c r="A2287" s="40" t="s">
        <v>200</v>
      </c>
      <c r="B2287" s="28">
        <v>2810</v>
      </c>
      <c r="C2287" s="28">
        <v>5663498</v>
      </c>
      <c r="D2287" s="28"/>
      <c r="E2287" s="45">
        <v>46153</v>
      </c>
      <c r="F2287" s="48">
        <v>0.85247685185185185</v>
      </c>
      <c r="G2287" s="42">
        <v>6.3</v>
      </c>
      <c r="H2287" s="40" t="s">
        <v>1360</v>
      </c>
      <c r="I2287" s="40" t="s">
        <v>1361</v>
      </c>
    </row>
    <row r="2288" spans="1:9" x14ac:dyDescent="0.25">
      <c r="A2288" s="40" t="s">
        <v>200</v>
      </c>
      <c r="B2288" s="28">
        <v>2810</v>
      </c>
      <c r="C2288" s="28">
        <v>5663498</v>
      </c>
      <c r="D2288" s="28"/>
      <c r="E2288" s="45">
        <v>46153</v>
      </c>
      <c r="F2288" s="48">
        <v>0.8598958333333333</v>
      </c>
      <c r="G2288" s="44">
        <v>6.3</v>
      </c>
      <c r="H2288" s="43" t="s">
        <v>1362</v>
      </c>
      <c r="I2288" s="40" t="s">
        <v>1361</v>
      </c>
    </row>
    <row r="2289" spans="1:9" x14ac:dyDescent="0.25">
      <c r="A2289" s="40" t="s">
        <v>200</v>
      </c>
      <c r="B2289" s="28">
        <v>2810</v>
      </c>
      <c r="C2289" s="28" t="s">
        <v>764</v>
      </c>
      <c r="D2289" s="28"/>
      <c r="E2289" s="41">
        <v>46153</v>
      </c>
      <c r="F2289" s="47">
        <v>0.93804398148148149</v>
      </c>
      <c r="G2289" s="44">
        <v>6.3</v>
      </c>
      <c r="H2289" s="43" t="s">
        <v>1360</v>
      </c>
      <c r="I2289" s="40" t="s">
        <v>1361</v>
      </c>
    </row>
    <row r="2290" spans="1:9" x14ac:dyDescent="0.25">
      <c r="A2290" s="40" t="s">
        <v>200</v>
      </c>
      <c r="B2290" s="28">
        <v>2810</v>
      </c>
      <c r="C2290" s="28" t="s">
        <v>764</v>
      </c>
      <c r="D2290" s="28"/>
      <c r="E2290" s="45">
        <v>46153</v>
      </c>
      <c r="F2290" s="48">
        <v>0.94525462962962958</v>
      </c>
      <c r="G2290" s="44">
        <v>6.3</v>
      </c>
      <c r="H2290" s="43" t="s">
        <v>1362</v>
      </c>
      <c r="I2290" s="40" t="s">
        <v>1361</v>
      </c>
    </row>
    <row r="2291" spans="1:9" x14ac:dyDescent="0.25">
      <c r="A2291" s="40" t="s">
        <v>200</v>
      </c>
      <c r="B2291" s="28">
        <v>2810</v>
      </c>
      <c r="C2291" s="28" t="s">
        <v>35</v>
      </c>
      <c r="D2291" s="28" t="s">
        <v>38</v>
      </c>
      <c r="E2291" s="41">
        <v>46153</v>
      </c>
      <c r="F2291" s="47">
        <v>0.95263888888888892</v>
      </c>
      <c r="G2291" s="44">
        <v>6.3</v>
      </c>
      <c r="H2291" s="43" t="s">
        <v>1370</v>
      </c>
      <c r="I2291" s="40" t="s">
        <v>1361</v>
      </c>
    </row>
    <row r="2292" spans="1:9" x14ac:dyDescent="0.25">
      <c r="A2292" s="40" t="s">
        <v>200</v>
      </c>
      <c r="B2292" s="28">
        <v>2810</v>
      </c>
      <c r="C2292" s="28" t="s">
        <v>35</v>
      </c>
      <c r="D2292" s="28" t="s">
        <v>38</v>
      </c>
      <c r="E2292" s="45">
        <v>46153</v>
      </c>
      <c r="F2292" s="48">
        <v>0.95746527777777779</v>
      </c>
      <c r="G2292" s="44">
        <v>6.3</v>
      </c>
      <c r="H2292" s="43" t="s">
        <v>1364</v>
      </c>
      <c r="I2292" s="40" t="s">
        <v>1361</v>
      </c>
    </row>
    <row r="2293" spans="1:9" x14ac:dyDescent="0.25">
      <c r="A2293" s="40" t="s">
        <v>200</v>
      </c>
      <c r="B2293" s="28">
        <v>2810</v>
      </c>
      <c r="C2293" s="28">
        <v>5664121</v>
      </c>
      <c r="D2293" s="28"/>
      <c r="E2293" s="41">
        <v>46154</v>
      </c>
      <c r="F2293" s="47">
        <v>2.7847222222222221E-2</v>
      </c>
      <c r="G2293" s="44">
        <v>6.3</v>
      </c>
      <c r="H2293" s="43" t="s">
        <v>1360</v>
      </c>
      <c r="I2293" s="40" t="s">
        <v>1361</v>
      </c>
    </row>
    <row r="2294" spans="1:9" x14ac:dyDescent="0.25">
      <c r="A2294" s="40" t="s">
        <v>200</v>
      </c>
      <c r="B2294" s="28">
        <v>2810</v>
      </c>
      <c r="C2294" s="28">
        <v>5664121</v>
      </c>
      <c r="D2294" s="28"/>
      <c r="E2294" s="45">
        <v>46154</v>
      </c>
      <c r="F2294" s="48">
        <v>3.502314814814815E-2</v>
      </c>
      <c r="G2294" s="44">
        <v>6.3</v>
      </c>
      <c r="H2294" s="43" t="s">
        <v>1362</v>
      </c>
      <c r="I2294" s="40" t="s">
        <v>1361</v>
      </c>
    </row>
    <row r="2295" spans="1:9" x14ac:dyDescent="0.25">
      <c r="A2295" s="40" t="s">
        <v>200</v>
      </c>
      <c r="B2295" s="28">
        <v>2810</v>
      </c>
      <c r="C2295" s="28">
        <v>5664094</v>
      </c>
      <c r="D2295" s="28"/>
      <c r="E2295" s="41">
        <v>46154</v>
      </c>
      <c r="F2295" s="47">
        <v>0.15914351851851852</v>
      </c>
      <c r="G2295" s="44">
        <v>6.3</v>
      </c>
      <c r="H2295" s="43" t="s">
        <v>1364</v>
      </c>
      <c r="I2295" s="40" t="s">
        <v>1361</v>
      </c>
    </row>
    <row r="2296" spans="1:9" x14ac:dyDescent="0.25">
      <c r="A2296" s="40" t="s">
        <v>200</v>
      </c>
      <c r="B2296" s="28">
        <v>2810</v>
      </c>
      <c r="C2296" s="28" t="s">
        <v>35</v>
      </c>
      <c r="D2296" s="28" t="s">
        <v>38</v>
      </c>
      <c r="E2296" s="41">
        <v>46154</v>
      </c>
      <c r="F2296" s="47">
        <v>0.81094907407407413</v>
      </c>
      <c r="G2296" s="42">
        <v>6.3</v>
      </c>
      <c r="H2296" s="40" t="s">
        <v>1363</v>
      </c>
      <c r="I2296" s="40" t="s">
        <v>1361</v>
      </c>
    </row>
    <row r="2297" spans="1:9" x14ac:dyDescent="0.25">
      <c r="A2297" s="40" t="s">
        <v>200</v>
      </c>
      <c r="B2297" s="28">
        <v>2810</v>
      </c>
      <c r="C2297" s="28" t="s">
        <v>35</v>
      </c>
      <c r="D2297" s="28" t="s">
        <v>38</v>
      </c>
      <c r="E2297" s="41">
        <v>46154</v>
      </c>
      <c r="F2297" s="47">
        <v>0.82996527777777773</v>
      </c>
      <c r="G2297" s="42">
        <v>6.3</v>
      </c>
      <c r="H2297" s="40" t="s">
        <v>1364</v>
      </c>
      <c r="I2297" s="40" t="s">
        <v>1361</v>
      </c>
    </row>
    <row r="2298" spans="1:9" x14ac:dyDescent="0.25">
      <c r="A2298" s="40" t="s">
        <v>200</v>
      </c>
      <c r="B2298" s="28">
        <v>2810</v>
      </c>
      <c r="C2298" s="28" t="s">
        <v>35</v>
      </c>
      <c r="D2298" s="28" t="s">
        <v>38</v>
      </c>
      <c r="E2298" s="45">
        <v>46155</v>
      </c>
      <c r="F2298" s="48">
        <v>0.84449074074074071</v>
      </c>
      <c r="G2298" s="44">
        <v>6.3</v>
      </c>
      <c r="H2298" s="43" t="s">
        <v>1363</v>
      </c>
      <c r="I2298" s="40" t="s">
        <v>1361</v>
      </c>
    </row>
    <row r="2299" spans="1:9" x14ac:dyDescent="0.25">
      <c r="A2299" s="40" t="s">
        <v>200</v>
      </c>
      <c r="B2299" s="28">
        <v>2810</v>
      </c>
      <c r="C2299" s="28" t="s">
        <v>35</v>
      </c>
      <c r="D2299" s="28" t="s">
        <v>38</v>
      </c>
      <c r="E2299" s="41">
        <v>46155</v>
      </c>
      <c r="F2299" s="47">
        <v>0.86165509259259254</v>
      </c>
      <c r="G2299" s="44">
        <v>6.3</v>
      </c>
      <c r="H2299" s="43" t="s">
        <v>1364</v>
      </c>
      <c r="I2299" s="40" t="s">
        <v>1361</v>
      </c>
    </row>
    <row r="2300" spans="1:9" x14ac:dyDescent="0.25">
      <c r="A2300" s="40" t="s">
        <v>200</v>
      </c>
      <c r="B2300" s="28">
        <v>2810</v>
      </c>
      <c r="C2300" s="28" t="s">
        <v>765</v>
      </c>
      <c r="D2300" s="28"/>
      <c r="E2300" s="41">
        <v>46155</v>
      </c>
      <c r="F2300" s="47">
        <v>0.94503472222222218</v>
      </c>
      <c r="G2300" s="44">
        <v>6.3</v>
      </c>
      <c r="H2300" s="43" t="s">
        <v>1360</v>
      </c>
      <c r="I2300" s="40" t="s">
        <v>1361</v>
      </c>
    </row>
    <row r="2301" spans="1:9" x14ac:dyDescent="0.25">
      <c r="A2301" s="40" t="s">
        <v>200</v>
      </c>
      <c r="B2301" s="28">
        <v>2810</v>
      </c>
      <c r="C2301" s="28" t="s">
        <v>765</v>
      </c>
      <c r="D2301" s="28"/>
      <c r="E2301" s="41">
        <v>46155</v>
      </c>
      <c r="F2301" s="47">
        <v>0.9528240740740741</v>
      </c>
      <c r="G2301" s="44">
        <v>6.3</v>
      </c>
      <c r="H2301" s="43" t="s">
        <v>1362</v>
      </c>
      <c r="I2301" s="40" t="s">
        <v>1361</v>
      </c>
    </row>
    <row r="2302" spans="1:9" x14ac:dyDescent="0.25">
      <c r="A2302" s="40" t="s">
        <v>200</v>
      </c>
      <c r="B2302" s="28">
        <v>2810</v>
      </c>
      <c r="C2302" s="28" t="s">
        <v>35</v>
      </c>
      <c r="D2302" s="28" t="s">
        <v>38</v>
      </c>
      <c r="E2302" s="41">
        <v>46155</v>
      </c>
      <c r="F2302" s="47">
        <v>0.966400462962963</v>
      </c>
      <c r="G2302" s="44">
        <v>6.3</v>
      </c>
      <c r="H2302" s="43" t="s">
        <v>1363</v>
      </c>
      <c r="I2302" s="40" t="s">
        <v>1361</v>
      </c>
    </row>
    <row r="2303" spans="1:9" x14ac:dyDescent="0.25">
      <c r="A2303" s="40" t="s">
        <v>200</v>
      </c>
      <c r="B2303" s="28">
        <v>2810</v>
      </c>
      <c r="C2303" s="28" t="s">
        <v>35</v>
      </c>
      <c r="D2303" s="28" t="s">
        <v>38</v>
      </c>
      <c r="E2303" s="41">
        <v>46155</v>
      </c>
      <c r="F2303" s="47">
        <v>0.97386574074074073</v>
      </c>
      <c r="G2303" s="44">
        <v>6.3</v>
      </c>
      <c r="H2303" s="43" t="s">
        <v>1364</v>
      </c>
      <c r="I2303" s="40" t="s">
        <v>1361</v>
      </c>
    </row>
    <row r="2304" spans="1:9" x14ac:dyDescent="0.25">
      <c r="A2304" s="40" t="s">
        <v>200</v>
      </c>
      <c r="B2304" s="28">
        <v>2810</v>
      </c>
      <c r="C2304" s="28" t="s">
        <v>35</v>
      </c>
      <c r="D2304" s="28" t="s">
        <v>38</v>
      </c>
      <c r="E2304" s="41">
        <v>46156</v>
      </c>
      <c r="F2304" s="47">
        <v>0.93084490740740744</v>
      </c>
      <c r="G2304" s="44">
        <v>6.3</v>
      </c>
      <c r="H2304" s="43" t="s">
        <v>1370</v>
      </c>
      <c r="I2304" s="40" t="s">
        <v>1361</v>
      </c>
    </row>
    <row r="2305" spans="1:9" x14ac:dyDescent="0.25">
      <c r="A2305" s="40" t="s">
        <v>200</v>
      </c>
      <c r="B2305" s="28">
        <v>2810</v>
      </c>
      <c r="C2305" s="28" t="s">
        <v>35</v>
      </c>
      <c r="D2305" s="28" t="s">
        <v>38</v>
      </c>
      <c r="E2305" s="41">
        <v>46156</v>
      </c>
      <c r="F2305" s="47">
        <v>0.93570601851851853</v>
      </c>
      <c r="G2305" s="44">
        <v>6.3</v>
      </c>
      <c r="H2305" s="43" t="s">
        <v>1364</v>
      </c>
      <c r="I2305" s="40" t="s">
        <v>1361</v>
      </c>
    </row>
    <row r="2306" spans="1:9" x14ac:dyDescent="0.25">
      <c r="A2306" s="40" t="s">
        <v>200</v>
      </c>
      <c r="B2306" s="28">
        <v>2810</v>
      </c>
      <c r="C2306" s="28">
        <v>5670543</v>
      </c>
      <c r="D2306" s="28" t="s">
        <v>36</v>
      </c>
      <c r="E2306" s="41">
        <v>46157</v>
      </c>
      <c r="F2306" s="47">
        <v>0.82778935185185187</v>
      </c>
      <c r="G2306" s="42">
        <v>6.3</v>
      </c>
      <c r="H2306" s="40" t="s">
        <v>1363</v>
      </c>
      <c r="I2306" s="40" t="s">
        <v>1361</v>
      </c>
    </row>
    <row r="2307" spans="1:9" x14ac:dyDescent="0.25">
      <c r="A2307" s="40" t="s">
        <v>200</v>
      </c>
      <c r="B2307" s="28">
        <v>2810</v>
      </c>
      <c r="C2307" s="28">
        <v>5670543</v>
      </c>
      <c r="D2307" s="28" t="s">
        <v>36</v>
      </c>
      <c r="E2307" s="41">
        <v>46157</v>
      </c>
      <c r="F2307" s="47">
        <v>0.84510416666666666</v>
      </c>
      <c r="G2307" s="42">
        <v>6.3</v>
      </c>
      <c r="H2307" s="40" t="s">
        <v>1364</v>
      </c>
      <c r="I2307" s="40" t="s">
        <v>1361</v>
      </c>
    </row>
    <row r="2308" spans="1:9" x14ac:dyDescent="0.25">
      <c r="A2308" s="40" t="s">
        <v>200</v>
      </c>
      <c r="B2308" s="28">
        <v>2810</v>
      </c>
      <c r="C2308" s="28" t="s">
        <v>766</v>
      </c>
      <c r="D2308" s="28"/>
      <c r="E2308" s="41">
        <v>46157</v>
      </c>
      <c r="F2308" s="47">
        <v>0.96579861111111109</v>
      </c>
      <c r="G2308" s="42">
        <v>6.3</v>
      </c>
      <c r="H2308" s="40" t="s">
        <v>1360</v>
      </c>
      <c r="I2308" s="40" t="s">
        <v>1361</v>
      </c>
    </row>
    <row r="2309" spans="1:9" x14ac:dyDescent="0.25">
      <c r="A2309" s="40" t="s">
        <v>200</v>
      </c>
      <c r="B2309" s="28">
        <v>2810</v>
      </c>
      <c r="C2309" s="28" t="s">
        <v>766</v>
      </c>
      <c r="D2309" s="28"/>
      <c r="E2309" s="41">
        <v>46157</v>
      </c>
      <c r="F2309" s="47">
        <v>0.97388888888888892</v>
      </c>
      <c r="G2309" s="44">
        <v>6.3</v>
      </c>
      <c r="H2309" s="43" t="s">
        <v>1362</v>
      </c>
      <c r="I2309" s="40" t="s">
        <v>1361</v>
      </c>
    </row>
    <row r="2310" spans="1:9" x14ac:dyDescent="0.25">
      <c r="A2310" s="40" t="s">
        <v>200</v>
      </c>
      <c r="B2310" s="28">
        <v>2810</v>
      </c>
      <c r="C2310" s="28" t="s">
        <v>35</v>
      </c>
      <c r="D2310" s="28" t="s">
        <v>38</v>
      </c>
      <c r="E2310" s="41">
        <v>46157</v>
      </c>
      <c r="F2310" s="47">
        <v>0.99335648148148148</v>
      </c>
      <c r="G2310" s="44">
        <v>6.3</v>
      </c>
      <c r="H2310" s="43" t="s">
        <v>1363</v>
      </c>
      <c r="I2310" s="40" t="s">
        <v>1365</v>
      </c>
    </row>
    <row r="2311" spans="1:9" x14ac:dyDescent="0.25">
      <c r="A2311" s="40" t="s">
        <v>200</v>
      </c>
      <c r="B2311" s="28">
        <v>2810</v>
      </c>
      <c r="C2311" s="28" t="s">
        <v>35</v>
      </c>
      <c r="D2311" s="28" t="s">
        <v>38</v>
      </c>
      <c r="E2311" s="41">
        <v>46157</v>
      </c>
      <c r="F2311" s="47">
        <v>0.99938657407407405</v>
      </c>
      <c r="G2311" s="44">
        <v>6.3</v>
      </c>
      <c r="H2311" s="43" t="s">
        <v>1364</v>
      </c>
      <c r="I2311" s="40" t="s">
        <v>1365</v>
      </c>
    </row>
    <row r="2312" spans="1:9" x14ac:dyDescent="0.25">
      <c r="A2312" s="40" t="s">
        <v>200</v>
      </c>
      <c r="B2312" s="28">
        <v>2810</v>
      </c>
      <c r="C2312" s="28" t="s">
        <v>35</v>
      </c>
      <c r="D2312" s="28" t="s">
        <v>38</v>
      </c>
      <c r="E2312" s="41">
        <v>46158</v>
      </c>
      <c r="F2312" s="47">
        <v>0.8135648148148148</v>
      </c>
      <c r="G2312" s="44">
        <v>6.3</v>
      </c>
      <c r="H2312" s="43" t="s">
        <v>1363</v>
      </c>
      <c r="I2312" s="40" t="s">
        <v>1365</v>
      </c>
    </row>
    <row r="2313" spans="1:9" x14ac:dyDescent="0.25">
      <c r="A2313" s="40" t="s">
        <v>200</v>
      </c>
      <c r="B2313" s="28">
        <v>2810</v>
      </c>
      <c r="C2313" s="28" t="s">
        <v>35</v>
      </c>
      <c r="D2313" s="28" t="s">
        <v>38</v>
      </c>
      <c r="E2313" s="41">
        <v>46158</v>
      </c>
      <c r="F2313" s="47">
        <v>0.82144675925925925</v>
      </c>
      <c r="G2313" s="44">
        <v>6.3</v>
      </c>
      <c r="H2313" s="43" t="s">
        <v>1364</v>
      </c>
      <c r="I2313" s="40" t="s">
        <v>1365</v>
      </c>
    </row>
    <row r="2314" spans="1:9" x14ac:dyDescent="0.25">
      <c r="A2314" s="40" t="s">
        <v>200</v>
      </c>
      <c r="B2314" s="28">
        <v>2810</v>
      </c>
      <c r="C2314" s="28" t="s">
        <v>767</v>
      </c>
      <c r="D2314" s="28"/>
      <c r="E2314" s="41">
        <v>46158</v>
      </c>
      <c r="F2314" s="47">
        <v>0.9615393518518518</v>
      </c>
      <c r="G2314" s="44">
        <v>6.3</v>
      </c>
      <c r="H2314" s="43" t="s">
        <v>1360</v>
      </c>
      <c r="I2314" s="40" t="s">
        <v>1365</v>
      </c>
    </row>
    <row r="2315" spans="1:9" x14ac:dyDescent="0.25">
      <c r="A2315" s="40" t="s">
        <v>200</v>
      </c>
      <c r="B2315" s="28">
        <v>2810</v>
      </c>
      <c r="C2315" s="28" t="s">
        <v>767</v>
      </c>
      <c r="D2315" s="28"/>
      <c r="E2315" s="41">
        <v>46158</v>
      </c>
      <c r="F2315" s="47">
        <v>0.96780092592592593</v>
      </c>
      <c r="G2315" s="44">
        <v>6.3</v>
      </c>
      <c r="H2315" s="43" t="s">
        <v>1368</v>
      </c>
      <c r="I2315" s="40" t="s">
        <v>1365</v>
      </c>
    </row>
    <row r="2316" spans="1:9" x14ac:dyDescent="0.25">
      <c r="A2316" s="40" t="s">
        <v>200</v>
      </c>
      <c r="B2316" s="28">
        <v>2810</v>
      </c>
      <c r="C2316" s="28" t="s">
        <v>35</v>
      </c>
      <c r="D2316" s="28" t="s">
        <v>38</v>
      </c>
      <c r="E2316" s="41">
        <v>46159</v>
      </c>
      <c r="F2316" s="47">
        <v>8.4490740740740739E-4</v>
      </c>
      <c r="G2316" s="44">
        <v>6.3</v>
      </c>
      <c r="H2316" s="43" t="s">
        <v>1369</v>
      </c>
      <c r="I2316" s="40" t="s">
        <v>1365</v>
      </c>
    </row>
    <row r="2317" spans="1:9" x14ac:dyDescent="0.25">
      <c r="A2317" s="40" t="s">
        <v>200</v>
      </c>
      <c r="B2317" s="28">
        <v>2810</v>
      </c>
      <c r="C2317" s="28" t="s">
        <v>35</v>
      </c>
      <c r="D2317" s="28" t="s">
        <v>38</v>
      </c>
      <c r="E2317" s="41">
        <v>46159</v>
      </c>
      <c r="F2317" s="47">
        <v>6.3888888888888893E-3</v>
      </c>
      <c r="G2317" s="44">
        <v>6.3</v>
      </c>
      <c r="H2317" s="43" t="s">
        <v>1364</v>
      </c>
      <c r="I2317" s="40" t="s">
        <v>1365</v>
      </c>
    </row>
    <row r="2318" spans="1:9" x14ac:dyDescent="0.25">
      <c r="A2318" s="40" t="s">
        <v>200</v>
      </c>
      <c r="B2318" s="28">
        <v>2810</v>
      </c>
      <c r="C2318" s="28" t="s">
        <v>35</v>
      </c>
      <c r="D2318" s="28" t="s">
        <v>38</v>
      </c>
      <c r="E2318" s="41">
        <v>46159</v>
      </c>
      <c r="F2318" s="47">
        <v>0.82408564814814811</v>
      </c>
      <c r="G2318" s="44">
        <v>6.3</v>
      </c>
      <c r="H2318" s="43" t="s">
        <v>1363</v>
      </c>
      <c r="I2318" s="40" t="s">
        <v>1365</v>
      </c>
    </row>
    <row r="2319" spans="1:9" x14ac:dyDescent="0.25">
      <c r="A2319" s="40" t="s">
        <v>200</v>
      </c>
      <c r="B2319" s="28">
        <v>2810</v>
      </c>
      <c r="C2319" s="28" t="s">
        <v>35</v>
      </c>
      <c r="D2319" s="28" t="s">
        <v>38</v>
      </c>
      <c r="E2319" s="41">
        <v>46159</v>
      </c>
      <c r="F2319" s="47">
        <v>0.82964120370370376</v>
      </c>
      <c r="G2319" s="44">
        <v>6.3</v>
      </c>
      <c r="H2319" s="43" t="s">
        <v>1364</v>
      </c>
      <c r="I2319" s="40" t="s">
        <v>1365</v>
      </c>
    </row>
    <row r="2320" spans="1:9" x14ac:dyDescent="0.25">
      <c r="A2320" s="40" t="s">
        <v>200</v>
      </c>
      <c r="B2320" s="28">
        <v>2810</v>
      </c>
      <c r="C2320" s="28">
        <v>5669807</v>
      </c>
      <c r="D2320" s="28"/>
      <c r="E2320" s="41">
        <v>46159</v>
      </c>
      <c r="F2320" s="47">
        <v>0.87585648148148143</v>
      </c>
      <c r="G2320" s="44">
        <v>6.3</v>
      </c>
      <c r="H2320" s="43" t="s">
        <v>1360</v>
      </c>
      <c r="I2320" s="40" t="s">
        <v>1365</v>
      </c>
    </row>
    <row r="2321" spans="1:9" x14ac:dyDescent="0.25">
      <c r="A2321" s="40" t="s">
        <v>200</v>
      </c>
      <c r="B2321" s="28">
        <v>2810</v>
      </c>
      <c r="C2321" s="28">
        <v>5669807</v>
      </c>
      <c r="D2321" s="28"/>
      <c r="E2321" s="41">
        <v>46159</v>
      </c>
      <c r="F2321" s="47">
        <v>0.88366898148148143</v>
      </c>
      <c r="G2321" s="44">
        <v>6.3</v>
      </c>
      <c r="H2321" s="43" t="s">
        <v>1362</v>
      </c>
      <c r="I2321" s="40" t="s">
        <v>1365</v>
      </c>
    </row>
    <row r="2322" spans="1:9" x14ac:dyDescent="0.25">
      <c r="A2322" s="40" t="s">
        <v>200</v>
      </c>
      <c r="B2322" s="28">
        <v>2810</v>
      </c>
      <c r="C2322" s="28" t="s">
        <v>35</v>
      </c>
      <c r="D2322" s="28" t="s">
        <v>38</v>
      </c>
      <c r="E2322" s="45">
        <v>46159</v>
      </c>
      <c r="F2322" s="48">
        <v>0.90097222222222217</v>
      </c>
      <c r="G2322" s="44">
        <v>6.3</v>
      </c>
      <c r="H2322" s="43" t="s">
        <v>1363</v>
      </c>
      <c r="I2322" s="40" t="s">
        <v>1365</v>
      </c>
    </row>
    <row r="2323" spans="1:9" x14ac:dyDescent="0.25">
      <c r="A2323" s="40" t="s">
        <v>200</v>
      </c>
      <c r="B2323" s="28">
        <v>2810</v>
      </c>
      <c r="C2323" s="28" t="s">
        <v>35</v>
      </c>
      <c r="D2323" s="28" t="s">
        <v>38</v>
      </c>
      <c r="E2323" s="41">
        <v>46159</v>
      </c>
      <c r="F2323" s="47">
        <v>0.90649305555555559</v>
      </c>
      <c r="G2323" s="44">
        <v>6.3</v>
      </c>
      <c r="H2323" s="43" t="s">
        <v>1364</v>
      </c>
      <c r="I2323" s="40" t="s">
        <v>1365</v>
      </c>
    </row>
    <row r="2324" spans="1:9" x14ac:dyDescent="0.25">
      <c r="A2324" s="40" t="s">
        <v>200</v>
      </c>
      <c r="B2324" s="28">
        <v>2810</v>
      </c>
      <c r="C2324" s="28">
        <v>5673644</v>
      </c>
      <c r="D2324" s="28"/>
      <c r="E2324" s="41">
        <v>46159</v>
      </c>
      <c r="F2324" s="47">
        <v>0.99501157407407403</v>
      </c>
      <c r="G2324" s="44">
        <v>6.3</v>
      </c>
      <c r="H2324" s="43" t="s">
        <v>1360</v>
      </c>
      <c r="I2324" s="40" t="s">
        <v>1365</v>
      </c>
    </row>
    <row r="2325" spans="1:9" x14ac:dyDescent="0.25">
      <c r="A2325" s="40" t="s">
        <v>254</v>
      </c>
      <c r="B2325" s="28">
        <v>2848</v>
      </c>
      <c r="C2325" s="28">
        <v>5666272</v>
      </c>
      <c r="D2325" s="28"/>
      <c r="E2325" s="41">
        <v>46155</v>
      </c>
      <c r="F2325" s="47">
        <v>0.43076388888888889</v>
      </c>
      <c r="G2325" s="44">
        <v>6.3</v>
      </c>
      <c r="H2325" s="43" t="s">
        <v>1360</v>
      </c>
      <c r="I2325" s="40" t="s">
        <v>1361</v>
      </c>
    </row>
    <row r="2326" spans="1:9" x14ac:dyDescent="0.25">
      <c r="A2326" s="40" t="s">
        <v>254</v>
      </c>
      <c r="B2326" s="28">
        <v>2848</v>
      </c>
      <c r="C2326" s="28" t="s">
        <v>768</v>
      </c>
      <c r="D2326" s="28"/>
      <c r="E2326" s="41">
        <v>46156</v>
      </c>
      <c r="F2326" s="47">
        <v>0.81736111111111109</v>
      </c>
      <c r="G2326" s="44">
        <v>6.3</v>
      </c>
      <c r="H2326" s="43" t="s">
        <v>1360</v>
      </c>
      <c r="I2326" s="40" t="s">
        <v>1361</v>
      </c>
    </row>
    <row r="2327" spans="1:9" x14ac:dyDescent="0.25">
      <c r="A2327" s="40" t="s">
        <v>254</v>
      </c>
      <c r="B2327" s="28">
        <v>2848</v>
      </c>
      <c r="C2327" s="28" t="s">
        <v>768</v>
      </c>
      <c r="D2327" s="28"/>
      <c r="E2327" s="41">
        <v>46156</v>
      </c>
      <c r="F2327" s="47">
        <v>0.82570601851851855</v>
      </c>
      <c r="G2327" s="44">
        <v>6.3</v>
      </c>
      <c r="H2327" s="43" t="s">
        <v>1362</v>
      </c>
      <c r="I2327" s="40" t="s">
        <v>1361</v>
      </c>
    </row>
    <row r="2328" spans="1:9" x14ac:dyDescent="0.25">
      <c r="A2328" s="40" t="s">
        <v>254</v>
      </c>
      <c r="B2328" s="28">
        <v>2848</v>
      </c>
      <c r="C2328" s="28" t="s">
        <v>769</v>
      </c>
      <c r="D2328" s="28"/>
      <c r="E2328" s="41">
        <v>46157</v>
      </c>
      <c r="F2328" s="47">
        <v>0.68767361111111114</v>
      </c>
      <c r="G2328" s="44">
        <v>6.3</v>
      </c>
      <c r="H2328" s="43" t="s">
        <v>1360</v>
      </c>
      <c r="I2328" s="40" t="s">
        <v>1361</v>
      </c>
    </row>
    <row r="2329" spans="1:9" x14ac:dyDescent="0.25">
      <c r="A2329" s="40" t="s">
        <v>254</v>
      </c>
      <c r="B2329" s="28">
        <v>2848</v>
      </c>
      <c r="C2329" s="28" t="s">
        <v>769</v>
      </c>
      <c r="D2329" s="28"/>
      <c r="E2329" s="41">
        <v>46157</v>
      </c>
      <c r="F2329" s="47">
        <v>0.69903935185185184</v>
      </c>
      <c r="G2329" s="44">
        <v>6.3</v>
      </c>
      <c r="H2329" s="43" t="s">
        <v>1368</v>
      </c>
      <c r="I2329" s="40" t="s">
        <v>1361</v>
      </c>
    </row>
    <row r="2330" spans="1:9" x14ac:dyDescent="0.25">
      <c r="A2330" s="40" t="s">
        <v>254</v>
      </c>
      <c r="B2330" s="28">
        <v>2848</v>
      </c>
      <c r="C2330" s="28" t="s">
        <v>770</v>
      </c>
      <c r="D2330" s="28"/>
      <c r="E2330" s="41">
        <v>46158</v>
      </c>
      <c r="F2330" s="47">
        <v>0.59942129629629626</v>
      </c>
      <c r="G2330" s="44">
        <v>6.3</v>
      </c>
      <c r="H2330" s="43" t="s">
        <v>1360</v>
      </c>
      <c r="I2330" s="40" t="s">
        <v>1365</v>
      </c>
    </row>
    <row r="2331" spans="1:9" x14ac:dyDescent="0.25">
      <c r="A2331" s="40" t="s">
        <v>254</v>
      </c>
      <c r="B2331" s="28">
        <v>2848</v>
      </c>
      <c r="C2331" s="28" t="s">
        <v>770</v>
      </c>
      <c r="D2331" s="28"/>
      <c r="E2331" s="41">
        <v>46158</v>
      </c>
      <c r="F2331" s="47">
        <v>0.61416666666666664</v>
      </c>
      <c r="G2331" s="44">
        <v>6.3</v>
      </c>
      <c r="H2331" s="43" t="s">
        <v>1362</v>
      </c>
      <c r="I2331" s="40" t="s">
        <v>1365</v>
      </c>
    </row>
    <row r="2332" spans="1:9" x14ac:dyDescent="0.25">
      <c r="A2332" s="40" t="s">
        <v>254</v>
      </c>
      <c r="B2332" s="28">
        <v>2848</v>
      </c>
      <c r="C2332" s="28">
        <v>5670840</v>
      </c>
      <c r="D2332" s="28"/>
      <c r="E2332" s="41">
        <v>46158</v>
      </c>
      <c r="F2332" s="47">
        <v>0.82151620370370371</v>
      </c>
      <c r="G2332" s="44">
        <v>6.3</v>
      </c>
      <c r="H2332" s="43" t="s">
        <v>1363</v>
      </c>
      <c r="I2332" s="40" t="s">
        <v>1365</v>
      </c>
    </row>
    <row r="2333" spans="1:9" x14ac:dyDescent="0.25">
      <c r="A2333" s="40" t="s">
        <v>254</v>
      </c>
      <c r="B2333" s="28">
        <v>2848</v>
      </c>
      <c r="C2333" s="28">
        <v>5670840</v>
      </c>
      <c r="D2333" s="28"/>
      <c r="E2333" s="45">
        <v>46158</v>
      </c>
      <c r="F2333" s="48">
        <v>0.8300925925925926</v>
      </c>
      <c r="G2333" s="44">
        <v>6.3</v>
      </c>
      <c r="H2333" s="43" t="s">
        <v>1364</v>
      </c>
      <c r="I2333" s="40" t="s">
        <v>1365</v>
      </c>
    </row>
    <row r="2334" spans="1:9" x14ac:dyDescent="0.25">
      <c r="A2334" s="40" t="s">
        <v>254</v>
      </c>
      <c r="B2334" s="28">
        <v>2848</v>
      </c>
      <c r="C2334" s="28" t="s">
        <v>771</v>
      </c>
      <c r="D2334" s="28"/>
      <c r="E2334" s="41">
        <v>46158</v>
      </c>
      <c r="F2334" s="47">
        <v>0.92807870370370371</v>
      </c>
      <c r="G2334" s="44">
        <v>6.3</v>
      </c>
      <c r="H2334" s="43" t="s">
        <v>1360</v>
      </c>
      <c r="I2334" s="40" t="s">
        <v>1365</v>
      </c>
    </row>
    <row r="2335" spans="1:9" x14ac:dyDescent="0.25">
      <c r="A2335" s="40" t="s">
        <v>254</v>
      </c>
      <c r="B2335" s="28">
        <v>2848</v>
      </c>
      <c r="C2335" s="28" t="s">
        <v>771</v>
      </c>
      <c r="D2335" s="28"/>
      <c r="E2335" s="41">
        <v>46158</v>
      </c>
      <c r="F2335" s="47">
        <v>0.9362731481481481</v>
      </c>
      <c r="G2335" s="44">
        <v>6.3</v>
      </c>
      <c r="H2335" s="43" t="s">
        <v>1362</v>
      </c>
      <c r="I2335" s="40" t="s">
        <v>1365</v>
      </c>
    </row>
    <row r="2336" spans="1:9" x14ac:dyDescent="0.25">
      <c r="A2336" s="40" t="s">
        <v>254</v>
      </c>
      <c r="B2336" s="28">
        <v>2848</v>
      </c>
      <c r="C2336" s="28" t="s">
        <v>772</v>
      </c>
      <c r="D2336" s="28"/>
      <c r="E2336" s="41">
        <v>46159</v>
      </c>
      <c r="F2336" s="47">
        <v>5.4363425925925926E-2</v>
      </c>
      <c r="G2336" s="42">
        <v>6.3</v>
      </c>
      <c r="H2336" s="40" t="s">
        <v>1363</v>
      </c>
      <c r="I2336" s="40" t="s">
        <v>1365</v>
      </c>
    </row>
    <row r="2337" spans="1:9" x14ac:dyDescent="0.25">
      <c r="A2337" s="40" t="s">
        <v>254</v>
      </c>
      <c r="B2337" s="28">
        <v>2848</v>
      </c>
      <c r="C2337" s="28" t="s">
        <v>773</v>
      </c>
      <c r="D2337" s="28"/>
      <c r="E2337" s="41">
        <v>46159</v>
      </c>
      <c r="F2337" s="47">
        <v>0.90900462962962958</v>
      </c>
      <c r="G2337" s="42">
        <v>6.3</v>
      </c>
      <c r="H2337" s="40" t="s">
        <v>1360</v>
      </c>
      <c r="I2337" s="40" t="s">
        <v>1365</v>
      </c>
    </row>
    <row r="2338" spans="1:9" x14ac:dyDescent="0.25">
      <c r="A2338" s="40" t="s">
        <v>254</v>
      </c>
      <c r="B2338" s="28">
        <v>2848</v>
      </c>
      <c r="C2338" s="28" t="s">
        <v>773</v>
      </c>
      <c r="D2338" s="28"/>
      <c r="E2338" s="41">
        <v>46159</v>
      </c>
      <c r="F2338" s="47">
        <v>0.91642361111111115</v>
      </c>
      <c r="G2338" s="42">
        <v>6.3</v>
      </c>
      <c r="H2338" s="40" t="s">
        <v>1362</v>
      </c>
      <c r="I2338" s="40" t="s">
        <v>1365</v>
      </c>
    </row>
    <row r="2339" spans="1:9" x14ac:dyDescent="0.25">
      <c r="A2339" s="40" t="s">
        <v>254</v>
      </c>
      <c r="B2339" s="28">
        <v>2848</v>
      </c>
      <c r="C2339" s="28" t="s">
        <v>35</v>
      </c>
      <c r="D2339" s="28" t="s">
        <v>38</v>
      </c>
      <c r="E2339" s="41">
        <v>46159</v>
      </c>
      <c r="F2339" s="47">
        <v>0.93174768518518514</v>
      </c>
      <c r="G2339" s="42">
        <v>6.3</v>
      </c>
      <c r="H2339" s="40" t="s">
        <v>1363</v>
      </c>
      <c r="I2339" s="40" t="s">
        <v>1365</v>
      </c>
    </row>
    <row r="2340" spans="1:9" x14ac:dyDescent="0.25">
      <c r="A2340" s="40" t="s">
        <v>254</v>
      </c>
      <c r="B2340" s="28">
        <v>2848</v>
      </c>
      <c r="C2340" s="28" t="s">
        <v>35</v>
      </c>
      <c r="D2340" s="28" t="s">
        <v>38</v>
      </c>
      <c r="E2340" s="41">
        <v>46159</v>
      </c>
      <c r="F2340" s="47">
        <v>0.93614583333333334</v>
      </c>
      <c r="G2340" s="42">
        <v>6.3</v>
      </c>
      <c r="H2340" s="40" t="s">
        <v>1364</v>
      </c>
      <c r="I2340" s="40" t="s">
        <v>1365</v>
      </c>
    </row>
    <row r="2341" spans="1:9" x14ac:dyDescent="0.25">
      <c r="A2341" s="40" t="s">
        <v>499</v>
      </c>
      <c r="B2341" s="28">
        <v>2849</v>
      </c>
      <c r="C2341" s="28" t="s">
        <v>35</v>
      </c>
      <c r="D2341" s="28" t="s">
        <v>38</v>
      </c>
      <c r="E2341" s="41">
        <v>46159</v>
      </c>
      <c r="F2341" s="47">
        <v>0.43184027777777778</v>
      </c>
      <c r="G2341" s="42">
        <v>6.3</v>
      </c>
      <c r="H2341" s="40" t="s">
        <v>1362</v>
      </c>
      <c r="I2341" s="40" t="s">
        <v>1365</v>
      </c>
    </row>
    <row r="2342" spans="1:9" x14ac:dyDescent="0.25">
      <c r="A2342" s="40" t="s">
        <v>423</v>
      </c>
      <c r="B2342" s="28">
        <v>2850</v>
      </c>
      <c r="C2342" s="28">
        <v>5664219</v>
      </c>
      <c r="D2342" s="28"/>
      <c r="E2342" s="41">
        <v>46154</v>
      </c>
      <c r="F2342" s="47">
        <v>0.19568287037037038</v>
      </c>
      <c r="G2342" s="44">
        <v>6.3</v>
      </c>
      <c r="H2342" s="43" t="s">
        <v>1364</v>
      </c>
      <c r="I2342" s="40" t="s">
        <v>1361</v>
      </c>
    </row>
    <row r="2343" spans="1:9" x14ac:dyDescent="0.25">
      <c r="A2343" s="40" t="s">
        <v>423</v>
      </c>
      <c r="B2343" s="28">
        <v>2850</v>
      </c>
      <c r="C2343" s="28" t="s">
        <v>774</v>
      </c>
      <c r="D2343" s="28"/>
      <c r="E2343" s="41">
        <v>46154</v>
      </c>
      <c r="F2343" s="47">
        <v>0.39822916666666669</v>
      </c>
      <c r="G2343" s="44">
        <v>6.3</v>
      </c>
      <c r="H2343" s="43" t="s">
        <v>1360</v>
      </c>
      <c r="I2343" s="40" t="s">
        <v>1361</v>
      </c>
    </row>
    <row r="2344" spans="1:9" x14ac:dyDescent="0.25">
      <c r="A2344" s="40" t="s">
        <v>423</v>
      </c>
      <c r="B2344" s="28">
        <v>2850</v>
      </c>
      <c r="C2344" s="28" t="s">
        <v>774</v>
      </c>
      <c r="D2344" s="28"/>
      <c r="E2344" s="41">
        <v>46154</v>
      </c>
      <c r="F2344" s="47">
        <v>0.41123842592592591</v>
      </c>
      <c r="G2344" s="44">
        <v>6.3</v>
      </c>
      <c r="H2344" s="43" t="s">
        <v>1368</v>
      </c>
      <c r="I2344" s="40" t="s">
        <v>1361</v>
      </c>
    </row>
    <row r="2345" spans="1:9" x14ac:dyDescent="0.25">
      <c r="A2345" s="40" t="s">
        <v>423</v>
      </c>
      <c r="B2345" s="28">
        <v>2850</v>
      </c>
      <c r="C2345" s="28" t="s">
        <v>35</v>
      </c>
      <c r="D2345" s="28" t="s">
        <v>38</v>
      </c>
      <c r="E2345" s="45">
        <v>46154</v>
      </c>
      <c r="F2345" s="48">
        <v>0.44707175925925924</v>
      </c>
      <c r="G2345" s="44">
        <v>6.3</v>
      </c>
      <c r="H2345" s="43" t="s">
        <v>1363</v>
      </c>
      <c r="I2345" s="40" t="s">
        <v>1361</v>
      </c>
    </row>
    <row r="2346" spans="1:9" x14ac:dyDescent="0.25">
      <c r="A2346" s="40" t="s">
        <v>423</v>
      </c>
      <c r="B2346" s="28">
        <v>2850</v>
      </c>
      <c r="C2346" s="28" t="s">
        <v>35</v>
      </c>
      <c r="D2346" s="28" t="s">
        <v>38</v>
      </c>
      <c r="E2346" s="41">
        <v>46154</v>
      </c>
      <c r="F2346" s="47">
        <v>0.45322916666666668</v>
      </c>
      <c r="G2346" s="44">
        <v>6.3</v>
      </c>
      <c r="H2346" s="43" t="s">
        <v>1364</v>
      </c>
      <c r="I2346" s="40" t="s">
        <v>1361</v>
      </c>
    </row>
    <row r="2347" spans="1:9" x14ac:dyDescent="0.25">
      <c r="A2347" s="40" t="s">
        <v>423</v>
      </c>
      <c r="B2347" s="28">
        <v>2850</v>
      </c>
      <c r="C2347" s="28">
        <v>5665788</v>
      </c>
      <c r="D2347" s="28"/>
      <c r="E2347" s="41">
        <v>46155</v>
      </c>
      <c r="F2347" s="47">
        <v>0.22886574074074073</v>
      </c>
      <c r="G2347" s="44">
        <v>6.3</v>
      </c>
      <c r="H2347" s="43" t="s">
        <v>1370</v>
      </c>
      <c r="I2347" s="40" t="s">
        <v>1361</v>
      </c>
    </row>
    <row r="2348" spans="1:9" x14ac:dyDescent="0.25">
      <c r="A2348" s="40" t="s">
        <v>423</v>
      </c>
      <c r="B2348" s="28">
        <v>2850</v>
      </c>
      <c r="C2348" s="28">
        <v>5665788</v>
      </c>
      <c r="D2348" s="28"/>
      <c r="E2348" s="41">
        <v>46155</v>
      </c>
      <c r="F2348" s="47">
        <v>0.23348379629629629</v>
      </c>
      <c r="G2348" s="44">
        <v>6.3</v>
      </c>
      <c r="H2348" s="43" t="s">
        <v>1364</v>
      </c>
      <c r="I2348" s="40" t="s">
        <v>1361</v>
      </c>
    </row>
    <row r="2349" spans="1:9" x14ac:dyDescent="0.25">
      <c r="A2349" s="40" t="s">
        <v>423</v>
      </c>
      <c r="B2349" s="28">
        <v>2850</v>
      </c>
      <c r="C2349" s="28">
        <v>5667713</v>
      </c>
      <c r="D2349" s="28"/>
      <c r="E2349" s="41">
        <v>46156</v>
      </c>
      <c r="F2349" s="47">
        <v>0.27269675925925924</v>
      </c>
      <c r="G2349" s="42">
        <v>6.3</v>
      </c>
      <c r="H2349" s="40" t="s">
        <v>1364</v>
      </c>
      <c r="I2349" s="40" t="s">
        <v>1361</v>
      </c>
    </row>
    <row r="2350" spans="1:9" x14ac:dyDescent="0.25">
      <c r="A2350" s="40" t="s">
        <v>423</v>
      </c>
      <c r="B2350" s="28">
        <v>2850</v>
      </c>
      <c r="C2350" s="28">
        <v>5668208</v>
      </c>
      <c r="D2350" s="28"/>
      <c r="E2350" s="41">
        <v>46156</v>
      </c>
      <c r="F2350" s="47">
        <v>0.50959490740740743</v>
      </c>
      <c r="G2350" s="42">
        <v>6.3</v>
      </c>
      <c r="H2350" s="40" t="s">
        <v>1360</v>
      </c>
      <c r="I2350" s="40" t="s">
        <v>1361</v>
      </c>
    </row>
    <row r="2351" spans="1:9" x14ac:dyDescent="0.25">
      <c r="A2351" s="40" t="s">
        <v>423</v>
      </c>
      <c r="B2351" s="28">
        <v>2850</v>
      </c>
      <c r="C2351" s="28">
        <v>5668208</v>
      </c>
      <c r="D2351" s="28"/>
      <c r="E2351" s="41">
        <v>46156</v>
      </c>
      <c r="F2351" s="47">
        <v>0.51979166666666665</v>
      </c>
      <c r="G2351" s="42">
        <v>6.3</v>
      </c>
      <c r="H2351" s="40" t="s">
        <v>1362</v>
      </c>
      <c r="I2351" s="40" t="s">
        <v>1361</v>
      </c>
    </row>
    <row r="2352" spans="1:9" x14ac:dyDescent="0.25">
      <c r="A2352" s="40" t="s">
        <v>423</v>
      </c>
      <c r="B2352" s="28">
        <v>2850</v>
      </c>
      <c r="C2352" s="28">
        <v>5669625</v>
      </c>
      <c r="D2352" s="28"/>
      <c r="E2352" s="45">
        <v>46157</v>
      </c>
      <c r="F2352" s="48">
        <v>0.36206018518518518</v>
      </c>
      <c r="G2352" s="42">
        <v>6.3</v>
      </c>
      <c r="H2352" s="40" t="s">
        <v>1364</v>
      </c>
      <c r="I2352" s="40" t="s">
        <v>1361</v>
      </c>
    </row>
    <row r="2353" spans="1:9" x14ac:dyDescent="0.25">
      <c r="A2353" s="40" t="s">
        <v>423</v>
      </c>
      <c r="B2353" s="28">
        <v>2850</v>
      </c>
      <c r="C2353" s="28">
        <v>5670065</v>
      </c>
      <c r="D2353" s="28" t="s">
        <v>37</v>
      </c>
      <c r="E2353" s="41">
        <v>46157</v>
      </c>
      <c r="F2353" s="47">
        <v>0.60258101851851853</v>
      </c>
      <c r="G2353" s="42">
        <v>6.3</v>
      </c>
      <c r="H2353" s="40" t="s">
        <v>1360</v>
      </c>
      <c r="I2353" s="40" t="s">
        <v>1361</v>
      </c>
    </row>
    <row r="2354" spans="1:9" x14ac:dyDescent="0.25">
      <c r="A2354" s="40" t="s">
        <v>423</v>
      </c>
      <c r="B2354" s="28">
        <v>2850</v>
      </c>
      <c r="C2354" s="28" t="s">
        <v>775</v>
      </c>
      <c r="D2354" s="28"/>
      <c r="E2354" s="41">
        <v>46157</v>
      </c>
      <c r="F2354" s="47">
        <v>0.89385416666666662</v>
      </c>
      <c r="G2354" s="42">
        <v>6.3</v>
      </c>
      <c r="H2354" s="40" t="s">
        <v>1360</v>
      </c>
      <c r="I2354" s="40" t="s">
        <v>1361</v>
      </c>
    </row>
    <row r="2355" spans="1:9" x14ac:dyDescent="0.25">
      <c r="A2355" s="40" t="s">
        <v>423</v>
      </c>
      <c r="B2355" s="28">
        <v>2850</v>
      </c>
      <c r="C2355" s="28" t="s">
        <v>775</v>
      </c>
      <c r="D2355" s="28"/>
      <c r="E2355" s="41">
        <v>46157</v>
      </c>
      <c r="F2355" s="47">
        <v>0.90137731481481487</v>
      </c>
      <c r="G2355" s="44">
        <v>6.3</v>
      </c>
      <c r="H2355" s="43" t="s">
        <v>1362</v>
      </c>
      <c r="I2355" s="40" t="s">
        <v>1361</v>
      </c>
    </row>
    <row r="2356" spans="1:9" x14ac:dyDescent="0.25">
      <c r="A2356" s="40" t="s">
        <v>423</v>
      </c>
      <c r="B2356" s="28">
        <v>2850</v>
      </c>
      <c r="C2356" s="28">
        <v>5672253</v>
      </c>
      <c r="D2356" s="28"/>
      <c r="E2356" s="41">
        <v>46159</v>
      </c>
      <c r="F2356" s="47">
        <v>0.39013888888888887</v>
      </c>
      <c r="G2356" s="44">
        <v>6.3</v>
      </c>
      <c r="H2356" s="43" t="s">
        <v>1363</v>
      </c>
      <c r="I2356" s="40" t="s">
        <v>1365</v>
      </c>
    </row>
    <row r="2357" spans="1:9" x14ac:dyDescent="0.25">
      <c r="A2357" s="40" t="s">
        <v>423</v>
      </c>
      <c r="B2357" s="28">
        <v>2850</v>
      </c>
      <c r="C2357" s="28">
        <v>5672253</v>
      </c>
      <c r="D2357" s="28"/>
      <c r="E2357" s="41">
        <v>46159</v>
      </c>
      <c r="F2357" s="47">
        <v>0.39525462962962965</v>
      </c>
      <c r="G2357" s="44">
        <v>6.3</v>
      </c>
      <c r="H2357" s="43" t="s">
        <v>1364</v>
      </c>
      <c r="I2357" s="40" t="s">
        <v>1365</v>
      </c>
    </row>
    <row r="2358" spans="1:9" x14ac:dyDescent="0.25">
      <c r="A2358" s="40" t="s">
        <v>423</v>
      </c>
      <c r="B2358" s="28">
        <v>2850</v>
      </c>
      <c r="C2358" s="28" t="s">
        <v>776</v>
      </c>
      <c r="D2358" s="28"/>
      <c r="E2358" s="41">
        <v>46159</v>
      </c>
      <c r="F2358" s="47">
        <v>0.53575231481481478</v>
      </c>
      <c r="G2358" s="44">
        <v>6.3</v>
      </c>
      <c r="H2358" s="43" t="s">
        <v>1360</v>
      </c>
      <c r="I2358" s="40" t="s">
        <v>1365</v>
      </c>
    </row>
    <row r="2359" spans="1:9" x14ac:dyDescent="0.25">
      <c r="A2359" s="40" t="s">
        <v>423</v>
      </c>
      <c r="B2359" s="28">
        <v>2850</v>
      </c>
      <c r="C2359" s="28" t="s">
        <v>776</v>
      </c>
      <c r="D2359" s="28"/>
      <c r="E2359" s="41">
        <v>46159</v>
      </c>
      <c r="F2359" s="47">
        <v>0.54283564814814811</v>
      </c>
      <c r="G2359" s="44">
        <v>6.3</v>
      </c>
      <c r="H2359" s="43" t="s">
        <v>1362</v>
      </c>
      <c r="I2359" s="40" t="s">
        <v>1365</v>
      </c>
    </row>
    <row r="2360" spans="1:9" x14ac:dyDescent="0.25">
      <c r="A2360" s="40" t="s">
        <v>423</v>
      </c>
      <c r="B2360" s="28">
        <v>2850</v>
      </c>
      <c r="C2360" s="28" t="s">
        <v>777</v>
      </c>
      <c r="D2360" s="28"/>
      <c r="E2360" s="45">
        <v>46159</v>
      </c>
      <c r="F2360" s="48">
        <v>0.7126851851851852</v>
      </c>
      <c r="G2360" s="44">
        <v>6.3</v>
      </c>
      <c r="H2360" s="43" t="s">
        <v>1360</v>
      </c>
      <c r="I2360" s="40" t="s">
        <v>1365</v>
      </c>
    </row>
    <row r="2361" spans="1:9" x14ac:dyDescent="0.25">
      <c r="A2361" s="40" t="s">
        <v>423</v>
      </c>
      <c r="B2361" s="28">
        <v>2850</v>
      </c>
      <c r="C2361" s="28" t="s">
        <v>777</v>
      </c>
      <c r="D2361" s="28"/>
      <c r="E2361" s="41">
        <v>46159</v>
      </c>
      <c r="F2361" s="47">
        <v>0.7200347222222222</v>
      </c>
      <c r="G2361" s="42">
        <v>6.3</v>
      </c>
      <c r="H2361" s="40" t="s">
        <v>1362</v>
      </c>
      <c r="I2361" s="40" t="s">
        <v>1365</v>
      </c>
    </row>
    <row r="2362" spans="1:9" x14ac:dyDescent="0.25">
      <c r="A2362" s="40" t="s">
        <v>423</v>
      </c>
      <c r="B2362" s="28">
        <v>2850</v>
      </c>
      <c r="C2362" s="28">
        <v>5673303</v>
      </c>
      <c r="D2362" s="28"/>
      <c r="E2362" s="41">
        <v>46159</v>
      </c>
      <c r="F2362" s="47">
        <v>0.9229398148148148</v>
      </c>
      <c r="G2362" s="42">
        <v>6.3</v>
      </c>
      <c r="H2362" s="40" t="s">
        <v>1360</v>
      </c>
      <c r="I2362" s="40" t="s">
        <v>1365</v>
      </c>
    </row>
    <row r="2363" spans="1:9" x14ac:dyDescent="0.25">
      <c r="A2363" s="40" t="s">
        <v>423</v>
      </c>
      <c r="B2363" s="28">
        <v>2850</v>
      </c>
      <c r="C2363" s="28">
        <v>5673303</v>
      </c>
      <c r="D2363" s="28"/>
      <c r="E2363" s="45">
        <v>46159</v>
      </c>
      <c r="F2363" s="48">
        <v>0.92995370370370367</v>
      </c>
      <c r="G2363" s="42">
        <v>6.3</v>
      </c>
      <c r="H2363" s="40" t="s">
        <v>1368</v>
      </c>
      <c r="I2363" s="40" t="s">
        <v>1365</v>
      </c>
    </row>
    <row r="2364" spans="1:9" x14ac:dyDescent="0.25">
      <c r="A2364" s="40" t="s">
        <v>424</v>
      </c>
      <c r="B2364" s="28">
        <v>2852</v>
      </c>
      <c r="C2364" s="28">
        <v>5666063</v>
      </c>
      <c r="D2364" s="28"/>
      <c r="E2364" s="45">
        <v>46155</v>
      </c>
      <c r="F2364" s="48">
        <v>0.84351851851851856</v>
      </c>
      <c r="G2364" s="42">
        <v>6.3</v>
      </c>
      <c r="H2364" s="40" t="s">
        <v>1360</v>
      </c>
      <c r="I2364" s="40" t="s">
        <v>1361</v>
      </c>
    </row>
    <row r="2365" spans="1:9" x14ac:dyDescent="0.25">
      <c r="A2365" s="40" t="s">
        <v>424</v>
      </c>
      <c r="B2365" s="28">
        <v>2852</v>
      </c>
      <c r="C2365" s="28">
        <v>5666063</v>
      </c>
      <c r="D2365" s="28"/>
      <c r="E2365" s="41">
        <v>46155</v>
      </c>
      <c r="F2365" s="47">
        <v>0.85041666666666671</v>
      </c>
      <c r="G2365" s="42">
        <v>6.3</v>
      </c>
      <c r="H2365" s="40" t="s">
        <v>1362</v>
      </c>
      <c r="I2365" s="40" t="s">
        <v>1361</v>
      </c>
    </row>
    <row r="2366" spans="1:9" x14ac:dyDescent="0.25">
      <c r="A2366" s="40" t="s">
        <v>424</v>
      </c>
      <c r="B2366" s="28">
        <v>2852</v>
      </c>
      <c r="C2366" s="28" t="s">
        <v>35</v>
      </c>
      <c r="D2366" s="28" t="s">
        <v>38</v>
      </c>
      <c r="E2366" s="45">
        <v>46155</v>
      </c>
      <c r="F2366" s="48">
        <v>0.90653935185185186</v>
      </c>
      <c r="G2366" s="42">
        <v>6.3</v>
      </c>
      <c r="H2366" s="40" t="s">
        <v>1363</v>
      </c>
      <c r="I2366" s="40" t="s">
        <v>1361</v>
      </c>
    </row>
    <row r="2367" spans="1:9" x14ac:dyDescent="0.25">
      <c r="A2367" s="40" t="s">
        <v>424</v>
      </c>
      <c r="B2367" s="28">
        <v>2852</v>
      </c>
      <c r="C2367" s="28" t="s">
        <v>35</v>
      </c>
      <c r="D2367" s="28" t="s">
        <v>38</v>
      </c>
      <c r="E2367" s="41">
        <v>46155</v>
      </c>
      <c r="F2367" s="47">
        <v>0.91148148148148145</v>
      </c>
      <c r="G2367" s="44">
        <v>6.3</v>
      </c>
      <c r="H2367" s="43" t="s">
        <v>1364</v>
      </c>
      <c r="I2367" s="40" t="s">
        <v>1361</v>
      </c>
    </row>
    <row r="2368" spans="1:9" x14ac:dyDescent="0.25">
      <c r="A2368" s="40" t="s">
        <v>424</v>
      </c>
      <c r="B2368" s="28">
        <v>2852</v>
      </c>
      <c r="C2368" s="28" t="s">
        <v>35</v>
      </c>
      <c r="D2368" s="28" t="s">
        <v>38</v>
      </c>
      <c r="E2368" s="45">
        <v>46158</v>
      </c>
      <c r="F2368" s="48">
        <v>0.89809027777777772</v>
      </c>
      <c r="G2368" s="44">
        <v>6.3</v>
      </c>
      <c r="H2368" s="43" t="s">
        <v>1360</v>
      </c>
      <c r="I2368" s="40" t="s">
        <v>1365</v>
      </c>
    </row>
    <row r="2369" spans="1:9" x14ac:dyDescent="0.25">
      <c r="A2369" s="40" t="s">
        <v>424</v>
      </c>
      <c r="B2369" s="28">
        <v>2852</v>
      </c>
      <c r="C2369" s="28" t="s">
        <v>35</v>
      </c>
      <c r="D2369" s="28" t="s">
        <v>38</v>
      </c>
      <c r="E2369" s="45">
        <v>46158</v>
      </c>
      <c r="F2369" s="48">
        <v>0.90561342592592597</v>
      </c>
      <c r="G2369" s="44">
        <v>6.3</v>
      </c>
      <c r="H2369" s="43" t="s">
        <v>1362</v>
      </c>
      <c r="I2369" s="40" t="s">
        <v>1365</v>
      </c>
    </row>
    <row r="2370" spans="1:9" x14ac:dyDescent="0.25">
      <c r="A2370" s="40" t="s">
        <v>261</v>
      </c>
      <c r="B2370" s="28">
        <v>2913</v>
      </c>
      <c r="C2370" s="28" t="s">
        <v>35</v>
      </c>
      <c r="D2370" s="28" t="s">
        <v>38</v>
      </c>
      <c r="E2370" s="41">
        <v>46153</v>
      </c>
      <c r="F2370" s="47">
        <v>0.23167824074074075</v>
      </c>
      <c r="G2370" s="44">
        <v>6.3</v>
      </c>
      <c r="H2370" s="43" t="s">
        <v>1369</v>
      </c>
      <c r="I2370" s="40" t="s">
        <v>1361</v>
      </c>
    </row>
    <row r="2371" spans="1:9" x14ac:dyDescent="0.25">
      <c r="A2371" s="40" t="s">
        <v>261</v>
      </c>
      <c r="B2371" s="28">
        <v>2913</v>
      </c>
      <c r="C2371" s="28" t="s">
        <v>35</v>
      </c>
      <c r="D2371" s="28" t="s">
        <v>38</v>
      </c>
      <c r="E2371" s="41">
        <v>46153</v>
      </c>
      <c r="F2371" s="47">
        <v>0.2366550925925926</v>
      </c>
      <c r="G2371" s="44">
        <v>6.3</v>
      </c>
      <c r="H2371" s="43" t="s">
        <v>1364</v>
      </c>
      <c r="I2371" s="40" t="s">
        <v>1361</v>
      </c>
    </row>
    <row r="2372" spans="1:9" x14ac:dyDescent="0.25">
      <c r="A2372" s="40" t="s">
        <v>261</v>
      </c>
      <c r="B2372" s="28">
        <v>2913</v>
      </c>
      <c r="C2372" s="28">
        <v>5663907</v>
      </c>
      <c r="D2372" s="28"/>
      <c r="E2372" s="41">
        <v>46154</v>
      </c>
      <c r="F2372" s="47">
        <v>0.29491898148148149</v>
      </c>
      <c r="G2372" s="44">
        <v>6.3</v>
      </c>
      <c r="H2372" s="43" t="s">
        <v>1363</v>
      </c>
      <c r="I2372" s="40" t="s">
        <v>1361</v>
      </c>
    </row>
    <row r="2373" spans="1:9" x14ac:dyDescent="0.25">
      <c r="A2373" s="40" t="s">
        <v>261</v>
      </c>
      <c r="B2373" s="28">
        <v>2913</v>
      </c>
      <c r="C2373" s="28">
        <v>5664466</v>
      </c>
      <c r="D2373" s="28" t="s">
        <v>37</v>
      </c>
      <c r="E2373" s="41">
        <v>46154</v>
      </c>
      <c r="F2373" s="47">
        <v>0.48769675925925926</v>
      </c>
      <c r="G2373" s="44">
        <v>6.3</v>
      </c>
      <c r="H2373" s="43" t="s">
        <v>1363</v>
      </c>
      <c r="I2373" s="40" t="s">
        <v>1361</v>
      </c>
    </row>
    <row r="2374" spans="1:9" x14ac:dyDescent="0.25">
      <c r="A2374" s="40" t="s">
        <v>261</v>
      </c>
      <c r="B2374" s="28">
        <v>2913</v>
      </c>
      <c r="C2374" s="28">
        <v>5664466</v>
      </c>
      <c r="D2374" s="28" t="s">
        <v>37</v>
      </c>
      <c r="E2374" s="41">
        <v>46154</v>
      </c>
      <c r="F2374" s="47">
        <v>0.49324074074074076</v>
      </c>
      <c r="G2374" s="44">
        <v>6.3</v>
      </c>
      <c r="H2374" s="43" t="s">
        <v>1364</v>
      </c>
      <c r="I2374" s="40" t="s">
        <v>1361</v>
      </c>
    </row>
    <row r="2375" spans="1:9" x14ac:dyDescent="0.25">
      <c r="A2375" s="40" t="s">
        <v>261</v>
      </c>
      <c r="B2375" s="28">
        <v>2913</v>
      </c>
      <c r="C2375" s="28">
        <v>5665025</v>
      </c>
      <c r="D2375" s="28" t="s">
        <v>37</v>
      </c>
      <c r="E2375" s="41">
        <v>46154</v>
      </c>
      <c r="F2375" s="47">
        <v>0.69210648148148146</v>
      </c>
      <c r="G2375" s="44">
        <v>6.3</v>
      </c>
      <c r="H2375" s="43" t="s">
        <v>1364</v>
      </c>
      <c r="I2375" s="40" t="s">
        <v>1361</v>
      </c>
    </row>
    <row r="2376" spans="1:9" x14ac:dyDescent="0.25">
      <c r="A2376" s="40" t="s">
        <v>425</v>
      </c>
      <c r="B2376" s="28">
        <v>2961</v>
      </c>
      <c r="C2376" s="28">
        <v>5661122</v>
      </c>
      <c r="D2376" s="28"/>
      <c r="E2376" s="41">
        <v>46153</v>
      </c>
      <c r="F2376" s="47">
        <v>0.80862268518518521</v>
      </c>
      <c r="G2376" s="44">
        <v>6.3</v>
      </c>
      <c r="H2376" s="43" t="s">
        <v>1360</v>
      </c>
      <c r="I2376" s="40" t="s">
        <v>1361</v>
      </c>
    </row>
    <row r="2377" spans="1:9" x14ac:dyDescent="0.25">
      <c r="A2377" s="40" t="s">
        <v>425</v>
      </c>
      <c r="B2377" s="28">
        <v>2961</v>
      </c>
      <c r="C2377" s="28">
        <v>5661122</v>
      </c>
      <c r="D2377" s="28"/>
      <c r="E2377" s="41">
        <v>46153</v>
      </c>
      <c r="F2377" s="47">
        <v>0.81828703703703709</v>
      </c>
      <c r="G2377" s="44">
        <v>6.3</v>
      </c>
      <c r="H2377" s="43" t="s">
        <v>1362</v>
      </c>
      <c r="I2377" s="40" t="s">
        <v>1361</v>
      </c>
    </row>
    <row r="2378" spans="1:9" x14ac:dyDescent="0.25">
      <c r="A2378" s="40" t="s">
        <v>425</v>
      </c>
      <c r="B2378" s="28">
        <v>2961</v>
      </c>
      <c r="C2378" s="28">
        <v>5661181</v>
      </c>
      <c r="D2378" s="28"/>
      <c r="E2378" s="41">
        <v>46153</v>
      </c>
      <c r="F2378" s="47">
        <v>0.88987268518518514</v>
      </c>
      <c r="G2378" s="44">
        <v>6.3</v>
      </c>
      <c r="H2378" s="43" t="s">
        <v>1363</v>
      </c>
      <c r="I2378" s="40" t="s">
        <v>1361</v>
      </c>
    </row>
    <row r="2379" spans="1:9" x14ac:dyDescent="0.25">
      <c r="A2379" s="40" t="s">
        <v>425</v>
      </c>
      <c r="B2379" s="28">
        <v>2961</v>
      </c>
      <c r="C2379" s="28">
        <v>5661181</v>
      </c>
      <c r="D2379" s="28"/>
      <c r="E2379" s="41">
        <v>46153</v>
      </c>
      <c r="F2379" s="47">
        <v>0.89574074074074073</v>
      </c>
      <c r="G2379" s="44">
        <v>6.3</v>
      </c>
      <c r="H2379" s="43" t="s">
        <v>1364</v>
      </c>
      <c r="I2379" s="40" t="s">
        <v>1361</v>
      </c>
    </row>
    <row r="2380" spans="1:9" x14ac:dyDescent="0.25">
      <c r="A2380" s="40" t="s">
        <v>425</v>
      </c>
      <c r="B2380" s="28">
        <v>2961</v>
      </c>
      <c r="C2380" s="28">
        <v>5662876</v>
      </c>
      <c r="D2380" s="28"/>
      <c r="E2380" s="41">
        <v>46154</v>
      </c>
      <c r="F2380" s="47">
        <v>0.4987847222222222</v>
      </c>
      <c r="G2380" s="44">
        <v>6.3</v>
      </c>
      <c r="H2380" s="43" t="s">
        <v>1363</v>
      </c>
      <c r="I2380" s="40" t="s">
        <v>1361</v>
      </c>
    </row>
    <row r="2381" spans="1:9" x14ac:dyDescent="0.25">
      <c r="A2381" s="40" t="s">
        <v>425</v>
      </c>
      <c r="B2381" s="28">
        <v>2961</v>
      </c>
      <c r="C2381" s="28">
        <v>5662876</v>
      </c>
      <c r="D2381" s="28"/>
      <c r="E2381" s="41">
        <v>46154</v>
      </c>
      <c r="F2381" s="47">
        <v>0.50490740740740736</v>
      </c>
      <c r="G2381" s="44">
        <v>6.3</v>
      </c>
      <c r="H2381" s="43" t="s">
        <v>1364</v>
      </c>
      <c r="I2381" s="40" t="s">
        <v>1361</v>
      </c>
    </row>
    <row r="2382" spans="1:9" x14ac:dyDescent="0.25">
      <c r="A2382" s="40" t="s">
        <v>425</v>
      </c>
      <c r="B2382" s="28">
        <v>2961</v>
      </c>
      <c r="C2382" s="28">
        <v>5664739</v>
      </c>
      <c r="D2382" s="28"/>
      <c r="E2382" s="41">
        <v>46154</v>
      </c>
      <c r="F2382" s="47">
        <v>0.69912037037037034</v>
      </c>
      <c r="G2382" s="44">
        <v>6.3</v>
      </c>
      <c r="H2382" s="43" t="s">
        <v>1363</v>
      </c>
      <c r="I2382" s="40" t="s">
        <v>1361</v>
      </c>
    </row>
    <row r="2383" spans="1:9" x14ac:dyDescent="0.25">
      <c r="A2383" s="40" t="s">
        <v>425</v>
      </c>
      <c r="B2383" s="28">
        <v>2961</v>
      </c>
      <c r="C2383" s="28">
        <v>5664739</v>
      </c>
      <c r="D2383" s="28"/>
      <c r="E2383" s="41">
        <v>46154</v>
      </c>
      <c r="F2383" s="47">
        <v>0.71340277777777783</v>
      </c>
      <c r="G2383" s="44">
        <v>6.3</v>
      </c>
      <c r="H2383" s="43" t="s">
        <v>1364</v>
      </c>
      <c r="I2383" s="40" t="s">
        <v>1361</v>
      </c>
    </row>
    <row r="2384" spans="1:9" x14ac:dyDescent="0.25">
      <c r="A2384" s="40" t="s">
        <v>425</v>
      </c>
      <c r="B2384" s="28">
        <v>2961</v>
      </c>
      <c r="C2384" s="28">
        <v>5662880</v>
      </c>
      <c r="D2384" s="28" t="s">
        <v>36</v>
      </c>
      <c r="E2384" s="41">
        <v>46154</v>
      </c>
      <c r="F2384" s="47">
        <v>0.96141203703703704</v>
      </c>
      <c r="G2384" s="44">
        <v>6.3</v>
      </c>
      <c r="H2384" s="43" t="s">
        <v>1360</v>
      </c>
      <c r="I2384" s="40" t="s">
        <v>1361</v>
      </c>
    </row>
    <row r="2385" spans="1:9" x14ac:dyDescent="0.25">
      <c r="A2385" s="40" t="s">
        <v>425</v>
      </c>
      <c r="B2385" s="28">
        <v>2961</v>
      </c>
      <c r="C2385" s="28">
        <v>5662880</v>
      </c>
      <c r="D2385" s="28" t="s">
        <v>36</v>
      </c>
      <c r="E2385" s="41">
        <v>46154</v>
      </c>
      <c r="F2385" s="47">
        <v>0.96888888888888891</v>
      </c>
      <c r="G2385" s="44">
        <v>6.3</v>
      </c>
      <c r="H2385" s="43" t="s">
        <v>1362</v>
      </c>
      <c r="I2385" s="40" t="s">
        <v>1361</v>
      </c>
    </row>
    <row r="2386" spans="1:9" x14ac:dyDescent="0.25">
      <c r="A2386" s="40" t="s">
        <v>425</v>
      </c>
      <c r="B2386" s="28">
        <v>2961</v>
      </c>
      <c r="C2386" s="28">
        <v>5664853</v>
      </c>
      <c r="D2386" s="28"/>
      <c r="E2386" s="45">
        <v>46156</v>
      </c>
      <c r="F2386" s="48">
        <v>1.0879629629629629E-3</v>
      </c>
      <c r="G2386" s="44">
        <v>6.3</v>
      </c>
      <c r="H2386" s="43" t="s">
        <v>1360</v>
      </c>
      <c r="I2386" s="40" t="s">
        <v>1361</v>
      </c>
    </row>
    <row r="2387" spans="1:9" x14ac:dyDescent="0.25">
      <c r="A2387" s="40" t="s">
        <v>425</v>
      </c>
      <c r="B2387" s="28">
        <v>2961</v>
      </c>
      <c r="C2387" s="28">
        <v>5664853</v>
      </c>
      <c r="D2387" s="28"/>
      <c r="E2387" s="41">
        <v>46156</v>
      </c>
      <c r="F2387" s="47">
        <v>9.1435185185185178E-3</v>
      </c>
      <c r="G2387" s="44">
        <v>6.3</v>
      </c>
      <c r="H2387" s="43" t="s">
        <v>1362</v>
      </c>
      <c r="I2387" s="40" t="s">
        <v>1361</v>
      </c>
    </row>
    <row r="2388" spans="1:9" x14ac:dyDescent="0.25">
      <c r="A2388" s="40" t="s">
        <v>425</v>
      </c>
      <c r="B2388" s="28">
        <v>2961</v>
      </c>
      <c r="C2388" s="28">
        <v>5666593</v>
      </c>
      <c r="D2388" s="28"/>
      <c r="E2388" s="41">
        <v>46156</v>
      </c>
      <c r="F2388" s="47">
        <v>0.87246527777777783</v>
      </c>
      <c r="G2388" s="44">
        <v>6.3</v>
      </c>
      <c r="H2388" s="43" t="s">
        <v>1360</v>
      </c>
      <c r="I2388" s="40" t="s">
        <v>1361</v>
      </c>
    </row>
    <row r="2389" spans="1:9" x14ac:dyDescent="0.25">
      <c r="A2389" s="40" t="s">
        <v>425</v>
      </c>
      <c r="B2389" s="28">
        <v>2961</v>
      </c>
      <c r="C2389" s="28">
        <v>5666593</v>
      </c>
      <c r="D2389" s="28"/>
      <c r="E2389" s="45">
        <v>46156</v>
      </c>
      <c r="F2389" s="48">
        <v>0.87974537037037037</v>
      </c>
      <c r="G2389" s="44">
        <v>6.3</v>
      </c>
      <c r="H2389" s="43" t="s">
        <v>1362</v>
      </c>
      <c r="I2389" s="40" t="s">
        <v>1361</v>
      </c>
    </row>
    <row r="2390" spans="1:9" x14ac:dyDescent="0.25">
      <c r="A2390" s="40" t="s">
        <v>425</v>
      </c>
      <c r="B2390" s="28">
        <v>2961</v>
      </c>
      <c r="C2390" s="28">
        <v>5668653</v>
      </c>
      <c r="D2390" s="28"/>
      <c r="E2390" s="45">
        <v>46157</v>
      </c>
      <c r="F2390" s="48">
        <v>0.17293981481481482</v>
      </c>
      <c r="G2390" s="44">
        <v>6.3</v>
      </c>
      <c r="H2390" s="43" t="s">
        <v>1364</v>
      </c>
      <c r="I2390" s="40" t="s">
        <v>1361</v>
      </c>
    </row>
    <row r="2391" spans="1:9" x14ac:dyDescent="0.25">
      <c r="A2391" s="40" t="s">
        <v>425</v>
      </c>
      <c r="B2391" s="28">
        <v>2961</v>
      </c>
      <c r="C2391" s="28">
        <v>5668772</v>
      </c>
      <c r="D2391" s="28"/>
      <c r="E2391" s="45">
        <v>46157</v>
      </c>
      <c r="F2391" s="48">
        <v>0.51106481481481481</v>
      </c>
      <c r="G2391" s="44">
        <v>6.3</v>
      </c>
      <c r="H2391" s="43" t="s">
        <v>1363</v>
      </c>
      <c r="I2391" s="40" t="s">
        <v>1361</v>
      </c>
    </row>
    <row r="2392" spans="1:9" x14ac:dyDescent="0.25">
      <c r="A2392" s="40" t="s">
        <v>425</v>
      </c>
      <c r="B2392" s="28">
        <v>2961</v>
      </c>
      <c r="C2392" s="28">
        <v>5668772</v>
      </c>
      <c r="D2392" s="28"/>
      <c r="E2392" s="41">
        <v>46157</v>
      </c>
      <c r="F2392" s="47">
        <v>0.5169907407407407</v>
      </c>
      <c r="G2392" s="44">
        <v>6.3</v>
      </c>
      <c r="H2392" s="43" t="s">
        <v>1364</v>
      </c>
      <c r="I2392" s="40" t="s">
        <v>1361</v>
      </c>
    </row>
    <row r="2393" spans="1:9" x14ac:dyDescent="0.25">
      <c r="A2393" s="40" t="s">
        <v>425</v>
      </c>
      <c r="B2393" s="28">
        <v>2961</v>
      </c>
      <c r="C2393" s="28">
        <v>5670440</v>
      </c>
      <c r="D2393" s="28"/>
      <c r="E2393" s="45">
        <v>46158</v>
      </c>
      <c r="F2393" s="48">
        <v>0.61925925925925929</v>
      </c>
      <c r="G2393" s="44">
        <v>6.3</v>
      </c>
      <c r="H2393" s="43" t="s">
        <v>1360</v>
      </c>
      <c r="I2393" s="40" t="s">
        <v>1365</v>
      </c>
    </row>
    <row r="2394" spans="1:9" x14ac:dyDescent="0.25">
      <c r="A2394" s="40" t="s">
        <v>425</v>
      </c>
      <c r="B2394" s="28">
        <v>2961</v>
      </c>
      <c r="C2394" s="28">
        <v>5670440</v>
      </c>
      <c r="D2394" s="28"/>
      <c r="E2394" s="41">
        <v>46158</v>
      </c>
      <c r="F2394" s="47">
        <v>0.63114583333333329</v>
      </c>
      <c r="G2394" s="44">
        <v>6.3</v>
      </c>
      <c r="H2394" s="43" t="s">
        <v>1362</v>
      </c>
      <c r="I2394" s="40" t="s">
        <v>1365</v>
      </c>
    </row>
    <row r="2395" spans="1:9" x14ac:dyDescent="0.25">
      <c r="A2395" s="40" t="s">
        <v>341</v>
      </c>
      <c r="B2395" s="28">
        <v>2974</v>
      </c>
      <c r="C2395" s="28" t="s">
        <v>35</v>
      </c>
      <c r="D2395" s="28" t="s">
        <v>38</v>
      </c>
      <c r="E2395" s="41">
        <v>46153</v>
      </c>
      <c r="F2395" s="47">
        <v>0.34055555555555556</v>
      </c>
      <c r="G2395" s="44">
        <v>6.3</v>
      </c>
      <c r="H2395" s="43" t="s">
        <v>1363</v>
      </c>
      <c r="I2395" s="40" t="s">
        <v>1361</v>
      </c>
    </row>
    <row r="2396" spans="1:9" x14ac:dyDescent="0.25">
      <c r="A2396" s="40" t="s">
        <v>341</v>
      </c>
      <c r="B2396" s="28">
        <v>2974</v>
      </c>
      <c r="C2396" s="28" t="s">
        <v>35</v>
      </c>
      <c r="D2396" s="28" t="s">
        <v>38</v>
      </c>
      <c r="E2396" s="41">
        <v>46153</v>
      </c>
      <c r="F2396" s="47">
        <v>0.35439814814814813</v>
      </c>
      <c r="G2396" s="44">
        <v>6.3</v>
      </c>
      <c r="H2396" s="43" t="s">
        <v>1364</v>
      </c>
      <c r="I2396" s="40" t="s">
        <v>1361</v>
      </c>
    </row>
    <row r="2397" spans="1:9" x14ac:dyDescent="0.25">
      <c r="A2397" s="40" t="s">
        <v>341</v>
      </c>
      <c r="B2397" s="28">
        <v>2974</v>
      </c>
      <c r="C2397" s="28" t="s">
        <v>35</v>
      </c>
      <c r="D2397" s="28" t="s">
        <v>38</v>
      </c>
      <c r="E2397" s="41">
        <v>46153</v>
      </c>
      <c r="F2397" s="47">
        <v>0.56504629629629632</v>
      </c>
      <c r="G2397" s="44">
        <v>6.3</v>
      </c>
      <c r="H2397" s="43" t="s">
        <v>1363</v>
      </c>
      <c r="I2397" s="40" t="s">
        <v>1361</v>
      </c>
    </row>
    <row r="2398" spans="1:9" x14ac:dyDescent="0.25">
      <c r="A2398" s="40" t="s">
        <v>341</v>
      </c>
      <c r="B2398" s="28">
        <v>2974</v>
      </c>
      <c r="C2398" s="28" t="s">
        <v>35</v>
      </c>
      <c r="D2398" s="28" t="s">
        <v>38</v>
      </c>
      <c r="E2398" s="41">
        <v>46153</v>
      </c>
      <c r="F2398" s="47">
        <v>0.57143518518518521</v>
      </c>
      <c r="G2398" s="44">
        <v>6.3</v>
      </c>
      <c r="H2398" s="43" t="s">
        <v>1364</v>
      </c>
      <c r="I2398" s="40" t="s">
        <v>1361</v>
      </c>
    </row>
    <row r="2399" spans="1:9" x14ac:dyDescent="0.25">
      <c r="A2399" s="40" t="s">
        <v>341</v>
      </c>
      <c r="B2399" s="28">
        <v>2976</v>
      </c>
      <c r="C2399" s="28" t="s">
        <v>35</v>
      </c>
      <c r="D2399" s="28" t="s">
        <v>38</v>
      </c>
      <c r="E2399" s="45">
        <v>46153</v>
      </c>
      <c r="F2399" s="48">
        <v>0.73233796296296294</v>
      </c>
      <c r="G2399" s="44">
        <v>6.3</v>
      </c>
      <c r="H2399" s="43" t="s">
        <v>1360</v>
      </c>
      <c r="I2399" s="40" t="s">
        <v>1361</v>
      </c>
    </row>
    <row r="2400" spans="1:9" x14ac:dyDescent="0.25">
      <c r="A2400" s="40" t="s">
        <v>341</v>
      </c>
      <c r="B2400" s="28">
        <v>2976</v>
      </c>
      <c r="C2400" s="28" t="s">
        <v>35</v>
      </c>
      <c r="D2400" s="28" t="s">
        <v>38</v>
      </c>
      <c r="E2400" s="45">
        <v>46153</v>
      </c>
      <c r="F2400" s="48">
        <v>0.74401620370370369</v>
      </c>
      <c r="G2400" s="44">
        <v>6.3</v>
      </c>
      <c r="H2400" s="43" t="s">
        <v>1366</v>
      </c>
      <c r="I2400" s="40" t="s">
        <v>1361</v>
      </c>
    </row>
    <row r="2401" spans="1:9" x14ac:dyDescent="0.25">
      <c r="A2401" s="40" t="s">
        <v>341</v>
      </c>
      <c r="B2401" s="28">
        <v>2976</v>
      </c>
      <c r="C2401" s="28" t="s">
        <v>35</v>
      </c>
      <c r="D2401" s="28" t="s">
        <v>38</v>
      </c>
      <c r="E2401" s="41">
        <v>46153</v>
      </c>
      <c r="F2401" s="47">
        <v>0.79718750000000005</v>
      </c>
      <c r="G2401" s="44">
        <v>6.3</v>
      </c>
      <c r="H2401" s="43" t="s">
        <v>1362</v>
      </c>
      <c r="I2401" s="40" t="s">
        <v>1361</v>
      </c>
    </row>
    <row r="2402" spans="1:9" x14ac:dyDescent="0.25">
      <c r="A2402" s="40" t="s">
        <v>341</v>
      </c>
      <c r="B2402" s="28">
        <v>2976</v>
      </c>
      <c r="C2402" s="28" t="s">
        <v>35</v>
      </c>
      <c r="D2402" s="28" t="s">
        <v>38</v>
      </c>
      <c r="E2402" s="41">
        <v>46154</v>
      </c>
      <c r="F2402" s="47">
        <v>0.29530092592592594</v>
      </c>
      <c r="G2402" s="42">
        <v>6.3</v>
      </c>
      <c r="H2402" s="40" t="s">
        <v>1360</v>
      </c>
      <c r="I2402" s="40" t="s">
        <v>1361</v>
      </c>
    </row>
    <row r="2403" spans="1:9" x14ac:dyDescent="0.25">
      <c r="A2403" s="40" t="s">
        <v>341</v>
      </c>
      <c r="B2403" s="28">
        <v>2974</v>
      </c>
      <c r="C2403" s="28" t="s">
        <v>35</v>
      </c>
      <c r="D2403" s="28" t="s">
        <v>38</v>
      </c>
      <c r="E2403" s="41">
        <v>46154</v>
      </c>
      <c r="F2403" s="47">
        <v>0.58380787037037041</v>
      </c>
      <c r="G2403" s="42">
        <v>6.3</v>
      </c>
      <c r="H2403" s="40" t="s">
        <v>1363</v>
      </c>
      <c r="I2403" s="40" t="s">
        <v>1361</v>
      </c>
    </row>
    <row r="2404" spans="1:9" x14ac:dyDescent="0.25">
      <c r="A2404" s="40" t="s">
        <v>341</v>
      </c>
      <c r="B2404" s="28">
        <v>2974</v>
      </c>
      <c r="C2404" s="28" t="s">
        <v>35</v>
      </c>
      <c r="D2404" s="28" t="s">
        <v>38</v>
      </c>
      <c r="E2404" s="41">
        <v>46154</v>
      </c>
      <c r="F2404" s="47">
        <v>0.59039351851851851</v>
      </c>
      <c r="G2404" s="42">
        <v>6.3</v>
      </c>
      <c r="H2404" s="40" t="s">
        <v>1364</v>
      </c>
      <c r="I2404" s="40" t="s">
        <v>1361</v>
      </c>
    </row>
    <row r="2405" spans="1:9" x14ac:dyDescent="0.25">
      <c r="A2405" s="40" t="s">
        <v>341</v>
      </c>
      <c r="B2405" s="28">
        <v>2974</v>
      </c>
      <c r="C2405" s="28" t="s">
        <v>35</v>
      </c>
      <c r="D2405" s="28" t="s">
        <v>38</v>
      </c>
      <c r="E2405" s="41">
        <v>46154</v>
      </c>
      <c r="F2405" s="47">
        <v>0.90854166666666669</v>
      </c>
      <c r="G2405" s="42">
        <v>6.3</v>
      </c>
      <c r="H2405" s="40" t="s">
        <v>1360</v>
      </c>
      <c r="I2405" s="40" t="s">
        <v>1361</v>
      </c>
    </row>
    <row r="2406" spans="1:9" x14ac:dyDescent="0.25">
      <c r="A2406" s="40" t="s">
        <v>341</v>
      </c>
      <c r="B2406" s="28">
        <v>2976</v>
      </c>
      <c r="C2406" s="28" t="s">
        <v>35</v>
      </c>
      <c r="D2406" s="28" t="s">
        <v>38</v>
      </c>
      <c r="E2406" s="41">
        <v>46154</v>
      </c>
      <c r="F2406" s="47">
        <v>0.91519675925925925</v>
      </c>
      <c r="G2406" s="44">
        <v>6.3</v>
      </c>
      <c r="H2406" s="43" t="s">
        <v>1362</v>
      </c>
      <c r="I2406" s="40" t="s">
        <v>1361</v>
      </c>
    </row>
    <row r="2407" spans="1:9" x14ac:dyDescent="0.25">
      <c r="A2407" s="40" t="s">
        <v>341</v>
      </c>
      <c r="B2407" s="28">
        <v>2976</v>
      </c>
      <c r="C2407" s="28" t="s">
        <v>35</v>
      </c>
      <c r="D2407" s="28" t="s">
        <v>38</v>
      </c>
      <c r="E2407" s="41">
        <v>46155</v>
      </c>
      <c r="F2407" s="47">
        <v>5.6249999999999998E-3</v>
      </c>
      <c r="G2407" s="44">
        <v>6.3</v>
      </c>
      <c r="H2407" s="43" t="s">
        <v>1369</v>
      </c>
      <c r="I2407" s="40" t="s">
        <v>1361</v>
      </c>
    </row>
    <row r="2408" spans="1:9" x14ac:dyDescent="0.25">
      <c r="A2408" s="40" t="s">
        <v>341</v>
      </c>
      <c r="B2408" s="28">
        <v>2976</v>
      </c>
      <c r="C2408" s="28" t="s">
        <v>35</v>
      </c>
      <c r="D2408" s="28" t="s">
        <v>38</v>
      </c>
      <c r="E2408" s="41">
        <v>46155</v>
      </c>
      <c r="F2408" s="47">
        <v>1.037037037037037E-2</v>
      </c>
      <c r="G2408" s="44">
        <v>6.3</v>
      </c>
      <c r="H2408" s="43" t="s">
        <v>1364</v>
      </c>
      <c r="I2408" s="40" t="s">
        <v>1361</v>
      </c>
    </row>
    <row r="2409" spans="1:9" x14ac:dyDescent="0.25">
      <c r="A2409" s="40" t="s">
        <v>341</v>
      </c>
      <c r="B2409" s="28">
        <v>2976</v>
      </c>
      <c r="C2409" s="28" t="s">
        <v>35</v>
      </c>
      <c r="D2409" s="28" t="s">
        <v>38</v>
      </c>
      <c r="E2409" s="41">
        <v>46155</v>
      </c>
      <c r="F2409" s="47">
        <v>0.24899305555555556</v>
      </c>
      <c r="G2409" s="44">
        <v>6.3</v>
      </c>
      <c r="H2409" s="43" t="s">
        <v>1360</v>
      </c>
      <c r="I2409" s="40" t="s">
        <v>1361</v>
      </c>
    </row>
    <row r="2410" spans="1:9" x14ac:dyDescent="0.25">
      <c r="A2410" s="40" t="s">
        <v>341</v>
      </c>
      <c r="B2410" s="28">
        <v>2974</v>
      </c>
      <c r="C2410" s="28" t="s">
        <v>35</v>
      </c>
      <c r="D2410" s="28" t="s">
        <v>38</v>
      </c>
      <c r="E2410" s="41">
        <v>46155</v>
      </c>
      <c r="F2410" s="47">
        <v>0.26229166666666665</v>
      </c>
      <c r="G2410" s="44">
        <v>6.3</v>
      </c>
      <c r="H2410" s="43" t="s">
        <v>1362</v>
      </c>
      <c r="I2410" s="40" t="s">
        <v>1361</v>
      </c>
    </row>
    <row r="2411" spans="1:9" x14ac:dyDescent="0.25">
      <c r="A2411" s="40" t="s">
        <v>341</v>
      </c>
      <c r="B2411" s="28">
        <v>2974</v>
      </c>
      <c r="C2411" s="28" t="s">
        <v>35</v>
      </c>
      <c r="D2411" s="28" t="s">
        <v>38</v>
      </c>
      <c r="E2411" s="41">
        <v>46155</v>
      </c>
      <c r="F2411" s="47">
        <v>0.44488425925925928</v>
      </c>
      <c r="G2411" s="44">
        <v>6.3</v>
      </c>
      <c r="H2411" s="43" t="s">
        <v>1363</v>
      </c>
      <c r="I2411" s="40" t="s">
        <v>1361</v>
      </c>
    </row>
    <row r="2412" spans="1:9" x14ac:dyDescent="0.25">
      <c r="A2412" s="40" t="s">
        <v>341</v>
      </c>
      <c r="B2412" s="28">
        <v>2974</v>
      </c>
      <c r="C2412" s="28" t="s">
        <v>35</v>
      </c>
      <c r="D2412" s="28" t="s">
        <v>38</v>
      </c>
      <c r="E2412" s="45">
        <v>46155</v>
      </c>
      <c r="F2412" s="48">
        <v>0.45144675925925926</v>
      </c>
      <c r="G2412" s="44">
        <v>6.3</v>
      </c>
      <c r="H2412" s="43" t="s">
        <v>1364</v>
      </c>
      <c r="I2412" s="40" t="s">
        <v>1361</v>
      </c>
    </row>
    <row r="2413" spans="1:9" x14ac:dyDescent="0.25">
      <c r="A2413" s="40" t="s">
        <v>341</v>
      </c>
      <c r="B2413" s="28">
        <v>2974</v>
      </c>
      <c r="C2413" s="28" t="s">
        <v>35</v>
      </c>
      <c r="D2413" s="28" t="s">
        <v>38</v>
      </c>
      <c r="E2413" s="41">
        <v>46155</v>
      </c>
      <c r="F2413" s="47">
        <v>0.77462962962962967</v>
      </c>
      <c r="G2413" s="44">
        <v>6.3</v>
      </c>
      <c r="H2413" s="43" t="s">
        <v>1360</v>
      </c>
      <c r="I2413" s="40" t="s">
        <v>1361</v>
      </c>
    </row>
    <row r="2414" spans="1:9" x14ac:dyDescent="0.25">
      <c r="A2414" s="40" t="s">
        <v>341</v>
      </c>
      <c r="B2414" s="28">
        <v>2976</v>
      </c>
      <c r="C2414" s="28" t="s">
        <v>35</v>
      </c>
      <c r="D2414" s="28" t="s">
        <v>38</v>
      </c>
      <c r="E2414" s="41">
        <v>46155</v>
      </c>
      <c r="F2414" s="47">
        <v>0.85795138888888889</v>
      </c>
      <c r="G2414" s="44">
        <v>6.3</v>
      </c>
      <c r="H2414" s="43" t="s">
        <v>1369</v>
      </c>
      <c r="I2414" s="40" t="s">
        <v>1361</v>
      </c>
    </row>
    <row r="2415" spans="1:9" x14ac:dyDescent="0.25">
      <c r="A2415" s="40" t="s">
        <v>341</v>
      </c>
      <c r="B2415" s="28">
        <v>2976</v>
      </c>
      <c r="C2415" s="28" t="s">
        <v>35</v>
      </c>
      <c r="D2415" s="28" t="s">
        <v>38</v>
      </c>
      <c r="E2415" s="41">
        <v>46155</v>
      </c>
      <c r="F2415" s="47">
        <v>0.8691550925925926</v>
      </c>
      <c r="G2415" s="42">
        <v>6.3</v>
      </c>
      <c r="H2415" s="40" t="s">
        <v>1364</v>
      </c>
      <c r="I2415" s="40" t="s">
        <v>1361</v>
      </c>
    </row>
    <row r="2416" spans="1:9" x14ac:dyDescent="0.25">
      <c r="A2416" s="40" t="s">
        <v>341</v>
      </c>
      <c r="B2416" s="28">
        <v>2976</v>
      </c>
      <c r="C2416" s="28" t="s">
        <v>35</v>
      </c>
      <c r="D2416" s="28" t="s">
        <v>38</v>
      </c>
      <c r="E2416" s="41">
        <v>46155</v>
      </c>
      <c r="F2416" s="47">
        <v>0.90410879629629626</v>
      </c>
      <c r="G2416" s="42">
        <v>6.3</v>
      </c>
      <c r="H2416" s="40" t="s">
        <v>1360</v>
      </c>
      <c r="I2416" s="40" t="s">
        <v>1361</v>
      </c>
    </row>
    <row r="2417" spans="1:9" x14ac:dyDescent="0.25">
      <c r="A2417" s="40" t="s">
        <v>341</v>
      </c>
      <c r="B2417" s="28">
        <v>2976</v>
      </c>
      <c r="C2417" s="28" t="s">
        <v>35</v>
      </c>
      <c r="D2417" s="28" t="s">
        <v>38</v>
      </c>
      <c r="E2417" s="41">
        <v>46155</v>
      </c>
      <c r="F2417" s="47">
        <v>0.90861111111111115</v>
      </c>
      <c r="G2417" s="44">
        <v>6.3</v>
      </c>
      <c r="H2417" s="43" t="s">
        <v>1366</v>
      </c>
      <c r="I2417" s="40" t="s">
        <v>1361</v>
      </c>
    </row>
    <row r="2418" spans="1:9" x14ac:dyDescent="0.25">
      <c r="A2418" s="40" t="s">
        <v>341</v>
      </c>
      <c r="B2418" s="28">
        <v>2976</v>
      </c>
      <c r="C2418" s="28" t="s">
        <v>35</v>
      </c>
      <c r="D2418" s="28" t="s">
        <v>38</v>
      </c>
      <c r="E2418" s="45">
        <v>46155</v>
      </c>
      <c r="F2418" s="48">
        <v>0.96342592592592591</v>
      </c>
      <c r="G2418" s="44">
        <v>6.3</v>
      </c>
      <c r="H2418" s="43" t="s">
        <v>1369</v>
      </c>
      <c r="I2418" s="40" t="s">
        <v>1361</v>
      </c>
    </row>
    <row r="2419" spans="1:9" x14ac:dyDescent="0.25">
      <c r="A2419" s="40" t="s">
        <v>341</v>
      </c>
      <c r="B2419" s="28">
        <v>2976</v>
      </c>
      <c r="C2419" s="28" t="s">
        <v>35</v>
      </c>
      <c r="D2419" s="28" t="s">
        <v>38</v>
      </c>
      <c r="E2419" s="41">
        <v>46155</v>
      </c>
      <c r="F2419" s="47">
        <v>0.96802083333333333</v>
      </c>
      <c r="G2419" s="44">
        <v>6.3</v>
      </c>
      <c r="H2419" s="43" t="s">
        <v>1364</v>
      </c>
      <c r="I2419" s="40" t="s">
        <v>1361</v>
      </c>
    </row>
    <row r="2420" spans="1:9" x14ac:dyDescent="0.25">
      <c r="A2420" s="40" t="s">
        <v>341</v>
      </c>
      <c r="B2420" s="28">
        <v>2976</v>
      </c>
      <c r="C2420" s="28" t="s">
        <v>35</v>
      </c>
      <c r="D2420" s="28" t="s">
        <v>38</v>
      </c>
      <c r="E2420" s="41">
        <v>46156</v>
      </c>
      <c r="F2420" s="47">
        <v>6.6759259259259254E-2</v>
      </c>
      <c r="G2420" s="44">
        <v>6.3</v>
      </c>
      <c r="H2420" s="43" t="s">
        <v>1363</v>
      </c>
      <c r="I2420" s="40" t="s">
        <v>1361</v>
      </c>
    </row>
    <row r="2421" spans="1:9" x14ac:dyDescent="0.25">
      <c r="A2421" s="40" t="s">
        <v>341</v>
      </c>
      <c r="B2421" s="28">
        <v>2976</v>
      </c>
      <c r="C2421" s="28" t="s">
        <v>35</v>
      </c>
      <c r="D2421" s="28" t="s">
        <v>38</v>
      </c>
      <c r="E2421" s="41">
        <v>46156</v>
      </c>
      <c r="F2421" s="47">
        <v>7.2037037037037038E-2</v>
      </c>
      <c r="G2421" s="44">
        <v>6.3</v>
      </c>
      <c r="H2421" s="43" t="s">
        <v>1364</v>
      </c>
      <c r="I2421" s="40" t="s">
        <v>1361</v>
      </c>
    </row>
    <row r="2422" spans="1:9" x14ac:dyDescent="0.25">
      <c r="A2422" s="40" t="s">
        <v>341</v>
      </c>
      <c r="B2422" s="28">
        <v>2976</v>
      </c>
      <c r="C2422" s="28" t="s">
        <v>35</v>
      </c>
      <c r="D2422" s="28" t="s">
        <v>38</v>
      </c>
      <c r="E2422" s="45">
        <v>46156</v>
      </c>
      <c r="F2422" s="48">
        <v>0.51373842592592589</v>
      </c>
      <c r="G2422" s="44">
        <v>6.3</v>
      </c>
      <c r="H2422" s="43" t="s">
        <v>1360</v>
      </c>
      <c r="I2422" s="40" t="s">
        <v>1361</v>
      </c>
    </row>
    <row r="2423" spans="1:9" x14ac:dyDescent="0.25">
      <c r="A2423" s="40" t="s">
        <v>341</v>
      </c>
      <c r="B2423" s="28">
        <v>2974</v>
      </c>
      <c r="C2423" s="28" t="s">
        <v>35</v>
      </c>
      <c r="D2423" s="28" t="s">
        <v>38</v>
      </c>
      <c r="E2423" s="45">
        <v>46156</v>
      </c>
      <c r="F2423" s="48">
        <v>0.52383101851851854</v>
      </c>
      <c r="G2423" s="44">
        <v>6.3</v>
      </c>
      <c r="H2423" s="43" t="s">
        <v>1362</v>
      </c>
      <c r="I2423" s="40" t="s">
        <v>1361</v>
      </c>
    </row>
    <row r="2424" spans="1:9" x14ac:dyDescent="0.25">
      <c r="A2424" s="40" t="s">
        <v>341</v>
      </c>
      <c r="B2424" s="28">
        <v>2974</v>
      </c>
      <c r="C2424" s="28" t="s">
        <v>35</v>
      </c>
      <c r="D2424" s="28" t="s">
        <v>38</v>
      </c>
      <c r="E2424" s="45">
        <v>46156</v>
      </c>
      <c r="F2424" s="48">
        <v>0.53883101851851856</v>
      </c>
      <c r="G2424" s="44">
        <v>6.3</v>
      </c>
      <c r="H2424" s="43" t="s">
        <v>1363</v>
      </c>
      <c r="I2424" s="40" t="s">
        <v>1361</v>
      </c>
    </row>
    <row r="2425" spans="1:9" x14ac:dyDescent="0.25">
      <c r="A2425" s="40" t="s">
        <v>341</v>
      </c>
      <c r="B2425" s="28">
        <v>2974</v>
      </c>
      <c r="C2425" s="28" t="s">
        <v>35</v>
      </c>
      <c r="D2425" s="28" t="s">
        <v>38</v>
      </c>
      <c r="E2425" s="41">
        <v>46156</v>
      </c>
      <c r="F2425" s="47">
        <v>0.54469907407407403</v>
      </c>
      <c r="G2425" s="44">
        <v>6.3</v>
      </c>
      <c r="H2425" s="43" t="s">
        <v>1364</v>
      </c>
      <c r="I2425" s="40" t="s">
        <v>1361</v>
      </c>
    </row>
    <row r="2426" spans="1:9" x14ac:dyDescent="0.25">
      <c r="A2426" s="40" t="s">
        <v>341</v>
      </c>
      <c r="B2426" s="28">
        <v>2974</v>
      </c>
      <c r="C2426" s="28" t="s">
        <v>35</v>
      </c>
      <c r="D2426" s="28" t="s">
        <v>38</v>
      </c>
      <c r="E2426" s="41">
        <v>46156</v>
      </c>
      <c r="F2426" s="47">
        <v>0.67664351851851856</v>
      </c>
      <c r="G2426" s="44">
        <v>6.3</v>
      </c>
      <c r="H2426" s="43" t="s">
        <v>1363</v>
      </c>
      <c r="I2426" s="40" t="s">
        <v>1361</v>
      </c>
    </row>
    <row r="2427" spans="1:9" x14ac:dyDescent="0.25">
      <c r="A2427" s="40" t="s">
        <v>341</v>
      </c>
      <c r="B2427" s="28">
        <v>2974</v>
      </c>
      <c r="C2427" s="28" t="s">
        <v>35</v>
      </c>
      <c r="D2427" s="28" t="s">
        <v>38</v>
      </c>
      <c r="E2427" s="41">
        <v>46156</v>
      </c>
      <c r="F2427" s="47">
        <v>0.68252314814814818</v>
      </c>
      <c r="G2427" s="44">
        <v>6.3</v>
      </c>
      <c r="H2427" s="43" t="s">
        <v>1364</v>
      </c>
      <c r="I2427" s="40" t="s">
        <v>1361</v>
      </c>
    </row>
    <row r="2428" spans="1:9" x14ac:dyDescent="0.25">
      <c r="A2428" s="40" t="s">
        <v>317</v>
      </c>
      <c r="B2428" s="28">
        <v>2979</v>
      </c>
      <c r="C2428" s="28">
        <v>5658728</v>
      </c>
      <c r="D2428" s="28"/>
      <c r="E2428" s="41">
        <v>46153</v>
      </c>
      <c r="F2428" s="47">
        <v>0.39702546296296298</v>
      </c>
      <c r="G2428" s="44">
        <v>6.3</v>
      </c>
      <c r="H2428" s="43" t="s">
        <v>1360</v>
      </c>
      <c r="I2428" s="40" t="s">
        <v>1361</v>
      </c>
    </row>
    <row r="2429" spans="1:9" x14ac:dyDescent="0.25">
      <c r="A2429" s="40" t="s">
        <v>317</v>
      </c>
      <c r="B2429" s="28">
        <v>2979</v>
      </c>
      <c r="C2429" s="28">
        <v>5658728</v>
      </c>
      <c r="D2429" s="28"/>
      <c r="E2429" s="41">
        <v>46153</v>
      </c>
      <c r="F2429" s="47">
        <v>0.41166666666666668</v>
      </c>
      <c r="G2429" s="44">
        <v>6.3</v>
      </c>
      <c r="H2429" s="43" t="s">
        <v>1362</v>
      </c>
      <c r="I2429" s="40" t="s">
        <v>1361</v>
      </c>
    </row>
    <row r="2430" spans="1:9" x14ac:dyDescent="0.25">
      <c r="A2430" s="40" t="s">
        <v>317</v>
      </c>
      <c r="B2430" s="28">
        <v>2979</v>
      </c>
      <c r="C2430" s="28">
        <v>5657227</v>
      </c>
      <c r="D2430" s="28"/>
      <c r="E2430" s="41">
        <v>46153</v>
      </c>
      <c r="F2430" s="47">
        <v>0.47947916666666668</v>
      </c>
      <c r="G2430" s="44">
        <v>6.3</v>
      </c>
      <c r="H2430" s="43" t="s">
        <v>1363</v>
      </c>
      <c r="I2430" s="40" t="s">
        <v>1361</v>
      </c>
    </row>
    <row r="2431" spans="1:9" x14ac:dyDescent="0.25">
      <c r="A2431" s="40" t="s">
        <v>317</v>
      </c>
      <c r="B2431" s="28">
        <v>2979</v>
      </c>
      <c r="C2431" s="28">
        <v>5657227</v>
      </c>
      <c r="D2431" s="28"/>
      <c r="E2431" s="41">
        <v>46153</v>
      </c>
      <c r="F2431" s="47">
        <v>0.48538194444444444</v>
      </c>
      <c r="G2431" s="44">
        <v>6.3</v>
      </c>
      <c r="H2431" s="43" t="s">
        <v>1364</v>
      </c>
      <c r="I2431" s="40" t="s">
        <v>1361</v>
      </c>
    </row>
    <row r="2432" spans="1:9" x14ac:dyDescent="0.25">
      <c r="A2432" s="40" t="s">
        <v>317</v>
      </c>
      <c r="B2432" s="28">
        <v>2986</v>
      </c>
      <c r="C2432" s="28">
        <v>5668140</v>
      </c>
      <c r="D2432" s="28"/>
      <c r="E2432" s="41">
        <v>46156</v>
      </c>
      <c r="F2432" s="47">
        <v>0.90773148148148153</v>
      </c>
      <c r="G2432" s="44">
        <v>6.3</v>
      </c>
      <c r="H2432" s="43" t="s">
        <v>1369</v>
      </c>
      <c r="I2432" s="40" t="s">
        <v>1361</v>
      </c>
    </row>
    <row r="2433" spans="1:9" x14ac:dyDescent="0.25">
      <c r="A2433" s="40" t="s">
        <v>317</v>
      </c>
      <c r="B2433" s="28">
        <v>2986</v>
      </c>
      <c r="C2433" s="28">
        <v>5668585</v>
      </c>
      <c r="D2433" s="28"/>
      <c r="E2433" s="41">
        <v>46157</v>
      </c>
      <c r="F2433" s="47">
        <v>0.16466435185185185</v>
      </c>
      <c r="G2433" s="44">
        <v>6.3</v>
      </c>
      <c r="H2433" s="43" t="s">
        <v>1369</v>
      </c>
      <c r="I2433" s="40" t="s">
        <v>1361</v>
      </c>
    </row>
    <row r="2434" spans="1:9" x14ac:dyDescent="0.25">
      <c r="A2434" s="40" t="s">
        <v>317</v>
      </c>
      <c r="B2434" s="28">
        <v>2986</v>
      </c>
      <c r="C2434" s="28">
        <v>5668585</v>
      </c>
      <c r="D2434" s="28"/>
      <c r="E2434" s="41">
        <v>46157</v>
      </c>
      <c r="F2434" s="47">
        <v>0.16975694444444445</v>
      </c>
      <c r="G2434" s="44">
        <v>6.3</v>
      </c>
      <c r="H2434" s="43" t="s">
        <v>1364</v>
      </c>
      <c r="I2434" s="40" t="s">
        <v>1361</v>
      </c>
    </row>
    <row r="2435" spans="1:9" x14ac:dyDescent="0.25">
      <c r="A2435" s="40" t="s">
        <v>317</v>
      </c>
      <c r="B2435" s="28">
        <v>2979</v>
      </c>
      <c r="C2435" s="28" t="s">
        <v>35</v>
      </c>
      <c r="D2435" s="28" t="s">
        <v>38</v>
      </c>
      <c r="E2435" s="41">
        <v>46157</v>
      </c>
      <c r="F2435" s="47">
        <v>0.22010416666666666</v>
      </c>
      <c r="G2435" s="44">
        <v>6.3</v>
      </c>
      <c r="H2435" s="43" t="s">
        <v>1360</v>
      </c>
      <c r="I2435" s="40" t="s">
        <v>1361</v>
      </c>
    </row>
    <row r="2436" spans="1:9" x14ac:dyDescent="0.25">
      <c r="A2436" s="40" t="s">
        <v>317</v>
      </c>
      <c r="B2436" s="28">
        <v>2979</v>
      </c>
      <c r="C2436" s="28" t="s">
        <v>35</v>
      </c>
      <c r="D2436" s="28" t="s">
        <v>38</v>
      </c>
      <c r="E2436" s="41">
        <v>46157</v>
      </c>
      <c r="F2436" s="47">
        <v>0.47311342592592592</v>
      </c>
      <c r="G2436" s="44">
        <v>6.3</v>
      </c>
      <c r="H2436" s="43" t="s">
        <v>1360</v>
      </c>
      <c r="I2436" s="40" t="s">
        <v>1361</v>
      </c>
    </row>
    <row r="2437" spans="1:9" x14ac:dyDescent="0.25">
      <c r="A2437" s="40" t="s">
        <v>317</v>
      </c>
      <c r="B2437" s="28">
        <v>2979</v>
      </c>
      <c r="C2437" s="28" t="s">
        <v>35</v>
      </c>
      <c r="D2437" s="28" t="s">
        <v>38</v>
      </c>
      <c r="E2437" s="45">
        <v>46157</v>
      </c>
      <c r="F2437" s="48">
        <v>0.48313657407407407</v>
      </c>
      <c r="G2437" s="44">
        <v>6.3</v>
      </c>
      <c r="H2437" s="43" t="s">
        <v>1368</v>
      </c>
      <c r="I2437" s="40" t="s">
        <v>1361</v>
      </c>
    </row>
    <row r="2438" spans="1:9" x14ac:dyDescent="0.25">
      <c r="A2438" s="40" t="s">
        <v>317</v>
      </c>
      <c r="B2438" s="28">
        <v>2979</v>
      </c>
      <c r="C2438" s="28" t="s">
        <v>35</v>
      </c>
      <c r="D2438" s="28" t="s">
        <v>38</v>
      </c>
      <c r="E2438" s="41">
        <v>46157</v>
      </c>
      <c r="F2438" s="47">
        <v>0.57436342592592593</v>
      </c>
      <c r="G2438" s="42">
        <v>6.3</v>
      </c>
      <c r="H2438" s="40" t="s">
        <v>1363</v>
      </c>
      <c r="I2438" s="40" t="s">
        <v>1361</v>
      </c>
    </row>
    <row r="2439" spans="1:9" x14ac:dyDescent="0.25">
      <c r="A2439" s="40" t="s">
        <v>317</v>
      </c>
      <c r="B2439" s="28">
        <v>2979</v>
      </c>
      <c r="C2439" s="28" t="s">
        <v>35</v>
      </c>
      <c r="D2439" s="28" t="s">
        <v>38</v>
      </c>
      <c r="E2439" s="41">
        <v>46157</v>
      </c>
      <c r="F2439" s="47">
        <v>0.58199074074074075</v>
      </c>
      <c r="G2439" s="42">
        <v>6.3</v>
      </c>
      <c r="H2439" s="40" t="s">
        <v>1364</v>
      </c>
      <c r="I2439" s="40" t="s">
        <v>1361</v>
      </c>
    </row>
    <row r="2440" spans="1:9" x14ac:dyDescent="0.25">
      <c r="A2440" s="40" t="s">
        <v>317</v>
      </c>
      <c r="B2440" s="28">
        <v>2986</v>
      </c>
      <c r="C2440" s="28" t="s">
        <v>35</v>
      </c>
      <c r="D2440" s="28" t="s">
        <v>38</v>
      </c>
      <c r="E2440" s="41">
        <v>46157</v>
      </c>
      <c r="F2440" s="47">
        <v>0.8421643518518519</v>
      </c>
      <c r="G2440" s="42">
        <v>6.3</v>
      </c>
      <c r="H2440" s="40" t="s">
        <v>1369</v>
      </c>
      <c r="I2440" s="40" t="s">
        <v>1361</v>
      </c>
    </row>
    <row r="2441" spans="1:9" x14ac:dyDescent="0.25">
      <c r="A2441" s="40" t="s">
        <v>317</v>
      </c>
      <c r="B2441" s="28">
        <v>2986</v>
      </c>
      <c r="C2441" s="28" t="s">
        <v>35</v>
      </c>
      <c r="D2441" s="28" t="s">
        <v>38</v>
      </c>
      <c r="E2441" s="41">
        <v>46157</v>
      </c>
      <c r="F2441" s="47">
        <v>0.85751157407407408</v>
      </c>
      <c r="G2441" s="42">
        <v>6.3</v>
      </c>
      <c r="H2441" s="40" t="s">
        <v>1364</v>
      </c>
      <c r="I2441" s="40" t="s">
        <v>1361</v>
      </c>
    </row>
    <row r="2442" spans="1:9" x14ac:dyDescent="0.25">
      <c r="A2442" s="40" t="s">
        <v>317</v>
      </c>
      <c r="B2442" s="28">
        <v>2986</v>
      </c>
      <c r="C2442" s="28" t="s">
        <v>35</v>
      </c>
      <c r="D2442" s="28" t="s">
        <v>38</v>
      </c>
      <c r="E2442" s="45">
        <v>46157</v>
      </c>
      <c r="F2442" s="48">
        <v>0.88853009259259264</v>
      </c>
      <c r="G2442" s="42">
        <v>6.3</v>
      </c>
      <c r="H2442" s="40" t="s">
        <v>1360</v>
      </c>
      <c r="I2442" s="40" t="s">
        <v>1361</v>
      </c>
    </row>
    <row r="2443" spans="1:9" x14ac:dyDescent="0.25">
      <c r="A2443" s="40" t="s">
        <v>317</v>
      </c>
      <c r="B2443" s="28">
        <v>2986</v>
      </c>
      <c r="C2443" s="28" t="s">
        <v>35</v>
      </c>
      <c r="D2443" s="28" t="s">
        <v>38</v>
      </c>
      <c r="E2443" s="41">
        <v>46157</v>
      </c>
      <c r="F2443" s="47">
        <v>0.89666666666666661</v>
      </c>
      <c r="G2443" s="42">
        <v>6.3</v>
      </c>
      <c r="H2443" s="40" t="s">
        <v>1362</v>
      </c>
      <c r="I2443" s="40" t="s">
        <v>1361</v>
      </c>
    </row>
    <row r="2444" spans="1:9" x14ac:dyDescent="0.25">
      <c r="A2444" s="40" t="s">
        <v>317</v>
      </c>
      <c r="B2444" s="28">
        <v>2986</v>
      </c>
      <c r="C2444" s="28" t="s">
        <v>35</v>
      </c>
      <c r="D2444" s="28" t="s">
        <v>38</v>
      </c>
      <c r="E2444" s="41">
        <v>46158</v>
      </c>
      <c r="F2444" s="47">
        <v>1.8587962962962962E-2</v>
      </c>
      <c r="G2444" s="42">
        <v>6.3</v>
      </c>
      <c r="H2444" s="40" t="s">
        <v>1364</v>
      </c>
      <c r="I2444" s="40" t="s">
        <v>1365</v>
      </c>
    </row>
    <row r="2445" spans="1:9" x14ac:dyDescent="0.25">
      <c r="A2445" s="40" t="s">
        <v>317</v>
      </c>
      <c r="B2445" s="28">
        <v>2986</v>
      </c>
      <c r="C2445" s="28" t="s">
        <v>35</v>
      </c>
      <c r="D2445" s="28" t="s">
        <v>38</v>
      </c>
      <c r="E2445" s="45">
        <v>46158</v>
      </c>
      <c r="F2445" s="48">
        <v>4.2511574074074077E-2</v>
      </c>
      <c r="G2445" s="44">
        <v>6.3</v>
      </c>
      <c r="H2445" s="43" t="s">
        <v>1360</v>
      </c>
      <c r="I2445" s="40" t="s">
        <v>1365</v>
      </c>
    </row>
    <row r="2446" spans="1:9" x14ac:dyDescent="0.25">
      <c r="A2446" s="40" t="s">
        <v>317</v>
      </c>
      <c r="B2446" s="28">
        <v>2986</v>
      </c>
      <c r="C2446" s="28" t="s">
        <v>35</v>
      </c>
      <c r="D2446" s="28" t="s">
        <v>38</v>
      </c>
      <c r="E2446" s="41">
        <v>46158</v>
      </c>
      <c r="F2446" s="47">
        <v>4.9664351851851848E-2</v>
      </c>
      <c r="G2446" s="44">
        <v>6.3</v>
      </c>
      <c r="H2446" s="43" t="s">
        <v>1362</v>
      </c>
      <c r="I2446" s="40" t="s">
        <v>1365</v>
      </c>
    </row>
    <row r="2447" spans="1:9" x14ac:dyDescent="0.25">
      <c r="A2447" s="40" t="s">
        <v>317</v>
      </c>
      <c r="B2447" s="28">
        <v>2979</v>
      </c>
      <c r="C2447" s="28" t="s">
        <v>35</v>
      </c>
      <c r="D2447" s="28" t="s">
        <v>38</v>
      </c>
      <c r="E2447" s="41">
        <v>46158</v>
      </c>
      <c r="F2447" s="47">
        <v>0.24634259259259259</v>
      </c>
      <c r="G2447" s="44">
        <v>6.3</v>
      </c>
      <c r="H2447" s="43" t="s">
        <v>1360</v>
      </c>
      <c r="I2447" s="40" t="s">
        <v>1365</v>
      </c>
    </row>
    <row r="2448" spans="1:9" x14ac:dyDescent="0.25">
      <c r="A2448" s="40" t="s">
        <v>317</v>
      </c>
      <c r="B2448" s="28">
        <v>2979</v>
      </c>
      <c r="C2448" s="28" t="s">
        <v>35</v>
      </c>
      <c r="D2448" s="28" t="s">
        <v>38</v>
      </c>
      <c r="E2448" s="41">
        <v>46158</v>
      </c>
      <c r="F2448" s="47">
        <v>0.25596064814814817</v>
      </c>
      <c r="G2448" s="44">
        <v>6.3</v>
      </c>
      <c r="H2448" s="43" t="s">
        <v>1362</v>
      </c>
      <c r="I2448" s="40" t="s">
        <v>1365</v>
      </c>
    </row>
    <row r="2449" spans="1:9" x14ac:dyDescent="0.25">
      <c r="A2449" s="40" t="s">
        <v>317</v>
      </c>
      <c r="B2449" s="28">
        <v>2979</v>
      </c>
      <c r="C2449" s="28" t="s">
        <v>35</v>
      </c>
      <c r="D2449" s="28" t="s">
        <v>38</v>
      </c>
      <c r="E2449" s="41">
        <v>46158</v>
      </c>
      <c r="F2449" s="47">
        <v>0.36001157407407408</v>
      </c>
      <c r="G2449" s="44">
        <v>6.3</v>
      </c>
      <c r="H2449" s="43" t="s">
        <v>1360</v>
      </c>
      <c r="I2449" s="40" t="s">
        <v>1365</v>
      </c>
    </row>
    <row r="2450" spans="1:9" x14ac:dyDescent="0.25">
      <c r="A2450" s="40" t="s">
        <v>317</v>
      </c>
      <c r="B2450" s="28">
        <v>2979</v>
      </c>
      <c r="C2450" s="28" t="s">
        <v>35</v>
      </c>
      <c r="D2450" s="28" t="s">
        <v>38</v>
      </c>
      <c r="E2450" s="41">
        <v>46158</v>
      </c>
      <c r="F2450" s="47">
        <v>0.37078703703703703</v>
      </c>
      <c r="G2450" s="44">
        <v>6.3</v>
      </c>
      <c r="H2450" s="43" t="s">
        <v>1368</v>
      </c>
      <c r="I2450" s="40" t="s">
        <v>1365</v>
      </c>
    </row>
    <row r="2451" spans="1:9" x14ac:dyDescent="0.25">
      <c r="A2451" s="40" t="s">
        <v>317</v>
      </c>
      <c r="B2451" s="28">
        <v>2979</v>
      </c>
      <c r="C2451" s="28" t="s">
        <v>35</v>
      </c>
      <c r="D2451" s="28" t="s">
        <v>38</v>
      </c>
      <c r="E2451" s="41">
        <v>46158</v>
      </c>
      <c r="F2451" s="47">
        <v>0.6224305555555556</v>
      </c>
      <c r="G2451" s="44">
        <v>6.3</v>
      </c>
      <c r="H2451" s="43" t="s">
        <v>1369</v>
      </c>
      <c r="I2451" s="40" t="s">
        <v>1365</v>
      </c>
    </row>
    <row r="2452" spans="1:9" x14ac:dyDescent="0.25">
      <c r="A2452" s="40" t="s">
        <v>317</v>
      </c>
      <c r="B2452" s="28">
        <v>2979</v>
      </c>
      <c r="C2452" s="28" t="s">
        <v>35</v>
      </c>
      <c r="D2452" s="28" t="s">
        <v>38</v>
      </c>
      <c r="E2452" s="41">
        <v>46158</v>
      </c>
      <c r="F2452" s="47">
        <v>0.63089120370370366</v>
      </c>
      <c r="G2452" s="44">
        <v>6.3</v>
      </c>
      <c r="H2452" s="43" t="s">
        <v>1364</v>
      </c>
      <c r="I2452" s="40" t="s">
        <v>1365</v>
      </c>
    </row>
    <row r="2453" spans="1:9" x14ac:dyDescent="0.25">
      <c r="A2453" s="40" t="s">
        <v>317</v>
      </c>
      <c r="B2453" s="28">
        <v>2979</v>
      </c>
      <c r="C2453" s="28" t="s">
        <v>35</v>
      </c>
      <c r="D2453" s="28" t="s">
        <v>38</v>
      </c>
      <c r="E2453" s="45">
        <v>46159</v>
      </c>
      <c r="F2453" s="48">
        <v>0.62086805555555558</v>
      </c>
      <c r="G2453" s="44">
        <v>6.3</v>
      </c>
      <c r="H2453" s="43" t="s">
        <v>1369</v>
      </c>
      <c r="I2453" s="40" t="s">
        <v>1365</v>
      </c>
    </row>
    <row r="2454" spans="1:9" x14ac:dyDescent="0.25">
      <c r="A2454" s="40" t="s">
        <v>317</v>
      </c>
      <c r="B2454" s="28">
        <v>2979</v>
      </c>
      <c r="C2454" s="28" t="s">
        <v>35</v>
      </c>
      <c r="D2454" s="28" t="s">
        <v>38</v>
      </c>
      <c r="E2454" s="41">
        <v>46159</v>
      </c>
      <c r="F2454" s="47">
        <v>0.62624999999999997</v>
      </c>
      <c r="G2454" s="44">
        <v>6.3</v>
      </c>
      <c r="H2454" s="43" t="s">
        <v>1364</v>
      </c>
      <c r="I2454" s="40" t="s">
        <v>1365</v>
      </c>
    </row>
    <row r="2455" spans="1:9" x14ac:dyDescent="0.25">
      <c r="A2455" s="40" t="s">
        <v>234</v>
      </c>
      <c r="B2455" s="28">
        <v>2980</v>
      </c>
      <c r="C2455" s="28">
        <v>5661693</v>
      </c>
      <c r="D2455" s="28"/>
      <c r="E2455" s="45">
        <v>46153</v>
      </c>
      <c r="F2455" s="48">
        <v>0.37525462962962963</v>
      </c>
      <c r="G2455" s="44">
        <v>6.3</v>
      </c>
      <c r="H2455" s="43" t="s">
        <v>1363</v>
      </c>
      <c r="I2455" s="40" t="s">
        <v>1361</v>
      </c>
    </row>
    <row r="2456" spans="1:9" x14ac:dyDescent="0.25">
      <c r="A2456" s="40" t="s">
        <v>234</v>
      </c>
      <c r="B2456" s="28">
        <v>2980</v>
      </c>
      <c r="C2456" s="28">
        <v>5661693</v>
      </c>
      <c r="D2456" s="28"/>
      <c r="E2456" s="41">
        <v>46153</v>
      </c>
      <c r="F2456" s="47">
        <v>0.39155092592592594</v>
      </c>
      <c r="G2456" s="44">
        <v>6.3</v>
      </c>
      <c r="H2456" s="43" t="s">
        <v>1364</v>
      </c>
      <c r="I2456" s="40" t="s">
        <v>1361</v>
      </c>
    </row>
    <row r="2457" spans="1:9" x14ac:dyDescent="0.25">
      <c r="A2457" s="40" t="s">
        <v>234</v>
      </c>
      <c r="B2457" s="28">
        <v>2980</v>
      </c>
      <c r="C2457" s="28">
        <v>5662486</v>
      </c>
      <c r="D2457" s="28"/>
      <c r="E2457" s="41">
        <v>46153</v>
      </c>
      <c r="F2457" s="47">
        <v>0.5569560185185185</v>
      </c>
      <c r="G2457" s="44">
        <v>6.3</v>
      </c>
      <c r="H2457" s="43" t="s">
        <v>1363</v>
      </c>
      <c r="I2457" s="40" t="s">
        <v>1361</v>
      </c>
    </row>
    <row r="2458" spans="1:9" x14ac:dyDescent="0.25">
      <c r="A2458" s="40" t="s">
        <v>234</v>
      </c>
      <c r="B2458" s="28">
        <v>2980</v>
      </c>
      <c r="C2458" s="28">
        <v>5662486</v>
      </c>
      <c r="D2458" s="28"/>
      <c r="E2458" s="41">
        <v>46153</v>
      </c>
      <c r="F2458" s="47">
        <v>0.56363425925925925</v>
      </c>
      <c r="G2458" s="44">
        <v>6.3</v>
      </c>
      <c r="H2458" s="43" t="s">
        <v>1364</v>
      </c>
      <c r="I2458" s="40" t="s">
        <v>1361</v>
      </c>
    </row>
    <row r="2459" spans="1:9" x14ac:dyDescent="0.25">
      <c r="A2459" s="40" t="s">
        <v>234</v>
      </c>
      <c r="B2459" s="28">
        <v>2980</v>
      </c>
      <c r="C2459" s="28" t="s">
        <v>35</v>
      </c>
      <c r="D2459" s="28" t="s">
        <v>38</v>
      </c>
      <c r="E2459" s="41">
        <v>46154</v>
      </c>
      <c r="F2459" s="47">
        <v>7.3414351851851856E-2</v>
      </c>
      <c r="G2459" s="44">
        <v>6.3</v>
      </c>
      <c r="H2459" s="43" t="s">
        <v>1363</v>
      </c>
      <c r="I2459" s="40" t="s">
        <v>1361</v>
      </c>
    </row>
    <row r="2460" spans="1:9" x14ac:dyDescent="0.25">
      <c r="A2460" s="40" t="s">
        <v>234</v>
      </c>
      <c r="B2460" s="28">
        <v>2980</v>
      </c>
      <c r="C2460" s="28" t="s">
        <v>35</v>
      </c>
      <c r="D2460" s="28" t="s">
        <v>38</v>
      </c>
      <c r="E2460" s="41">
        <v>46154</v>
      </c>
      <c r="F2460" s="47">
        <v>7.9525462962962964E-2</v>
      </c>
      <c r="G2460" s="44">
        <v>6.3</v>
      </c>
      <c r="H2460" s="43" t="s">
        <v>1364</v>
      </c>
      <c r="I2460" s="40" t="s">
        <v>1361</v>
      </c>
    </row>
    <row r="2461" spans="1:9" x14ac:dyDescent="0.25">
      <c r="A2461" s="40" t="s">
        <v>234</v>
      </c>
      <c r="B2461" s="28">
        <v>2980</v>
      </c>
      <c r="C2461" s="28" t="s">
        <v>35</v>
      </c>
      <c r="D2461" s="28" t="s">
        <v>38</v>
      </c>
      <c r="E2461" s="41">
        <v>46154</v>
      </c>
      <c r="F2461" s="47">
        <v>0.23011574074074073</v>
      </c>
      <c r="G2461" s="44">
        <v>6.3</v>
      </c>
      <c r="H2461" s="43" t="s">
        <v>1363</v>
      </c>
      <c r="I2461" s="40" t="s">
        <v>1361</v>
      </c>
    </row>
    <row r="2462" spans="1:9" x14ac:dyDescent="0.25">
      <c r="A2462" s="40" t="s">
        <v>234</v>
      </c>
      <c r="B2462" s="28">
        <v>2980</v>
      </c>
      <c r="C2462" s="28" t="s">
        <v>35</v>
      </c>
      <c r="D2462" s="28" t="s">
        <v>38</v>
      </c>
      <c r="E2462" s="41">
        <v>46154</v>
      </c>
      <c r="F2462" s="47">
        <v>0.23645833333333333</v>
      </c>
      <c r="G2462" s="44">
        <v>6.3</v>
      </c>
      <c r="H2462" s="43" t="s">
        <v>1364</v>
      </c>
      <c r="I2462" s="40" t="s">
        <v>1361</v>
      </c>
    </row>
    <row r="2463" spans="1:9" x14ac:dyDescent="0.25">
      <c r="A2463" s="40" t="s">
        <v>234</v>
      </c>
      <c r="B2463" s="28">
        <v>2980</v>
      </c>
      <c r="C2463" s="28" t="s">
        <v>35</v>
      </c>
      <c r="D2463" s="28" t="s">
        <v>38</v>
      </c>
      <c r="E2463" s="41">
        <v>46155</v>
      </c>
      <c r="F2463" s="47">
        <v>0.22966435185185186</v>
      </c>
      <c r="G2463" s="44">
        <v>6.3</v>
      </c>
      <c r="H2463" s="43" t="s">
        <v>1363</v>
      </c>
      <c r="I2463" s="40" t="s">
        <v>1361</v>
      </c>
    </row>
    <row r="2464" spans="1:9" x14ac:dyDescent="0.25">
      <c r="A2464" s="40" t="s">
        <v>234</v>
      </c>
      <c r="B2464" s="28">
        <v>2980</v>
      </c>
      <c r="C2464" s="28" t="s">
        <v>35</v>
      </c>
      <c r="D2464" s="28" t="s">
        <v>38</v>
      </c>
      <c r="E2464" s="45">
        <v>46155</v>
      </c>
      <c r="F2464" s="48">
        <v>0.23565972222222223</v>
      </c>
      <c r="G2464" s="44">
        <v>6.3</v>
      </c>
      <c r="H2464" s="43" t="s">
        <v>1364</v>
      </c>
      <c r="I2464" s="40" t="s">
        <v>1361</v>
      </c>
    </row>
    <row r="2465" spans="1:9" x14ac:dyDescent="0.25">
      <c r="A2465" s="40" t="s">
        <v>234</v>
      </c>
      <c r="B2465" s="28">
        <v>2980</v>
      </c>
      <c r="C2465" s="28">
        <v>5666404</v>
      </c>
      <c r="D2465" s="28" t="s">
        <v>36</v>
      </c>
      <c r="E2465" s="41">
        <v>46155</v>
      </c>
      <c r="F2465" s="47">
        <v>0.70335648148148144</v>
      </c>
      <c r="G2465" s="44">
        <v>6.3</v>
      </c>
      <c r="H2465" s="43" t="s">
        <v>1363</v>
      </c>
      <c r="I2465" s="40" t="s">
        <v>1361</v>
      </c>
    </row>
    <row r="2466" spans="1:9" x14ac:dyDescent="0.25">
      <c r="A2466" s="40" t="s">
        <v>234</v>
      </c>
      <c r="B2466" s="28">
        <v>2980</v>
      </c>
      <c r="C2466" s="28">
        <v>5666404</v>
      </c>
      <c r="D2466" s="28" t="s">
        <v>36</v>
      </c>
      <c r="E2466" s="41">
        <v>46155</v>
      </c>
      <c r="F2466" s="47">
        <v>0.71380787037037041</v>
      </c>
      <c r="G2466" s="44">
        <v>6.3</v>
      </c>
      <c r="H2466" s="43" t="s">
        <v>1364</v>
      </c>
      <c r="I2466" s="40" t="s">
        <v>1361</v>
      </c>
    </row>
    <row r="2467" spans="1:9" x14ac:dyDescent="0.25">
      <c r="A2467" s="40" t="s">
        <v>234</v>
      </c>
      <c r="B2467" s="28">
        <v>2980</v>
      </c>
      <c r="C2467" s="28">
        <v>5641975</v>
      </c>
      <c r="D2467" s="28"/>
      <c r="E2467" s="45">
        <v>46157</v>
      </c>
      <c r="F2467" s="48">
        <v>0.37854166666666667</v>
      </c>
      <c r="G2467" s="44">
        <v>6.3</v>
      </c>
      <c r="H2467" s="43" t="s">
        <v>1367</v>
      </c>
      <c r="I2467" s="40" t="s">
        <v>1361</v>
      </c>
    </row>
    <row r="2468" spans="1:9" x14ac:dyDescent="0.25">
      <c r="A2468" s="40" t="s">
        <v>234</v>
      </c>
      <c r="B2468" s="28">
        <v>2980</v>
      </c>
      <c r="C2468" s="28">
        <v>5670092</v>
      </c>
      <c r="D2468" s="28"/>
      <c r="E2468" s="41">
        <v>46157</v>
      </c>
      <c r="F2468" s="47">
        <v>0.62037037037037035</v>
      </c>
      <c r="G2468" s="44">
        <v>6.3</v>
      </c>
      <c r="H2468" s="43" t="s">
        <v>1360</v>
      </c>
      <c r="I2468" s="40" t="s">
        <v>1361</v>
      </c>
    </row>
    <row r="2469" spans="1:9" x14ac:dyDescent="0.25">
      <c r="A2469" s="40" t="s">
        <v>234</v>
      </c>
      <c r="B2469" s="28">
        <v>2980</v>
      </c>
      <c r="C2469" s="28">
        <v>5670092</v>
      </c>
      <c r="D2469" s="28"/>
      <c r="E2469" s="45">
        <v>46157</v>
      </c>
      <c r="F2469" s="48">
        <v>0.63269675925925928</v>
      </c>
      <c r="G2469" s="44">
        <v>6.3</v>
      </c>
      <c r="H2469" s="43" t="s">
        <v>1362</v>
      </c>
      <c r="I2469" s="40" t="s">
        <v>1361</v>
      </c>
    </row>
    <row r="2470" spans="1:9" x14ac:dyDescent="0.25">
      <c r="A2470" s="40" t="s">
        <v>234</v>
      </c>
      <c r="B2470" s="28">
        <v>2980</v>
      </c>
      <c r="C2470" s="28">
        <v>5670778</v>
      </c>
      <c r="D2470" s="28"/>
      <c r="E2470" s="41">
        <v>46158</v>
      </c>
      <c r="F2470" s="47">
        <v>0.49982638888888886</v>
      </c>
      <c r="G2470" s="44">
        <v>6.3</v>
      </c>
      <c r="H2470" s="43" t="s">
        <v>1360</v>
      </c>
      <c r="I2470" s="40" t="s">
        <v>1365</v>
      </c>
    </row>
    <row r="2471" spans="1:9" x14ac:dyDescent="0.25">
      <c r="A2471" s="40" t="s">
        <v>234</v>
      </c>
      <c r="B2471" s="28">
        <v>2980</v>
      </c>
      <c r="C2471" s="28">
        <v>5670778</v>
      </c>
      <c r="D2471" s="28"/>
      <c r="E2471" s="41">
        <v>46158</v>
      </c>
      <c r="F2471" s="47">
        <v>0.51376157407407408</v>
      </c>
      <c r="G2471" s="44">
        <v>6.3</v>
      </c>
      <c r="H2471" s="43" t="s">
        <v>1362</v>
      </c>
      <c r="I2471" s="40" t="s">
        <v>1365</v>
      </c>
    </row>
    <row r="2472" spans="1:9" x14ac:dyDescent="0.25">
      <c r="A2472" s="40" t="s">
        <v>232</v>
      </c>
      <c r="B2472" s="28">
        <v>4217</v>
      </c>
      <c r="C2472" s="28">
        <v>5660062</v>
      </c>
      <c r="D2472" s="28" t="s">
        <v>37</v>
      </c>
      <c r="E2472" s="41">
        <v>46153</v>
      </c>
      <c r="F2472" s="47">
        <v>0.21996527777777777</v>
      </c>
      <c r="G2472" s="44">
        <v>6.3</v>
      </c>
      <c r="H2472" s="43" t="s">
        <v>1363</v>
      </c>
      <c r="I2472" s="40" t="s">
        <v>1361</v>
      </c>
    </row>
    <row r="2473" spans="1:9" x14ac:dyDescent="0.25">
      <c r="A2473" s="40" t="s">
        <v>232</v>
      </c>
      <c r="B2473" s="28">
        <v>4217</v>
      </c>
      <c r="C2473" s="28">
        <v>5660062</v>
      </c>
      <c r="D2473" s="28" t="s">
        <v>37</v>
      </c>
      <c r="E2473" s="45">
        <v>46153</v>
      </c>
      <c r="F2473" s="48">
        <v>0.22539351851851852</v>
      </c>
      <c r="G2473" s="44">
        <v>6.3</v>
      </c>
      <c r="H2473" s="43" t="s">
        <v>1364</v>
      </c>
      <c r="I2473" s="40" t="s">
        <v>1361</v>
      </c>
    </row>
    <row r="2474" spans="1:9" x14ac:dyDescent="0.25">
      <c r="A2474" s="40" t="s">
        <v>232</v>
      </c>
      <c r="B2474" s="28">
        <v>2983</v>
      </c>
      <c r="C2474" s="28">
        <v>5662462</v>
      </c>
      <c r="D2474" s="28"/>
      <c r="E2474" s="41">
        <v>46153</v>
      </c>
      <c r="F2474" s="47">
        <v>0.36623842592592593</v>
      </c>
      <c r="G2474" s="44">
        <v>6.3</v>
      </c>
      <c r="H2474" s="43" t="s">
        <v>1360</v>
      </c>
      <c r="I2474" s="40" t="s">
        <v>1361</v>
      </c>
    </row>
    <row r="2475" spans="1:9" x14ac:dyDescent="0.25">
      <c r="A2475" s="40" t="s">
        <v>232</v>
      </c>
      <c r="B2475" s="28">
        <v>2983</v>
      </c>
      <c r="C2475" s="28">
        <v>5662462</v>
      </c>
      <c r="D2475" s="28"/>
      <c r="E2475" s="41">
        <v>46153</v>
      </c>
      <c r="F2475" s="47">
        <v>0.37747685185185187</v>
      </c>
      <c r="G2475" s="44">
        <v>6.3</v>
      </c>
      <c r="H2475" s="43" t="s">
        <v>1362</v>
      </c>
      <c r="I2475" s="40" t="s">
        <v>1361</v>
      </c>
    </row>
    <row r="2476" spans="1:9" x14ac:dyDescent="0.25">
      <c r="A2476" s="40" t="s">
        <v>232</v>
      </c>
      <c r="B2476" s="28">
        <v>2983</v>
      </c>
      <c r="C2476" s="28">
        <v>5661422</v>
      </c>
      <c r="D2476" s="28"/>
      <c r="E2476" s="41">
        <v>46153</v>
      </c>
      <c r="F2476" s="47">
        <v>0.59613425925925922</v>
      </c>
      <c r="G2476" s="44">
        <v>6.3</v>
      </c>
      <c r="H2476" s="43" t="s">
        <v>1363</v>
      </c>
      <c r="I2476" s="40" t="s">
        <v>1361</v>
      </c>
    </row>
    <row r="2477" spans="1:9" x14ac:dyDescent="0.25">
      <c r="A2477" s="40" t="s">
        <v>232</v>
      </c>
      <c r="B2477" s="28">
        <v>2983</v>
      </c>
      <c r="C2477" s="28">
        <v>5661422</v>
      </c>
      <c r="D2477" s="28"/>
      <c r="E2477" s="41">
        <v>46153</v>
      </c>
      <c r="F2477" s="47">
        <v>0.60185185185185186</v>
      </c>
      <c r="G2477" s="44">
        <v>6.3</v>
      </c>
      <c r="H2477" s="43" t="s">
        <v>1364</v>
      </c>
      <c r="I2477" s="40" t="s">
        <v>1361</v>
      </c>
    </row>
    <row r="2478" spans="1:9" x14ac:dyDescent="0.25">
      <c r="A2478" s="40" t="s">
        <v>232</v>
      </c>
      <c r="B2478" s="28">
        <v>2983</v>
      </c>
      <c r="C2478" s="28" t="s">
        <v>35</v>
      </c>
      <c r="D2478" s="28" t="s">
        <v>38</v>
      </c>
      <c r="E2478" s="41">
        <v>46153</v>
      </c>
      <c r="F2478" s="47">
        <v>0.74289351851851848</v>
      </c>
      <c r="G2478" s="44">
        <v>6.3</v>
      </c>
      <c r="H2478" s="43" t="s">
        <v>1360</v>
      </c>
      <c r="I2478" s="40" t="s">
        <v>1361</v>
      </c>
    </row>
    <row r="2479" spans="1:9" x14ac:dyDescent="0.25">
      <c r="A2479" s="40" t="s">
        <v>232</v>
      </c>
      <c r="B2479" s="28">
        <v>2983</v>
      </c>
      <c r="C2479" s="28" t="s">
        <v>35</v>
      </c>
      <c r="D2479" s="28" t="s">
        <v>38</v>
      </c>
      <c r="E2479" s="41">
        <v>46153</v>
      </c>
      <c r="F2479" s="47">
        <v>0.75532407407407409</v>
      </c>
      <c r="G2479" s="44">
        <v>6.3</v>
      </c>
      <c r="H2479" s="43" t="s">
        <v>1362</v>
      </c>
      <c r="I2479" s="40" t="s">
        <v>1361</v>
      </c>
    </row>
    <row r="2480" spans="1:9" x14ac:dyDescent="0.25">
      <c r="A2480" s="40" t="s">
        <v>232</v>
      </c>
      <c r="B2480" s="28">
        <v>2983</v>
      </c>
      <c r="C2480" s="28">
        <v>5662631</v>
      </c>
      <c r="D2480" s="28" t="s">
        <v>37</v>
      </c>
      <c r="E2480" s="41">
        <v>46153</v>
      </c>
      <c r="F2480" s="47">
        <v>0.78604166666666664</v>
      </c>
      <c r="G2480" s="44">
        <v>6.3</v>
      </c>
      <c r="H2480" s="43" t="s">
        <v>1369</v>
      </c>
      <c r="I2480" s="40" t="s">
        <v>1361</v>
      </c>
    </row>
    <row r="2481" spans="1:9" x14ac:dyDescent="0.25">
      <c r="A2481" s="40" t="s">
        <v>232</v>
      </c>
      <c r="B2481" s="28">
        <v>2983</v>
      </c>
      <c r="C2481" s="28">
        <v>5662631</v>
      </c>
      <c r="D2481" s="28" t="s">
        <v>37</v>
      </c>
      <c r="E2481" s="45">
        <v>46153</v>
      </c>
      <c r="F2481" s="48">
        <v>0.7981018518518519</v>
      </c>
      <c r="G2481" s="44">
        <v>6.3</v>
      </c>
      <c r="H2481" s="43" t="s">
        <v>1364</v>
      </c>
      <c r="I2481" s="40" t="s">
        <v>1361</v>
      </c>
    </row>
    <row r="2482" spans="1:9" x14ac:dyDescent="0.25">
      <c r="A2482" s="40" t="s">
        <v>232</v>
      </c>
      <c r="B2482" s="28">
        <v>4217</v>
      </c>
      <c r="C2482" s="28">
        <v>5663859</v>
      </c>
      <c r="D2482" s="28"/>
      <c r="E2482" s="45">
        <v>46154</v>
      </c>
      <c r="F2482" s="48">
        <v>5.5092592592592589E-3</v>
      </c>
      <c r="G2482" s="44">
        <v>6.3</v>
      </c>
      <c r="H2482" s="43" t="s">
        <v>1360</v>
      </c>
      <c r="I2482" s="40" t="s">
        <v>1361</v>
      </c>
    </row>
    <row r="2483" spans="1:9" x14ac:dyDescent="0.25">
      <c r="A2483" s="40" t="s">
        <v>232</v>
      </c>
      <c r="B2483" s="28">
        <v>4217</v>
      </c>
      <c r="C2483" s="28" t="s">
        <v>35</v>
      </c>
      <c r="D2483" s="28" t="s">
        <v>38</v>
      </c>
      <c r="E2483" s="41">
        <v>46154</v>
      </c>
      <c r="F2483" s="47">
        <v>0.21630787037037036</v>
      </c>
      <c r="G2483" s="42">
        <v>6.3</v>
      </c>
      <c r="H2483" s="40" t="s">
        <v>1360</v>
      </c>
      <c r="I2483" s="40" t="s">
        <v>1361</v>
      </c>
    </row>
    <row r="2484" spans="1:9" x14ac:dyDescent="0.25">
      <c r="A2484" s="40" t="s">
        <v>232</v>
      </c>
      <c r="B2484" s="28">
        <v>4217</v>
      </c>
      <c r="C2484" s="28" t="s">
        <v>35</v>
      </c>
      <c r="D2484" s="28" t="s">
        <v>38</v>
      </c>
      <c r="E2484" s="41">
        <v>46154</v>
      </c>
      <c r="F2484" s="47">
        <v>0.22321759259259261</v>
      </c>
      <c r="G2484" s="42">
        <v>6.3</v>
      </c>
      <c r="H2484" s="40" t="s">
        <v>1362</v>
      </c>
      <c r="I2484" s="40" t="s">
        <v>1361</v>
      </c>
    </row>
    <row r="2485" spans="1:9" x14ac:dyDescent="0.25">
      <c r="A2485" s="40" t="s">
        <v>232</v>
      </c>
      <c r="B2485" s="28">
        <v>4217</v>
      </c>
      <c r="C2485" s="28">
        <v>5662509</v>
      </c>
      <c r="D2485" s="28"/>
      <c r="E2485" s="41">
        <v>46154</v>
      </c>
      <c r="F2485" s="47">
        <v>0.25876157407407407</v>
      </c>
      <c r="G2485" s="42">
        <v>6.3</v>
      </c>
      <c r="H2485" s="40" t="s">
        <v>1363</v>
      </c>
      <c r="I2485" s="40" t="s">
        <v>1361</v>
      </c>
    </row>
    <row r="2486" spans="1:9" x14ac:dyDescent="0.25">
      <c r="A2486" s="40" t="s">
        <v>232</v>
      </c>
      <c r="B2486" s="28">
        <v>4217</v>
      </c>
      <c r="C2486" s="28">
        <v>5662509</v>
      </c>
      <c r="D2486" s="28"/>
      <c r="E2486" s="41">
        <v>46154</v>
      </c>
      <c r="F2486" s="47">
        <v>0.265625</v>
      </c>
      <c r="G2486" s="42">
        <v>6.3</v>
      </c>
      <c r="H2486" s="40" t="s">
        <v>1364</v>
      </c>
      <c r="I2486" s="40" t="s">
        <v>1361</v>
      </c>
    </row>
    <row r="2487" spans="1:9" x14ac:dyDescent="0.25">
      <c r="A2487" s="40" t="s">
        <v>232</v>
      </c>
      <c r="B2487" s="28">
        <v>2983</v>
      </c>
      <c r="C2487" s="28">
        <v>5664751</v>
      </c>
      <c r="D2487" s="28"/>
      <c r="E2487" s="41">
        <v>46154</v>
      </c>
      <c r="F2487" s="47">
        <v>0.55409722222222224</v>
      </c>
      <c r="G2487" s="42">
        <v>6.3</v>
      </c>
      <c r="H2487" s="40" t="s">
        <v>1360</v>
      </c>
      <c r="I2487" s="40" t="s">
        <v>1361</v>
      </c>
    </row>
    <row r="2488" spans="1:9" x14ac:dyDescent="0.25">
      <c r="A2488" s="40" t="s">
        <v>232</v>
      </c>
      <c r="B2488" s="28">
        <v>2983</v>
      </c>
      <c r="C2488" s="28">
        <v>5664751</v>
      </c>
      <c r="D2488" s="28"/>
      <c r="E2488" s="41">
        <v>46154</v>
      </c>
      <c r="F2488" s="47">
        <v>0.56491898148148145</v>
      </c>
      <c r="G2488" s="42">
        <v>6.3</v>
      </c>
      <c r="H2488" s="40" t="s">
        <v>1362</v>
      </c>
      <c r="I2488" s="40" t="s">
        <v>1361</v>
      </c>
    </row>
    <row r="2489" spans="1:9" x14ac:dyDescent="0.25">
      <c r="A2489" s="40" t="s">
        <v>232</v>
      </c>
      <c r="B2489" s="28">
        <v>4217</v>
      </c>
      <c r="C2489" s="28">
        <v>5664939</v>
      </c>
      <c r="D2489" s="28" t="s">
        <v>36</v>
      </c>
      <c r="E2489" s="41">
        <v>46154</v>
      </c>
      <c r="F2489" s="47">
        <v>0.88693287037037039</v>
      </c>
      <c r="G2489" s="42">
        <v>6.3</v>
      </c>
      <c r="H2489" s="40" t="s">
        <v>1360</v>
      </c>
      <c r="I2489" s="40" t="s">
        <v>1361</v>
      </c>
    </row>
    <row r="2490" spans="1:9" x14ac:dyDescent="0.25">
      <c r="A2490" s="40" t="s">
        <v>232</v>
      </c>
      <c r="B2490" s="28">
        <v>4217</v>
      </c>
      <c r="C2490" s="28" t="s">
        <v>35</v>
      </c>
      <c r="D2490" s="28" t="s">
        <v>38</v>
      </c>
      <c r="E2490" s="45">
        <v>46154</v>
      </c>
      <c r="F2490" s="48">
        <v>0.94480324074074074</v>
      </c>
      <c r="G2490" s="42">
        <v>6.3</v>
      </c>
      <c r="H2490" s="40" t="s">
        <v>1364</v>
      </c>
      <c r="I2490" s="40" t="s">
        <v>1361</v>
      </c>
    </row>
    <row r="2491" spans="1:9" x14ac:dyDescent="0.25">
      <c r="A2491" s="40" t="s">
        <v>232</v>
      </c>
      <c r="B2491" s="28">
        <v>4217</v>
      </c>
      <c r="C2491" s="28">
        <v>5665005</v>
      </c>
      <c r="D2491" s="28" t="s">
        <v>37</v>
      </c>
      <c r="E2491" s="41">
        <v>46155</v>
      </c>
      <c r="F2491" s="47">
        <v>0.26350694444444445</v>
      </c>
      <c r="G2491" s="44">
        <v>6.3</v>
      </c>
      <c r="H2491" s="43" t="s">
        <v>1364</v>
      </c>
      <c r="I2491" s="40" t="s">
        <v>1361</v>
      </c>
    </row>
    <row r="2492" spans="1:9" x14ac:dyDescent="0.25">
      <c r="A2492" s="40" t="s">
        <v>232</v>
      </c>
      <c r="B2492" s="28">
        <v>2983</v>
      </c>
      <c r="C2492" s="28">
        <v>5668080</v>
      </c>
      <c r="D2492" s="28"/>
      <c r="E2492" s="41">
        <v>46156</v>
      </c>
      <c r="F2492" s="47">
        <v>0.45266203703703706</v>
      </c>
      <c r="G2492" s="44">
        <v>6.3</v>
      </c>
      <c r="H2492" s="43" t="s">
        <v>1360</v>
      </c>
      <c r="I2492" s="40" t="s">
        <v>1361</v>
      </c>
    </row>
    <row r="2493" spans="1:9" x14ac:dyDescent="0.25">
      <c r="A2493" s="40" t="s">
        <v>232</v>
      </c>
      <c r="B2493" s="28">
        <v>2983</v>
      </c>
      <c r="C2493" s="28">
        <v>5668080</v>
      </c>
      <c r="D2493" s="28"/>
      <c r="E2493" s="41">
        <v>46156</v>
      </c>
      <c r="F2493" s="47">
        <v>0.46537037037037038</v>
      </c>
      <c r="G2493" s="44">
        <v>6.3</v>
      </c>
      <c r="H2493" s="43" t="s">
        <v>1368</v>
      </c>
      <c r="I2493" s="40" t="s">
        <v>1361</v>
      </c>
    </row>
    <row r="2494" spans="1:9" x14ac:dyDescent="0.25">
      <c r="A2494" s="40" t="s">
        <v>232</v>
      </c>
      <c r="B2494" s="28">
        <v>2983</v>
      </c>
      <c r="C2494" s="28" t="s">
        <v>35</v>
      </c>
      <c r="D2494" s="28" t="s">
        <v>38</v>
      </c>
      <c r="E2494" s="41">
        <v>46156</v>
      </c>
      <c r="F2494" s="47">
        <v>0.49739583333333331</v>
      </c>
      <c r="G2494" s="44">
        <v>6.3</v>
      </c>
      <c r="H2494" s="43" t="s">
        <v>1363</v>
      </c>
      <c r="I2494" s="40" t="s">
        <v>1361</v>
      </c>
    </row>
    <row r="2495" spans="1:9" x14ac:dyDescent="0.25">
      <c r="A2495" s="40" t="s">
        <v>232</v>
      </c>
      <c r="B2495" s="28">
        <v>2983</v>
      </c>
      <c r="C2495" s="28" t="s">
        <v>35</v>
      </c>
      <c r="D2495" s="28" t="s">
        <v>38</v>
      </c>
      <c r="E2495" s="41">
        <v>46156</v>
      </c>
      <c r="F2495" s="47">
        <v>0.50305555555555559</v>
      </c>
      <c r="G2495" s="44">
        <v>6.3</v>
      </c>
      <c r="H2495" s="43" t="s">
        <v>1364</v>
      </c>
      <c r="I2495" s="40" t="s">
        <v>1361</v>
      </c>
    </row>
    <row r="2496" spans="1:9" x14ac:dyDescent="0.25">
      <c r="A2496" s="40" t="s">
        <v>232</v>
      </c>
      <c r="B2496" s="28">
        <v>2983</v>
      </c>
      <c r="C2496" s="28" t="s">
        <v>35</v>
      </c>
      <c r="D2496" s="28" t="s">
        <v>38</v>
      </c>
      <c r="E2496" s="41">
        <v>46156</v>
      </c>
      <c r="F2496" s="47">
        <v>0.61686342592592591</v>
      </c>
      <c r="G2496" s="44">
        <v>6.3</v>
      </c>
      <c r="H2496" s="43" t="s">
        <v>1371</v>
      </c>
      <c r="I2496" s="40" t="s">
        <v>1361</v>
      </c>
    </row>
    <row r="2497" spans="1:9" x14ac:dyDescent="0.25">
      <c r="A2497" s="40" t="s">
        <v>232</v>
      </c>
      <c r="B2497" s="28">
        <v>2983</v>
      </c>
      <c r="C2497" s="28" t="s">
        <v>35</v>
      </c>
      <c r="D2497" s="28" t="s">
        <v>38</v>
      </c>
      <c r="E2497" s="41">
        <v>46156</v>
      </c>
      <c r="F2497" s="47">
        <v>0.62587962962962962</v>
      </c>
      <c r="G2497" s="44">
        <v>6.3</v>
      </c>
      <c r="H2497" s="43" t="s">
        <v>1362</v>
      </c>
      <c r="I2497" s="40" t="s">
        <v>1361</v>
      </c>
    </row>
    <row r="2498" spans="1:9" x14ac:dyDescent="0.25">
      <c r="A2498" s="40" t="s">
        <v>232</v>
      </c>
      <c r="B2498" s="28">
        <v>2983</v>
      </c>
      <c r="C2498" s="28">
        <v>5668072</v>
      </c>
      <c r="D2498" s="28"/>
      <c r="E2498" s="41">
        <v>46156</v>
      </c>
      <c r="F2498" s="47">
        <v>0.67474537037037041</v>
      </c>
      <c r="G2498" s="44">
        <v>6.3</v>
      </c>
      <c r="H2498" s="43" t="s">
        <v>1363</v>
      </c>
      <c r="I2498" s="40" t="s">
        <v>1361</v>
      </c>
    </row>
    <row r="2499" spans="1:9" x14ac:dyDescent="0.25">
      <c r="A2499" s="40" t="s">
        <v>232</v>
      </c>
      <c r="B2499" s="28">
        <v>2983</v>
      </c>
      <c r="C2499" s="28">
        <v>5668072</v>
      </c>
      <c r="D2499" s="28"/>
      <c r="E2499" s="45">
        <v>46156</v>
      </c>
      <c r="F2499" s="48">
        <v>0.68035879629629625</v>
      </c>
      <c r="G2499" s="44">
        <v>6.3</v>
      </c>
      <c r="H2499" s="43" t="s">
        <v>1364</v>
      </c>
      <c r="I2499" s="40" t="s">
        <v>1361</v>
      </c>
    </row>
    <row r="2500" spans="1:9" x14ac:dyDescent="0.25">
      <c r="A2500" s="40" t="s">
        <v>232</v>
      </c>
      <c r="B2500" s="28">
        <v>2983</v>
      </c>
      <c r="C2500" s="28">
        <v>5668808</v>
      </c>
      <c r="D2500" s="28"/>
      <c r="E2500" s="41">
        <v>46156</v>
      </c>
      <c r="F2500" s="47">
        <v>0.73342592592592593</v>
      </c>
      <c r="G2500" s="44">
        <v>6.3</v>
      </c>
      <c r="H2500" s="43" t="s">
        <v>1360</v>
      </c>
      <c r="I2500" s="40" t="s">
        <v>1361</v>
      </c>
    </row>
    <row r="2501" spans="1:9" x14ac:dyDescent="0.25">
      <c r="A2501" s="40" t="s">
        <v>232</v>
      </c>
      <c r="B2501" s="28">
        <v>2983</v>
      </c>
      <c r="C2501" s="28">
        <v>5668808</v>
      </c>
      <c r="D2501" s="28"/>
      <c r="E2501" s="45">
        <v>46156</v>
      </c>
      <c r="F2501" s="48">
        <v>0.75015046296296295</v>
      </c>
      <c r="G2501" s="44">
        <v>6.3</v>
      </c>
      <c r="H2501" s="43" t="s">
        <v>1362</v>
      </c>
      <c r="I2501" s="40" t="s">
        <v>1361</v>
      </c>
    </row>
    <row r="2502" spans="1:9" x14ac:dyDescent="0.25">
      <c r="A2502" s="40" t="s">
        <v>232</v>
      </c>
      <c r="B2502" s="28">
        <v>2983</v>
      </c>
      <c r="C2502" s="28" t="s">
        <v>35</v>
      </c>
      <c r="D2502" s="28" t="s">
        <v>38</v>
      </c>
      <c r="E2502" s="41">
        <v>46156</v>
      </c>
      <c r="F2502" s="47">
        <v>0.77732638888888894</v>
      </c>
      <c r="G2502" s="44">
        <v>6.3</v>
      </c>
      <c r="H2502" s="43" t="s">
        <v>1363</v>
      </c>
      <c r="I2502" s="40" t="s">
        <v>1361</v>
      </c>
    </row>
    <row r="2503" spans="1:9" x14ac:dyDescent="0.25">
      <c r="A2503" s="40" t="s">
        <v>232</v>
      </c>
      <c r="B2503" s="28">
        <v>2983</v>
      </c>
      <c r="C2503" s="28" t="s">
        <v>35</v>
      </c>
      <c r="D2503" s="28" t="s">
        <v>38</v>
      </c>
      <c r="E2503" s="45">
        <v>46156</v>
      </c>
      <c r="F2503" s="48">
        <v>0.79232638888888884</v>
      </c>
      <c r="G2503" s="44">
        <v>6.3</v>
      </c>
      <c r="H2503" s="43" t="s">
        <v>1364</v>
      </c>
      <c r="I2503" s="40" t="s">
        <v>1361</v>
      </c>
    </row>
    <row r="2504" spans="1:9" x14ac:dyDescent="0.25">
      <c r="A2504" s="40" t="s">
        <v>232</v>
      </c>
      <c r="B2504" s="28">
        <v>4217</v>
      </c>
      <c r="C2504" s="28">
        <v>5669195</v>
      </c>
      <c r="D2504" s="28"/>
      <c r="E2504" s="41">
        <v>46156</v>
      </c>
      <c r="F2504" s="47">
        <v>0.87783564814814818</v>
      </c>
      <c r="G2504" s="44">
        <v>6.3</v>
      </c>
      <c r="H2504" s="43" t="s">
        <v>1360</v>
      </c>
      <c r="I2504" s="40" t="s">
        <v>1361</v>
      </c>
    </row>
    <row r="2505" spans="1:9" x14ac:dyDescent="0.25">
      <c r="A2505" s="40" t="s">
        <v>232</v>
      </c>
      <c r="B2505" s="28">
        <v>4217</v>
      </c>
      <c r="C2505" s="28">
        <v>5669195</v>
      </c>
      <c r="D2505" s="28"/>
      <c r="E2505" s="45">
        <v>46156</v>
      </c>
      <c r="F2505" s="48">
        <v>0.88876157407407408</v>
      </c>
      <c r="G2505" s="44">
        <v>6.3</v>
      </c>
      <c r="H2505" s="43" t="s">
        <v>1362</v>
      </c>
      <c r="I2505" s="40" t="s">
        <v>1361</v>
      </c>
    </row>
    <row r="2506" spans="1:9" x14ac:dyDescent="0.25">
      <c r="A2506" s="40" t="s">
        <v>232</v>
      </c>
      <c r="B2506" s="28">
        <v>4217</v>
      </c>
      <c r="C2506" s="28" t="s">
        <v>35</v>
      </c>
      <c r="D2506" s="28" t="s">
        <v>38</v>
      </c>
      <c r="E2506" s="41">
        <v>46156</v>
      </c>
      <c r="F2506" s="47">
        <v>0.95105324074074071</v>
      </c>
      <c r="G2506" s="42">
        <v>6.3</v>
      </c>
      <c r="H2506" s="40" t="s">
        <v>1370</v>
      </c>
      <c r="I2506" s="40" t="s">
        <v>1361</v>
      </c>
    </row>
    <row r="2507" spans="1:9" x14ac:dyDescent="0.25">
      <c r="A2507" s="40" t="s">
        <v>232</v>
      </c>
      <c r="B2507" s="28">
        <v>4217</v>
      </c>
      <c r="C2507" s="28" t="s">
        <v>35</v>
      </c>
      <c r="D2507" s="28" t="s">
        <v>38</v>
      </c>
      <c r="E2507" s="41">
        <v>46156</v>
      </c>
      <c r="F2507" s="47">
        <v>0.95570601851851855</v>
      </c>
      <c r="G2507" s="42">
        <v>6.3</v>
      </c>
      <c r="H2507" s="40" t="s">
        <v>1364</v>
      </c>
      <c r="I2507" s="40" t="s">
        <v>1361</v>
      </c>
    </row>
    <row r="2508" spans="1:9" x14ac:dyDescent="0.25">
      <c r="A2508" s="40" t="s">
        <v>232</v>
      </c>
      <c r="B2508" s="28">
        <v>2983</v>
      </c>
      <c r="C2508" s="28">
        <v>5670205</v>
      </c>
      <c r="D2508" s="28"/>
      <c r="E2508" s="41">
        <v>46157</v>
      </c>
      <c r="F2508" s="47">
        <v>0.71096064814814819</v>
      </c>
      <c r="G2508" s="42">
        <v>6.3</v>
      </c>
      <c r="H2508" s="40" t="s">
        <v>1360</v>
      </c>
      <c r="I2508" s="40" t="s">
        <v>1361</v>
      </c>
    </row>
    <row r="2509" spans="1:9" x14ac:dyDescent="0.25">
      <c r="A2509" s="40" t="s">
        <v>340</v>
      </c>
      <c r="B2509" s="28">
        <v>4215</v>
      </c>
      <c r="C2509" s="28">
        <v>5662184</v>
      </c>
      <c r="D2509" s="28"/>
      <c r="E2509" s="41">
        <v>46153</v>
      </c>
      <c r="F2509" s="47">
        <v>4.221064814814815E-2</v>
      </c>
      <c r="G2509" s="42">
        <v>6.3</v>
      </c>
      <c r="H2509" s="40" t="s">
        <v>1360</v>
      </c>
      <c r="I2509" s="40" t="s">
        <v>1361</v>
      </c>
    </row>
    <row r="2510" spans="1:9" x14ac:dyDescent="0.25">
      <c r="A2510" s="40" t="s">
        <v>340</v>
      </c>
      <c r="B2510" s="28">
        <v>4215</v>
      </c>
      <c r="C2510" s="28">
        <v>5662184</v>
      </c>
      <c r="D2510" s="28"/>
      <c r="E2510" s="41">
        <v>46153</v>
      </c>
      <c r="F2510" s="47">
        <v>4.9525462962962966E-2</v>
      </c>
      <c r="G2510" s="44">
        <v>6.3</v>
      </c>
      <c r="H2510" s="43" t="s">
        <v>1362</v>
      </c>
      <c r="I2510" s="40" t="s">
        <v>1361</v>
      </c>
    </row>
    <row r="2511" spans="1:9" x14ac:dyDescent="0.25">
      <c r="A2511" s="40" t="s">
        <v>340</v>
      </c>
      <c r="B2511" s="28">
        <v>2987</v>
      </c>
      <c r="C2511" s="28">
        <v>5662189</v>
      </c>
      <c r="D2511" s="28"/>
      <c r="E2511" s="41">
        <v>46153</v>
      </c>
      <c r="F2511" s="47">
        <v>0.47851851851851851</v>
      </c>
      <c r="G2511" s="44">
        <v>6.3</v>
      </c>
      <c r="H2511" s="43" t="s">
        <v>1363</v>
      </c>
      <c r="I2511" s="40" t="s">
        <v>1361</v>
      </c>
    </row>
    <row r="2512" spans="1:9" x14ac:dyDescent="0.25">
      <c r="A2512" s="40" t="s">
        <v>340</v>
      </c>
      <c r="B2512" s="28">
        <v>2987</v>
      </c>
      <c r="C2512" s="28">
        <v>5662189</v>
      </c>
      <c r="D2512" s="28"/>
      <c r="E2512" s="41">
        <v>46153</v>
      </c>
      <c r="F2512" s="47">
        <v>0.48423611111111109</v>
      </c>
      <c r="G2512" s="44">
        <v>6.3</v>
      </c>
      <c r="H2512" s="43" t="s">
        <v>1364</v>
      </c>
      <c r="I2512" s="40" t="s">
        <v>1361</v>
      </c>
    </row>
    <row r="2513" spans="1:9" x14ac:dyDescent="0.25">
      <c r="A2513" s="40" t="s">
        <v>340</v>
      </c>
      <c r="B2513" s="28">
        <v>4215</v>
      </c>
      <c r="C2513" s="28">
        <v>5663009</v>
      </c>
      <c r="D2513" s="28"/>
      <c r="E2513" s="41">
        <v>46153</v>
      </c>
      <c r="F2513" s="47">
        <v>0.97796296296296292</v>
      </c>
      <c r="G2513" s="44">
        <v>6.3</v>
      </c>
      <c r="H2513" s="43" t="s">
        <v>1364</v>
      </c>
      <c r="I2513" s="40" t="s">
        <v>1361</v>
      </c>
    </row>
    <row r="2514" spans="1:9" x14ac:dyDescent="0.25">
      <c r="A2514" s="40" t="s">
        <v>340</v>
      </c>
      <c r="B2514" s="28">
        <v>4215</v>
      </c>
      <c r="C2514" s="28">
        <v>5660791</v>
      </c>
      <c r="D2514" s="28"/>
      <c r="E2514" s="41">
        <v>46154</v>
      </c>
      <c r="F2514" s="47">
        <v>9.479166666666667E-3</v>
      </c>
      <c r="G2514" s="44">
        <v>6.3</v>
      </c>
      <c r="H2514" s="43" t="s">
        <v>1360</v>
      </c>
      <c r="I2514" s="40" t="s">
        <v>1361</v>
      </c>
    </row>
    <row r="2515" spans="1:9" x14ac:dyDescent="0.25">
      <c r="A2515" s="40" t="s">
        <v>340</v>
      </c>
      <c r="B2515" s="28">
        <v>4215</v>
      </c>
      <c r="C2515" s="28">
        <v>5660791</v>
      </c>
      <c r="D2515" s="28"/>
      <c r="E2515" s="41">
        <v>46154</v>
      </c>
      <c r="F2515" s="47">
        <v>1.4907407407407407E-2</v>
      </c>
      <c r="G2515" s="44">
        <v>6.3</v>
      </c>
      <c r="H2515" s="43" t="s">
        <v>1366</v>
      </c>
      <c r="I2515" s="40" t="s">
        <v>1361</v>
      </c>
    </row>
    <row r="2516" spans="1:9" x14ac:dyDescent="0.25">
      <c r="A2516" s="40" t="s">
        <v>340</v>
      </c>
      <c r="B2516" s="28">
        <v>4215</v>
      </c>
      <c r="C2516" s="28" t="s">
        <v>35</v>
      </c>
      <c r="D2516" s="28" t="s">
        <v>38</v>
      </c>
      <c r="E2516" s="41">
        <v>46154</v>
      </c>
      <c r="F2516" s="47">
        <v>6.6064814814814812E-2</v>
      </c>
      <c r="G2516" s="44">
        <v>6.3</v>
      </c>
      <c r="H2516" s="43" t="s">
        <v>1362</v>
      </c>
      <c r="I2516" s="40" t="s">
        <v>1361</v>
      </c>
    </row>
    <row r="2517" spans="1:9" x14ac:dyDescent="0.25">
      <c r="A2517" s="40" t="s">
        <v>340</v>
      </c>
      <c r="B2517" s="28">
        <v>4215</v>
      </c>
      <c r="C2517" s="28">
        <v>5664923</v>
      </c>
      <c r="D2517" s="28" t="s">
        <v>37</v>
      </c>
      <c r="E2517" s="45">
        <v>46154</v>
      </c>
      <c r="F2517" s="48">
        <v>0.9294675925925926</v>
      </c>
      <c r="G2517" s="44">
        <v>6.3</v>
      </c>
      <c r="H2517" s="43" t="s">
        <v>1363</v>
      </c>
      <c r="I2517" s="40" t="s">
        <v>1361</v>
      </c>
    </row>
    <row r="2518" spans="1:9" x14ac:dyDescent="0.25">
      <c r="A2518" s="40" t="s">
        <v>340</v>
      </c>
      <c r="B2518" s="28">
        <v>4215</v>
      </c>
      <c r="C2518" s="28">
        <v>5664923</v>
      </c>
      <c r="D2518" s="28" t="s">
        <v>37</v>
      </c>
      <c r="E2518" s="45">
        <v>46154</v>
      </c>
      <c r="F2518" s="48">
        <v>0.93538194444444445</v>
      </c>
      <c r="G2518" s="44">
        <v>6.3</v>
      </c>
      <c r="H2518" s="43" t="s">
        <v>1364</v>
      </c>
      <c r="I2518" s="40" t="s">
        <v>1361</v>
      </c>
    </row>
    <row r="2519" spans="1:9" x14ac:dyDescent="0.25">
      <c r="A2519" s="40" t="s">
        <v>340</v>
      </c>
      <c r="B2519" s="28">
        <v>4215</v>
      </c>
      <c r="C2519" s="28">
        <v>5662678</v>
      </c>
      <c r="D2519" s="28"/>
      <c r="E2519" s="45">
        <v>46155</v>
      </c>
      <c r="F2519" s="48">
        <v>0.17481481481481481</v>
      </c>
      <c r="G2519" s="44">
        <v>6.3</v>
      </c>
      <c r="H2519" s="43" t="s">
        <v>1363</v>
      </c>
      <c r="I2519" s="40" t="s">
        <v>1361</v>
      </c>
    </row>
    <row r="2520" spans="1:9" x14ac:dyDescent="0.25">
      <c r="A2520" s="40" t="s">
        <v>340</v>
      </c>
      <c r="B2520" s="28">
        <v>4215</v>
      </c>
      <c r="C2520" s="28">
        <v>5662678</v>
      </c>
      <c r="D2520" s="28"/>
      <c r="E2520" s="41">
        <v>46155</v>
      </c>
      <c r="F2520" s="47">
        <v>0.1799074074074074</v>
      </c>
      <c r="G2520" s="44">
        <v>6.3</v>
      </c>
      <c r="H2520" s="43" t="s">
        <v>1364</v>
      </c>
      <c r="I2520" s="40" t="s">
        <v>1361</v>
      </c>
    </row>
    <row r="2521" spans="1:9" x14ac:dyDescent="0.25">
      <c r="A2521" s="40" t="s">
        <v>340</v>
      </c>
      <c r="B2521" s="28">
        <v>4215</v>
      </c>
      <c r="C2521" s="28">
        <v>5663095</v>
      </c>
      <c r="D2521" s="28"/>
      <c r="E2521" s="41">
        <v>46155</v>
      </c>
      <c r="F2521" s="47">
        <v>0.2619097222222222</v>
      </c>
      <c r="G2521" s="44">
        <v>6.3</v>
      </c>
      <c r="H2521" s="43" t="s">
        <v>1369</v>
      </c>
      <c r="I2521" s="40" t="s">
        <v>1361</v>
      </c>
    </row>
    <row r="2522" spans="1:9" x14ac:dyDescent="0.25">
      <c r="A2522" s="40" t="s">
        <v>340</v>
      </c>
      <c r="B2522" s="28">
        <v>4215</v>
      </c>
      <c r="C2522" s="28">
        <v>5663095</v>
      </c>
      <c r="D2522" s="28"/>
      <c r="E2522" s="41">
        <v>46155</v>
      </c>
      <c r="F2522" s="47">
        <v>0.27283564814814815</v>
      </c>
      <c r="G2522" s="44">
        <v>6.3</v>
      </c>
      <c r="H2522" s="43" t="s">
        <v>1364</v>
      </c>
      <c r="I2522" s="40" t="s">
        <v>1361</v>
      </c>
    </row>
    <row r="2523" spans="1:9" x14ac:dyDescent="0.25">
      <c r="A2523" s="40" t="s">
        <v>340</v>
      </c>
      <c r="B2523" s="28">
        <v>2987</v>
      </c>
      <c r="C2523" s="28">
        <v>5665742</v>
      </c>
      <c r="D2523" s="28"/>
      <c r="E2523" s="41">
        <v>46155</v>
      </c>
      <c r="F2523" s="47">
        <v>0.58628472222222228</v>
      </c>
      <c r="G2523" s="44">
        <v>6.3</v>
      </c>
      <c r="H2523" s="43" t="s">
        <v>1363</v>
      </c>
      <c r="I2523" s="40" t="s">
        <v>1361</v>
      </c>
    </row>
    <row r="2524" spans="1:9" x14ac:dyDescent="0.25">
      <c r="A2524" s="40" t="s">
        <v>340</v>
      </c>
      <c r="B2524" s="28">
        <v>2987</v>
      </c>
      <c r="C2524" s="28">
        <v>5665742</v>
      </c>
      <c r="D2524" s="28"/>
      <c r="E2524" s="41">
        <v>46155</v>
      </c>
      <c r="F2524" s="47">
        <v>0.59236111111111112</v>
      </c>
      <c r="G2524" s="44">
        <v>6.3</v>
      </c>
      <c r="H2524" s="43" t="s">
        <v>1364</v>
      </c>
      <c r="I2524" s="40" t="s">
        <v>1361</v>
      </c>
    </row>
    <row r="2525" spans="1:9" x14ac:dyDescent="0.25">
      <c r="A2525" s="40" t="s">
        <v>340</v>
      </c>
      <c r="B2525" s="28">
        <v>2987</v>
      </c>
      <c r="C2525" s="28">
        <v>5665701</v>
      </c>
      <c r="D2525" s="28" t="s">
        <v>37</v>
      </c>
      <c r="E2525" s="41">
        <v>46155</v>
      </c>
      <c r="F2525" s="47">
        <v>0.72364583333333332</v>
      </c>
      <c r="G2525" s="44">
        <v>6.3</v>
      </c>
      <c r="H2525" s="43" t="s">
        <v>1363</v>
      </c>
      <c r="I2525" s="40" t="s">
        <v>1361</v>
      </c>
    </row>
    <row r="2526" spans="1:9" x14ac:dyDescent="0.25">
      <c r="A2526" s="40" t="s">
        <v>340</v>
      </c>
      <c r="B2526" s="28">
        <v>2987</v>
      </c>
      <c r="C2526" s="28">
        <v>5665701</v>
      </c>
      <c r="D2526" s="28" t="s">
        <v>37</v>
      </c>
      <c r="E2526" s="45">
        <v>46155</v>
      </c>
      <c r="F2526" s="48">
        <v>0.73665509259259254</v>
      </c>
      <c r="G2526" s="44">
        <v>6.3</v>
      </c>
      <c r="H2526" s="43" t="s">
        <v>1364</v>
      </c>
      <c r="I2526" s="40" t="s">
        <v>1361</v>
      </c>
    </row>
    <row r="2527" spans="1:9" x14ac:dyDescent="0.25">
      <c r="A2527" s="40" t="s">
        <v>340</v>
      </c>
      <c r="B2527" s="28">
        <v>2987</v>
      </c>
      <c r="C2527" s="28">
        <v>5653383</v>
      </c>
      <c r="D2527" s="28"/>
      <c r="E2527" s="41">
        <v>46156</v>
      </c>
      <c r="F2527" s="47">
        <v>0.47520833333333334</v>
      </c>
      <c r="G2527" s="44">
        <v>6.3</v>
      </c>
      <c r="H2527" s="43" t="s">
        <v>1363</v>
      </c>
      <c r="I2527" s="40" t="s">
        <v>1361</v>
      </c>
    </row>
    <row r="2528" spans="1:9" x14ac:dyDescent="0.25">
      <c r="A2528" s="40" t="s">
        <v>340</v>
      </c>
      <c r="B2528" s="28">
        <v>2987</v>
      </c>
      <c r="C2528" s="28">
        <v>5653383</v>
      </c>
      <c r="D2528" s="28"/>
      <c r="E2528" s="41">
        <v>46156</v>
      </c>
      <c r="F2528" s="47">
        <v>0.48099537037037038</v>
      </c>
      <c r="G2528" s="44">
        <v>6.3</v>
      </c>
      <c r="H2528" s="43" t="s">
        <v>1364</v>
      </c>
      <c r="I2528" s="40" t="s">
        <v>1361</v>
      </c>
    </row>
    <row r="2529" spans="1:9" x14ac:dyDescent="0.25">
      <c r="A2529" s="40" t="s">
        <v>340</v>
      </c>
      <c r="B2529" s="28">
        <v>4215</v>
      </c>
      <c r="C2529" s="28">
        <v>5658157</v>
      </c>
      <c r="D2529" s="28"/>
      <c r="E2529" s="41">
        <v>46157</v>
      </c>
      <c r="F2529" s="47">
        <v>7.4652777777777781E-3</v>
      </c>
      <c r="G2529" s="42">
        <v>6.3</v>
      </c>
      <c r="H2529" s="40" t="s">
        <v>1360</v>
      </c>
      <c r="I2529" s="40" t="s">
        <v>1361</v>
      </c>
    </row>
    <row r="2530" spans="1:9" x14ac:dyDescent="0.25">
      <c r="A2530" s="40" t="s">
        <v>340</v>
      </c>
      <c r="B2530" s="28">
        <v>4215</v>
      </c>
      <c r="C2530" s="28">
        <v>5658157</v>
      </c>
      <c r="D2530" s="28"/>
      <c r="E2530" s="41">
        <v>46157</v>
      </c>
      <c r="F2530" s="47">
        <v>1.699074074074074E-2</v>
      </c>
      <c r="G2530" s="42">
        <v>6.3</v>
      </c>
      <c r="H2530" s="40" t="s">
        <v>1362</v>
      </c>
      <c r="I2530" s="40" t="s">
        <v>1361</v>
      </c>
    </row>
    <row r="2531" spans="1:9" x14ac:dyDescent="0.25">
      <c r="A2531" s="40" t="s">
        <v>340</v>
      </c>
      <c r="B2531" s="28">
        <v>4215</v>
      </c>
      <c r="C2531" s="28" t="s">
        <v>35</v>
      </c>
      <c r="D2531" s="28" t="s">
        <v>38</v>
      </c>
      <c r="E2531" s="41">
        <v>46157</v>
      </c>
      <c r="F2531" s="47">
        <v>3.1597222222222221E-2</v>
      </c>
      <c r="G2531" s="44">
        <v>6.3</v>
      </c>
      <c r="H2531" s="43" t="s">
        <v>1363</v>
      </c>
      <c r="I2531" s="40" t="s">
        <v>1361</v>
      </c>
    </row>
    <row r="2532" spans="1:9" x14ac:dyDescent="0.25">
      <c r="A2532" s="40" t="s">
        <v>340</v>
      </c>
      <c r="B2532" s="28">
        <v>4215</v>
      </c>
      <c r="C2532" s="28">
        <v>5670811</v>
      </c>
      <c r="D2532" s="28"/>
      <c r="E2532" s="41">
        <v>46157</v>
      </c>
      <c r="F2532" s="47">
        <v>0.8944212962962963</v>
      </c>
      <c r="G2532" s="44">
        <v>6.3</v>
      </c>
      <c r="H2532" s="43" t="s">
        <v>1360</v>
      </c>
      <c r="I2532" s="40" t="s">
        <v>1361</v>
      </c>
    </row>
    <row r="2533" spans="1:9" x14ac:dyDescent="0.25">
      <c r="A2533" s="40" t="s">
        <v>340</v>
      </c>
      <c r="B2533" s="28">
        <v>4215</v>
      </c>
      <c r="C2533" s="28">
        <v>5670811</v>
      </c>
      <c r="D2533" s="28"/>
      <c r="E2533" s="41">
        <v>46157</v>
      </c>
      <c r="F2533" s="47">
        <v>0.90259259259259261</v>
      </c>
      <c r="G2533" s="44">
        <v>6.3</v>
      </c>
      <c r="H2533" s="43" t="s">
        <v>1362</v>
      </c>
      <c r="I2533" s="40" t="s">
        <v>1361</v>
      </c>
    </row>
    <row r="2534" spans="1:9" x14ac:dyDescent="0.25">
      <c r="A2534" s="40" t="s">
        <v>340</v>
      </c>
      <c r="B2534" s="28">
        <v>4215</v>
      </c>
      <c r="C2534" s="28" t="s">
        <v>35</v>
      </c>
      <c r="D2534" s="28" t="s">
        <v>38</v>
      </c>
      <c r="E2534" s="41">
        <v>46157</v>
      </c>
      <c r="F2534" s="47">
        <v>0.98583333333333334</v>
      </c>
      <c r="G2534" s="42">
        <v>6.3</v>
      </c>
      <c r="H2534" s="40" t="s">
        <v>1370</v>
      </c>
      <c r="I2534" s="40" t="s">
        <v>1361</v>
      </c>
    </row>
    <row r="2535" spans="1:9" x14ac:dyDescent="0.25">
      <c r="A2535" s="40" t="s">
        <v>340</v>
      </c>
      <c r="B2535" s="28">
        <v>4215</v>
      </c>
      <c r="C2535" s="28">
        <v>5670103</v>
      </c>
      <c r="D2535" s="28" t="s">
        <v>37</v>
      </c>
      <c r="E2535" s="41">
        <v>46158</v>
      </c>
      <c r="F2535" s="47">
        <v>5.4120370370370367E-2</v>
      </c>
      <c r="G2535" s="42">
        <v>6.3</v>
      </c>
      <c r="H2535" s="40" t="s">
        <v>1367</v>
      </c>
      <c r="I2535" s="40" t="s">
        <v>1365</v>
      </c>
    </row>
    <row r="2536" spans="1:9" x14ac:dyDescent="0.25">
      <c r="A2536" s="40" t="s">
        <v>340</v>
      </c>
      <c r="B2536" s="28">
        <v>2987</v>
      </c>
      <c r="C2536" s="28">
        <v>5671625</v>
      </c>
      <c r="D2536" s="28" t="s">
        <v>36</v>
      </c>
      <c r="E2536" s="41">
        <v>46158</v>
      </c>
      <c r="F2536" s="47">
        <v>0.60784722222222221</v>
      </c>
      <c r="G2536" s="44">
        <v>6.3</v>
      </c>
      <c r="H2536" s="43" t="s">
        <v>1360</v>
      </c>
      <c r="I2536" s="40" t="s">
        <v>1365</v>
      </c>
    </row>
    <row r="2537" spans="1:9" x14ac:dyDescent="0.25">
      <c r="A2537" s="40" t="s">
        <v>340</v>
      </c>
      <c r="B2537" s="28">
        <v>2987</v>
      </c>
      <c r="C2537" s="28">
        <v>5671625</v>
      </c>
      <c r="D2537" s="28" t="s">
        <v>36</v>
      </c>
      <c r="E2537" s="41">
        <v>46158</v>
      </c>
      <c r="F2537" s="47">
        <v>0.62149305555555556</v>
      </c>
      <c r="G2537" s="44">
        <v>6.3</v>
      </c>
      <c r="H2537" s="43" t="s">
        <v>1362</v>
      </c>
      <c r="I2537" s="40" t="s">
        <v>1365</v>
      </c>
    </row>
    <row r="2538" spans="1:9" x14ac:dyDescent="0.25">
      <c r="A2538" s="40" t="s">
        <v>340</v>
      </c>
      <c r="B2538" s="28">
        <v>2987</v>
      </c>
      <c r="C2538" s="28">
        <v>5672282</v>
      </c>
      <c r="D2538" s="28"/>
      <c r="E2538" s="41">
        <v>46159</v>
      </c>
      <c r="F2538" s="47">
        <v>0.73401620370370368</v>
      </c>
      <c r="G2538" s="42">
        <v>6.3</v>
      </c>
      <c r="H2538" s="40" t="s">
        <v>1360</v>
      </c>
      <c r="I2538" s="40" t="s">
        <v>1365</v>
      </c>
    </row>
    <row r="2539" spans="1:9" x14ac:dyDescent="0.25">
      <c r="A2539" s="40" t="s">
        <v>340</v>
      </c>
      <c r="B2539" s="28">
        <v>2987</v>
      </c>
      <c r="C2539" s="28">
        <v>5672282</v>
      </c>
      <c r="D2539" s="28"/>
      <c r="E2539" s="41">
        <v>46159</v>
      </c>
      <c r="F2539" s="47">
        <v>0.74170138888888892</v>
      </c>
      <c r="G2539" s="42">
        <v>6.3</v>
      </c>
      <c r="H2539" s="40" t="s">
        <v>1362</v>
      </c>
      <c r="I2539" s="40" t="s">
        <v>1365</v>
      </c>
    </row>
    <row r="2540" spans="1:9" x14ac:dyDescent="0.25">
      <c r="A2540" s="40" t="s">
        <v>340</v>
      </c>
      <c r="B2540" s="28">
        <v>2987</v>
      </c>
      <c r="C2540" s="28" t="s">
        <v>35</v>
      </c>
      <c r="D2540" s="28" t="s">
        <v>38</v>
      </c>
      <c r="E2540" s="41">
        <v>46159</v>
      </c>
      <c r="F2540" s="47">
        <v>0.77328703703703705</v>
      </c>
      <c r="G2540" s="42">
        <v>6.3</v>
      </c>
      <c r="H2540" s="40" t="s">
        <v>1363</v>
      </c>
      <c r="I2540" s="40" t="s">
        <v>1365</v>
      </c>
    </row>
    <row r="2541" spans="1:9" x14ac:dyDescent="0.25">
      <c r="A2541" s="40" t="s">
        <v>340</v>
      </c>
      <c r="B2541" s="28">
        <v>2987</v>
      </c>
      <c r="C2541" s="28" t="s">
        <v>35</v>
      </c>
      <c r="D2541" s="28" t="s">
        <v>38</v>
      </c>
      <c r="E2541" s="41">
        <v>46159</v>
      </c>
      <c r="F2541" s="47">
        <v>0.77917824074074071</v>
      </c>
      <c r="G2541" s="42">
        <v>6.3</v>
      </c>
      <c r="H2541" s="40" t="s">
        <v>1364</v>
      </c>
      <c r="I2541" s="40" t="s">
        <v>1365</v>
      </c>
    </row>
    <row r="2542" spans="1:9" x14ac:dyDescent="0.25">
      <c r="A2542" s="40" t="s">
        <v>207</v>
      </c>
      <c r="B2542" s="28">
        <v>3006</v>
      </c>
      <c r="C2542" s="28" t="s">
        <v>778</v>
      </c>
      <c r="D2542" s="28"/>
      <c r="E2542" s="45">
        <v>46153</v>
      </c>
      <c r="F2542" s="48">
        <v>0.90767361111111111</v>
      </c>
      <c r="G2542" s="44">
        <v>6.3</v>
      </c>
      <c r="H2542" s="43" t="s">
        <v>1364</v>
      </c>
      <c r="I2542" s="40" t="s">
        <v>1361</v>
      </c>
    </row>
    <row r="2543" spans="1:9" x14ac:dyDescent="0.25">
      <c r="A2543" s="40" t="s">
        <v>207</v>
      </c>
      <c r="B2543" s="28">
        <v>3006</v>
      </c>
      <c r="C2543" s="28" t="s">
        <v>779</v>
      </c>
      <c r="D2543" s="28"/>
      <c r="E2543" s="41">
        <v>46153</v>
      </c>
      <c r="F2543" s="47">
        <v>0.95531250000000001</v>
      </c>
      <c r="G2543" s="44">
        <v>6.3</v>
      </c>
      <c r="H2543" s="43" t="s">
        <v>1360</v>
      </c>
      <c r="I2543" s="40" t="s">
        <v>1361</v>
      </c>
    </row>
    <row r="2544" spans="1:9" x14ac:dyDescent="0.25">
      <c r="A2544" s="40" t="s">
        <v>207</v>
      </c>
      <c r="B2544" s="28">
        <v>3006</v>
      </c>
      <c r="C2544" s="28" t="s">
        <v>779</v>
      </c>
      <c r="D2544" s="28"/>
      <c r="E2544" s="41">
        <v>46153</v>
      </c>
      <c r="F2544" s="47">
        <v>0.96236111111111111</v>
      </c>
      <c r="G2544" s="44">
        <v>6.3</v>
      </c>
      <c r="H2544" s="43" t="s">
        <v>1362</v>
      </c>
      <c r="I2544" s="40" t="s">
        <v>1361</v>
      </c>
    </row>
    <row r="2545" spans="1:9" x14ac:dyDescent="0.25">
      <c r="A2545" s="40" t="s">
        <v>207</v>
      </c>
      <c r="B2545" s="28">
        <v>3006</v>
      </c>
      <c r="C2545" s="28" t="s">
        <v>780</v>
      </c>
      <c r="D2545" s="28"/>
      <c r="E2545" s="45">
        <v>46155</v>
      </c>
      <c r="F2545" s="48">
        <v>0.77216435185185184</v>
      </c>
      <c r="G2545" s="44">
        <v>6.3</v>
      </c>
      <c r="H2545" s="43" t="s">
        <v>1360</v>
      </c>
      <c r="I2545" s="40" t="s">
        <v>1361</v>
      </c>
    </row>
    <row r="2546" spans="1:9" x14ac:dyDescent="0.25">
      <c r="A2546" s="40" t="s">
        <v>207</v>
      </c>
      <c r="B2546" s="28">
        <v>3006</v>
      </c>
      <c r="C2546" s="28" t="s">
        <v>781</v>
      </c>
      <c r="D2546" s="28"/>
      <c r="E2546" s="41">
        <v>46155</v>
      </c>
      <c r="F2546" s="47">
        <v>0.93664351851851857</v>
      </c>
      <c r="G2546" s="44">
        <v>6.3</v>
      </c>
      <c r="H2546" s="43" t="s">
        <v>1363</v>
      </c>
      <c r="I2546" s="40" t="s">
        <v>1361</v>
      </c>
    </row>
    <row r="2547" spans="1:9" x14ac:dyDescent="0.25">
      <c r="A2547" s="40" t="s">
        <v>207</v>
      </c>
      <c r="B2547" s="28">
        <v>3006</v>
      </c>
      <c r="C2547" s="28" t="s">
        <v>781</v>
      </c>
      <c r="D2547" s="28"/>
      <c r="E2547" s="41">
        <v>46155</v>
      </c>
      <c r="F2547" s="47">
        <v>0.94226851851851856</v>
      </c>
      <c r="G2547" s="44">
        <v>6.3</v>
      </c>
      <c r="H2547" s="43" t="s">
        <v>1364</v>
      </c>
      <c r="I2547" s="40" t="s">
        <v>1361</v>
      </c>
    </row>
    <row r="2548" spans="1:9" x14ac:dyDescent="0.25">
      <c r="A2548" s="40" t="s">
        <v>207</v>
      </c>
      <c r="B2548" s="28">
        <v>3006</v>
      </c>
      <c r="C2548" s="28" t="s">
        <v>782</v>
      </c>
      <c r="D2548" s="28"/>
      <c r="E2548" s="41">
        <v>46155</v>
      </c>
      <c r="F2548" s="47">
        <v>0.99309027777777781</v>
      </c>
      <c r="G2548" s="44">
        <v>6.3</v>
      </c>
      <c r="H2548" s="43" t="s">
        <v>1360</v>
      </c>
      <c r="I2548" s="40" t="s">
        <v>1361</v>
      </c>
    </row>
    <row r="2549" spans="1:9" x14ac:dyDescent="0.25">
      <c r="A2549" s="40" t="s">
        <v>207</v>
      </c>
      <c r="B2549" s="28">
        <v>3006</v>
      </c>
      <c r="C2549" s="28" t="s">
        <v>782</v>
      </c>
      <c r="D2549" s="28"/>
      <c r="E2549" s="41">
        <v>46156</v>
      </c>
      <c r="F2549" s="47">
        <v>3.5069444444444445E-3</v>
      </c>
      <c r="G2549" s="44">
        <v>6.3</v>
      </c>
      <c r="H2549" s="43" t="s">
        <v>1362</v>
      </c>
      <c r="I2549" s="40" t="s">
        <v>1361</v>
      </c>
    </row>
    <row r="2550" spans="1:9" x14ac:dyDescent="0.25">
      <c r="A2550" s="40" t="s">
        <v>207</v>
      </c>
      <c r="B2550" s="28">
        <v>3006</v>
      </c>
      <c r="C2550" s="28" t="s">
        <v>783</v>
      </c>
      <c r="D2550" s="28"/>
      <c r="E2550" s="41">
        <v>46156</v>
      </c>
      <c r="F2550" s="47">
        <v>0.99800925925925921</v>
      </c>
      <c r="G2550" s="44">
        <v>6.3</v>
      </c>
      <c r="H2550" s="43" t="s">
        <v>1363</v>
      </c>
      <c r="I2550" s="40" t="s">
        <v>1361</v>
      </c>
    </row>
    <row r="2551" spans="1:9" x14ac:dyDescent="0.25">
      <c r="A2551" s="40" t="s">
        <v>207</v>
      </c>
      <c r="B2551" s="28">
        <v>3006</v>
      </c>
      <c r="C2551" s="28" t="s">
        <v>783</v>
      </c>
      <c r="D2551" s="28"/>
      <c r="E2551" s="45">
        <v>46157</v>
      </c>
      <c r="F2551" s="48">
        <v>3.4837962962962965E-3</v>
      </c>
      <c r="G2551" s="44">
        <v>6.3</v>
      </c>
      <c r="H2551" s="43" t="s">
        <v>1364</v>
      </c>
      <c r="I2551" s="40" t="s">
        <v>1361</v>
      </c>
    </row>
    <row r="2552" spans="1:9" x14ac:dyDescent="0.25">
      <c r="A2552" s="40" t="s">
        <v>207</v>
      </c>
      <c r="B2552" s="28">
        <v>3006</v>
      </c>
      <c r="C2552" s="28" t="s">
        <v>784</v>
      </c>
      <c r="D2552" s="28"/>
      <c r="E2552" s="41">
        <v>46157</v>
      </c>
      <c r="F2552" s="47">
        <v>0.15638888888888888</v>
      </c>
      <c r="G2552" s="44">
        <v>6.3</v>
      </c>
      <c r="H2552" s="43" t="s">
        <v>1363</v>
      </c>
      <c r="I2552" s="40" t="s">
        <v>1361</v>
      </c>
    </row>
    <row r="2553" spans="1:9" x14ac:dyDescent="0.25">
      <c r="A2553" s="40" t="s">
        <v>207</v>
      </c>
      <c r="B2553" s="28">
        <v>3006</v>
      </c>
      <c r="C2553" s="28" t="s">
        <v>784</v>
      </c>
      <c r="D2553" s="28"/>
      <c r="E2553" s="41">
        <v>46157</v>
      </c>
      <c r="F2553" s="47">
        <v>0.16180555555555556</v>
      </c>
      <c r="G2553" s="44">
        <v>6.3</v>
      </c>
      <c r="H2553" s="43" t="s">
        <v>1364</v>
      </c>
      <c r="I2553" s="40" t="s">
        <v>1361</v>
      </c>
    </row>
    <row r="2554" spans="1:9" x14ac:dyDescent="0.25">
      <c r="A2554" s="40" t="s">
        <v>426</v>
      </c>
      <c r="B2554" s="28">
        <v>3014</v>
      </c>
      <c r="C2554" s="28">
        <v>5661251</v>
      </c>
      <c r="D2554" s="28"/>
      <c r="E2554" s="41">
        <v>46153</v>
      </c>
      <c r="F2554" s="47">
        <v>0.11953703703703704</v>
      </c>
      <c r="G2554" s="44">
        <v>6.3</v>
      </c>
      <c r="H2554" s="43" t="s">
        <v>1363</v>
      </c>
      <c r="I2554" s="40" t="s">
        <v>1361</v>
      </c>
    </row>
    <row r="2555" spans="1:9" x14ac:dyDescent="0.25">
      <c r="A2555" s="40" t="s">
        <v>426</v>
      </c>
      <c r="B2555" s="28">
        <v>3014</v>
      </c>
      <c r="C2555" s="28">
        <v>5661251</v>
      </c>
      <c r="D2555" s="28"/>
      <c r="E2555" s="41">
        <v>46153</v>
      </c>
      <c r="F2555" s="47">
        <v>0.12511574074074075</v>
      </c>
      <c r="G2555" s="44">
        <v>6.3</v>
      </c>
      <c r="H2555" s="43" t="s">
        <v>1364</v>
      </c>
      <c r="I2555" s="40" t="s">
        <v>1361</v>
      </c>
    </row>
    <row r="2556" spans="1:9" x14ac:dyDescent="0.25">
      <c r="A2556" s="40" t="s">
        <v>426</v>
      </c>
      <c r="B2556" s="28">
        <v>3014</v>
      </c>
      <c r="C2556" s="28">
        <v>5666358</v>
      </c>
      <c r="D2556" s="28"/>
      <c r="E2556" s="41">
        <v>46156</v>
      </c>
      <c r="F2556" s="47">
        <v>0.17822916666666666</v>
      </c>
      <c r="G2556" s="44">
        <v>6.3</v>
      </c>
      <c r="H2556" s="43" t="s">
        <v>1364</v>
      </c>
      <c r="I2556" s="40" t="s">
        <v>1361</v>
      </c>
    </row>
    <row r="2557" spans="1:9" x14ac:dyDescent="0.25">
      <c r="A2557" s="40" t="s">
        <v>93</v>
      </c>
      <c r="B2557" s="28">
        <v>3038</v>
      </c>
      <c r="C2557" s="28">
        <v>5661867</v>
      </c>
      <c r="D2557" s="28"/>
      <c r="E2557" s="41">
        <v>46153</v>
      </c>
      <c r="F2557" s="47">
        <v>0.12219907407407407</v>
      </c>
      <c r="G2557" s="44">
        <v>6.3</v>
      </c>
      <c r="H2557" s="43" t="s">
        <v>1369</v>
      </c>
      <c r="I2557" s="40" t="s">
        <v>1361</v>
      </c>
    </row>
    <row r="2558" spans="1:9" x14ac:dyDescent="0.25">
      <c r="A2558" s="40" t="s">
        <v>93</v>
      </c>
      <c r="B2558" s="28">
        <v>3038</v>
      </c>
      <c r="C2558" s="28">
        <v>5661867</v>
      </c>
      <c r="D2558" s="28"/>
      <c r="E2558" s="45">
        <v>46153</v>
      </c>
      <c r="F2558" s="48">
        <v>0.12792824074074075</v>
      </c>
      <c r="G2558" s="44">
        <v>6.3</v>
      </c>
      <c r="H2558" s="43" t="s">
        <v>1364</v>
      </c>
      <c r="I2558" s="40" t="s">
        <v>1361</v>
      </c>
    </row>
    <row r="2559" spans="1:9" x14ac:dyDescent="0.25">
      <c r="A2559" s="40" t="s">
        <v>93</v>
      </c>
      <c r="B2559" s="28">
        <v>3038</v>
      </c>
      <c r="C2559" s="28" t="s">
        <v>785</v>
      </c>
      <c r="D2559" s="28"/>
      <c r="E2559" s="41">
        <v>46153</v>
      </c>
      <c r="F2559" s="47">
        <v>0.24432870370370371</v>
      </c>
      <c r="G2559" s="44">
        <v>6.3</v>
      </c>
      <c r="H2559" s="43" t="s">
        <v>1360</v>
      </c>
      <c r="I2559" s="40" t="s">
        <v>1361</v>
      </c>
    </row>
    <row r="2560" spans="1:9" x14ac:dyDescent="0.25">
      <c r="A2560" s="40" t="s">
        <v>93</v>
      </c>
      <c r="B2560" s="28">
        <v>3038</v>
      </c>
      <c r="C2560" s="28" t="s">
        <v>785</v>
      </c>
      <c r="D2560" s="28"/>
      <c r="E2560" s="41">
        <v>46153</v>
      </c>
      <c r="F2560" s="47">
        <v>0.25256944444444446</v>
      </c>
      <c r="G2560" s="44">
        <v>6.3</v>
      </c>
      <c r="H2560" s="43" t="s">
        <v>1368</v>
      </c>
      <c r="I2560" s="40" t="s">
        <v>1361</v>
      </c>
    </row>
    <row r="2561" spans="1:9" x14ac:dyDescent="0.25">
      <c r="A2561" s="40" t="s">
        <v>93</v>
      </c>
      <c r="B2561" s="28">
        <v>3038</v>
      </c>
      <c r="C2561" s="28">
        <v>5662397</v>
      </c>
      <c r="D2561" s="28"/>
      <c r="E2561" s="41">
        <v>46153</v>
      </c>
      <c r="F2561" s="47">
        <v>0.54487268518518517</v>
      </c>
      <c r="G2561" s="44">
        <v>6.3</v>
      </c>
      <c r="H2561" s="43" t="s">
        <v>1363</v>
      </c>
      <c r="I2561" s="40" t="s">
        <v>1361</v>
      </c>
    </row>
    <row r="2562" spans="1:9" x14ac:dyDescent="0.25">
      <c r="A2562" s="40" t="s">
        <v>93</v>
      </c>
      <c r="B2562" s="28">
        <v>3038</v>
      </c>
      <c r="C2562" s="28">
        <v>5665831</v>
      </c>
      <c r="D2562" s="28"/>
      <c r="E2562" s="41">
        <v>46155</v>
      </c>
      <c r="F2562" s="47">
        <v>0.19928240740740741</v>
      </c>
      <c r="G2562" s="44">
        <v>6.3</v>
      </c>
      <c r="H2562" s="43" t="s">
        <v>1369</v>
      </c>
      <c r="I2562" s="40" t="s">
        <v>1361</v>
      </c>
    </row>
    <row r="2563" spans="1:9" x14ac:dyDescent="0.25">
      <c r="A2563" s="40" t="s">
        <v>93</v>
      </c>
      <c r="B2563" s="28">
        <v>3038</v>
      </c>
      <c r="C2563" s="28">
        <v>5665831</v>
      </c>
      <c r="D2563" s="28"/>
      <c r="E2563" s="41">
        <v>46155</v>
      </c>
      <c r="F2563" s="47">
        <v>0.20458333333333334</v>
      </c>
      <c r="G2563" s="44">
        <v>6.3</v>
      </c>
      <c r="H2563" s="43" t="s">
        <v>1364</v>
      </c>
      <c r="I2563" s="40" t="s">
        <v>1361</v>
      </c>
    </row>
    <row r="2564" spans="1:9" x14ac:dyDescent="0.25">
      <c r="A2564" s="40" t="s">
        <v>93</v>
      </c>
      <c r="B2564" s="28">
        <v>3038</v>
      </c>
      <c r="C2564" s="28" t="s">
        <v>786</v>
      </c>
      <c r="D2564" s="28"/>
      <c r="E2564" s="45">
        <v>46155</v>
      </c>
      <c r="F2564" s="48">
        <v>0.62148148148148152</v>
      </c>
      <c r="G2564" s="44">
        <v>6.3</v>
      </c>
      <c r="H2564" s="43" t="s">
        <v>1360</v>
      </c>
      <c r="I2564" s="40" t="s">
        <v>1361</v>
      </c>
    </row>
    <row r="2565" spans="1:9" x14ac:dyDescent="0.25">
      <c r="A2565" s="40" t="s">
        <v>93</v>
      </c>
      <c r="B2565" s="28">
        <v>3038</v>
      </c>
      <c r="C2565" s="28" t="s">
        <v>786</v>
      </c>
      <c r="D2565" s="28"/>
      <c r="E2565" s="41">
        <v>46155</v>
      </c>
      <c r="F2565" s="47">
        <v>0.63129629629629624</v>
      </c>
      <c r="G2565" s="44">
        <v>6.3</v>
      </c>
      <c r="H2565" s="43" t="s">
        <v>1362</v>
      </c>
      <c r="I2565" s="40" t="s">
        <v>1361</v>
      </c>
    </row>
    <row r="2566" spans="1:9" x14ac:dyDescent="0.25">
      <c r="A2566" s="40" t="s">
        <v>93</v>
      </c>
      <c r="B2566" s="28">
        <v>3038</v>
      </c>
      <c r="C2566" s="28">
        <v>5667566</v>
      </c>
      <c r="D2566" s="28" t="s">
        <v>37</v>
      </c>
      <c r="E2566" s="41">
        <v>46156</v>
      </c>
      <c r="F2566" s="47">
        <v>0.17618055555555556</v>
      </c>
      <c r="G2566" s="44">
        <v>6.3</v>
      </c>
      <c r="H2566" s="43" t="s">
        <v>1364</v>
      </c>
      <c r="I2566" s="40" t="s">
        <v>1361</v>
      </c>
    </row>
    <row r="2567" spans="1:9" x14ac:dyDescent="0.25">
      <c r="A2567" s="40" t="s">
        <v>93</v>
      </c>
      <c r="B2567" s="28">
        <v>3038</v>
      </c>
      <c r="C2567" s="28" t="s">
        <v>787</v>
      </c>
      <c r="D2567" s="28"/>
      <c r="E2567" s="41">
        <v>46156</v>
      </c>
      <c r="F2567" s="47">
        <v>0.24388888888888888</v>
      </c>
      <c r="G2567" s="44">
        <v>6.3</v>
      </c>
      <c r="H2567" s="43" t="s">
        <v>1363</v>
      </c>
      <c r="I2567" s="40" t="s">
        <v>1361</v>
      </c>
    </row>
    <row r="2568" spans="1:9" x14ac:dyDescent="0.25">
      <c r="A2568" s="40" t="s">
        <v>93</v>
      </c>
      <c r="B2568" s="28">
        <v>3038</v>
      </c>
      <c r="C2568" s="28" t="s">
        <v>787</v>
      </c>
      <c r="D2568" s="28"/>
      <c r="E2568" s="41">
        <v>46156</v>
      </c>
      <c r="F2568" s="47">
        <v>0.2497800925925926</v>
      </c>
      <c r="G2568" s="44">
        <v>6.3</v>
      </c>
      <c r="H2568" s="43" t="s">
        <v>1364</v>
      </c>
      <c r="I2568" s="40" t="s">
        <v>1361</v>
      </c>
    </row>
    <row r="2569" spans="1:9" x14ac:dyDescent="0.25">
      <c r="A2569" s="40" t="s">
        <v>93</v>
      </c>
      <c r="B2569" s="28">
        <v>3038</v>
      </c>
      <c r="C2569" s="28" t="s">
        <v>788</v>
      </c>
      <c r="D2569" s="28"/>
      <c r="E2569" s="41">
        <v>46157</v>
      </c>
      <c r="F2569" s="47">
        <v>0.12251157407407408</v>
      </c>
      <c r="G2569" s="44">
        <v>6.3</v>
      </c>
      <c r="H2569" s="43" t="s">
        <v>1363</v>
      </c>
      <c r="I2569" s="40" t="s">
        <v>1361</v>
      </c>
    </row>
    <row r="2570" spans="1:9" x14ac:dyDescent="0.25">
      <c r="A2570" s="40" t="s">
        <v>93</v>
      </c>
      <c r="B2570" s="28">
        <v>3038</v>
      </c>
      <c r="C2570" s="28" t="s">
        <v>788</v>
      </c>
      <c r="D2570" s="28"/>
      <c r="E2570" s="41">
        <v>46157</v>
      </c>
      <c r="F2570" s="47">
        <v>0.12805555555555556</v>
      </c>
      <c r="G2570" s="44">
        <v>6.3</v>
      </c>
      <c r="H2570" s="43" t="s">
        <v>1364</v>
      </c>
      <c r="I2570" s="40" t="s">
        <v>1361</v>
      </c>
    </row>
    <row r="2571" spans="1:9" x14ac:dyDescent="0.25">
      <c r="A2571" s="40" t="s">
        <v>93</v>
      </c>
      <c r="B2571" s="28">
        <v>3038</v>
      </c>
      <c r="C2571" s="28" t="s">
        <v>789</v>
      </c>
      <c r="D2571" s="28"/>
      <c r="E2571" s="41">
        <v>46157</v>
      </c>
      <c r="F2571" s="47">
        <v>0.39474537037037039</v>
      </c>
      <c r="G2571" s="44">
        <v>6.3</v>
      </c>
      <c r="H2571" s="43" t="s">
        <v>1363</v>
      </c>
      <c r="I2571" s="40" t="s">
        <v>1361</v>
      </c>
    </row>
    <row r="2572" spans="1:9" x14ac:dyDescent="0.25">
      <c r="A2572" s="40" t="s">
        <v>93</v>
      </c>
      <c r="B2572" s="28">
        <v>3038</v>
      </c>
      <c r="C2572" s="28" t="s">
        <v>789</v>
      </c>
      <c r="D2572" s="28"/>
      <c r="E2572" s="41">
        <v>46157</v>
      </c>
      <c r="F2572" s="47">
        <v>0.40233796296296298</v>
      </c>
      <c r="G2572" s="44">
        <v>6.3</v>
      </c>
      <c r="H2572" s="43" t="s">
        <v>1364</v>
      </c>
      <c r="I2572" s="40" t="s">
        <v>1361</v>
      </c>
    </row>
    <row r="2573" spans="1:9" x14ac:dyDescent="0.25">
      <c r="A2573" s="40" t="s">
        <v>93</v>
      </c>
      <c r="B2573" s="28">
        <v>3038</v>
      </c>
      <c r="C2573" s="28">
        <v>10666005</v>
      </c>
      <c r="D2573" s="28"/>
      <c r="E2573" s="41">
        <v>46157</v>
      </c>
      <c r="F2573" s="47">
        <v>0.50806712962962963</v>
      </c>
      <c r="G2573" s="44">
        <v>6.3</v>
      </c>
      <c r="H2573" s="43" t="s">
        <v>1363</v>
      </c>
      <c r="I2573" s="40" t="s">
        <v>1361</v>
      </c>
    </row>
    <row r="2574" spans="1:9" x14ac:dyDescent="0.25">
      <c r="A2574" s="40" t="s">
        <v>93</v>
      </c>
      <c r="B2574" s="28">
        <v>3038</v>
      </c>
      <c r="C2574" s="28">
        <v>10666005</v>
      </c>
      <c r="D2574" s="28"/>
      <c r="E2574" s="41">
        <v>46157</v>
      </c>
      <c r="F2574" s="47">
        <v>0.51416666666666666</v>
      </c>
      <c r="G2574" s="44">
        <v>6.3</v>
      </c>
      <c r="H2574" s="43" t="s">
        <v>1364</v>
      </c>
      <c r="I2574" s="40" t="s">
        <v>1361</v>
      </c>
    </row>
    <row r="2575" spans="1:9" x14ac:dyDescent="0.25">
      <c r="A2575" s="40" t="s">
        <v>93</v>
      </c>
      <c r="B2575" s="28">
        <v>3038</v>
      </c>
      <c r="C2575" s="28" t="s">
        <v>790</v>
      </c>
      <c r="D2575" s="28"/>
      <c r="E2575" s="41">
        <v>46158</v>
      </c>
      <c r="F2575" s="47">
        <v>0.15137731481481481</v>
      </c>
      <c r="G2575" s="44">
        <v>6.3</v>
      </c>
      <c r="H2575" s="43" t="s">
        <v>1363</v>
      </c>
      <c r="I2575" s="40" t="s">
        <v>1365</v>
      </c>
    </row>
    <row r="2576" spans="1:9" x14ac:dyDescent="0.25">
      <c r="A2576" s="40" t="s">
        <v>93</v>
      </c>
      <c r="B2576" s="28">
        <v>3038</v>
      </c>
      <c r="C2576" s="28" t="s">
        <v>790</v>
      </c>
      <c r="D2576" s="28"/>
      <c r="E2576" s="41">
        <v>46158</v>
      </c>
      <c r="F2576" s="47">
        <v>0.15690972222222221</v>
      </c>
      <c r="G2576" s="44">
        <v>6.3</v>
      </c>
      <c r="H2576" s="43" t="s">
        <v>1364</v>
      </c>
      <c r="I2576" s="40" t="s">
        <v>1365</v>
      </c>
    </row>
    <row r="2577" spans="1:9" x14ac:dyDescent="0.25">
      <c r="A2577" s="40" t="s">
        <v>93</v>
      </c>
      <c r="B2577" s="28">
        <v>3038</v>
      </c>
      <c r="C2577" s="28" t="s">
        <v>791</v>
      </c>
      <c r="D2577" s="28"/>
      <c r="E2577" s="45">
        <v>46158</v>
      </c>
      <c r="F2577" s="48">
        <v>0.3649074074074074</v>
      </c>
      <c r="G2577" s="44">
        <v>6.3</v>
      </c>
      <c r="H2577" s="43" t="s">
        <v>1360</v>
      </c>
      <c r="I2577" s="40" t="s">
        <v>1365</v>
      </c>
    </row>
    <row r="2578" spans="1:9" x14ac:dyDescent="0.25">
      <c r="A2578" s="40" t="s">
        <v>93</v>
      </c>
      <c r="B2578" s="28">
        <v>3038</v>
      </c>
      <c r="C2578" s="28" t="s">
        <v>791</v>
      </c>
      <c r="D2578" s="28"/>
      <c r="E2578" s="41">
        <v>46158</v>
      </c>
      <c r="F2578" s="47">
        <v>0.37517361111111114</v>
      </c>
      <c r="G2578" s="44">
        <v>6.3</v>
      </c>
      <c r="H2578" s="43" t="s">
        <v>1362</v>
      </c>
      <c r="I2578" s="40" t="s">
        <v>1365</v>
      </c>
    </row>
    <row r="2579" spans="1:9" x14ac:dyDescent="0.25">
      <c r="A2579" s="40" t="s">
        <v>93</v>
      </c>
      <c r="B2579" s="28">
        <v>3038</v>
      </c>
      <c r="C2579" s="28" t="s">
        <v>792</v>
      </c>
      <c r="D2579" s="28"/>
      <c r="E2579" s="45">
        <v>46158</v>
      </c>
      <c r="F2579" s="48">
        <v>0.57354166666666662</v>
      </c>
      <c r="G2579" s="44">
        <v>6.3</v>
      </c>
      <c r="H2579" s="43" t="s">
        <v>1360</v>
      </c>
      <c r="I2579" s="40" t="s">
        <v>1365</v>
      </c>
    </row>
    <row r="2580" spans="1:9" x14ac:dyDescent="0.25">
      <c r="A2580" s="40" t="s">
        <v>93</v>
      </c>
      <c r="B2580" s="28">
        <v>3038</v>
      </c>
      <c r="C2580" s="28" t="s">
        <v>792</v>
      </c>
      <c r="D2580" s="28"/>
      <c r="E2580" s="45">
        <v>46158</v>
      </c>
      <c r="F2580" s="48">
        <v>0.588287037037037</v>
      </c>
      <c r="G2580" s="44">
        <v>6.3</v>
      </c>
      <c r="H2580" s="43" t="s">
        <v>1368</v>
      </c>
      <c r="I2580" s="40" t="s">
        <v>1365</v>
      </c>
    </row>
    <row r="2581" spans="1:9" x14ac:dyDescent="0.25">
      <c r="A2581" s="40" t="s">
        <v>93</v>
      </c>
      <c r="B2581" s="28">
        <v>3038</v>
      </c>
      <c r="C2581" s="28" t="s">
        <v>793</v>
      </c>
      <c r="D2581" s="28"/>
      <c r="E2581" s="41">
        <v>46159</v>
      </c>
      <c r="F2581" s="47">
        <v>0.16250000000000001</v>
      </c>
      <c r="G2581" s="44">
        <v>6.3</v>
      </c>
      <c r="H2581" s="43" t="s">
        <v>1363</v>
      </c>
      <c r="I2581" s="40" t="s">
        <v>1365</v>
      </c>
    </row>
    <row r="2582" spans="1:9" x14ac:dyDescent="0.25">
      <c r="A2582" s="40" t="s">
        <v>93</v>
      </c>
      <c r="B2582" s="28">
        <v>3038</v>
      </c>
      <c r="C2582" s="28" t="s">
        <v>793</v>
      </c>
      <c r="D2582" s="28"/>
      <c r="E2582" s="45">
        <v>46159</v>
      </c>
      <c r="F2582" s="48">
        <v>0.16802083333333334</v>
      </c>
      <c r="G2582" s="44">
        <v>6.3</v>
      </c>
      <c r="H2582" s="43" t="s">
        <v>1364</v>
      </c>
      <c r="I2582" s="40" t="s">
        <v>1365</v>
      </c>
    </row>
    <row r="2583" spans="1:9" x14ac:dyDescent="0.25">
      <c r="A2583" s="40" t="s">
        <v>93</v>
      </c>
      <c r="B2583" s="28">
        <v>3038</v>
      </c>
      <c r="C2583" s="28">
        <v>10680564</v>
      </c>
      <c r="D2583" s="28" t="s">
        <v>36</v>
      </c>
      <c r="E2583" s="41">
        <v>46159</v>
      </c>
      <c r="F2583" s="47">
        <v>0.57862268518518523</v>
      </c>
      <c r="G2583" s="44">
        <v>6.3</v>
      </c>
      <c r="H2583" s="43" t="s">
        <v>1360</v>
      </c>
      <c r="I2583" s="40" t="s">
        <v>1365</v>
      </c>
    </row>
    <row r="2584" spans="1:9" x14ac:dyDescent="0.25">
      <c r="A2584" s="40" t="s">
        <v>93</v>
      </c>
      <c r="B2584" s="28">
        <v>3038</v>
      </c>
      <c r="C2584" s="28" t="s">
        <v>35</v>
      </c>
      <c r="D2584" s="28" t="s">
        <v>38</v>
      </c>
      <c r="E2584" s="41">
        <v>46159</v>
      </c>
      <c r="F2584" s="47">
        <v>0.58678240740740739</v>
      </c>
      <c r="G2584" s="44">
        <v>6.3</v>
      </c>
      <c r="H2584" s="43" t="s">
        <v>1362</v>
      </c>
      <c r="I2584" s="40" t="s">
        <v>1365</v>
      </c>
    </row>
    <row r="2585" spans="1:9" x14ac:dyDescent="0.25">
      <c r="A2585" s="40" t="s">
        <v>205</v>
      </c>
      <c r="B2585" s="28">
        <v>3041</v>
      </c>
      <c r="C2585" s="28" t="s">
        <v>794</v>
      </c>
      <c r="D2585" s="28"/>
      <c r="E2585" s="45">
        <v>46154</v>
      </c>
      <c r="F2585" s="48">
        <v>0.45274305555555555</v>
      </c>
      <c r="G2585" s="44">
        <v>6.3</v>
      </c>
      <c r="H2585" s="43" t="s">
        <v>1363</v>
      </c>
      <c r="I2585" s="40" t="s">
        <v>1361</v>
      </c>
    </row>
    <row r="2586" spans="1:9" x14ac:dyDescent="0.25">
      <c r="A2586" s="40" t="s">
        <v>205</v>
      </c>
      <c r="B2586" s="28">
        <v>3041</v>
      </c>
      <c r="C2586" s="28" t="s">
        <v>794</v>
      </c>
      <c r="D2586" s="28"/>
      <c r="E2586" s="41">
        <v>46154</v>
      </c>
      <c r="F2586" s="47">
        <v>0.45902777777777776</v>
      </c>
      <c r="G2586" s="44">
        <v>6.3</v>
      </c>
      <c r="H2586" s="43" t="s">
        <v>1364</v>
      </c>
      <c r="I2586" s="40" t="s">
        <v>1361</v>
      </c>
    </row>
    <row r="2587" spans="1:9" x14ac:dyDescent="0.25">
      <c r="A2587" s="40" t="s">
        <v>205</v>
      </c>
      <c r="B2587" s="28">
        <v>3041</v>
      </c>
      <c r="C2587" s="28" t="s">
        <v>795</v>
      </c>
      <c r="D2587" s="28"/>
      <c r="E2587" s="45">
        <v>46154</v>
      </c>
      <c r="F2587" s="48">
        <v>0.60194444444444439</v>
      </c>
      <c r="G2587" s="42">
        <v>6.3</v>
      </c>
      <c r="H2587" s="40" t="s">
        <v>1360</v>
      </c>
      <c r="I2587" s="40" t="s">
        <v>1361</v>
      </c>
    </row>
    <row r="2588" spans="1:9" x14ac:dyDescent="0.25">
      <c r="A2588" s="40" t="s">
        <v>205</v>
      </c>
      <c r="B2588" s="28">
        <v>3041</v>
      </c>
      <c r="C2588" s="28" t="s">
        <v>795</v>
      </c>
      <c r="D2588" s="28"/>
      <c r="E2588" s="41">
        <v>46154</v>
      </c>
      <c r="F2588" s="47">
        <v>0.61233796296296295</v>
      </c>
      <c r="G2588" s="42">
        <v>6.3</v>
      </c>
      <c r="H2588" s="40" t="s">
        <v>1362</v>
      </c>
      <c r="I2588" s="40" t="s">
        <v>1361</v>
      </c>
    </row>
    <row r="2589" spans="1:9" x14ac:dyDescent="0.25">
      <c r="A2589" s="40" t="s">
        <v>205</v>
      </c>
      <c r="B2589" s="28">
        <v>3041</v>
      </c>
      <c r="C2589" s="28" t="s">
        <v>796</v>
      </c>
      <c r="D2589" s="28"/>
      <c r="E2589" s="41">
        <v>46154</v>
      </c>
      <c r="F2589" s="47">
        <v>0.86108796296296297</v>
      </c>
      <c r="G2589" s="44">
        <v>6.3</v>
      </c>
      <c r="H2589" s="43" t="s">
        <v>1360</v>
      </c>
      <c r="I2589" s="40" t="s">
        <v>1361</v>
      </c>
    </row>
    <row r="2590" spans="1:9" x14ac:dyDescent="0.25">
      <c r="A2590" s="40" t="s">
        <v>205</v>
      </c>
      <c r="B2590" s="28">
        <v>3041</v>
      </c>
      <c r="C2590" s="28" t="s">
        <v>796</v>
      </c>
      <c r="D2590" s="28"/>
      <c r="E2590" s="41">
        <v>46154</v>
      </c>
      <c r="F2590" s="47">
        <v>0.86832175925925925</v>
      </c>
      <c r="G2590" s="44">
        <v>6.3</v>
      </c>
      <c r="H2590" s="43" t="s">
        <v>1362</v>
      </c>
      <c r="I2590" s="40" t="s">
        <v>1361</v>
      </c>
    </row>
    <row r="2591" spans="1:9" x14ac:dyDescent="0.25">
      <c r="A2591" s="40" t="s">
        <v>205</v>
      </c>
      <c r="B2591" s="28">
        <v>3041</v>
      </c>
      <c r="C2591" s="28" t="s">
        <v>35</v>
      </c>
      <c r="D2591" s="28" t="s">
        <v>38</v>
      </c>
      <c r="E2591" s="41">
        <v>46154</v>
      </c>
      <c r="F2591" s="47">
        <v>0.92696759259259254</v>
      </c>
      <c r="G2591" s="44">
        <v>6.3</v>
      </c>
      <c r="H2591" s="43" t="s">
        <v>1363</v>
      </c>
      <c r="I2591" s="40" t="s">
        <v>1361</v>
      </c>
    </row>
    <row r="2592" spans="1:9" x14ac:dyDescent="0.25">
      <c r="A2592" s="40" t="s">
        <v>205</v>
      </c>
      <c r="B2592" s="28">
        <v>3041</v>
      </c>
      <c r="C2592" s="28" t="s">
        <v>797</v>
      </c>
      <c r="D2592" s="28"/>
      <c r="E2592" s="41">
        <v>46155</v>
      </c>
      <c r="F2592" s="47">
        <v>0.47068287037037038</v>
      </c>
      <c r="G2592" s="44">
        <v>6.3</v>
      </c>
      <c r="H2592" s="43" t="s">
        <v>1360</v>
      </c>
      <c r="I2592" s="40" t="s">
        <v>1361</v>
      </c>
    </row>
    <row r="2593" spans="1:9" x14ac:dyDescent="0.25">
      <c r="A2593" s="40" t="s">
        <v>205</v>
      </c>
      <c r="B2593" s="28">
        <v>3041</v>
      </c>
      <c r="C2593" s="28" t="s">
        <v>797</v>
      </c>
      <c r="D2593" s="28"/>
      <c r="E2593" s="41">
        <v>46155</v>
      </c>
      <c r="F2593" s="47">
        <v>0.49005787037037035</v>
      </c>
      <c r="G2593" s="42">
        <v>6.3</v>
      </c>
      <c r="H2593" s="40" t="s">
        <v>1362</v>
      </c>
      <c r="I2593" s="40" t="s">
        <v>1361</v>
      </c>
    </row>
    <row r="2594" spans="1:9" x14ac:dyDescent="0.25">
      <c r="A2594" s="40" t="s">
        <v>205</v>
      </c>
      <c r="B2594" s="28">
        <v>3041</v>
      </c>
      <c r="C2594" s="28" t="s">
        <v>798</v>
      </c>
      <c r="D2594" s="28"/>
      <c r="E2594" s="41">
        <v>46155</v>
      </c>
      <c r="F2594" s="47">
        <v>0.57583333333333331</v>
      </c>
      <c r="G2594" s="44">
        <v>6.3</v>
      </c>
      <c r="H2594" s="43" t="s">
        <v>1363</v>
      </c>
      <c r="I2594" s="40" t="s">
        <v>1361</v>
      </c>
    </row>
    <row r="2595" spans="1:9" x14ac:dyDescent="0.25">
      <c r="A2595" s="40" t="s">
        <v>205</v>
      </c>
      <c r="B2595" s="28">
        <v>3041</v>
      </c>
      <c r="C2595" s="28" t="s">
        <v>798</v>
      </c>
      <c r="D2595" s="28"/>
      <c r="E2595" s="41">
        <v>46155</v>
      </c>
      <c r="F2595" s="47">
        <v>0.58187500000000003</v>
      </c>
      <c r="G2595" s="44">
        <v>6.3</v>
      </c>
      <c r="H2595" s="43" t="s">
        <v>1364</v>
      </c>
      <c r="I2595" s="40" t="s">
        <v>1361</v>
      </c>
    </row>
    <row r="2596" spans="1:9" x14ac:dyDescent="0.25">
      <c r="A2596" s="40" t="s">
        <v>205</v>
      </c>
      <c r="B2596" s="28">
        <v>3041</v>
      </c>
      <c r="C2596" s="28" t="s">
        <v>799</v>
      </c>
      <c r="D2596" s="28"/>
      <c r="E2596" s="41">
        <v>46155</v>
      </c>
      <c r="F2596" s="47">
        <v>0.6653472222222222</v>
      </c>
      <c r="G2596" s="44">
        <v>6.3</v>
      </c>
      <c r="H2596" s="43" t="s">
        <v>1360</v>
      </c>
      <c r="I2596" s="40" t="s">
        <v>1361</v>
      </c>
    </row>
    <row r="2597" spans="1:9" x14ac:dyDescent="0.25">
      <c r="A2597" s="40" t="s">
        <v>205</v>
      </c>
      <c r="B2597" s="28">
        <v>3041</v>
      </c>
      <c r="C2597" s="28" t="s">
        <v>799</v>
      </c>
      <c r="D2597" s="28"/>
      <c r="E2597" s="41">
        <v>46155</v>
      </c>
      <c r="F2597" s="47">
        <v>0.671875</v>
      </c>
      <c r="G2597" s="44">
        <v>6.3</v>
      </c>
      <c r="H2597" s="43" t="s">
        <v>1366</v>
      </c>
      <c r="I2597" s="40" t="s">
        <v>1361</v>
      </c>
    </row>
    <row r="2598" spans="1:9" x14ac:dyDescent="0.25">
      <c r="A2598" s="40" t="s">
        <v>205</v>
      </c>
      <c r="B2598" s="28">
        <v>3041</v>
      </c>
      <c r="C2598" s="28" t="s">
        <v>800</v>
      </c>
      <c r="D2598" s="28"/>
      <c r="E2598" s="41">
        <v>46155</v>
      </c>
      <c r="F2598" s="47">
        <v>0.81440972222222219</v>
      </c>
      <c r="G2598" s="44">
        <v>6.3</v>
      </c>
      <c r="H2598" s="43" t="s">
        <v>1370</v>
      </c>
      <c r="I2598" s="40" t="s">
        <v>1361</v>
      </c>
    </row>
    <row r="2599" spans="1:9" x14ac:dyDescent="0.25">
      <c r="A2599" s="40" t="s">
        <v>205</v>
      </c>
      <c r="B2599" s="28">
        <v>3041</v>
      </c>
      <c r="C2599" s="28" t="s">
        <v>800</v>
      </c>
      <c r="D2599" s="28"/>
      <c r="E2599" s="41">
        <v>46155</v>
      </c>
      <c r="F2599" s="47">
        <v>0.83173611111111112</v>
      </c>
      <c r="G2599" s="44">
        <v>6.3</v>
      </c>
      <c r="H2599" s="43" t="s">
        <v>1364</v>
      </c>
      <c r="I2599" s="40" t="s">
        <v>1361</v>
      </c>
    </row>
    <row r="2600" spans="1:9" x14ac:dyDescent="0.25">
      <c r="A2600" s="40" t="s">
        <v>205</v>
      </c>
      <c r="B2600" s="28">
        <v>3041</v>
      </c>
      <c r="C2600" s="28" t="s">
        <v>801</v>
      </c>
      <c r="D2600" s="28"/>
      <c r="E2600" s="41">
        <v>46156</v>
      </c>
      <c r="F2600" s="47">
        <v>0.32269675925925928</v>
      </c>
      <c r="G2600" s="44">
        <v>6.3</v>
      </c>
      <c r="H2600" s="43" t="s">
        <v>1360</v>
      </c>
      <c r="I2600" s="40" t="s">
        <v>1361</v>
      </c>
    </row>
    <row r="2601" spans="1:9" x14ac:dyDescent="0.25">
      <c r="A2601" s="40" t="s">
        <v>205</v>
      </c>
      <c r="B2601" s="28">
        <v>3041</v>
      </c>
      <c r="C2601" s="28" t="s">
        <v>801</v>
      </c>
      <c r="D2601" s="28"/>
      <c r="E2601" s="41">
        <v>46156</v>
      </c>
      <c r="F2601" s="47">
        <v>0.33822916666666669</v>
      </c>
      <c r="G2601" s="44">
        <v>6.3</v>
      </c>
      <c r="H2601" s="43" t="s">
        <v>1362</v>
      </c>
      <c r="I2601" s="40" t="s">
        <v>1361</v>
      </c>
    </row>
    <row r="2602" spans="1:9" x14ac:dyDescent="0.25">
      <c r="A2602" s="40" t="s">
        <v>205</v>
      </c>
      <c r="B2602" s="28">
        <v>3041</v>
      </c>
      <c r="C2602" s="28" t="s">
        <v>802</v>
      </c>
      <c r="D2602" s="28"/>
      <c r="E2602" s="41">
        <v>46156</v>
      </c>
      <c r="F2602" s="47">
        <v>0.39502314814814815</v>
      </c>
      <c r="G2602" s="44">
        <v>6.3</v>
      </c>
      <c r="H2602" s="43" t="s">
        <v>1363</v>
      </c>
      <c r="I2602" s="40" t="s">
        <v>1361</v>
      </c>
    </row>
    <row r="2603" spans="1:9" x14ac:dyDescent="0.25">
      <c r="A2603" s="40" t="s">
        <v>205</v>
      </c>
      <c r="B2603" s="28">
        <v>3041</v>
      </c>
      <c r="C2603" s="28" t="s">
        <v>802</v>
      </c>
      <c r="D2603" s="28"/>
      <c r="E2603" s="41">
        <v>46156</v>
      </c>
      <c r="F2603" s="47">
        <v>0.40476851851851853</v>
      </c>
      <c r="G2603" s="44">
        <v>6.3</v>
      </c>
      <c r="H2603" s="43" t="s">
        <v>1364</v>
      </c>
      <c r="I2603" s="40" t="s">
        <v>1361</v>
      </c>
    </row>
    <row r="2604" spans="1:9" x14ac:dyDescent="0.25">
      <c r="A2604" s="40" t="s">
        <v>94</v>
      </c>
      <c r="B2604" s="28">
        <v>3047</v>
      </c>
      <c r="C2604" s="28">
        <v>10675093</v>
      </c>
      <c r="D2604" s="28"/>
      <c r="E2604" s="41">
        <v>46158</v>
      </c>
      <c r="F2604" s="47">
        <v>0.53211805555555558</v>
      </c>
      <c r="G2604" s="44">
        <v>6.3</v>
      </c>
      <c r="H2604" s="43" t="s">
        <v>1364</v>
      </c>
      <c r="I2604" s="40" t="s">
        <v>1365</v>
      </c>
    </row>
    <row r="2605" spans="1:9" x14ac:dyDescent="0.25">
      <c r="A2605" s="40" t="s">
        <v>427</v>
      </c>
      <c r="B2605" s="28">
        <v>3049</v>
      </c>
      <c r="C2605" s="28" t="s">
        <v>35</v>
      </c>
      <c r="D2605" s="28" t="s">
        <v>38</v>
      </c>
      <c r="E2605" s="41">
        <v>46153</v>
      </c>
      <c r="F2605" s="47">
        <v>0.51167824074074075</v>
      </c>
      <c r="G2605" s="42">
        <v>6.3</v>
      </c>
      <c r="H2605" s="40" t="s">
        <v>1366</v>
      </c>
      <c r="I2605" s="40" t="s">
        <v>1361</v>
      </c>
    </row>
    <row r="2606" spans="1:9" x14ac:dyDescent="0.25">
      <c r="A2606" s="40" t="s">
        <v>427</v>
      </c>
      <c r="B2606" s="28">
        <v>3049</v>
      </c>
      <c r="C2606" s="28">
        <v>5662972</v>
      </c>
      <c r="D2606" s="28"/>
      <c r="E2606" s="41">
        <v>46153</v>
      </c>
      <c r="F2606" s="47">
        <v>0.6312268518518519</v>
      </c>
      <c r="G2606" s="42">
        <v>6.3</v>
      </c>
      <c r="H2606" s="40" t="s">
        <v>1367</v>
      </c>
      <c r="I2606" s="40" t="s">
        <v>1361</v>
      </c>
    </row>
    <row r="2607" spans="1:9" x14ac:dyDescent="0.25">
      <c r="A2607" s="40" t="s">
        <v>427</v>
      </c>
      <c r="B2607" s="28">
        <v>3049</v>
      </c>
      <c r="C2607" s="28">
        <v>5662972</v>
      </c>
      <c r="D2607" s="28"/>
      <c r="E2607" s="41">
        <v>46153</v>
      </c>
      <c r="F2607" s="47">
        <v>0.63451388888888893</v>
      </c>
      <c r="G2607" s="42">
        <v>6.3</v>
      </c>
      <c r="H2607" s="40" t="s">
        <v>1364</v>
      </c>
      <c r="I2607" s="40" t="s">
        <v>1361</v>
      </c>
    </row>
    <row r="2608" spans="1:9" x14ac:dyDescent="0.25">
      <c r="A2608" s="40" t="s">
        <v>427</v>
      </c>
      <c r="B2608" s="28">
        <v>3049</v>
      </c>
      <c r="C2608" s="28">
        <v>5669601</v>
      </c>
      <c r="D2608" s="28"/>
      <c r="E2608" s="41">
        <v>46157</v>
      </c>
      <c r="F2608" s="47">
        <v>0.39993055555555557</v>
      </c>
      <c r="G2608" s="44">
        <v>6.3</v>
      </c>
      <c r="H2608" s="43" t="s">
        <v>1367</v>
      </c>
      <c r="I2608" s="40" t="s">
        <v>1361</v>
      </c>
    </row>
    <row r="2609" spans="1:9" x14ac:dyDescent="0.25">
      <c r="A2609" s="40" t="s">
        <v>427</v>
      </c>
      <c r="B2609" s="28">
        <v>3049</v>
      </c>
      <c r="C2609" s="28" t="s">
        <v>35</v>
      </c>
      <c r="D2609" s="28" t="s">
        <v>38</v>
      </c>
      <c r="E2609" s="41">
        <v>46157</v>
      </c>
      <c r="F2609" s="47">
        <v>0.60657407407407404</v>
      </c>
      <c r="G2609" s="44">
        <v>6.3</v>
      </c>
      <c r="H2609" s="43" t="s">
        <v>1360</v>
      </c>
      <c r="I2609" s="40" t="s">
        <v>1361</v>
      </c>
    </row>
    <row r="2610" spans="1:9" x14ac:dyDescent="0.25">
      <c r="A2610" s="40" t="s">
        <v>427</v>
      </c>
      <c r="B2610" s="28">
        <v>3049</v>
      </c>
      <c r="C2610" s="28" t="s">
        <v>35</v>
      </c>
      <c r="D2610" s="28" t="s">
        <v>38</v>
      </c>
      <c r="E2610" s="41">
        <v>46157</v>
      </c>
      <c r="F2610" s="47">
        <v>0.62122685185185189</v>
      </c>
      <c r="G2610" s="44">
        <v>6.3</v>
      </c>
      <c r="H2610" s="43" t="s">
        <v>1362</v>
      </c>
      <c r="I2610" s="40" t="s">
        <v>1361</v>
      </c>
    </row>
    <row r="2611" spans="1:9" x14ac:dyDescent="0.25">
      <c r="A2611" s="40" t="s">
        <v>427</v>
      </c>
      <c r="B2611" s="28">
        <v>3049</v>
      </c>
      <c r="C2611" s="28">
        <v>5670730</v>
      </c>
      <c r="D2611" s="28"/>
      <c r="E2611" s="41">
        <v>46157</v>
      </c>
      <c r="F2611" s="47">
        <v>0.81509259259259259</v>
      </c>
      <c r="G2611" s="44">
        <v>6.3</v>
      </c>
      <c r="H2611" s="43" t="s">
        <v>1360</v>
      </c>
      <c r="I2611" s="40" t="s">
        <v>1361</v>
      </c>
    </row>
    <row r="2612" spans="1:9" x14ac:dyDescent="0.25">
      <c r="A2612" s="40" t="s">
        <v>427</v>
      </c>
      <c r="B2612" s="28">
        <v>3049</v>
      </c>
      <c r="C2612" s="28">
        <v>5670730</v>
      </c>
      <c r="D2612" s="28"/>
      <c r="E2612" s="41">
        <v>46157</v>
      </c>
      <c r="F2612" s="47">
        <v>0.8346527777777778</v>
      </c>
      <c r="G2612" s="44">
        <v>6.3</v>
      </c>
      <c r="H2612" s="43" t="s">
        <v>1366</v>
      </c>
      <c r="I2612" s="40" t="s">
        <v>1361</v>
      </c>
    </row>
    <row r="2613" spans="1:9" x14ac:dyDescent="0.25">
      <c r="A2613" s="40" t="s">
        <v>427</v>
      </c>
      <c r="B2613" s="28">
        <v>3049</v>
      </c>
      <c r="C2613" s="28" t="s">
        <v>35</v>
      </c>
      <c r="D2613" s="28" t="s">
        <v>38</v>
      </c>
      <c r="E2613" s="41">
        <v>46158</v>
      </c>
      <c r="F2613" s="47">
        <v>0.4596412037037037</v>
      </c>
      <c r="G2613" s="44">
        <v>6.3</v>
      </c>
      <c r="H2613" s="43" t="s">
        <v>1369</v>
      </c>
      <c r="I2613" s="40" t="s">
        <v>1365</v>
      </c>
    </row>
    <row r="2614" spans="1:9" x14ac:dyDescent="0.25">
      <c r="A2614" s="40" t="s">
        <v>427</v>
      </c>
      <c r="B2614" s="28">
        <v>3049</v>
      </c>
      <c r="C2614" s="28">
        <v>5671682</v>
      </c>
      <c r="D2614" s="28"/>
      <c r="E2614" s="41">
        <v>46158</v>
      </c>
      <c r="F2614" s="47">
        <v>0.73040509259259256</v>
      </c>
      <c r="G2614" s="42">
        <v>6.3</v>
      </c>
      <c r="H2614" s="40" t="s">
        <v>1360</v>
      </c>
      <c r="I2614" s="40" t="s">
        <v>1365</v>
      </c>
    </row>
    <row r="2615" spans="1:9" x14ac:dyDescent="0.25">
      <c r="A2615" s="40" t="s">
        <v>427</v>
      </c>
      <c r="B2615" s="28">
        <v>3049</v>
      </c>
      <c r="C2615" s="28">
        <v>5671682</v>
      </c>
      <c r="D2615" s="28"/>
      <c r="E2615" s="41">
        <v>46158</v>
      </c>
      <c r="F2615" s="47">
        <v>0.74122685185185189</v>
      </c>
      <c r="G2615" s="44">
        <v>6.3</v>
      </c>
      <c r="H2615" s="43" t="s">
        <v>1366</v>
      </c>
      <c r="I2615" s="40" t="s">
        <v>1365</v>
      </c>
    </row>
    <row r="2616" spans="1:9" x14ac:dyDescent="0.25">
      <c r="A2616" s="40" t="s">
        <v>264</v>
      </c>
      <c r="B2616" s="28">
        <v>3061</v>
      </c>
      <c r="C2616" s="28">
        <v>10638153</v>
      </c>
      <c r="D2616" s="28"/>
      <c r="E2616" s="41">
        <v>46153</v>
      </c>
      <c r="F2616" s="47">
        <v>0.2955787037037037</v>
      </c>
      <c r="G2616" s="44">
        <v>6.3</v>
      </c>
      <c r="H2616" s="43" t="s">
        <v>1363</v>
      </c>
      <c r="I2616" s="40" t="s">
        <v>1361</v>
      </c>
    </row>
    <row r="2617" spans="1:9" x14ac:dyDescent="0.25">
      <c r="A2617" s="40" t="s">
        <v>264</v>
      </c>
      <c r="B2617" s="28">
        <v>3061</v>
      </c>
      <c r="C2617" s="28">
        <v>10638153</v>
      </c>
      <c r="D2617" s="28"/>
      <c r="E2617" s="45">
        <v>46153</v>
      </c>
      <c r="F2617" s="48">
        <v>0.30442129629629627</v>
      </c>
      <c r="G2617" s="44">
        <v>6.3</v>
      </c>
      <c r="H2617" s="43" t="s">
        <v>1364</v>
      </c>
      <c r="I2617" s="40" t="s">
        <v>1361</v>
      </c>
    </row>
    <row r="2618" spans="1:9" x14ac:dyDescent="0.25">
      <c r="A2618" s="40" t="s">
        <v>264</v>
      </c>
      <c r="B2618" s="28">
        <v>3061</v>
      </c>
      <c r="C2618" s="28" t="s">
        <v>35</v>
      </c>
      <c r="D2618" s="28" t="s">
        <v>38</v>
      </c>
      <c r="E2618" s="41">
        <v>46158</v>
      </c>
      <c r="F2618" s="47">
        <v>0.25072916666666667</v>
      </c>
      <c r="G2618" s="44">
        <v>6.3</v>
      </c>
      <c r="H2618" s="43" t="s">
        <v>1360</v>
      </c>
      <c r="I2618" s="40" t="s">
        <v>1365</v>
      </c>
    </row>
    <row r="2619" spans="1:9" x14ac:dyDescent="0.25">
      <c r="A2619" s="40" t="s">
        <v>264</v>
      </c>
      <c r="B2619" s="28">
        <v>3061</v>
      </c>
      <c r="C2619" s="28" t="s">
        <v>35</v>
      </c>
      <c r="D2619" s="28" t="s">
        <v>38</v>
      </c>
      <c r="E2619" s="41">
        <v>46158</v>
      </c>
      <c r="F2619" s="47">
        <v>0.26321759259259259</v>
      </c>
      <c r="G2619" s="44">
        <v>6.3</v>
      </c>
      <c r="H2619" s="43" t="s">
        <v>1362</v>
      </c>
      <c r="I2619" s="40" t="s">
        <v>1365</v>
      </c>
    </row>
    <row r="2620" spans="1:9" x14ac:dyDescent="0.25">
      <c r="A2620" s="40" t="s">
        <v>264</v>
      </c>
      <c r="B2620" s="28">
        <v>3061</v>
      </c>
      <c r="C2620" s="28" t="s">
        <v>35</v>
      </c>
      <c r="D2620" s="28" t="s">
        <v>38</v>
      </c>
      <c r="E2620" s="41">
        <v>46158</v>
      </c>
      <c r="F2620" s="47">
        <v>0.44077546296296294</v>
      </c>
      <c r="G2620" s="44">
        <v>6.3</v>
      </c>
      <c r="H2620" s="43" t="s">
        <v>1363</v>
      </c>
      <c r="I2620" s="40" t="s">
        <v>1365</v>
      </c>
    </row>
    <row r="2621" spans="1:9" x14ac:dyDescent="0.25">
      <c r="A2621" s="40" t="s">
        <v>264</v>
      </c>
      <c r="B2621" s="28">
        <v>3061</v>
      </c>
      <c r="C2621" s="28" t="s">
        <v>35</v>
      </c>
      <c r="D2621" s="28" t="s">
        <v>38</v>
      </c>
      <c r="E2621" s="41">
        <v>46158</v>
      </c>
      <c r="F2621" s="47">
        <v>0.44675925925925924</v>
      </c>
      <c r="G2621" s="44">
        <v>6.3</v>
      </c>
      <c r="H2621" s="43" t="s">
        <v>1364</v>
      </c>
      <c r="I2621" s="40" t="s">
        <v>1365</v>
      </c>
    </row>
    <row r="2622" spans="1:9" x14ac:dyDescent="0.25">
      <c r="A2622" s="40" t="s">
        <v>319</v>
      </c>
      <c r="B2622" s="28">
        <v>3070</v>
      </c>
      <c r="C2622" s="28">
        <v>5663363</v>
      </c>
      <c r="D2622" s="28"/>
      <c r="E2622" s="45">
        <v>46154</v>
      </c>
      <c r="F2622" s="48">
        <v>0.28681712962962963</v>
      </c>
      <c r="G2622" s="44">
        <v>6.3</v>
      </c>
      <c r="H2622" s="43" t="s">
        <v>1363</v>
      </c>
      <c r="I2622" s="40" t="s">
        <v>1361</v>
      </c>
    </row>
    <row r="2623" spans="1:9" x14ac:dyDescent="0.25">
      <c r="A2623" s="40" t="s">
        <v>319</v>
      </c>
      <c r="B2623" s="28">
        <v>3070</v>
      </c>
      <c r="C2623" s="28">
        <v>5663363</v>
      </c>
      <c r="D2623" s="28"/>
      <c r="E2623" s="41">
        <v>46154</v>
      </c>
      <c r="F2623" s="47">
        <v>0.29738425925925926</v>
      </c>
      <c r="G2623" s="44">
        <v>6.3</v>
      </c>
      <c r="H2623" s="43" t="s">
        <v>1364</v>
      </c>
      <c r="I2623" s="40" t="s">
        <v>1361</v>
      </c>
    </row>
    <row r="2624" spans="1:9" x14ac:dyDescent="0.25">
      <c r="A2624" s="40" t="s">
        <v>319</v>
      </c>
      <c r="B2624" s="28">
        <v>3070</v>
      </c>
      <c r="C2624" s="28">
        <v>10651814</v>
      </c>
      <c r="D2624" s="28"/>
      <c r="E2624" s="41">
        <v>46155</v>
      </c>
      <c r="F2624" s="47">
        <v>0.18640046296296298</v>
      </c>
      <c r="G2624" s="44">
        <v>6.3</v>
      </c>
      <c r="H2624" s="43" t="s">
        <v>1363</v>
      </c>
      <c r="I2624" s="40" t="s">
        <v>1361</v>
      </c>
    </row>
    <row r="2625" spans="1:9" x14ac:dyDescent="0.25">
      <c r="A2625" s="40" t="s">
        <v>319</v>
      </c>
      <c r="B2625" s="28">
        <v>3070</v>
      </c>
      <c r="C2625" s="28">
        <v>10651814</v>
      </c>
      <c r="D2625" s="28"/>
      <c r="E2625" s="41">
        <v>46155</v>
      </c>
      <c r="F2625" s="47">
        <v>0.19162037037037036</v>
      </c>
      <c r="G2625" s="44">
        <v>6.3</v>
      </c>
      <c r="H2625" s="43" t="s">
        <v>1364</v>
      </c>
      <c r="I2625" s="40" t="s">
        <v>1361</v>
      </c>
    </row>
    <row r="2626" spans="1:9" x14ac:dyDescent="0.25">
      <c r="A2626" s="40" t="s">
        <v>319</v>
      </c>
      <c r="B2626" s="28">
        <v>3070</v>
      </c>
      <c r="C2626" s="28">
        <v>10658820</v>
      </c>
      <c r="D2626" s="28"/>
      <c r="E2626" s="41">
        <v>46156</v>
      </c>
      <c r="F2626" s="47">
        <v>0.40072916666666669</v>
      </c>
      <c r="G2626" s="44">
        <v>6.3</v>
      </c>
      <c r="H2626" s="43" t="s">
        <v>1360</v>
      </c>
      <c r="I2626" s="40" t="s">
        <v>1361</v>
      </c>
    </row>
    <row r="2627" spans="1:9" x14ac:dyDescent="0.25">
      <c r="A2627" s="40" t="s">
        <v>319</v>
      </c>
      <c r="B2627" s="28">
        <v>3070</v>
      </c>
      <c r="C2627" s="28">
        <v>10658820</v>
      </c>
      <c r="D2627" s="28"/>
      <c r="E2627" s="41">
        <v>46156</v>
      </c>
      <c r="F2627" s="47">
        <v>0.41356481481481483</v>
      </c>
      <c r="G2627" s="44">
        <v>6.3</v>
      </c>
      <c r="H2627" s="43" t="s">
        <v>1362</v>
      </c>
      <c r="I2627" s="40" t="s">
        <v>1361</v>
      </c>
    </row>
    <row r="2628" spans="1:9" x14ac:dyDescent="0.25">
      <c r="A2628" s="40" t="s">
        <v>319</v>
      </c>
      <c r="B2628" s="28">
        <v>3070</v>
      </c>
      <c r="C2628" s="28">
        <v>10658955</v>
      </c>
      <c r="D2628" s="28"/>
      <c r="E2628" s="41">
        <v>46156</v>
      </c>
      <c r="F2628" s="47">
        <v>0.50192129629629634</v>
      </c>
      <c r="G2628" s="44">
        <v>6.3</v>
      </c>
      <c r="H2628" s="43" t="s">
        <v>1369</v>
      </c>
      <c r="I2628" s="40" t="s">
        <v>1361</v>
      </c>
    </row>
    <row r="2629" spans="1:9" x14ac:dyDescent="0.25">
      <c r="A2629" s="40" t="s">
        <v>319</v>
      </c>
      <c r="B2629" s="28">
        <v>3070</v>
      </c>
      <c r="C2629" s="28">
        <v>5668764</v>
      </c>
      <c r="D2629" s="28"/>
      <c r="E2629" s="41">
        <v>46157</v>
      </c>
      <c r="F2629" s="47">
        <v>0.18234953703703705</v>
      </c>
      <c r="G2629" s="44">
        <v>6.3</v>
      </c>
      <c r="H2629" s="43" t="s">
        <v>1364</v>
      </c>
      <c r="I2629" s="40" t="s">
        <v>1361</v>
      </c>
    </row>
    <row r="2630" spans="1:9" x14ac:dyDescent="0.25">
      <c r="A2630" s="40" t="s">
        <v>204</v>
      </c>
      <c r="B2630" s="28">
        <v>3079</v>
      </c>
      <c r="C2630" s="28" t="s">
        <v>35</v>
      </c>
      <c r="D2630" s="28" t="s">
        <v>38</v>
      </c>
      <c r="E2630" s="41">
        <v>46153</v>
      </c>
      <c r="F2630" s="47">
        <v>0.60086805555555556</v>
      </c>
      <c r="G2630" s="44">
        <v>6.3</v>
      </c>
      <c r="H2630" s="43" t="s">
        <v>1360</v>
      </c>
      <c r="I2630" s="40" t="s">
        <v>1361</v>
      </c>
    </row>
    <row r="2631" spans="1:9" x14ac:dyDescent="0.25">
      <c r="A2631" s="40" t="s">
        <v>204</v>
      </c>
      <c r="B2631" s="28">
        <v>3079</v>
      </c>
      <c r="C2631" s="28" t="s">
        <v>35</v>
      </c>
      <c r="D2631" s="28" t="s">
        <v>38</v>
      </c>
      <c r="E2631" s="41">
        <v>46153</v>
      </c>
      <c r="F2631" s="47">
        <v>0.60820601851851852</v>
      </c>
      <c r="G2631" s="44">
        <v>6.3</v>
      </c>
      <c r="H2631" s="43" t="s">
        <v>1362</v>
      </c>
      <c r="I2631" s="40" t="s">
        <v>1361</v>
      </c>
    </row>
    <row r="2632" spans="1:9" x14ac:dyDescent="0.25">
      <c r="A2632" s="40" t="s">
        <v>204</v>
      </c>
      <c r="B2632" s="28">
        <v>3079</v>
      </c>
      <c r="C2632" s="28" t="s">
        <v>35</v>
      </c>
      <c r="D2632" s="28" t="s">
        <v>38</v>
      </c>
      <c r="E2632" s="45">
        <v>46154</v>
      </c>
      <c r="F2632" s="48">
        <v>0.17340277777777777</v>
      </c>
      <c r="G2632" s="44">
        <v>6.3</v>
      </c>
      <c r="H2632" s="43" t="s">
        <v>1360</v>
      </c>
      <c r="I2632" s="40" t="s">
        <v>1361</v>
      </c>
    </row>
    <row r="2633" spans="1:9" x14ac:dyDescent="0.25">
      <c r="A2633" s="40" t="s">
        <v>204</v>
      </c>
      <c r="B2633" s="28">
        <v>3079</v>
      </c>
      <c r="C2633" s="28" t="s">
        <v>35</v>
      </c>
      <c r="D2633" s="28" t="s">
        <v>38</v>
      </c>
      <c r="E2633" s="41">
        <v>46154</v>
      </c>
      <c r="F2633" s="47">
        <v>0.17973379629629629</v>
      </c>
      <c r="G2633" s="44">
        <v>6.3</v>
      </c>
      <c r="H2633" s="43" t="s">
        <v>1362</v>
      </c>
      <c r="I2633" s="40" t="s">
        <v>1361</v>
      </c>
    </row>
    <row r="2634" spans="1:9" x14ac:dyDescent="0.25">
      <c r="A2634" s="40" t="s">
        <v>204</v>
      </c>
      <c r="B2634" s="28">
        <v>3079</v>
      </c>
      <c r="C2634" s="28">
        <v>5664194</v>
      </c>
      <c r="D2634" s="28"/>
      <c r="E2634" s="45">
        <v>46154</v>
      </c>
      <c r="F2634" s="48">
        <v>0.20021990740740742</v>
      </c>
      <c r="G2634" s="44">
        <v>6.3</v>
      </c>
      <c r="H2634" s="43" t="s">
        <v>1363</v>
      </c>
      <c r="I2634" s="40" t="s">
        <v>1361</v>
      </c>
    </row>
    <row r="2635" spans="1:9" x14ac:dyDescent="0.25">
      <c r="A2635" s="40" t="s">
        <v>204</v>
      </c>
      <c r="B2635" s="28">
        <v>3079</v>
      </c>
      <c r="C2635" s="28">
        <v>5664194</v>
      </c>
      <c r="D2635" s="28"/>
      <c r="E2635" s="41">
        <v>46154</v>
      </c>
      <c r="F2635" s="47">
        <v>0.20611111111111111</v>
      </c>
      <c r="G2635" s="44">
        <v>6.3</v>
      </c>
      <c r="H2635" s="43" t="s">
        <v>1364</v>
      </c>
      <c r="I2635" s="40" t="s">
        <v>1361</v>
      </c>
    </row>
    <row r="2636" spans="1:9" x14ac:dyDescent="0.25">
      <c r="A2636" s="40" t="s">
        <v>204</v>
      </c>
      <c r="B2636" s="28">
        <v>3079</v>
      </c>
      <c r="C2636" s="28">
        <v>5669773</v>
      </c>
      <c r="D2636" s="28"/>
      <c r="E2636" s="45">
        <v>46157</v>
      </c>
      <c r="F2636" s="48">
        <v>0.94366898148148148</v>
      </c>
      <c r="G2636" s="44">
        <v>6.3</v>
      </c>
      <c r="H2636" s="43" t="s">
        <v>1360</v>
      </c>
      <c r="I2636" s="40" t="s">
        <v>1365</v>
      </c>
    </row>
    <row r="2637" spans="1:9" x14ac:dyDescent="0.25">
      <c r="A2637" s="40" t="s">
        <v>204</v>
      </c>
      <c r="B2637" s="28">
        <v>3079</v>
      </c>
      <c r="C2637" s="28">
        <v>5669773</v>
      </c>
      <c r="D2637" s="28"/>
      <c r="E2637" s="41">
        <v>46157</v>
      </c>
      <c r="F2637" s="47">
        <v>0.95193287037037033</v>
      </c>
      <c r="G2637" s="44">
        <v>6.3</v>
      </c>
      <c r="H2637" s="43" t="s">
        <v>1368</v>
      </c>
      <c r="I2637" s="40" t="s">
        <v>1361</v>
      </c>
    </row>
    <row r="2638" spans="1:9" x14ac:dyDescent="0.25">
      <c r="A2638" s="40" t="s">
        <v>204</v>
      </c>
      <c r="B2638" s="28">
        <v>3079</v>
      </c>
      <c r="C2638" s="28" t="s">
        <v>35</v>
      </c>
      <c r="D2638" s="28" t="s">
        <v>38</v>
      </c>
      <c r="E2638" s="41">
        <v>46157</v>
      </c>
      <c r="F2638" s="47">
        <v>0.96190972222222226</v>
      </c>
      <c r="G2638" s="44">
        <v>6.3</v>
      </c>
      <c r="H2638" s="43" t="s">
        <v>1370</v>
      </c>
      <c r="I2638" s="40" t="s">
        <v>1361</v>
      </c>
    </row>
    <row r="2639" spans="1:9" x14ac:dyDescent="0.25">
      <c r="A2639" s="40" t="s">
        <v>204</v>
      </c>
      <c r="B2639" s="28">
        <v>3079</v>
      </c>
      <c r="C2639" s="28" t="s">
        <v>35</v>
      </c>
      <c r="D2639" s="28" t="s">
        <v>38</v>
      </c>
      <c r="E2639" s="45">
        <v>46157</v>
      </c>
      <c r="F2639" s="48">
        <v>0.96646990740740746</v>
      </c>
      <c r="G2639" s="44">
        <v>6.3</v>
      </c>
      <c r="H2639" s="43" t="s">
        <v>1364</v>
      </c>
      <c r="I2639" s="40" t="s">
        <v>1361</v>
      </c>
    </row>
    <row r="2640" spans="1:9" x14ac:dyDescent="0.25">
      <c r="A2640" s="40" t="s">
        <v>204</v>
      </c>
      <c r="B2640" s="28">
        <v>3079</v>
      </c>
      <c r="C2640" s="28">
        <v>5670100</v>
      </c>
      <c r="D2640" s="28"/>
      <c r="E2640" s="41">
        <v>46157</v>
      </c>
      <c r="F2640" s="47">
        <v>0.99665509259259255</v>
      </c>
      <c r="G2640" s="44">
        <v>6.3</v>
      </c>
      <c r="H2640" s="43" t="s">
        <v>1360</v>
      </c>
      <c r="I2640" s="40" t="s">
        <v>1365</v>
      </c>
    </row>
    <row r="2641" spans="1:9" x14ac:dyDescent="0.25">
      <c r="A2641" s="40" t="s">
        <v>204</v>
      </c>
      <c r="B2641" s="28">
        <v>3079</v>
      </c>
      <c r="C2641" s="28">
        <v>5670100</v>
      </c>
      <c r="D2641" s="28"/>
      <c r="E2641" s="41">
        <v>46158</v>
      </c>
      <c r="F2641" s="47">
        <v>3.7152777777777778E-3</v>
      </c>
      <c r="G2641" s="44">
        <v>6.3</v>
      </c>
      <c r="H2641" s="43" t="s">
        <v>1368</v>
      </c>
      <c r="I2641" s="40" t="s">
        <v>1365</v>
      </c>
    </row>
    <row r="2642" spans="1:9" x14ac:dyDescent="0.25">
      <c r="A2642" s="40" t="s">
        <v>204</v>
      </c>
      <c r="B2642" s="28">
        <v>3079</v>
      </c>
      <c r="C2642" s="28">
        <v>5671269</v>
      </c>
      <c r="D2642" s="28"/>
      <c r="E2642" s="41">
        <v>46158</v>
      </c>
      <c r="F2642" s="47">
        <v>0.35023148148148148</v>
      </c>
      <c r="G2642" s="44">
        <v>6.3</v>
      </c>
      <c r="H2642" s="43" t="s">
        <v>1360</v>
      </c>
      <c r="I2642" s="40" t="s">
        <v>1365</v>
      </c>
    </row>
    <row r="2643" spans="1:9" x14ac:dyDescent="0.25">
      <c r="A2643" s="40" t="s">
        <v>204</v>
      </c>
      <c r="B2643" s="28">
        <v>3079</v>
      </c>
      <c r="C2643" s="28">
        <v>5671269</v>
      </c>
      <c r="D2643" s="28"/>
      <c r="E2643" s="41">
        <v>46158</v>
      </c>
      <c r="F2643" s="47">
        <v>0.3603703703703704</v>
      </c>
      <c r="G2643" s="44">
        <v>6.3</v>
      </c>
      <c r="H2643" s="43" t="s">
        <v>1362</v>
      </c>
      <c r="I2643" s="40" t="s">
        <v>1365</v>
      </c>
    </row>
    <row r="2644" spans="1:9" x14ac:dyDescent="0.25">
      <c r="A2644" s="40" t="s">
        <v>204</v>
      </c>
      <c r="B2644" s="28">
        <v>3079</v>
      </c>
      <c r="C2644" s="28" t="s">
        <v>803</v>
      </c>
      <c r="D2644" s="28"/>
      <c r="E2644" s="45">
        <v>46158</v>
      </c>
      <c r="F2644" s="48">
        <v>0.45618055555555553</v>
      </c>
      <c r="G2644" s="44">
        <v>6.3</v>
      </c>
      <c r="H2644" s="43" t="s">
        <v>1360</v>
      </c>
      <c r="I2644" s="40" t="s">
        <v>1365</v>
      </c>
    </row>
    <row r="2645" spans="1:9" x14ac:dyDescent="0.25">
      <c r="A2645" s="40" t="s">
        <v>204</v>
      </c>
      <c r="B2645" s="28">
        <v>3079</v>
      </c>
      <c r="C2645" s="28" t="s">
        <v>803</v>
      </c>
      <c r="D2645" s="28"/>
      <c r="E2645" s="41">
        <v>46158</v>
      </c>
      <c r="F2645" s="47">
        <v>0.46903935185185186</v>
      </c>
      <c r="G2645" s="44">
        <v>6.3</v>
      </c>
      <c r="H2645" s="43" t="s">
        <v>1362</v>
      </c>
      <c r="I2645" s="40" t="s">
        <v>1365</v>
      </c>
    </row>
    <row r="2646" spans="1:9" x14ac:dyDescent="0.25">
      <c r="A2646" s="40" t="s">
        <v>204</v>
      </c>
      <c r="B2646" s="28">
        <v>3079</v>
      </c>
      <c r="C2646" s="28" t="s">
        <v>35</v>
      </c>
      <c r="D2646" s="28" t="s">
        <v>38</v>
      </c>
      <c r="E2646" s="41">
        <v>46159</v>
      </c>
      <c r="F2646" s="47">
        <v>0.48819444444444443</v>
      </c>
      <c r="G2646" s="44">
        <v>6.3</v>
      </c>
      <c r="H2646" s="43" t="s">
        <v>1363</v>
      </c>
      <c r="I2646" s="40" t="s">
        <v>1365</v>
      </c>
    </row>
    <row r="2647" spans="1:9" x14ac:dyDescent="0.25">
      <c r="A2647" s="40" t="s">
        <v>204</v>
      </c>
      <c r="B2647" s="28">
        <v>3079</v>
      </c>
      <c r="C2647" s="28" t="s">
        <v>804</v>
      </c>
      <c r="D2647" s="28"/>
      <c r="E2647" s="41">
        <v>46159</v>
      </c>
      <c r="F2647" s="47">
        <v>0.94079861111111107</v>
      </c>
      <c r="G2647" s="44">
        <v>6.3</v>
      </c>
      <c r="H2647" s="43" t="s">
        <v>1360</v>
      </c>
      <c r="I2647" s="40" t="s">
        <v>1365</v>
      </c>
    </row>
    <row r="2648" spans="1:9" x14ac:dyDescent="0.25">
      <c r="A2648" s="40" t="s">
        <v>204</v>
      </c>
      <c r="B2648" s="28">
        <v>3079</v>
      </c>
      <c r="C2648" s="28" t="s">
        <v>804</v>
      </c>
      <c r="D2648" s="28"/>
      <c r="E2648" s="45">
        <v>46159</v>
      </c>
      <c r="F2648" s="48">
        <v>0.94756944444444446</v>
      </c>
      <c r="G2648" s="44">
        <v>6.3</v>
      </c>
      <c r="H2648" s="43" t="s">
        <v>1362</v>
      </c>
      <c r="I2648" s="40" t="s">
        <v>1365</v>
      </c>
    </row>
    <row r="2649" spans="1:9" x14ac:dyDescent="0.25">
      <c r="A2649" s="40" t="s">
        <v>204</v>
      </c>
      <c r="B2649" s="28">
        <v>3079</v>
      </c>
      <c r="C2649" s="28" t="s">
        <v>35</v>
      </c>
      <c r="D2649" s="28" t="s">
        <v>38</v>
      </c>
      <c r="E2649" s="41">
        <v>46159</v>
      </c>
      <c r="F2649" s="47">
        <v>0.9664814814814815</v>
      </c>
      <c r="G2649" s="44">
        <v>6.3</v>
      </c>
      <c r="H2649" s="43" t="s">
        <v>1363</v>
      </c>
      <c r="I2649" s="40" t="s">
        <v>1365</v>
      </c>
    </row>
    <row r="2650" spans="1:9" x14ac:dyDescent="0.25">
      <c r="A2650" s="40" t="s">
        <v>204</v>
      </c>
      <c r="B2650" s="28">
        <v>3079</v>
      </c>
      <c r="C2650" s="28" t="s">
        <v>35</v>
      </c>
      <c r="D2650" s="28" t="s">
        <v>38</v>
      </c>
      <c r="E2650" s="41">
        <v>46159</v>
      </c>
      <c r="F2650" s="47">
        <v>0.97211805555555553</v>
      </c>
      <c r="G2650" s="44">
        <v>6.3</v>
      </c>
      <c r="H2650" s="43" t="s">
        <v>1364</v>
      </c>
      <c r="I2650" s="40" t="s">
        <v>1365</v>
      </c>
    </row>
    <row r="2651" spans="1:9" x14ac:dyDescent="0.25">
      <c r="A2651" s="40" t="s">
        <v>428</v>
      </c>
      <c r="B2651" s="28">
        <v>3095</v>
      </c>
      <c r="C2651" s="28" t="s">
        <v>35</v>
      </c>
      <c r="D2651" s="28" t="s">
        <v>38</v>
      </c>
      <c r="E2651" s="41">
        <v>46154</v>
      </c>
      <c r="F2651" s="47">
        <v>0.7721527777777778</v>
      </c>
      <c r="G2651" s="44">
        <v>6.3</v>
      </c>
      <c r="H2651" s="43" t="s">
        <v>1364</v>
      </c>
      <c r="I2651" s="40" t="s">
        <v>1361</v>
      </c>
    </row>
    <row r="2652" spans="1:9" x14ac:dyDescent="0.25">
      <c r="A2652" s="40" t="s">
        <v>428</v>
      </c>
      <c r="B2652" s="28">
        <v>3095</v>
      </c>
      <c r="C2652" s="28" t="s">
        <v>35</v>
      </c>
      <c r="D2652" s="28" t="s">
        <v>38</v>
      </c>
      <c r="E2652" s="41">
        <v>46155</v>
      </c>
      <c r="F2652" s="47">
        <v>0.79402777777777778</v>
      </c>
      <c r="G2652" s="44">
        <v>6.3</v>
      </c>
      <c r="H2652" s="43" t="s">
        <v>1362</v>
      </c>
      <c r="I2652" s="40" t="s">
        <v>1361</v>
      </c>
    </row>
    <row r="2653" spans="1:9" x14ac:dyDescent="0.25">
      <c r="A2653" s="40" t="s">
        <v>428</v>
      </c>
      <c r="B2653" s="28">
        <v>3095</v>
      </c>
      <c r="C2653" s="28" t="s">
        <v>35</v>
      </c>
      <c r="D2653" s="28" t="s">
        <v>38</v>
      </c>
      <c r="E2653" s="41">
        <v>46159</v>
      </c>
      <c r="F2653" s="47">
        <v>0.86099537037037033</v>
      </c>
      <c r="G2653" s="42">
        <v>6.3</v>
      </c>
      <c r="H2653" s="40" t="s">
        <v>1363</v>
      </c>
      <c r="I2653" s="40" t="s">
        <v>1365</v>
      </c>
    </row>
    <row r="2654" spans="1:9" x14ac:dyDescent="0.25">
      <c r="A2654" s="40" t="s">
        <v>428</v>
      </c>
      <c r="B2654" s="28">
        <v>3095</v>
      </c>
      <c r="C2654" s="28" t="s">
        <v>35</v>
      </c>
      <c r="D2654" s="28" t="s">
        <v>38</v>
      </c>
      <c r="E2654" s="41">
        <v>46159</v>
      </c>
      <c r="F2654" s="47">
        <v>0.8665856481481482</v>
      </c>
      <c r="G2654" s="44">
        <v>6.3</v>
      </c>
      <c r="H2654" s="43" t="s">
        <v>1364</v>
      </c>
      <c r="I2654" s="40" t="s">
        <v>1365</v>
      </c>
    </row>
    <row r="2655" spans="1:9" x14ac:dyDescent="0.25">
      <c r="A2655" s="40" t="s">
        <v>428</v>
      </c>
      <c r="B2655" s="28">
        <v>3095</v>
      </c>
      <c r="C2655" s="28">
        <v>10681703</v>
      </c>
      <c r="D2655" s="28" t="s">
        <v>36</v>
      </c>
      <c r="E2655" s="41">
        <v>46159</v>
      </c>
      <c r="F2655" s="47">
        <v>0.9228587962962963</v>
      </c>
      <c r="G2655" s="44">
        <v>6.3</v>
      </c>
      <c r="H2655" s="43" t="s">
        <v>1360</v>
      </c>
      <c r="I2655" s="40" t="s">
        <v>1365</v>
      </c>
    </row>
    <row r="2656" spans="1:9" x14ac:dyDescent="0.25">
      <c r="A2656" s="40" t="s">
        <v>428</v>
      </c>
      <c r="B2656" s="28">
        <v>3095</v>
      </c>
      <c r="C2656" s="28">
        <v>10681703</v>
      </c>
      <c r="D2656" s="28" t="s">
        <v>36</v>
      </c>
      <c r="E2656" s="45">
        <v>46159</v>
      </c>
      <c r="F2656" s="48">
        <v>0.93042824074074071</v>
      </c>
      <c r="G2656" s="44">
        <v>6.3</v>
      </c>
      <c r="H2656" s="43" t="s">
        <v>1368</v>
      </c>
      <c r="I2656" s="40" t="s">
        <v>1365</v>
      </c>
    </row>
    <row r="2657" spans="1:9" x14ac:dyDescent="0.25">
      <c r="A2657" s="40" t="s">
        <v>95</v>
      </c>
      <c r="B2657" s="28">
        <v>3102</v>
      </c>
      <c r="C2657" s="28">
        <v>10644886</v>
      </c>
      <c r="D2657" s="28"/>
      <c r="E2657" s="41">
        <v>46154</v>
      </c>
      <c r="F2657" s="47">
        <v>0.46730324074074076</v>
      </c>
      <c r="G2657" s="44">
        <v>6.3</v>
      </c>
      <c r="H2657" s="43" t="s">
        <v>1364</v>
      </c>
      <c r="I2657" s="40" t="s">
        <v>1361</v>
      </c>
    </row>
    <row r="2658" spans="1:9" x14ac:dyDescent="0.25">
      <c r="A2658" s="40" t="s">
        <v>95</v>
      </c>
      <c r="B2658" s="28">
        <v>3102</v>
      </c>
      <c r="C2658" s="28">
        <v>10656378</v>
      </c>
      <c r="D2658" s="28" t="s">
        <v>36</v>
      </c>
      <c r="E2658" s="41">
        <v>46155</v>
      </c>
      <c r="F2658" s="47">
        <v>0.3938888888888889</v>
      </c>
      <c r="G2658" s="44">
        <v>6.3</v>
      </c>
      <c r="H2658" s="43" t="s">
        <v>1363</v>
      </c>
      <c r="I2658" s="40" t="s">
        <v>1361</v>
      </c>
    </row>
    <row r="2659" spans="1:9" x14ac:dyDescent="0.25">
      <c r="A2659" s="40" t="s">
        <v>95</v>
      </c>
      <c r="B2659" s="28">
        <v>3102</v>
      </c>
      <c r="C2659" s="28">
        <v>10656378</v>
      </c>
      <c r="D2659" s="28" t="s">
        <v>36</v>
      </c>
      <c r="E2659" s="41">
        <v>46155</v>
      </c>
      <c r="F2659" s="47">
        <v>0.40468749999999998</v>
      </c>
      <c r="G2659" s="44">
        <v>6.3</v>
      </c>
      <c r="H2659" s="43" t="s">
        <v>1364</v>
      </c>
      <c r="I2659" s="40" t="s">
        <v>1361</v>
      </c>
    </row>
    <row r="2660" spans="1:9" x14ac:dyDescent="0.25">
      <c r="A2660" s="40" t="s">
        <v>95</v>
      </c>
      <c r="B2660" s="28">
        <v>3102</v>
      </c>
      <c r="C2660" s="28">
        <v>10665960</v>
      </c>
      <c r="D2660" s="28"/>
      <c r="E2660" s="41">
        <v>46157</v>
      </c>
      <c r="F2660" s="47">
        <v>0.50795138888888891</v>
      </c>
      <c r="G2660" s="44">
        <v>6.3</v>
      </c>
      <c r="H2660" s="43" t="s">
        <v>1370</v>
      </c>
      <c r="I2660" s="40" t="s">
        <v>1361</v>
      </c>
    </row>
    <row r="2661" spans="1:9" x14ac:dyDescent="0.25">
      <c r="A2661" s="40" t="s">
        <v>95</v>
      </c>
      <c r="B2661" s="28">
        <v>3102</v>
      </c>
      <c r="C2661" s="28">
        <v>10665960</v>
      </c>
      <c r="D2661" s="28"/>
      <c r="E2661" s="45">
        <v>46157</v>
      </c>
      <c r="F2661" s="48">
        <v>0.51302083333333337</v>
      </c>
      <c r="G2661" s="44">
        <v>6.3</v>
      </c>
      <c r="H2661" s="43" t="s">
        <v>1364</v>
      </c>
      <c r="I2661" s="40" t="s">
        <v>1361</v>
      </c>
    </row>
    <row r="2662" spans="1:9" x14ac:dyDescent="0.25">
      <c r="A2662" s="40" t="s">
        <v>95</v>
      </c>
      <c r="B2662" s="28">
        <v>3102</v>
      </c>
      <c r="C2662" s="28">
        <v>10675021</v>
      </c>
      <c r="D2662" s="28"/>
      <c r="E2662" s="41">
        <v>46158</v>
      </c>
      <c r="F2662" s="47">
        <v>0.47038194444444442</v>
      </c>
      <c r="G2662" s="44">
        <v>6.3</v>
      </c>
      <c r="H2662" s="43" t="s">
        <v>1363</v>
      </c>
      <c r="I2662" s="40" t="s">
        <v>1365</v>
      </c>
    </row>
    <row r="2663" spans="1:9" x14ac:dyDescent="0.25">
      <c r="A2663" s="40" t="s">
        <v>95</v>
      </c>
      <c r="B2663" s="28">
        <v>3102</v>
      </c>
      <c r="C2663" s="28">
        <v>10675021</v>
      </c>
      <c r="D2663" s="28"/>
      <c r="E2663" s="45">
        <v>46158</v>
      </c>
      <c r="F2663" s="48">
        <v>0.47613425925925928</v>
      </c>
      <c r="G2663" s="44">
        <v>6.3</v>
      </c>
      <c r="H2663" s="43" t="s">
        <v>1364</v>
      </c>
      <c r="I2663" s="40" t="s">
        <v>1365</v>
      </c>
    </row>
    <row r="2664" spans="1:9" x14ac:dyDescent="0.25">
      <c r="A2664" s="40" t="s">
        <v>95</v>
      </c>
      <c r="B2664" s="28">
        <v>3102</v>
      </c>
      <c r="C2664" s="28">
        <v>5668396</v>
      </c>
      <c r="D2664" s="28"/>
      <c r="E2664" s="41">
        <v>46159</v>
      </c>
      <c r="F2664" s="47">
        <v>0.76829861111111108</v>
      </c>
      <c r="G2664" s="44">
        <v>6.3</v>
      </c>
      <c r="H2664" s="43" t="s">
        <v>1369</v>
      </c>
      <c r="I2664" s="40" t="s">
        <v>1365</v>
      </c>
    </row>
    <row r="2665" spans="1:9" x14ac:dyDescent="0.25">
      <c r="A2665" s="40" t="s">
        <v>95</v>
      </c>
      <c r="B2665" s="28">
        <v>3102</v>
      </c>
      <c r="C2665" s="28">
        <v>5668396</v>
      </c>
      <c r="D2665" s="28"/>
      <c r="E2665" s="45">
        <v>46159</v>
      </c>
      <c r="F2665" s="48">
        <v>0.77503472222222225</v>
      </c>
      <c r="G2665" s="44">
        <v>6.3</v>
      </c>
      <c r="H2665" s="43" t="s">
        <v>1364</v>
      </c>
      <c r="I2665" s="40" t="s">
        <v>1365</v>
      </c>
    </row>
    <row r="2666" spans="1:9" x14ac:dyDescent="0.25">
      <c r="A2666" s="40" t="s">
        <v>96</v>
      </c>
      <c r="B2666" s="28">
        <v>3113</v>
      </c>
      <c r="C2666" s="28" t="s">
        <v>805</v>
      </c>
      <c r="D2666" s="28"/>
      <c r="E2666" s="41">
        <v>46158</v>
      </c>
      <c r="F2666" s="47">
        <v>0.15482638888888889</v>
      </c>
      <c r="G2666" s="42">
        <v>6.3</v>
      </c>
      <c r="H2666" s="40" t="s">
        <v>1363</v>
      </c>
      <c r="I2666" s="40" t="s">
        <v>1365</v>
      </c>
    </row>
    <row r="2667" spans="1:9" x14ac:dyDescent="0.25">
      <c r="A2667" s="40" t="s">
        <v>96</v>
      </c>
      <c r="B2667" s="28">
        <v>3113</v>
      </c>
      <c r="C2667" s="28" t="s">
        <v>805</v>
      </c>
      <c r="D2667" s="28"/>
      <c r="E2667" s="41">
        <v>46158</v>
      </c>
      <c r="F2667" s="47">
        <v>0.16046296296296297</v>
      </c>
      <c r="G2667" s="42">
        <v>6.3</v>
      </c>
      <c r="H2667" s="40" t="s">
        <v>1364</v>
      </c>
      <c r="I2667" s="40" t="s">
        <v>1365</v>
      </c>
    </row>
    <row r="2668" spans="1:9" x14ac:dyDescent="0.25">
      <c r="A2668" s="40" t="s">
        <v>96</v>
      </c>
      <c r="B2668" s="28">
        <v>3113</v>
      </c>
      <c r="C2668" s="28" t="s">
        <v>806</v>
      </c>
      <c r="D2668" s="28"/>
      <c r="E2668" s="41">
        <v>46158</v>
      </c>
      <c r="F2668" s="47">
        <v>0.31579861111111113</v>
      </c>
      <c r="G2668" s="42">
        <v>6.3</v>
      </c>
      <c r="H2668" s="40" t="s">
        <v>1360</v>
      </c>
      <c r="I2668" s="40" t="s">
        <v>1365</v>
      </c>
    </row>
    <row r="2669" spans="1:9" x14ac:dyDescent="0.25">
      <c r="A2669" s="40" t="s">
        <v>96</v>
      </c>
      <c r="B2669" s="28">
        <v>3113</v>
      </c>
      <c r="C2669" s="28" t="s">
        <v>806</v>
      </c>
      <c r="D2669" s="28"/>
      <c r="E2669" s="41">
        <v>46158</v>
      </c>
      <c r="F2669" s="47">
        <v>0.32775462962962965</v>
      </c>
      <c r="G2669" s="44">
        <v>6.3</v>
      </c>
      <c r="H2669" s="43" t="s">
        <v>1362</v>
      </c>
      <c r="I2669" s="40" t="s">
        <v>1365</v>
      </c>
    </row>
    <row r="2670" spans="1:9" x14ac:dyDescent="0.25">
      <c r="A2670" s="40" t="s">
        <v>96</v>
      </c>
      <c r="B2670" s="28">
        <v>3113</v>
      </c>
      <c r="C2670" s="28" t="s">
        <v>807</v>
      </c>
      <c r="D2670" s="28"/>
      <c r="E2670" s="41">
        <v>46158</v>
      </c>
      <c r="F2670" s="47">
        <v>0.38631944444444444</v>
      </c>
      <c r="G2670" s="44">
        <v>6.3</v>
      </c>
      <c r="H2670" s="43" t="s">
        <v>1363</v>
      </c>
      <c r="I2670" s="40" t="s">
        <v>1365</v>
      </c>
    </row>
    <row r="2671" spans="1:9" x14ac:dyDescent="0.25">
      <c r="A2671" s="40" t="s">
        <v>96</v>
      </c>
      <c r="B2671" s="28">
        <v>3113</v>
      </c>
      <c r="C2671" s="28" t="s">
        <v>807</v>
      </c>
      <c r="D2671" s="28"/>
      <c r="E2671" s="41">
        <v>46158</v>
      </c>
      <c r="F2671" s="47">
        <v>0.39406249999999998</v>
      </c>
      <c r="G2671" s="44">
        <v>6.3</v>
      </c>
      <c r="H2671" s="43" t="s">
        <v>1364</v>
      </c>
      <c r="I2671" s="40" t="s">
        <v>1365</v>
      </c>
    </row>
    <row r="2672" spans="1:9" x14ac:dyDescent="0.25">
      <c r="A2672" s="40" t="s">
        <v>97</v>
      </c>
      <c r="B2672" s="28">
        <v>3118</v>
      </c>
      <c r="C2672" s="28" t="s">
        <v>808</v>
      </c>
      <c r="D2672" s="28"/>
      <c r="E2672" s="41">
        <v>46153</v>
      </c>
      <c r="F2672" s="47">
        <v>0.39188657407407407</v>
      </c>
      <c r="G2672" s="44">
        <v>6.3</v>
      </c>
      <c r="H2672" s="43" t="s">
        <v>1363</v>
      </c>
      <c r="I2672" s="40" t="s">
        <v>1361</v>
      </c>
    </row>
    <row r="2673" spans="1:9" x14ac:dyDescent="0.25">
      <c r="A2673" s="40" t="s">
        <v>97</v>
      </c>
      <c r="B2673" s="28">
        <v>3118</v>
      </c>
      <c r="C2673" s="28" t="s">
        <v>808</v>
      </c>
      <c r="D2673" s="28"/>
      <c r="E2673" s="41">
        <v>46153</v>
      </c>
      <c r="F2673" s="47">
        <v>0.4025347222222222</v>
      </c>
      <c r="G2673" s="44">
        <v>6.3</v>
      </c>
      <c r="H2673" s="43" t="s">
        <v>1364</v>
      </c>
      <c r="I2673" s="40" t="s">
        <v>1361</v>
      </c>
    </row>
    <row r="2674" spans="1:9" x14ac:dyDescent="0.25">
      <c r="A2674" s="40" t="s">
        <v>97</v>
      </c>
      <c r="B2674" s="28">
        <v>3118</v>
      </c>
      <c r="C2674" s="28" t="s">
        <v>809</v>
      </c>
      <c r="D2674" s="28"/>
      <c r="E2674" s="41">
        <v>46153</v>
      </c>
      <c r="F2674" s="47">
        <v>0.44528935185185187</v>
      </c>
      <c r="G2674" s="44">
        <v>6.3</v>
      </c>
      <c r="H2674" s="43" t="s">
        <v>1360</v>
      </c>
      <c r="I2674" s="40" t="s">
        <v>1361</v>
      </c>
    </row>
    <row r="2675" spans="1:9" x14ac:dyDescent="0.25">
      <c r="A2675" s="40" t="s">
        <v>97</v>
      </c>
      <c r="B2675" s="28">
        <v>3118</v>
      </c>
      <c r="C2675" s="28" t="s">
        <v>809</v>
      </c>
      <c r="D2675" s="28"/>
      <c r="E2675" s="41">
        <v>46153</v>
      </c>
      <c r="F2675" s="47">
        <v>0.45650462962962962</v>
      </c>
      <c r="G2675" s="44">
        <v>6.3</v>
      </c>
      <c r="H2675" s="43" t="s">
        <v>1362</v>
      </c>
      <c r="I2675" s="40" t="s">
        <v>1361</v>
      </c>
    </row>
    <row r="2676" spans="1:9" x14ac:dyDescent="0.25">
      <c r="A2676" s="40" t="s">
        <v>97</v>
      </c>
      <c r="B2676" s="28">
        <v>3118</v>
      </c>
      <c r="C2676" s="28" t="s">
        <v>810</v>
      </c>
      <c r="D2676" s="28"/>
      <c r="E2676" s="41">
        <v>46153</v>
      </c>
      <c r="F2676" s="47">
        <v>0.52252314814814815</v>
      </c>
      <c r="G2676" s="44">
        <v>6.3</v>
      </c>
      <c r="H2676" s="43" t="s">
        <v>1363</v>
      </c>
      <c r="I2676" s="40" t="s">
        <v>1361</v>
      </c>
    </row>
    <row r="2677" spans="1:9" x14ac:dyDescent="0.25">
      <c r="A2677" s="40" t="s">
        <v>97</v>
      </c>
      <c r="B2677" s="28">
        <v>3118</v>
      </c>
      <c r="C2677" s="28" t="s">
        <v>810</v>
      </c>
      <c r="D2677" s="28"/>
      <c r="E2677" s="41">
        <v>46153</v>
      </c>
      <c r="F2677" s="47">
        <v>0.52862268518518518</v>
      </c>
      <c r="G2677" s="44">
        <v>6.3</v>
      </c>
      <c r="H2677" s="43" t="s">
        <v>1364</v>
      </c>
      <c r="I2677" s="40" t="s">
        <v>1361</v>
      </c>
    </row>
    <row r="2678" spans="1:9" x14ac:dyDescent="0.25">
      <c r="A2678" s="40" t="s">
        <v>97</v>
      </c>
      <c r="B2678" s="28">
        <v>3118</v>
      </c>
      <c r="C2678" s="28" t="s">
        <v>811</v>
      </c>
      <c r="D2678" s="28"/>
      <c r="E2678" s="41">
        <v>46155</v>
      </c>
      <c r="F2678" s="47">
        <v>0.40028935185185183</v>
      </c>
      <c r="G2678" s="44">
        <v>6.3</v>
      </c>
      <c r="H2678" s="43" t="s">
        <v>1363</v>
      </c>
      <c r="I2678" s="40" t="s">
        <v>1361</v>
      </c>
    </row>
    <row r="2679" spans="1:9" x14ac:dyDescent="0.25">
      <c r="A2679" s="40" t="s">
        <v>97</v>
      </c>
      <c r="B2679" s="28">
        <v>3118</v>
      </c>
      <c r="C2679" s="28" t="s">
        <v>811</v>
      </c>
      <c r="D2679" s="28"/>
      <c r="E2679" s="41">
        <v>46155</v>
      </c>
      <c r="F2679" s="47">
        <v>0.40910879629629632</v>
      </c>
      <c r="G2679" s="44">
        <v>6.3</v>
      </c>
      <c r="H2679" s="43" t="s">
        <v>1364</v>
      </c>
      <c r="I2679" s="40" t="s">
        <v>1361</v>
      </c>
    </row>
    <row r="2680" spans="1:9" x14ac:dyDescent="0.25">
      <c r="A2680" s="40" t="s">
        <v>97</v>
      </c>
      <c r="B2680" s="28">
        <v>3118</v>
      </c>
      <c r="C2680" s="28" t="s">
        <v>812</v>
      </c>
      <c r="D2680" s="28"/>
      <c r="E2680" s="45">
        <v>46156</v>
      </c>
      <c r="F2680" s="48">
        <v>0.33530092592592592</v>
      </c>
      <c r="G2680" s="44">
        <v>6.3</v>
      </c>
      <c r="H2680" s="43" t="s">
        <v>1360</v>
      </c>
      <c r="I2680" s="40" t="s">
        <v>1361</v>
      </c>
    </row>
    <row r="2681" spans="1:9" x14ac:dyDescent="0.25">
      <c r="A2681" s="40" t="s">
        <v>97</v>
      </c>
      <c r="B2681" s="28">
        <v>3118</v>
      </c>
      <c r="C2681" s="28" t="s">
        <v>812</v>
      </c>
      <c r="D2681" s="28"/>
      <c r="E2681" s="41">
        <v>46156</v>
      </c>
      <c r="F2681" s="47">
        <v>0.35130787037037037</v>
      </c>
      <c r="G2681" s="44">
        <v>6.3</v>
      </c>
      <c r="H2681" s="43" t="s">
        <v>1362</v>
      </c>
      <c r="I2681" s="40" t="s">
        <v>1361</v>
      </c>
    </row>
    <row r="2682" spans="1:9" x14ac:dyDescent="0.25">
      <c r="A2682" s="40" t="s">
        <v>97</v>
      </c>
      <c r="B2682" s="28">
        <v>3118</v>
      </c>
      <c r="C2682" s="28" t="s">
        <v>813</v>
      </c>
      <c r="D2682" s="28"/>
      <c r="E2682" s="41">
        <v>46156</v>
      </c>
      <c r="F2682" s="47">
        <v>0.53318287037037038</v>
      </c>
      <c r="G2682" s="44">
        <v>6.3</v>
      </c>
      <c r="H2682" s="43" t="s">
        <v>1360</v>
      </c>
      <c r="I2682" s="40" t="s">
        <v>1361</v>
      </c>
    </row>
    <row r="2683" spans="1:9" x14ac:dyDescent="0.25">
      <c r="A2683" s="40" t="s">
        <v>97</v>
      </c>
      <c r="B2683" s="28">
        <v>3118</v>
      </c>
      <c r="C2683" s="28" t="s">
        <v>813</v>
      </c>
      <c r="D2683" s="28"/>
      <c r="E2683" s="41">
        <v>46156</v>
      </c>
      <c r="F2683" s="47">
        <v>0.54200231481481487</v>
      </c>
      <c r="G2683" s="44">
        <v>6.3</v>
      </c>
      <c r="H2683" s="43" t="s">
        <v>1362</v>
      </c>
      <c r="I2683" s="40" t="s">
        <v>1361</v>
      </c>
    </row>
    <row r="2684" spans="1:9" x14ac:dyDescent="0.25">
      <c r="A2684" s="40" t="s">
        <v>97</v>
      </c>
      <c r="B2684" s="28">
        <v>3118</v>
      </c>
      <c r="C2684" s="28" t="s">
        <v>814</v>
      </c>
      <c r="D2684" s="28"/>
      <c r="E2684" s="41">
        <v>46157</v>
      </c>
      <c r="F2684" s="47">
        <v>0.24995370370370371</v>
      </c>
      <c r="G2684" s="44">
        <v>6.3</v>
      </c>
      <c r="H2684" s="43" t="s">
        <v>1363</v>
      </c>
      <c r="I2684" s="40" t="s">
        <v>1361</v>
      </c>
    </row>
    <row r="2685" spans="1:9" x14ac:dyDescent="0.25">
      <c r="A2685" s="40" t="s">
        <v>97</v>
      </c>
      <c r="B2685" s="28">
        <v>3118</v>
      </c>
      <c r="C2685" s="28" t="s">
        <v>814</v>
      </c>
      <c r="D2685" s="28"/>
      <c r="E2685" s="41">
        <v>46157</v>
      </c>
      <c r="F2685" s="47">
        <v>0.25539351851851849</v>
      </c>
      <c r="G2685" s="44">
        <v>6.3</v>
      </c>
      <c r="H2685" s="43" t="s">
        <v>1364</v>
      </c>
      <c r="I2685" s="40" t="s">
        <v>1361</v>
      </c>
    </row>
    <row r="2686" spans="1:9" x14ac:dyDescent="0.25">
      <c r="A2686" s="40" t="s">
        <v>97</v>
      </c>
      <c r="B2686" s="28">
        <v>3118</v>
      </c>
      <c r="C2686" s="28">
        <v>5669693</v>
      </c>
      <c r="D2686" s="28" t="s">
        <v>37</v>
      </c>
      <c r="E2686" s="41">
        <v>46157</v>
      </c>
      <c r="F2686" s="47">
        <v>0.52643518518518517</v>
      </c>
      <c r="G2686" s="42">
        <v>6.3</v>
      </c>
      <c r="H2686" s="40" t="s">
        <v>1363</v>
      </c>
      <c r="I2686" s="40" t="s">
        <v>1361</v>
      </c>
    </row>
    <row r="2687" spans="1:9" x14ac:dyDescent="0.25">
      <c r="A2687" s="40" t="s">
        <v>97</v>
      </c>
      <c r="B2687" s="28">
        <v>3118</v>
      </c>
      <c r="C2687" s="28">
        <v>5669693</v>
      </c>
      <c r="D2687" s="28" t="s">
        <v>37</v>
      </c>
      <c r="E2687" s="41">
        <v>46157</v>
      </c>
      <c r="F2687" s="47">
        <v>0.53274305555555557</v>
      </c>
      <c r="G2687" s="42">
        <v>6.3</v>
      </c>
      <c r="H2687" s="40" t="s">
        <v>1364</v>
      </c>
      <c r="I2687" s="40" t="s">
        <v>1361</v>
      </c>
    </row>
    <row r="2688" spans="1:9" x14ac:dyDescent="0.25">
      <c r="A2688" s="40" t="s">
        <v>97</v>
      </c>
      <c r="B2688" s="28">
        <v>3118</v>
      </c>
      <c r="C2688" s="28" t="s">
        <v>815</v>
      </c>
      <c r="D2688" s="28"/>
      <c r="E2688" s="41">
        <v>46158</v>
      </c>
      <c r="F2688" s="47">
        <v>0.23748842592592592</v>
      </c>
      <c r="G2688" s="42">
        <v>6.3</v>
      </c>
      <c r="H2688" s="40" t="s">
        <v>1369</v>
      </c>
      <c r="I2688" s="40" t="s">
        <v>1365</v>
      </c>
    </row>
    <row r="2689" spans="1:9" x14ac:dyDescent="0.25">
      <c r="A2689" s="40" t="s">
        <v>97</v>
      </c>
      <c r="B2689" s="28">
        <v>3118</v>
      </c>
      <c r="C2689" s="28" t="s">
        <v>815</v>
      </c>
      <c r="D2689" s="28"/>
      <c r="E2689" s="41">
        <v>46158</v>
      </c>
      <c r="F2689" s="47">
        <v>0.24269675925925926</v>
      </c>
      <c r="G2689" s="42">
        <v>6.3</v>
      </c>
      <c r="H2689" s="40" t="s">
        <v>1364</v>
      </c>
      <c r="I2689" s="40" t="s">
        <v>1365</v>
      </c>
    </row>
    <row r="2690" spans="1:9" x14ac:dyDescent="0.25">
      <c r="A2690" s="40" t="s">
        <v>97</v>
      </c>
      <c r="B2690" s="28">
        <v>3118</v>
      </c>
      <c r="C2690" s="28" t="s">
        <v>816</v>
      </c>
      <c r="D2690" s="28"/>
      <c r="E2690" s="41">
        <v>46158</v>
      </c>
      <c r="F2690" s="47">
        <v>0.31581018518518517</v>
      </c>
      <c r="G2690" s="42">
        <v>6.3</v>
      </c>
      <c r="H2690" s="40" t="s">
        <v>1360</v>
      </c>
      <c r="I2690" s="40" t="s">
        <v>1365</v>
      </c>
    </row>
    <row r="2691" spans="1:9" x14ac:dyDescent="0.25">
      <c r="A2691" s="40" t="s">
        <v>97</v>
      </c>
      <c r="B2691" s="28">
        <v>3118</v>
      </c>
      <c r="C2691" s="28" t="s">
        <v>816</v>
      </c>
      <c r="D2691" s="28"/>
      <c r="E2691" s="41">
        <v>46158</v>
      </c>
      <c r="F2691" s="47">
        <v>0.32854166666666668</v>
      </c>
      <c r="G2691" s="42">
        <v>6.3</v>
      </c>
      <c r="H2691" s="40" t="s">
        <v>1362</v>
      </c>
      <c r="I2691" s="40" t="s">
        <v>1365</v>
      </c>
    </row>
    <row r="2692" spans="1:9" x14ac:dyDescent="0.25">
      <c r="A2692" s="40" t="s">
        <v>97</v>
      </c>
      <c r="B2692" s="28">
        <v>3118</v>
      </c>
      <c r="C2692" s="28" t="s">
        <v>817</v>
      </c>
      <c r="D2692" s="28"/>
      <c r="E2692" s="45">
        <v>46158</v>
      </c>
      <c r="F2692" s="48">
        <v>0.41266203703703702</v>
      </c>
      <c r="G2692" s="42">
        <v>6.3</v>
      </c>
      <c r="H2692" s="40" t="s">
        <v>1363</v>
      </c>
      <c r="I2692" s="40" t="s">
        <v>1365</v>
      </c>
    </row>
    <row r="2693" spans="1:9" x14ac:dyDescent="0.25">
      <c r="A2693" s="40" t="s">
        <v>97</v>
      </c>
      <c r="B2693" s="28">
        <v>3118</v>
      </c>
      <c r="C2693" s="28" t="s">
        <v>817</v>
      </c>
      <c r="D2693" s="28"/>
      <c r="E2693" s="41">
        <v>46158</v>
      </c>
      <c r="F2693" s="47">
        <v>0.4193634259259259</v>
      </c>
      <c r="G2693" s="44">
        <v>6.3</v>
      </c>
      <c r="H2693" s="43" t="s">
        <v>1364</v>
      </c>
      <c r="I2693" s="40" t="s">
        <v>1365</v>
      </c>
    </row>
    <row r="2694" spans="1:9" x14ac:dyDescent="0.25">
      <c r="A2694" s="40" t="s">
        <v>97</v>
      </c>
      <c r="B2694" s="28">
        <v>3118</v>
      </c>
      <c r="C2694" s="28" t="s">
        <v>818</v>
      </c>
      <c r="D2694" s="28"/>
      <c r="E2694" s="41">
        <v>46158</v>
      </c>
      <c r="F2694" s="47">
        <v>0.45974537037037039</v>
      </c>
      <c r="G2694" s="44">
        <v>6.3</v>
      </c>
      <c r="H2694" s="43" t="s">
        <v>1360</v>
      </c>
      <c r="I2694" s="40" t="s">
        <v>1365</v>
      </c>
    </row>
    <row r="2695" spans="1:9" x14ac:dyDescent="0.25">
      <c r="A2695" s="40" t="s">
        <v>97</v>
      </c>
      <c r="B2695" s="28">
        <v>3118</v>
      </c>
      <c r="C2695" s="28" t="s">
        <v>818</v>
      </c>
      <c r="D2695" s="28"/>
      <c r="E2695" s="41">
        <v>46158</v>
      </c>
      <c r="F2695" s="47">
        <v>0.47018518518518521</v>
      </c>
      <c r="G2695" s="44">
        <v>6.3</v>
      </c>
      <c r="H2695" s="43" t="s">
        <v>1362</v>
      </c>
      <c r="I2695" s="40" t="s">
        <v>1365</v>
      </c>
    </row>
    <row r="2696" spans="1:9" x14ac:dyDescent="0.25">
      <c r="A2696" s="40" t="s">
        <v>97</v>
      </c>
      <c r="B2696" s="28">
        <v>3118</v>
      </c>
      <c r="C2696" s="28" t="s">
        <v>819</v>
      </c>
      <c r="D2696" s="28"/>
      <c r="E2696" s="41">
        <v>46158</v>
      </c>
      <c r="F2696" s="47">
        <v>0.51028935185185187</v>
      </c>
      <c r="G2696" s="44">
        <v>6.3</v>
      </c>
      <c r="H2696" s="43" t="s">
        <v>1363</v>
      </c>
      <c r="I2696" s="40" t="s">
        <v>1365</v>
      </c>
    </row>
    <row r="2697" spans="1:9" x14ac:dyDescent="0.25">
      <c r="A2697" s="40" t="s">
        <v>97</v>
      </c>
      <c r="B2697" s="28">
        <v>3118</v>
      </c>
      <c r="C2697" s="28" t="s">
        <v>819</v>
      </c>
      <c r="D2697" s="28"/>
      <c r="E2697" s="41">
        <v>46158</v>
      </c>
      <c r="F2697" s="47">
        <v>0.51723379629629629</v>
      </c>
      <c r="G2697" s="44">
        <v>6.3</v>
      </c>
      <c r="H2697" s="43" t="s">
        <v>1364</v>
      </c>
      <c r="I2697" s="40" t="s">
        <v>1365</v>
      </c>
    </row>
    <row r="2698" spans="1:9" x14ac:dyDescent="0.25">
      <c r="A2698" s="40" t="s">
        <v>97</v>
      </c>
      <c r="B2698" s="28">
        <v>3118</v>
      </c>
      <c r="C2698" s="28" t="s">
        <v>820</v>
      </c>
      <c r="D2698" s="28"/>
      <c r="E2698" s="45">
        <v>46159</v>
      </c>
      <c r="F2698" s="48">
        <v>0.25906249999999997</v>
      </c>
      <c r="G2698" s="42">
        <v>6.3</v>
      </c>
      <c r="H2698" s="40" t="s">
        <v>1363</v>
      </c>
      <c r="I2698" s="40" t="s">
        <v>1365</v>
      </c>
    </row>
    <row r="2699" spans="1:9" x14ac:dyDescent="0.25">
      <c r="A2699" s="40" t="s">
        <v>97</v>
      </c>
      <c r="B2699" s="28">
        <v>3118</v>
      </c>
      <c r="C2699" s="28" t="s">
        <v>820</v>
      </c>
      <c r="D2699" s="28"/>
      <c r="E2699" s="45">
        <v>46159</v>
      </c>
      <c r="F2699" s="48">
        <v>0.26391203703703703</v>
      </c>
      <c r="G2699" s="42">
        <v>6.3</v>
      </c>
      <c r="H2699" s="40" t="s">
        <v>1364</v>
      </c>
      <c r="I2699" s="40" t="s">
        <v>1365</v>
      </c>
    </row>
    <row r="2700" spans="1:9" x14ac:dyDescent="0.25">
      <c r="A2700" s="40" t="s">
        <v>97</v>
      </c>
      <c r="B2700" s="28">
        <v>3118</v>
      </c>
      <c r="C2700" s="28" t="s">
        <v>821</v>
      </c>
      <c r="D2700" s="28"/>
      <c r="E2700" s="41">
        <v>46159</v>
      </c>
      <c r="F2700" s="47">
        <v>0.36042824074074076</v>
      </c>
      <c r="G2700" s="44">
        <v>6.3</v>
      </c>
      <c r="H2700" s="43" t="s">
        <v>1360</v>
      </c>
      <c r="I2700" s="40" t="s">
        <v>1365</v>
      </c>
    </row>
    <row r="2701" spans="1:9" x14ac:dyDescent="0.25">
      <c r="A2701" s="40" t="s">
        <v>97</v>
      </c>
      <c r="B2701" s="28">
        <v>3118</v>
      </c>
      <c r="C2701" s="28" t="s">
        <v>821</v>
      </c>
      <c r="D2701" s="28"/>
      <c r="E2701" s="41">
        <v>46159</v>
      </c>
      <c r="F2701" s="47">
        <v>0.36596064814814816</v>
      </c>
      <c r="G2701" s="44">
        <v>6.3</v>
      </c>
      <c r="H2701" s="43" t="s">
        <v>1368</v>
      </c>
      <c r="I2701" s="40" t="s">
        <v>1365</v>
      </c>
    </row>
    <row r="2702" spans="1:9" x14ac:dyDescent="0.25">
      <c r="A2702" s="40" t="s">
        <v>97</v>
      </c>
      <c r="B2702" s="28">
        <v>3118</v>
      </c>
      <c r="C2702" s="28" t="s">
        <v>821</v>
      </c>
      <c r="D2702" s="28"/>
      <c r="E2702" s="41">
        <v>46159</v>
      </c>
      <c r="F2702" s="47">
        <v>0.4004050925925926</v>
      </c>
      <c r="G2702" s="44">
        <v>6.3</v>
      </c>
      <c r="H2702" s="43" t="s">
        <v>1370</v>
      </c>
      <c r="I2702" s="40" t="s">
        <v>1365</v>
      </c>
    </row>
    <row r="2703" spans="1:9" x14ac:dyDescent="0.25">
      <c r="A2703" s="40" t="s">
        <v>97</v>
      </c>
      <c r="B2703" s="28">
        <v>3118</v>
      </c>
      <c r="C2703" s="28" t="s">
        <v>821</v>
      </c>
      <c r="D2703" s="28"/>
      <c r="E2703" s="41">
        <v>46159</v>
      </c>
      <c r="F2703" s="47">
        <v>0.40474537037037039</v>
      </c>
      <c r="G2703" s="44">
        <v>6.3</v>
      </c>
      <c r="H2703" s="43" t="s">
        <v>1364</v>
      </c>
      <c r="I2703" s="40" t="s">
        <v>1365</v>
      </c>
    </row>
    <row r="2704" spans="1:9" x14ac:dyDescent="0.25">
      <c r="A2704" s="40" t="s">
        <v>97</v>
      </c>
      <c r="B2704" s="28">
        <v>3118</v>
      </c>
      <c r="C2704" s="28" t="s">
        <v>822</v>
      </c>
      <c r="D2704" s="28"/>
      <c r="E2704" s="41">
        <v>46159</v>
      </c>
      <c r="F2704" s="47">
        <v>0.43887731481481479</v>
      </c>
      <c r="G2704" s="44">
        <v>6.3</v>
      </c>
      <c r="H2704" s="43" t="s">
        <v>1360</v>
      </c>
      <c r="I2704" s="40" t="s">
        <v>1365</v>
      </c>
    </row>
    <row r="2705" spans="1:9" x14ac:dyDescent="0.25">
      <c r="A2705" s="40" t="s">
        <v>97</v>
      </c>
      <c r="B2705" s="28">
        <v>3118</v>
      </c>
      <c r="C2705" s="28" t="s">
        <v>822</v>
      </c>
      <c r="D2705" s="28"/>
      <c r="E2705" s="41">
        <v>46159</v>
      </c>
      <c r="F2705" s="47">
        <v>0.44541666666666668</v>
      </c>
      <c r="G2705" s="44">
        <v>6.3</v>
      </c>
      <c r="H2705" s="43" t="s">
        <v>1362</v>
      </c>
      <c r="I2705" s="40" t="s">
        <v>1365</v>
      </c>
    </row>
    <row r="2706" spans="1:9" x14ac:dyDescent="0.25">
      <c r="A2706" s="40" t="s">
        <v>429</v>
      </c>
      <c r="B2706" s="28">
        <v>3127</v>
      </c>
      <c r="C2706" s="28" t="s">
        <v>823</v>
      </c>
      <c r="D2706" s="28"/>
      <c r="E2706" s="41">
        <v>46155</v>
      </c>
      <c r="F2706" s="47">
        <v>0.88037037037037036</v>
      </c>
      <c r="G2706" s="44">
        <v>6.3</v>
      </c>
      <c r="H2706" s="43" t="s">
        <v>1360</v>
      </c>
      <c r="I2706" s="40" t="s">
        <v>1361</v>
      </c>
    </row>
    <row r="2707" spans="1:9" x14ac:dyDescent="0.25">
      <c r="A2707" s="40" t="s">
        <v>429</v>
      </c>
      <c r="B2707" s="28">
        <v>3127</v>
      </c>
      <c r="C2707" s="28" t="s">
        <v>823</v>
      </c>
      <c r="D2707" s="28"/>
      <c r="E2707" s="41">
        <v>46155</v>
      </c>
      <c r="F2707" s="47">
        <v>0.88908564814814817</v>
      </c>
      <c r="G2707" s="44">
        <v>6.3</v>
      </c>
      <c r="H2707" s="43" t="s">
        <v>1368</v>
      </c>
      <c r="I2707" s="40" t="s">
        <v>1361</v>
      </c>
    </row>
    <row r="2708" spans="1:9" x14ac:dyDescent="0.25">
      <c r="A2708" s="40" t="s">
        <v>429</v>
      </c>
      <c r="B2708" s="28">
        <v>3127</v>
      </c>
      <c r="C2708" s="28" t="s">
        <v>35</v>
      </c>
      <c r="D2708" s="28" t="s">
        <v>38</v>
      </c>
      <c r="E2708" s="45">
        <v>46155</v>
      </c>
      <c r="F2708" s="48">
        <v>0.95947916666666666</v>
      </c>
      <c r="G2708" s="44">
        <v>6.3</v>
      </c>
      <c r="H2708" s="43" t="s">
        <v>1369</v>
      </c>
      <c r="I2708" s="40" t="s">
        <v>1361</v>
      </c>
    </row>
    <row r="2709" spans="1:9" x14ac:dyDescent="0.25">
      <c r="A2709" s="40" t="s">
        <v>429</v>
      </c>
      <c r="B2709" s="28">
        <v>3127</v>
      </c>
      <c r="C2709" s="28" t="s">
        <v>35</v>
      </c>
      <c r="D2709" s="28" t="s">
        <v>38</v>
      </c>
      <c r="E2709" s="41">
        <v>46155</v>
      </c>
      <c r="F2709" s="47">
        <v>0.96526620370370375</v>
      </c>
      <c r="G2709" s="44">
        <v>6.3</v>
      </c>
      <c r="H2709" s="43" t="s">
        <v>1364</v>
      </c>
      <c r="I2709" s="40" t="s">
        <v>1361</v>
      </c>
    </row>
    <row r="2710" spans="1:9" x14ac:dyDescent="0.25">
      <c r="A2710" s="40" t="s">
        <v>429</v>
      </c>
      <c r="B2710" s="28">
        <v>3127</v>
      </c>
      <c r="C2710" s="28">
        <v>10652651</v>
      </c>
      <c r="D2710" s="28"/>
      <c r="E2710" s="41">
        <v>46156</v>
      </c>
      <c r="F2710" s="47">
        <v>1.9328703703703702E-2</v>
      </c>
      <c r="G2710" s="44">
        <v>6.3</v>
      </c>
      <c r="H2710" s="43" t="s">
        <v>1360</v>
      </c>
      <c r="I2710" s="40" t="s">
        <v>1361</v>
      </c>
    </row>
    <row r="2711" spans="1:9" x14ac:dyDescent="0.25">
      <c r="A2711" s="40" t="s">
        <v>429</v>
      </c>
      <c r="B2711" s="28">
        <v>3127</v>
      </c>
      <c r="C2711" s="28">
        <v>10652651</v>
      </c>
      <c r="D2711" s="28"/>
      <c r="E2711" s="41">
        <v>46156</v>
      </c>
      <c r="F2711" s="47">
        <v>2.8518518518518519E-2</v>
      </c>
      <c r="G2711" s="42">
        <v>6.3</v>
      </c>
      <c r="H2711" s="40" t="s">
        <v>1362</v>
      </c>
      <c r="I2711" s="40" t="s">
        <v>1361</v>
      </c>
    </row>
    <row r="2712" spans="1:9" x14ac:dyDescent="0.25">
      <c r="A2712" s="40" t="s">
        <v>429</v>
      </c>
      <c r="B2712" s="28">
        <v>3127</v>
      </c>
      <c r="C2712" s="28">
        <v>10658948</v>
      </c>
      <c r="D2712" s="28"/>
      <c r="E2712" s="41">
        <v>46156</v>
      </c>
      <c r="F2712" s="47">
        <v>0.52254629629629634</v>
      </c>
      <c r="G2712" s="44">
        <v>6.3</v>
      </c>
      <c r="H2712" s="43" t="s">
        <v>1369</v>
      </c>
      <c r="I2712" s="40" t="s">
        <v>1361</v>
      </c>
    </row>
    <row r="2713" spans="1:9" x14ac:dyDescent="0.25">
      <c r="A2713" s="40" t="s">
        <v>429</v>
      </c>
      <c r="B2713" s="28">
        <v>3127</v>
      </c>
      <c r="C2713" s="28">
        <v>10658948</v>
      </c>
      <c r="D2713" s="28"/>
      <c r="E2713" s="41">
        <v>46156</v>
      </c>
      <c r="F2713" s="47">
        <v>0.52891203703703704</v>
      </c>
      <c r="G2713" s="44">
        <v>6.3</v>
      </c>
      <c r="H2713" s="43" t="s">
        <v>1364</v>
      </c>
      <c r="I2713" s="40" t="s">
        <v>1361</v>
      </c>
    </row>
    <row r="2714" spans="1:9" x14ac:dyDescent="0.25">
      <c r="A2714" s="40" t="s">
        <v>429</v>
      </c>
      <c r="B2714" s="28">
        <v>3127</v>
      </c>
      <c r="C2714" s="28">
        <v>10665828</v>
      </c>
      <c r="D2714" s="28"/>
      <c r="E2714" s="41">
        <v>46157</v>
      </c>
      <c r="F2714" s="47">
        <v>0.62015046296296295</v>
      </c>
      <c r="G2714" s="42">
        <v>6.3</v>
      </c>
      <c r="H2714" s="40" t="s">
        <v>1360</v>
      </c>
      <c r="I2714" s="40" t="s">
        <v>1361</v>
      </c>
    </row>
    <row r="2715" spans="1:9" x14ac:dyDescent="0.25">
      <c r="A2715" s="40" t="s">
        <v>429</v>
      </c>
      <c r="B2715" s="28">
        <v>3127</v>
      </c>
      <c r="C2715" s="28">
        <v>10665828</v>
      </c>
      <c r="D2715" s="28"/>
      <c r="E2715" s="41">
        <v>46157</v>
      </c>
      <c r="F2715" s="47">
        <v>0.63347222222222221</v>
      </c>
      <c r="G2715" s="44">
        <v>6.3</v>
      </c>
      <c r="H2715" s="43" t="s">
        <v>1362</v>
      </c>
      <c r="I2715" s="40" t="s">
        <v>1361</v>
      </c>
    </row>
    <row r="2716" spans="1:9" x14ac:dyDescent="0.25">
      <c r="A2716" s="40" t="s">
        <v>429</v>
      </c>
      <c r="B2716" s="28">
        <v>3127</v>
      </c>
      <c r="C2716" s="28" t="s">
        <v>824</v>
      </c>
      <c r="D2716" s="28"/>
      <c r="E2716" s="45">
        <v>46157</v>
      </c>
      <c r="F2716" s="48">
        <v>0.82398148148148154</v>
      </c>
      <c r="G2716" s="44">
        <v>6.3</v>
      </c>
      <c r="H2716" s="43" t="s">
        <v>1369</v>
      </c>
      <c r="I2716" s="40" t="s">
        <v>1361</v>
      </c>
    </row>
    <row r="2717" spans="1:9" x14ac:dyDescent="0.25">
      <c r="A2717" s="40" t="s">
        <v>429</v>
      </c>
      <c r="B2717" s="28">
        <v>3127</v>
      </c>
      <c r="C2717" s="28" t="s">
        <v>824</v>
      </c>
      <c r="D2717" s="28"/>
      <c r="E2717" s="41">
        <v>46157</v>
      </c>
      <c r="F2717" s="47">
        <v>0.84091435185185182</v>
      </c>
      <c r="G2717" s="44">
        <v>6.3</v>
      </c>
      <c r="H2717" s="43" t="s">
        <v>1364</v>
      </c>
      <c r="I2717" s="40" t="s">
        <v>1361</v>
      </c>
    </row>
    <row r="2718" spans="1:9" x14ac:dyDescent="0.25">
      <c r="A2718" s="40" t="s">
        <v>429</v>
      </c>
      <c r="B2718" s="28">
        <v>3127</v>
      </c>
      <c r="C2718" s="28">
        <v>10665781</v>
      </c>
      <c r="D2718" s="28"/>
      <c r="E2718" s="41">
        <v>46158</v>
      </c>
      <c r="F2718" s="47">
        <v>1.4120370370370369E-3</v>
      </c>
      <c r="G2718" s="44">
        <v>6.3</v>
      </c>
      <c r="H2718" s="43" t="s">
        <v>1360</v>
      </c>
      <c r="I2718" s="40" t="s">
        <v>1365</v>
      </c>
    </row>
    <row r="2719" spans="1:9" x14ac:dyDescent="0.25">
      <c r="A2719" s="40" t="s">
        <v>429</v>
      </c>
      <c r="B2719" s="28">
        <v>3127</v>
      </c>
      <c r="C2719" s="28">
        <v>10665781</v>
      </c>
      <c r="D2719" s="28"/>
      <c r="E2719" s="41">
        <v>46158</v>
      </c>
      <c r="F2719" s="47">
        <v>9.3287037037037036E-3</v>
      </c>
      <c r="G2719" s="44">
        <v>6.3</v>
      </c>
      <c r="H2719" s="43" t="s">
        <v>1362</v>
      </c>
      <c r="I2719" s="40" t="s">
        <v>1365</v>
      </c>
    </row>
    <row r="2720" spans="1:9" x14ac:dyDescent="0.25">
      <c r="A2720" s="40" t="s">
        <v>429</v>
      </c>
      <c r="B2720" s="28">
        <v>3127</v>
      </c>
      <c r="C2720" s="28" t="s">
        <v>35</v>
      </c>
      <c r="D2720" s="28" t="s">
        <v>38</v>
      </c>
      <c r="E2720" s="45">
        <v>46158</v>
      </c>
      <c r="F2720" s="48">
        <v>0.52952546296296299</v>
      </c>
      <c r="G2720" s="42">
        <v>6.3</v>
      </c>
      <c r="H2720" s="40" t="s">
        <v>1360</v>
      </c>
      <c r="I2720" s="40" t="s">
        <v>1365</v>
      </c>
    </row>
    <row r="2721" spans="1:9" x14ac:dyDescent="0.25">
      <c r="A2721" s="40" t="s">
        <v>429</v>
      </c>
      <c r="B2721" s="28">
        <v>3127</v>
      </c>
      <c r="C2721" s="28" t="s">
        <v>35</v>
      </c>
      <c r="D2721" s="28" t="s">
        <v>38</v>
      </c>
      <c r="E2721" s="45">
        <v>46158</v>
      </c>
      <c r="F2721" s="48">
        <v>0.54364583333333338</v>
      </c>
      <c r="G2721" s="44">
        <v>6.3</v>
      </c>
      <c r="H2721" s="43" t="s">
        <v>1362</v>
      </c>
      <c r="I2721" s="40" t="s">
        <v>1365</v>
      </c>
    </row>
    <row r="2722" spans="1:9" x14ac:dyDescent="0.25">
      <c r="A2722" s="40" t="s">
        <v>429</v>
      </c>
      <c r="B2722" s="28">
        <v>3127</v>
      </c>
      <c r="C2722" s="28">
        <v>10675600</v>
      </c>
      <c r="D2722" s="28"/>
      <c r="E2722" s="41">
        <v>46158</v>
      </c>
      <c r="F2722" s="47">
        <v>0.91481481481481486</v>
      </c>
      <c r="G2722" s="44">
        <v>6.3</v>
      </c>
      <c r="H2722" s="43" t="s">
        <v>1360</v>
      </c>
      <c r="I2722" s="40" t="s">
        <v>1365</v>
      </c>
    </row>
    <row r="2723" spans="1:9" x14ac:dyDescent="0.25">
      <c r="A2723" s="40" t="s">
        <v>429</v>
      </c>
      <c r="B2723" s="28">
        <v>3127</v>
      </c>
      <c r="C2723" s="28">
        <v>10675600</v>
      </c>
      <c r="D2723" s="28"/>
      <c r="E2723" s="41">
        <v>46158</v>
      </c>
      <c r="F2723" s="47">
        <v>0.92311342592592593</v>
      </c>
      <c r="G2723" s="44">
        <v>6.3</v>
      </c>
      <c r="H2723" s="43" t="s">
        <v>1368</v>
      </c>
      <c r="I2723" s="40" t="s">
        <v>1365</v>
      </c>
    </row>
    <row r="2724" spans="1:9" x14ac:dyDescent="0.25">
      <c r="A2724" s="40" t="s">
        <v>98</v>
      </c>
      <c r="B2724" s="28">
        <v>3138</v>
      </c>
      <c r="C2724" s="28">
        <v>10644878</v>
      </c>
      <c r="D2724" s="28"/>
      <c r="E2724" s="41">
        <v>46154</v>
      </c>
      <c r="F2724" s="47">
        <v>0.30368055555555556</v>
      </c>
      <c r="G2724" s="44">
        <v>6.3</v>
      </c>
      <c r="H2724" s="43" t="s">
        <v>1363</v>
      </c>
      <c r="I2724" s="40" t="s">
        <v>1361</v>
      </c>
    </row>
    <row r="2725" spans="1:9" x14ac:dyDescent="0.25">
      <c r="A2725" s="40" t="s">
        <v>98</v>
      </c>
      <c r="B2725" s="28">
        <v>3138</v>
      </c>
      <c r="C2725" s="28">
        <v>10644878</v>
      </c>
      <c r="D2725" s="28"/>
      <c r="E2725" s="41">
        <v>46154</v>
      </c>
      <c r="F2725" s="47">
        <v>0.31435185185185183</v>
      </c>
      <c r="G2725" s="44">
        <v>6.3</v>
      </c>
      <c r="H2725" s="43" t="s">
        <v>1364</v>
      </c>
      <c r="I2725" s="40" t="s">
        <v>1361</v>
      </c>
    </row>
    <row r="2726" spans="1:9" x14ac:dyDescent="0.25">
      <c r="A2726" s="40" t="s">
        <v>98</v>
      </c>
      <c r="B2726" s="28">
        <v>3138</v>
      </c>
      <c r="C2726" s="28" t="s">
        <v>825</v>
      </c>
      <c r="D2726" s="28"/>
      <c r="E2726" s="41">
        <v>46154</v>
      </c>
      <c r="F2726" s="47">
        <v>0.3828125</v>
      </c>
      <c r="G2726" s="44">
        <v>6.3</v>
      </c>
      <c r="H2726" s="43" t="s">
        <v>1360</v>
      </c>
      <c r="I2726" s="40" t="s">
        <v>1361</v>
      </c>
    </row>
    <row r="2727" spans="1:9" x14ac:dyDescent="0.25">
      <c r="A2727" s="40" t="s">
        <v>98</v>
      </c>
      <c r="B2727" s="28">
        <v>3138</v>
      </c>
      <c r="C2727" s="28" t="s">
        <v>825</v>
      </c>
      <c r="D2727" s="28"/>
      <c r="E2727" s="41">
        <v>46154</v>
      </c>
      <c r="F2727" s="47">
        <v>0.39726851851851852</v>
      </c>
      <c r="G2727" s="44">
        <v>6.3</v>
      </c>
      <c r="H2727" s="43" t="s">
        <v>1362</v>
      </c>
      <c r="I2727" s="40" t="s">
        <v>1361</v>
      </c>
    </row>
    <row r="2728" spans="1:9" x14ac:dyDescent="0.25">
      <c r="A2728" s="40" t="s">
        <v>98</v>
      </c>
      <c r="B2728" s="28">
        <v>3138</v>
      </c>
      <c r="C2728" s="28" t="s">
        <v>826</v>
      </c>
      <c r="D2728" s="28"/>
      <c r="E2728" s="41">
        <v>46154</v>
      </c>
      <c r="F2728" s="47">
        <v>0.53484953703703708</v>
      </c>
      <c r="G2728" s="44">
        <v>6.3</v>
      </c>
      <c r="H2728" s="43" t="s">
        <v>1360</v>
      </c>
      <c r="I2728" s="40" t="s">
        <v>1361</v>
      </c>
    </row>
    <row r="2729" spans="1:9" x14ac:dyDescent="0.25">
      <c r="A2729" s="40" t="s">
        <v>98</v>
      </c>
      <c r="B2729" s="28">
        <v>3138</v>
      </c>
      <c r="C2729" s="28" t="s">
        <v>826</v>
      </c>
      <c r="D2729" s="28"/>
      <c r="E2729" s="41">
        <v>46154</v>
      </c>
      <c r="F2729" s="47">
        <v>0.54502314814814812</v>
      </c>
      <c r="G2729" s="44">
        <v>6.3</v>
      </c>
      <c r="H2729" s="43" t="s">
        <v>1362</v>
      </c>
      <c r="I2729" s="40" t="s">
        <v>1361</v>
      </c>
    </row>
    <row r="2730" spans="1:9" x14ac:dyDescent="0.25">
      <c r="A2730" s="40" t="s">
        <v>98</v>
      </c>
      <c r="B2730" s="28">
        <v>3138</v>
      </c>
      <c r="C2730" s="28">
        <v>5663316</v>
      </c>
      <c r="D2730" s="28" t="s">
        <v>37</v>
      </c>
      <c r="E2730" s="41">
        <v>46154</v>
      </c>
      <c r="F2730" s="47">
        <v>0.58277777777777773</v>
      </c>
      <c r="G2730" s="44">
        <v>6.3</v>
      </c>
      <c r="H2730" s="43" t="s">
        <v>1363</v>
      </c>
      <c r="I2730" s="40" t="s">
        <v>1361</v>
      </c>
    </row>
    <row r="2731" spans="1:9" x14ac:dyDescent="0.25">
      <c r="A2731" s="40" t="s">
        <v>98</v>
      </c>
      <c r="B2731" s="28">
        <v>3138</v>
      </c>
      <c r="C2731" s="28">
        <v>5663316</v>
      </c>
      <c r="D2731" s="28" t="s">
        <v>37</v>
      </c>
      <c r="E2731" s="41">
        <v>46154</v>
      </c>
      <c r="F2731" s="47">
        <v>0.58929398148148149</v>
      </c>
      <c r="G2731" s="44">
        <v>6.3</v>
      </c>
      <c r="H2731" s="43" t="s">
        <v>1364</v>
      </c>
      <c r="I2731" s="40" t="s">
        <v>1361</v>
      </c>
    </row>
    <row r="2732" spans="1:9" x14ac:dyDescent="0.25">
      <c r="A2732" s="40" t="s">
        <v>98</v>
      </c>
      <c r="B2732" s="28">
        <v>3138</v>
      </c>
      <c r="C2732" s="28" t="s">
        <v>827</v>
      </c>
      <c r="D2732" s="28"/>
      <c r="E2732" s="45">
        <v>46154</v>
      </c>
      <c r="F2732" s="48">
        <v>0.62814814814814812</v>
      </c>
      <c r="G2732" s="44">
        <v>6.3</v>
      </c>
      <c r="H2732" s="43" t="s">
        <v>1360</v>
      </c>
      <c r="I2732" s="40" t="s">
        <v>1361</v>
      </c>
    </row>
    <row r="2733" spans="1:9" x14ac:dyDescent="0.25">
      <c r="A2733" s="40" t="s">
        <v>98</v>
      </c>
      <c r="B2733" s="28">
        <v>3138</v>
      </c>
      <c r="C2733" s="28" t="s">
        <v>827</v>
      </c>
      <c r="D2733" s="28"/>
      <c r="E2733" s="45">
        <v>46154</v>
      </c>
      <c r="F2733" s="48">
        <v>0.63906249999999998</v>
      </c>
      <c r="G2733" s="44">
        <v>6.3</v>
      </c>
      <c r="H2733" s="43" t="s">
        <v>1362</v>
      </c>
      <c r="I2733" s="40" t="s">
        <v>1361</v>
      </c>
    </row>
    <row r="2734" spans="1:9" x14ac:dyDescent="0.25">
      <c r="A2734" s="40" t="s">
        <v>98</v>
      </c>
      <c r="B2734" s="28">
        <v>3138</v>
      </c>
      <c r="C2734" s="28" t="s">
        <v>828</v>
      </c>
      <c r="D2734" s="28"/>
      <c r="E2734" s="41">
        <v>46154</v>
      </c>
      <c r="F2734" s="47">
        <v>0.91204861111111113</v>
      </c>
      <c r="G2734" s="44">
        <v>6.3</v>
      </c>
      <c r="H2734" s="43" t="s">
        <v>1363</v>
      </c>
      <c r="I2734" s="40" t="s">
        <v>1361</v>
      </c>
    </row>
    <row r="2735" spans="1:9" x14ac:dyDescent="0.25">
      <c r="A2735" s="40" t="s">
        <v>98</v>
      </c>
      <c r="B2735" s="28">
        <v>3138</v>
      </c>
      <c r="C2735" s="28" t="s">
        <v>828</v>
      </c>
      <c r="D2735" s="28"/>
      <c r="E2735" s="41">
        <v>46154</v>
      </c>
      <c r="F2735" s="47">
        <v>0.91768518518518516</v>
      </c>
      <c r="G2735" s="44">
        <v>6.3</v>
      </c>
      <c r="H2735" s="43" t="s">
        <v>1364</v>
      </c>
      <c r="I2735" s="40" t="s">
        <v>1361</v>
      </c>
    </row>
    <row r="2736" spans="1:9" x14ac:dyDescent="0.25">
      <c r="A2736" s="40" t="s">
        <v>98</v>
      </c>
      <c r="B2736" s="28">
        <v>3138</v>
      </c>
      <c r="C2736" s="28" t="s">
        <v>829</v>
      </c>
      <c r="D2736" s="28"/>
      <c r="E2736" s="41">
        <v>46154</v>
      </c>
      <c r="F2736" s="47">
        <v>0.9483449074074074</v>
      </c>
      <c r="G2736" s="44">
        <v>6.3</v>
      </c>
      <c r="H2736" s="43" t="s">
        <v>1360</v>
      </c>
      <c r="I2736" s="40" t="s">
        <v>1361</v>
      </c>
    </row>
    <row r="2737" spans="1:9" x14ac:dyDescent="0.25">
      <c r="A2737" s="40" t="s">
        <v>98</v>
      </c>
      <c r="B2737" s="28">
        <v>3138</v>
      </c>
      <c r="C2737" s="28" t="s">
        <v>829</v>
      </c>
      <c r="D2737" s="28"/>
      <c r="E2737" s="45">
        <v>46154</v>
      </c>
      <c r="F2737" s="48">
        <v>0.95472222222222225</v>
      </c>
      <c r="G2737" s="44">
        <v>6.3</v>
      </c>
      <c r="H2737" s="43" t="s">
        <v>1368</v>
      </c>
      <c r="I2737" s="40" t="s">
        <v>1361</v>
      </c>
    </row>
    <row r="2738" spans="1:9" x14ac:dyDescent="0.25">
      <c r="A2738" s="40" t="s">
        <v>98</v>
      </c>
      <c r="B2738" s="28">
        <v>3138</v>
      </c>
      <c r="C2738" s="28" t="s">
        <v>830</v>
      </c>
      <c r="D2738" s="28"/>
      <c r="E2738" s="41">
        <v>46155</v>
      </c>
      <c r="F2738" s="47">
        <v>0.26384259259259257</v>
      </c>
      <c r="G2738" s="44">
        <v>6.3</v>
      </c>
      <c r="H2738" s="43" t="s">
        <v>1363</v>
      </c>
      <c r="I2738" s="40" t="s">
        <v>1361</v>
      </c>
    </row>
    <row r="2739" spans="1:9" x14ac:dyDescent="0.25">
      <c r="A2739" s="40" t="s">
        <v>98</v>
      </c>
      <c r="B2739" s="28">
        <v>3138</v>
      </c>
      <c r="C2739" s="28" t="s">
        <v>830</v>
      </c>
      <c r="D2739" s="28"/>
      <c r="E2739" s="41">
        <v>46155</v>
      </c>
      <c r="F2739" s="47">
        <v>0.27528935185185183</v>
      </c>
      <c r="G2739" s="44">
        <v>6.3</v>
      </c>
      <c r="H2739" s="43" t="s">
        <v>1364</v>
      </c>
      <c r="I2739" s="40" t="s">
        <v>1361</v>
      </c>
    </row>
    <row r="2740" spans="1:9" x14ac:dyDescent="0.25">
      <c r="A2740" s="40" t="s">
        <v>98</v>
      </c>
      <c r="B2740" s="28">
        <v>3138</v>
      </c>
      <c r="C2740" s="28" t="s">
        <v>831</v>
      </c>
      <c r="D2740" s="28"/>
      <c r="E2740" s="41">
        <v>46155</v>
      </c>
      <c r="F2740" s="47">
        <v>0.58247685185185183</v>
      </c>
      <c r="G2740" s="44">
        <v>6.3</v>
      </c>
      <c r="H2740" s="43" t="s">
        <v>1360</v>
      </c>
      <c r="I2740" s="40" t="s">
        <v>1361</v>
      </c>
    </row>
    <row r="2741" spans="1:9" x14ac:dyDescent="0.25">
      <c r="A2741" s="40" t="s">
        <v>98</v>
      </c>
      <c r="B2741" s="28">
        <v>3138</v>
      </c>
      <c r="C2741" s="28" t="s">
        <v>831</v>
      </c>
      <c r="D2741" s="28"/>
      <c r="E2741" s="45">
        <v>46155</v>
      </c>
      <c r="F2741" s="48">
        <v>0.59162037037037041</v>
      </c>
      <c r="G2741" s="44">
        <v>6.3</v>
      </c>
      <c r="H2741" s="43" t="s">
        <v>1362</v>
      </c>
      <c r="I2741" s="40" t="s">
        <v>1361</v>
      </c>
    </row>
    <row r="2742" spans="1:9" x14ac:dyDescent="0.25">
      <c r="A2742" s="40" t="s">
        <v>98</v>
      </c>
      <c r="B2742" s="28">
        <v>3138</v>
      </c>
      <c r="C2742" s="28" t="s">
        <v>832</v>
      </c>
      <c r="D2742" s="28"/>
      <c r="E2742" s="41">
        <v>46156</v>
      </c>
      <c r="F2742" s="47">
        <v>0.25877314814814817</v>
      </c>
      <c r="G2742" s="44">
        <v>6.3</v>
      </c>
      <c r="H2742" s="43" t="s">
        <v>1370</v>
      </c>
      <c r="I2742" s="40" t="s">
        <v>1361</v>
      </c>
    </row>
    <row r="2743" spans="1:9" x14ac:dyDescent="0.25">
      <c r="A2743" s="40" t="s">
        <v>98</v>
      </c>
      <c r="B2743" s="28">
        <v>3138</v>
      </c>
      <c r="C2743" s="28" t="s">
        <v>832</v>
      </c>
      <c r="D2743" s="28"/>
      <c r="E2743" s="41">
        <v>46156</v>
      </c>
      <c r="F2743" s="47">
        <v>0.26451388888888888</v>
      </c>
      <c r="G2743" s="44">
        <v>6.3</v>
      </c>
      <c r="H2743" s="43" t="s">
        <v>1364</v>
      </c>
      <c r="I2743" s="40" t="s">
        <v>1361</v>
      </c>
    </row>
    <row r="2744" spans="1:9" x14ac:dyDescent="0.25">
      <c r="A2744" s="40" t="s">
        <v>98</v>
      </c>
      <c r="B2744" s="28">
        <v>3138</v>
      </c>
      <c r="C2744" s="28" t="s">
        <v>833</v>
      </c>
      <c r="D2744" s="28"/>
      <c r="E2744" s="41">
        <v>46156</v>
      </c>
      <c r="F2744" s="47">
        <v>0.36749999999999999</v>
      </c>
      <c r="G2744" s="44">
        <v>6.3</v>
      </c>
      <c r="H2744" s="43" t="s">
        <v>1360</v>
      </c>
      <c r="I2744" s="40" t="s">
        <v>1361</v>
      </c>
    </row>
    <row r="2745" spans="1:9" x14ac:dyDescent="0.25">
      <c r="A2745" s="40" t="s">
        <v>98</v>
      </c>
      <c r="B2745" s="28">
        <v>3138</v>
      </c>
      <c r="C2745" s="28" t="s">
        <v>833</v>
      </c>
      <c r="D2745" s="28"/>
      <c r="E2745" s="45">
        <v>46156</v>
      </c>
      <c r="F2745" s="48">
        <v>0.38466435185185183</v>
      </c>
      <c r="G2745" s="44">
        <v>6.3</v>
      </c>
      <c r="H2745" s="43" t="s">
        <v>1362</v>
      </c>
      <c r="I2745" s="40" t="s">
        <v>1361</v>
      </c>
    </row>
    <row r="2746" spans="1:9" x14ac:dyDescent="0.25">
      <c r="A2746" s="40" t="s">
        <v>98</v>
      </c>
      <c r="B2746" s="28">
        <v>3138</v>
      </c>
      <c r="C2746" s="28" t="s">
        <v>834</v>
      </c>
      <c r="D2746" s="28"/>
      <c r="E2746" s="41">
        <v>46156</v>
      </c>
      <c r="F2746" s="47">
        <v>0.45780092592592592</v>
      </c>
      <c r="G2746" s="44">
        <v>6.3</v>
      </c>
      <c r="H2746" s="43" t="s">
        <v>1363</v>
      </c>
      <c r="I2746" s="40" t="s">
        <v>1361</v>
      </c>
    </row>
    <row r="2747" spans="1:9" x14ac:dyDescent="0.25">
      <c r="A2747" s="40" t="s">
        <v>98</v>
      </c>
      <c r="B2747" s="28">
        <v>3138</v>
      </c>
      <c r="C2747" s="28" t="s">
        <v>834</v>
      </c>
      <c r="D2747" s="28"/>
      <c r="E2747" s="41">
        <v>46156</v>
      </c>
      <c r="F2747" s="47">
        <v>0.46349537037037036</v>
      </c>
      <c r="G2747" s="44">
        <v>6.3</v>
      </c>
      <c r="H2747" s="43" t="s">
        <v>1364</v>
      </c>
      <c r="I2747" s="40" t="s">
        <v>1361</v>
      </c>
    </row>
    <row r="2748" spans="1:9" x14ac:dyDescent="0.25">
      <c r="A2748" s="40" t="s">
        <v>98</v>
      </c>
      <c r="B2748" s="28">
        <v>3138</v>
      </c>
      <c r="C2748" s="28" t="s">
        <v>835</v>
      </c>
      <c r="D2748" s="28"/>
      <c r="E2748" s="41">
        <v>46156</v>
      </c>
      <c r="F2748" s="47">
        <v>0.64408564814814817</v>
      </c>
      <c r="G2748" s="42">
        <v>6.3</v>
      </c>
      <c r="H2748" s="40" t="s">
        <v>1360</v>
      </c>
      <c r="I2748" s="40" t="s">
        <v>1361</v>
      </c>
    </row>
    <row r="2749" spans="1:9" x14ac:dyDescent="0.25">
      <c r="A2749" s="40" t="s">
        <v>98</v>
      </c>
      <c r="B2749" s="28">
        <v>3138</v>
      </c>
      <c r="C2749" s="28" t="s">
        <v>835</v>
      </c>
      <c r="D2749" s="28"/>
      <c r="E2749" s="45">
        <v>46156</v>
      </c>
      <c r="F2749" s="48">
        <v>0.65796296296296297</v>
      </c>
      <c r="G2749" s="44">
        <v>6.3</v>
      </c>
      <c r="H2749" s="43" t="s">
        <v>1362</v>
      </c>
      <c r="I2749" s="40" t="s">
        <v>1361</v>
      </c>
    </row>
    <row r="2750" spans="1:9" x14ac:dyDescent="0.25">
      <c r="A2750" s="40" t="s">
        <v>98</v>
      </c>
      <c r="B2750" s="28">
        <v>3138</v>
      </c>
      <c r="C2750" s="28" t="s">
        <v>836</v>
      </c>
      <c r="D2750" s="28"/>
      <c r="E2750" s="41">
        <v>46157</v>
      </c>
      <c r="F2750" s="47">
        <v>0.29822916666666666</v>
      </c>
      <c r="G2750" s="44">
        <v>6.3</v>
      </c>
      <c r="H2750" s="43" t="s">
        <v>1364</v>
      </c>
      <c r="I2750" s="40" t="s">
        <v>1361</v>
      </c>
    </row>
    <row r="2751" spans="1:9" x14ac:dyDescent="0.25">
      <c r="A2751" s="40" t="s">
        <v>98</v>
      </c>
      <c r="B2751" s="28">
        <v>3138</v>
      </c>
      <c r="C2751" s="28">
        <v>5670199</v>
      </c>
      <c r="D2751" s="28" t="s">
        <v>36</v>
      </c>
      <c r="E2751" s="45">
        <v>46157</v>
      </c>
      <c r="F2751" s="48">
        <v>0.66172453703703704</v>
      </c>
      <c r="G2751" s="44">
        <v>6.3</v>
      </c>
      <c r="H2751" s="43" t="s">
        <v>1360</v>
      </c>
      <c r="I2751" s="40" t="s">
        <v>1361</v>
      </c>
    </row>
    <row r="2752" spans="1:9" x14ac:dyDescent="0.25">
      <c r="A2752" s="40" t="s">
        <v>98</v>
      </c>
      <c r="B2752" s="28">
        <v>3138</v>
      </c>
      <c r="C2752" s="28">
        <v>5670199</v>
      </c>
      <c r="D2752" s="28" t="s">
        <v>36</v>
      </c>
      <c r="E2752" s="41">
        <v>46157</v>
      </c>
      <c r="F2752" s="47">
        <v>0.67420138888888892</v>
      </c>
      <c r="G2752" s="44">
        <v>6.3</v>
      </c>
      <c r="H2752" s="43" t="s">
        <v>1362</v>
      </c>
      <c r="I2752" s="40" t="s">
        <v>1361</v>
      </c>
    </row>
    <row r="2753" spans="1:9" x14ac:dyDescent="0.25">
      <c r="A2753" s="40" t="s">
        <v>98</v>
      </c>
      <c r="B2753" s="28">
        <v>3138</v>
      </c>
      <c r="C2753" s="28" t="s">
        <v>35</v>
      </c>
      <c r="D2753" s="28" t="s">
        <v>38</v>
      </c>
      <c r="E2753" s="45">
        <v>46158</v>
      </c>
      <c r="F2753" s="48">
        <v>0.93403935185185183</v>
      </c>
      <c r="G2753" s="44">
        <v>6.3</v>
      </c>
      <c r="H2753" s="43" t="s">
        <v>1370</v>
      </c>
      <c r="I2753" s="40" t="s">
        <v>1365</v>
      </c>
    </row>
    <row r="2754" spans="1:9" x14ac:dyDescent="0.25">
      <c r="A2754" s="40" t="s">
        <v>99</v>
      </c>
      <c r="B2754" s="28">
        <v>3153</v>
      </c>
      <c r="C2754" s="28">
        <v>10644869</v>
      </c>
      <c r="D2754" s="28"/>
      <c r="E2754" s="41">
        <v>46154</v>
      </c>
      <c r="F2754" s="47">
        <v>0.30048611111111112</v>
      </c>
      <c r="G2754" s="44">
        <v>6.3</v>
      </c>
      <c r="H2754" s="43" t="s">
        <v>1363</v>
      </c>
      <c r="I2754" s="40" t="s">
        <v>1361</v>
      </c>
    </row>
    <row r="2755" spans="1:9" x14ac:dyDescent="0.25">
      <c r="A2755" s="40" t="s">
        <v>99</v>
      </c>
      <c r="B2755" s="28">
        <v>3153</v>
      </c>
      <c r="C2755" s="28">
        <v>10644869</v>
      </c>
      <c r="D2755" s="28"/>
      <c r="E2755" s="41">
        <v>46154</v>
      </c>
      <c r="F2755" s="47">
        <v>0.31104166666666666</v>
      </c>
      <c r="G2755" s="44">
        <v>6.3</v>
      </c>
      <c r="H2755" s="43" t="s">
        <v>1364</v>
      </c>
      <c r="I2755" s="40" t="s">
        <v>1361</v>
      </c>
    </row>
    <row r="2756" spans="1:9" x14ac:dyDescent="0.25">
      <c r="A2756" s="40" t="s">
        <v>100</v>
      </c>
      <c r="B2756" s="28">
        <v>3159</v>
      </c>
      <c r="C2756" s="28" t="s">
        <v>837</v>
      </c>
      <c r="D2756" s="28"/>
      <c r="E2756" s="41">
        <v>46153</v>
      </c>
      <c r="F2756" s="47">
        <v>0.25788194444444446</v>
      </c>
      <c r="G2756" s="42">
        <v>6.3</v>
      </c>
      <c r="H2756" s="40" t="s">
        <v>1360</v>
      </c>
      <c r="I2756" s="40" t="s">
        <v>1361</v>
      </c>
    </row>
    <row r="2757" spans="1:9" x14ac:dyDescent="0.25">
      <c r="A2757" s="40" t="s">
        <v>100</v>
      </c>
      <c r="B2757" s="28">
        <v>3159</v>
      </c>
      <c r="C2757" s="28" t="s">
        <v>837</v>
      </c>
      <c r="D2757" s="28"/>
      <c r="E2757" s="41">
        <v>46153</v>
      </c>
      <c r="F2757" s="47">
        <v>0.26950231481481479</v>
      </c>
      <c r="G2757" s="42">
        <v>6.3</v>
      </c>
      <c r="H2757" s="40" t="s">
        <v>1362</v>
      </c>
      <c r="I2757" s="40" t="s">
        <v>1361</v>
      </c>
    </row>
    <row r="2758" spans="1:9" x14ac:dyDescent="0.25">
      <c r="A2758" s="40" t="s">
        <v>100</v>
      </c>
      <c r="B2758" s="28">
        <v>3159</v>
      </c>
      <c r="C2758" s="28" t="s">
        <v>838</v>
      </c>
      <c r="D2758" s="28"/>
      <c r="E2758" s="41">
        <v>46154</v>
      </c>
      <c r="F2758" s="47">
        <v>0.24157407407407408</v>
      </c>
      <c r="G2758" s="44">
        <v>6.3</v>
      </c>
      <c r="H2758" s="43" t="s">
        <v>1360</v>
      </c>
      <c r="I2758" s="40" t="s">
        <v>1361</v>
      </c>
    </row>
    <row r="2759" spans="1:9" x14ac:dyDescent="0.25">
      <c r="A2759" s="40" t="s">
        <v>100</v>
      </c>
      <c r="B2759" s="28">
        <v>3159</v>
      </c>
      <c r="C2759" s="28" t="s">
        <v>838</v>
      </c>
      <c r="D2759" s="28"/>
      <c r="E2759" s="41">
        <v>46154</v>
      </c>
      <c r="F2759" s="47">
        <v>0.25354166666666667</v>
      </c>
      <c r="G2759" s="44">
        <v>6.3</v>
      </c>
      <c r="H2759" s="43" t="s">
        <v>1362</v>
      </c>
      <c r="I2759" s="40" t="s">
        <v>1361</v>
      </c>
    </row>
    <row r="2760" spans="1:9" x14ac:dyDescent="0.25">
      <c r="A2760" s="40" t="s">
        <v>100</v>
      </c>
      <c r="B2760" s="28">
        <v>3159</v>
      </c>
      <c r="C2760" s="28" t="s">
        <v>839</v>
      </c>
      <c r="D2760" s="28"/>
      <c r="E2760" s="41">
        <v>46154</v>
      </c>
      <c r="F2760" s="47">
        <v>0.34793981481481484</v>
      </c>
      <c r="G2760" s="44">
        <v>6.3</v>
      </c>
      <c r="H2760" s="43" t="s">
        <v>1369</v>
      </c>
      <c r="I2760" s="40" t="s">
        <v>1361</v>
      </c>
    </row>
    <row r="2761" spans="1:9" x14ac:dyDescent="0.25">
      <c r="A2761" s="40" t="s">
        <v>100</v>
      </c>
      <c r="B2761" s="28">
        <v>3159</v>
      </c>
      <c r="C2761" s="28" t="s">
        <v>839</v>
      </c>
      <c r="D2761" s="28"/>
      <c r="E2761" s="45">
        <v>46154</v>
      </c>
      <c r="F2761" s="48">
        <v>0.35377314814814814</v>
      </c>
      <c r="G2761" s="44">
        <v>6.3</v>
      </c>
      <c r="H2761" s="43" t="s">
        <v>1364</v>
      </c>
      <c r="I2761" s="40" t="s">
        <v>1361</v>
      </c>
    </row>
    <row r="2762" spans="1:9" x14ac:dyDescent="0.25">
      <c r="A2762" s="40" t="s">
        <v>100</v>
      </c>
      <c r="B2762" s="28">
        <v>3159</v>
      </c>
      <c r="C2762" s="28" t="s">
        <v>840</v>
      </c>
      <c r="D2762" s="28"/>
      <c r="E2762" s="41">
        <v>46156</v>
      </c>
      <c r="F2762" s="47">
        <v>0.42983796296296295</v>
      </c>
      <c r="G2762" s="44">
        <v>6.3</v>
      </c>
      <c r="H2762" s="43" t="s">
        <v>1360</v>
      </c>
      <c r="I2762" s="40" t="s">
        <v>1361</v>
      </c>
    </row>
    <row r="2763" spans="1:9" x14ac:dyDescent="0.25">
      <c r="A2763" s="40" t="s">
        <v>100</v>
      </c>
      <c r="B2763" s="28">
        <v>3159</v>
      </c>
      <c r="C2763" s="28" t="s">
        <v>840</v>
      </c>
      <c r="D2763" s="28"/>
      <c r="E2763" s="41">
        <v>46156</v>
      </c>
      <c r="F2763" s="47">
        <v>0.44018518518518518</v>
      </c>
      <c r="G2763" s="44">
        <v>6.3</v>
      </c>
      <c r="H2763" s="43" t="s">
        <v>1362</v>
      </c>
      <c r="I2763" s="40" t="s">
        <v>1361</v>
      </c>
    </row>
    <row r="2764" spans="1:9" x14ac:dyDescent="0.25">
      <c r="A2764" s="40" t="s">
        <v>100</v>
      </c>
      <c r="B2764" s="28">
        <v>3159</v>
      </c>
      <c r="C2764" s="28" t="s">
        <v>841</v>
      </c>
      <c r="D2764" s="28"/>
      <c r="E2764" s="41">
        <v>46156</v>
      </c>
      <c r="F2764" s="47">
        <v>0.54313657407407412</v>
      </c>
      <c r="G2764" s="42">
        <v>6.3</v>
      </c>
      <c r="H2764" s="40" t="s">
        <v>1363</v>
      </c>
      <c r="I2764" s="40" t="s">
        <v>1361</v>
      </c>
    </row>
    <row r="2765" spans="1:9" x14ac:dyDescent="0.25">
      <c r="A2765" s="40" t="s">
        <v>100</v>
      </c>
      <c r="B2765" s="28">
        <v>3159</v>
      </c>
      <c r="C2765" s="28" t="s">
        <v>841</v>
      </c>
      <c r="D2765" s="28"/>
      <c r="E2765" s="41">
        <v>46156</v>
      </c>
      <c r="F2765" s="47">
        <v>0.54900462962962959</v>
      </c>
      <c r="G2765" s="42">
        <v>6.3</v>
      </c>
      <c r="H2765" s="40" t="s">
        <v>1364</v>
      </c>
      <c r="I2765" s="40" t="s">
        <v>1361</v>
      </c>
    </row>
    <row r="2766" spans="1:9" x14ac:dyDescent="0.25">
      <c r="A2766" s="40" t="s">
        <v>259</v>
      </c>
      <c r="B2766" s="28">
        <v>3160</v>
      </c>
      <c r="C2766" s="28" t="s">
        <v>842</v>
      </c>
      <c r="D2766" s="28"/>
      <c r="E2766" s="41">
        <v>46153</v>
      </c>
      <c r="F2766" s="47">
        <v>0.23976851851851852</v>
      </c>
      <c r="G2766" s="42">
        <v>6.3</v>
      </c>
      <c r="H2766" s="40" t="s">
        <v>1360</v>
      </c>
      <c r="I2766" s="40" t="s">
        <v>1361</v>
      </c>
    </row>
    <row r="2767" spans="1:9" x14ac:dyDescent="0.25">
      <c r="A2767" s="40" t="s">
        <v>259</v>
      </c>
      <c r="B2767" s="28">
        <v>3160</v>
      </c>
      <c r="C2767" s="28" t="s">
        <v>842</v>
      </c>
      <c r="D2767" s="28"/>
      <c r="E2767" s="41">
        <v>46153</v>
      </c>
      <c r="F2767" s="47">
        <v>0.24820601851851851</v>
      </c>
      <c r="G2767" s="44">
        <v>6.3</v>
      </c>
      <c r="H2767" s="43" t="s">
        <v>1368</v>
      </c>
      <c r="I2767" s="40" t="s">
        <v>1361</v>
      </c>
    </row>
    <row r="2768" spans="1:9" x14ac:dyDescent="0.25">
      <c r="A2768" s="40" t="s">
        <v>259</v>
      </c>
      <c r="B2768" s="28">
        <v>3160</v>
      </c>
      <c r="C2768" s="28" t="s">
        <v>843</v>
      </c>
      <c r="D2768" s="28"/>
      <c r="E2768" s="45">
        <v>46154</v>
      </c>
      <c r="F2768" s="48">
        <v>0.24061342592592594</v>
      </c>
      <c r="G2768" s="44">
        <v>6.3</v>
      </c>
      <c r="H2768" s="43" t="s">
        <v>1360</v>
      </c>
      <c r="I2768" s="40" t="s">
        <v>1361</v>
      </c>
    </row>
    <row r="2769" spans="1:9" x14ac:dyDescent="0.25">
      <c r="A2769" s="40" t="s">
        <v>259</v>
      </c>
      <c r="B2769" s="28">
        <v>3160</v>
      </c>
      <c r="C2769" s="28" t="s">
        <v>843</v>
      </c>
      <c r="D2769" s="28"/>
      <c r="E2769" s="41">
        <v>46154</v>
      </c>
      <c r="F2769" s="47">
        <v>0.25178240740740743</v>
      </c>
      <c r="G2769" s="44">
        <v>6.3</v>
      </c>
      <c r="H2769" s="43" t="s">
        <v>1362</v>
      </c>
      <c r="I2769" s="40" t="s">
        <v>1361</v>
      </c>
    </row>
    <row r="2770" spans="1:9" x14ac:dyDescent="0.25">
      <c r="A2770" s="40" t="s">
        <v>259</v>
      </c>
      <c r="B2770" s="28">
        <v>3160</v>
      </c>
      <c r="C2770" s="28" t="s">
        <v>844</v>
      </c>
      <c r="D2770" s="28"/>
      <c r="E2770" s="41">
        <v>46154</v>
      </c>
      <c r="F2770" s="47">
        <v>0.36561342592592594</v>
      </c>
      <c r="G2770" s="44">
        <v>6.3</v>
      </c>
      <c r="H2770" s="43" t="s">
        <v>1369</v>
      </c>
      <c r="I2770" s="40" t="s">
        <v>1361</v>
      </c>
    </row>
    <row r="2771" spans="1:9" x14ac:dyDescent="0.25">
      <c r="A2771" s="40" t="s">
        <v>259</v>
      </c>
      <c r="B2771" s="28">
        <v>3160</v>
      </c>
      <c r="C2771" s="28" t="s">
        <v>844</v>
      </c>
      <c r="D2771" s="28"/>
      <c r="E2771" s="41">
        <v>46154</v>
      </c>
      <c r="F2771" s="47">
        <v>0.37159722222222225</v>
      </c>
      <c r="G2771" s="42">
        <v>6.3</v>
      </c>
      <c r="H2771" s="40" t="s">
        <v>1364</v>
      </c>
      <c r="I2771" s="40" t="s">
        <v>1361</v>
      </c>
    </row>
    <row r="2772" spans="1:9" x14ac:dyDescent="0.25">
      <c r="A2772" s="40" t="s">
        <v>259</v>
      </c>
      <c r="B2772" s="28">
        <v>3160</v>
      </c>
      <c r="C2772" s="28" t="s">
        <v>845</v>
      </c>
      <c r="D2772" s="28"/>
      <c r="E2772" s="41">
        <v>46154</v>
      </c>
      <c r="F2772" s="47">
        <v>0.48988425925925927</v>
      </c>
      <c r="G2772" s="42">
        <v>6.3</v>
      </c>
      <c r="H2772" s="40" t="s">
        <v>1360</v>
      </c>
      <c r="I2772" s="40" t="s">
        <v>1361</v>
      </c>
    </row>
    <row r="2773" spans="1:9" x14ac:dyDescent="0.25">
      <c r="A2773" s="40" t="s">
        <v>259</v>
      </c>
      <c r="B2773" s="28">
        <v>3160</v>
      </c>
      <c r="C2773" s="28" t="s">
        <v>845</v>
      </c>
      <c r="D2773" s="28"/>
      <c r="E2773" s="41">
        <v>46154</v>
      </c>
      <c r="F2773" s="47">
        <v>0.49932870370370369</v>
      </c>
      <c r="G2773" s="44">
        <v>6.3</v>
      </c>
      <c r="H2773" s="43" t="s">
        <v>1362</v>
      </c>
      <c r="I2773" s="40" t="s">
        <v>1361</v>
      </c>
    </row>
    <row r="2774" spans="1:9" x14ac:dyDescent="0.25">
      <c r="A2774" s="40" t="s">
        <v>259</v>
      </c>
      <c r="B2774" s="28">
        <v>3160</v>
      </c>
      <c r="C2774" s="28" t="s">
        <v>846</v>
      </c>
      <c r="D2774" s="28"/>
      <c r="E2774" s="41">
        <v>46155</v>
      </c>
      <c r="F2774" s="47">
        <v>0.1582523148148148</v>
      </c>
      <c r="G2774" s="44">
        <v>6.3</v>
      </c>
      <c r="H2774" s="43" t="s">
        <v>1363</v>
      </c>
      <c r="I2774" s="40" t="s">
        <v>1361</v>
      </c>
    </row>
    <row r="2775" spans="1:9" x14ac:dyDescent="0.25">
      <c r="A2775" s="40" t="s">
        <v>259</v>
      </c>
      <c r="B2775" s="28">
        <v>3160</v>
      </c>
      <c r="C2775" s="28" t="s">
        <v>846</v>
      </c>
      <c r="D2775" s="28"/>
      <c r="E2775" s="41">
        <v>46155</v>
      </c>
      <c r="F2775" s="47">
        <v>0.16358796296296296</v>
      </c>
      <c r="G2775" s="44">
        <v>6.3</v>
      </c>
      <c r="H2775" s="43" t="s">
        <v>1364</v>
      </c>
      <c r="I2775" s="40" t="s">
        <v>1361</v>
      </c>
    </row>
    <row r="2776" spans="1:9" x14ac:dyDescent="0.25">
      <c r="A2776" s="40" t="s">
        <v>259</v>
      </c>
      <c r="B2776" s="28">
        <v>3160</v>
      </c>
      <c r="C2776" s="28" t="s">
        <v>847</v>
      </c>
      <c r="D2776" s="28"/>
      <c r="E2776" s="41">
        <v>46155</v>
      </c>
      <c r="F2776" s="47">
        <v>0.25505787037037037</v>
      </c>
      <c r="G2776" s="44">
        <v>6.3</v>
      </c>
      <c r="H2776" s="43" t="s">
        <v>1360</v>
      </c>
      <c r="I2776" s="40" t="s">
        <v>1361</v>
      </c>
    </row>
    <row r="2777" spans="1:9" x14ac:dyDescent="0.25">
      <c r="A2777" s="40" t="s">
        <v>259</v>
      </c>
      <c r="B2777" s="28">
        <v>3160</v>
      </c>
      <c r="C2777" s="28" t="s">
        <v>848</v>
      </c>
      <c r="D2777" s="28"/>
      <c r="E2777" s="41">
        <v>46155</v>
      </c>
      <c r="F2777" s="47">
        <v>0.6471527777777778</v>
      </c>
      <c r="G2777" s="44">
        <v>6.3</v>
      </c>
      <c r="H2777" s="43" t="s">
        <v>1360</v>
      </c>
      <c r="I2777" s="40" t="s">
        <v>1361</v>
      </c>
    </row>
    <row r="2778" spans="1:9" x14ac:dyDescent="0.25">
      <c r="A2778" s="40" t="s">
        <v>259</v>
      </c>
      <c r="B2778" s="28">
        <v>3160</v>
      </c>
      <c r="C2778" s="28" t="s">
        <v>849</v>
      </c>
      <c r="D2778" s="28"/>
      <c r="E2778" s="41">
        <v>46156</v>
      </c>
      <c r="F2778" s="47">
        <v>0.39123842592592595</v>
      </c>
      <c r="G2778" s="44">
        <v>6.3</v>
      </c>
      <c r="H2778" s="43" t="s">
        <v>1360</v>
      </c>
      <c r="I2778" s="40" t="s">
        <v>1361</v>
      </c>
    </row>
    <row r="2779" spans="1:9" x14ac:dyDescent="0.25">
      <c r="A2779" s="40" t="s">
        <v>259</v>
      </c>
      <c r="B2779" s="28">
        <v>3160</v>
      </c>
      <c r="C2779" s="28" t="s">
        <v>849</v>
      </c>
      <c r="D2779" s="28"/>
      <c r="E2779" s="41">
        <v>46156</v>
      </c>
      <c r="F2779" s="47">
        <v>0.40239583333333334</v>
      </c>
      <c r="G2779" s="44">
        <v>6.3</v>
      </c>
      <c r="H2779" s="43" t="s">
        <v>1368</v>
      </c>
      <c r="I2779" s="40" t="s">
        <v>1361</v>
      </c>
    </row>
    <row r="2780" spans="1:9" x14ac:dyDescent="0.25">
      <c r="A2780" s="40" t="s">
        <v>259</v>
      </c>
      <c r="B2780" s="28">
        <v>3160</v>
      </c>
      <c r="C2780" s="28" t="s">
        <v>850</v>
      </c>
      <c r="D2780" s="28"/>
      <c r="E2780" s="41">
        <v>46156</v>
      </c>
      <c r="F2780" s="47">
        <v>0.48586805555555557</v>
      </c>
      <c r="G2780" s="44">
        <v>6.3</v>
      </c>
      <c r="H2780" s="43" t="s">
        <v>1363</v>
      </c>
      <c r="I2780" s="40" t="s">
        <v>1361</v>
      </c>
    </row>
    <row r="2781" spans="1:9" x14ac:dyDescent="0.25">
      <c r="A2781" s="40" t="s">
        <v>259</v>
      </c>
      <c r="B2781" s="28">
        <v>3160</v>
      </c>
      <c r="C2781" s="28" t="s">
        <v>850</v>
      </c>
      <c r="D2781" s="28"/>
      <c r="E2781" s="41">
        <v>46156</v>
      </c>
      <c r="F2781" s="47">
        <v>0.49186342592592591</v>
      </c>
      <c r="G2781" s="44">
        <v>6.3</v>
      </c>
      <c r="H2781" s="43" t="s">
        <v>1364</v>
      </c>
      <c r="I2781" s="40" t="s">
        <v>1361</v>
      </c>
    </row>
    <row r="2782" spans="1:9" x14ac:dyDescent="0.25">
      <c r="A2782" s="40" t="s">
        <v>259</v>
      </c>
      <c r="B2782" s="28">
        <v>3160</v>
      </c>
      <c r="C2782" s="28" t="s">
        <v>851</v>
      </c>
      <c r="D2782" s="28"/>
      <c r="E2782" s="41">
        <v>46157</v>
      </c>
      <c r="F2782" s="47">
        <v>0.1927662037037037</v>
      </c>
      <c r="G2782" s="44">
        <v>6.3</v>
      </c>
      <c r="H2782" s="43" t="s">
        <v>1363</v>
      </c>
      <c r="I2782" s="40" t="s">
        <v>1361</v>
      </c>
    </row>
    <row r="2783" spans="1:9" x14ac:dyDescent="0.25">
      <c r="A2783" s="40" t="s">
        <v>259</v>
      </c>
      <c r="B2783" s="28">
        <v>3160</v>
      </c>
      <c r="C2783" s="28" t="s">
        <v>851</v>
      </c>
      <c r="D2783" s="28"/>
      <c r="E2783" s="41">
        <v>46157</v>
      </c>
      <c r="F2783" s="47">
        <v>0.19743055555555555</v>
      </c>
      <c r="G2783" s="44">
        <v>6.3</v>
      </c>
      <c r="H2783" s="43" t="s">
        <v>1364</v>
      </c>
      <c r="I2783" s="40" t="s">
        <v>1361</v>
      </c>
    </row>
    <row r="2784" spans="1:9" x14ac:dyDescent="0.25">
      <c r="A2784" s="40" t="s">
        <v>259</v>
      </c>
      <c r="B2784" s="28">
        <v>3160</v>
      </c>
      <c r="C2784" s="28" t="s">
        <v>852</v>
      </c>
      <c r="D2784" s="28"/>
      <c r="E2784" s="41">
        <v>46157</v>
      </c>
      <c r="F2784" s="47">
        <v>0.59224537037037039</v>
      </c>
      <c r="G2784" s="44">
        <v>6.3</v>
      </c>
      <c r="H2784" s="43" t="s">
        <v>1360</v>
      </c>
      <c r="I2784" s="40" t="s">
        <v>1361</v>
      </c>
    </row>
    <row r="2785" spans="1:9" x14ac:dyDescent="0.25">
      <c r="A2785" s="40" t="s">
        <v>282</v>
      </c>
      <c r="B2785" s="28">
        <v>3180</v>
      </c>
      <c r="C2785" s="28" t="s">
        <v>853</v>
      </c>
      <c r="D2785" s="28"/>
      <c r="E2785" s="45">
        <v>46155</v>
      </c>
      <c r="F2785" s="48">
        <v>0.6159606481481481</v>
      </c>
      <c r="G2785" s="42">
        <v>6.3</v>
      </c>
      <c r="H2785" s="40" t="s">
        <v>1360</v>
      </c>
      <c r="I2785" s="40" t="s">
        <v>1361</v>
      </c>
    </row>
    <row r="2786" spans="1:9" x14ac:dyDescent="0.25">
      <c r="A2786" s="40" t="s">
        <v>282</v>
      </c>
      <c r="B2786" s="28">
        <v>3180</v>
      </c>
      <c r="C2786" s="28" t="s">
        <v>853</v>
      </c>
      <c r="D2786" s="28"/>
      <c r="E2786" s="45">
        <v>46155</v>
      </c>
      <c r="F2786" s="48">
        <v>0.62746527777777783</v>
      </c>
      <c r="G2786" s="42">
        <v>6.3</v>
      </c>
      <c r="H2786" s="40" t="s">
        <v>1362</v>
      </c>
      <c r="I2786" s="40" t="s">
        <v>1361</v>
      </c>
    </row>
    <row r="2787" spans="1:9" x14ac:dyDescent="0.25">
      <c r="A2787" s="40" t="s">
        <v>282</v>
      </c>
      <c r="B2787" s="28">
        <v>3180</v>
      </c>
      <c r="C2787" s="28" t="s">
        <v>35</v>
      </c>
      <c r="D2787" s="28" t="s">
        <v>38</v>
      </c>
      <c r="E2787" s="45">
        <v>46155</v>
      </c>
      <c r="F2787" s="48">
        <v>0.71954861111111112</v>
      </c>
      <c r="G2787" s="44">
        <v>6.3</v>
      </c>
      <c r="H2787" s="43" t="s">
        <v>1370</v>
      </c>
      <c r="I2787" s="40" t="s">
        <v>1361</v>
      </c>
    </row>
    <row r="2788" spans="1:9" x14ac:dyDescent="0.25">
      <c r="A2788" s="40" t="s">
        <v>282</v>
      </c>
      <c r="B2788" s="28">
        <v>3180</v>
      </c>
      <c r="C2788" s="28" t="s">
        <v>35</v>
      </c>
      <c r="D2788" s="28" t="s">
        <v>38</v>
      </c>
      <c r="E2788" s="41">
        <v>46155</v>
      </c>
      <c r="F2788" s="47">
        <v>0.73178240740740741</v>
      </c>
      <c r="G2788" s="44">
        <v>6.3</v>
      </c>
      <c r="H2788" s="43" t="s">
        <v>1364</v>
      </c>
      <c r="I2788" s="40" t="s">
        <v>1361</v>
      </c>
    </row>
    <row r="2789" spans="1:9" x14ac:dyDescent="0.25">
      <c r="A2789" s="40" t="s">
        <v>282</v>
      </c>
      <c r="B2789" s="28">
        <v>3180</v>
      </c>
      <c r="C2789" s="28" t="s">
        <v>35</v>
      </c>
      <c r="D2789" s="28" t="s">
        <v>38</v>
      </c>
      <c r="E2789" s="41">
        <v>46155</v>
      </c>
      <c r="F2789" s="47">
        <v>0.88</v>
      </c>
      <c r="G2789" s="44">
        <v>6.3</v>
      </c>
      <c r="H2789" s="43" t="s">
        <v>1363</v>
      </c>
      <c r="I2789" s="40" t="s">
        <v>1361</v>
      </c>
    </row>
    <row r="2790" spans="1:9" x14ac:dyDescent="0.25">
      <c r="A2790" s="40" t="s">
        <v>282</v>
      </c>
      <c r="B2790" s="28">
        <v>3180</v>
      </c>
      <c r="C2790" s="28" t="s">
        <v>35</v>
      </c>
      <c r="D2790" s="28" t="s">
        <v>38</v>
      </c>
      <c r="E2790" s="41">
        <v>46156</v>
      </c>
      <c r="F2790" s="47">
        <v>0.70414351851851853</v>
      </c>
      <c r="G2790" s="44">
        <v>6.3</v>
      </c>
      <c r="H2790" s="43" t="s">
        <v>1360</v>
      </c>
      <c r="I2790" s="40" t="s">
        <v>1361</v>
      </c>
    </row>
    <row r="2791" spans="1:9" x14ac:dyDescent="0.25">
      <c r="A2791" s="40" t="s">
        <v>282</v>
      </c>
      <c r="B2791" s="28">
        <v>3180</v>
      </c>
      <c r="C2791" s="28" t="s">
        <v>35</v>
      </c>
      <c r="D2791" s="28" t="s">
        <v>38</v>
      </c>
      <c r="E2791" s="41">
        <v>46156</v>
      </c>
      <c r="F2791" s="47">
        <v>0.7220833333333333</v>
      </c>
      <c r="G2791" s="44">
        <v>6.3</v>
      </c>
      <c r="H2791" s="43" t="s">
        <v>1362</v>
      </c>
      <c r="I2791" s="40" t="s">
        <v>1361</v>
      </c>
    </row>
    <row r="2792" spans="1:9" x14ac:dyDescent="0.25">
      <c r="A2792" s="40" t="s">
        <v>359</v>
      </c>
      <c r="B2792" s="28">
        <v>3198</v>
      </c>
      <c r="C2792" s="28">
        <v>5661105</v>
      </c>
      <c r="D2792" s="28"/>
      <c r="E2792" s="41">
        <v>46153</v>
      </c>
      <c r="F2792" s="47">
        <v>0.18237268518518518</v>
      </c>
      <c r="G2792" s="44">
        <v>6.3</v>
      </c>
      <c r="H2792" s="43" t="s">
        <v>1364</v>
      </c>
      <c r="I2792" s="40" t="s">
        <v>1361</v>
      </c>
    </row>
    <row r="2793" spans="1:9" x14ac:dyDescent="0.25">
      <c r="A2793" s="40" t="s">
        <v>359</v>
      </c>
      <c r="B2793" s="28">
        <v>3198</v>
      </c>
      <c r="C2793" s="28">
        <v>5661922</v>
      </c>
      <c r="D2793" s="28"/>
      <c r="E2793" s="41">
        <v>46153</v>
      </c>
      <c r="F2793" s="47">
        <v>0.24090277777777777</v>
      </c>
      <c r="G2793" s="44">
        <v>6.3</v>
      </c>
      <c r="H2793" s="43" t="s">
        <v>1363</v>
      </c>
      <c r="I2793" s="40" t="s">
        <v>1361</v>
      </c>
    </row>
    <row r="2794" spans="1:9" x14ac:dyDescent="0.25">
      <c r="A2794" s="40" t="s">
        <v>359</v>
      </c>
      <c r="B2794" s="28">
        <v>3198</v>
      </c>
      <c r="C2794" s="28">
        <v>5661922</v>
      </c>
      <c r="D2794" s="28"/>
      <c r="E2794" s="41">
        <v>46153</v>
      </c>
      <c r="F2794" s="47">
        <v>0.24653935185185186</v>
      </c>
      <c r="G2794" s="44">
        <v>6.3</v>
      </c>
      <c r="H2794" s="43" t="s">
        <v>1364</v>
      </c>
      <c r="I2794" s="40" t="s">
        <v>1361</v>
      </c>
    </row>
    <row r="2795" spans="1:9" x14ac:dyDescent="0.25">
      <c r="A2795" s="40" t="s">
        <v>359</v>
      </c>
      <c r="B2795" s="28">
        <v>3198</v>
      </c>
      <c r="C2795" s="28">
        <v>5663230</v>
      </c>
      <c r="D2795" s="28"/>
      <c r="E2795" s="41">
        <v>46153</v>
      </c>
      <c r="F2795" s="47">
        <v>0.81190972222222224</v>
      </c>
      <c r="G2795" s="44">
        <v>6.3</v>
      </c>
      <c r="H2795" s="43" t="s">
        <v>1360</v>
      </c>
      <c r="I2795" s="40" t="s">
        <v>1361</v>
      </c>
    </row>
    <row r="2796" spans="1:9" x14ac:dyDescent="0.25">
      <c r="A2796" s="40" t="s">
        <v>359</v>
      </c>
      <c r="B2796" s="28">
        <v>3198</v>
      </c>
      <c r="C2796" s="28">
        <v>5662837</v>
      </c>
      <c r="D2796" s="28"/>
      <c r="E2796" s="41">
        <v>46154</v>
      </c>
      <c r="F2796" s="47">
        <v>0.15023148148148149</v>
      </c>
      <c r="G2796" s="44">
        <v>6.3</v>
      </c>
      <c r="H2796" s="43" t="s">
        <v>1364</v>
      </c>
      <c r="I2796" s="40" t="s">
        <v>1361</v>
      </c>
    </row>
    <row r="2797" spans="1:9" x14ac:dyDescent="0.25">
      <c r="A2797" s="40" t="s">
        <v>359</v>
      </c>
      <c r="B2797" s="28">
        <v>3198</v>
      </c>
      <c r="C2797" s="28" t="s">
        <v>35</v>
      </c>
      <c r="D2797" s="28" t="s">
        <v>38</v>
      </c>
      <c r="E2797" s="41">
        <v>46154</v>
      </c>
      <c r="F2797" s="47">
        <v>0.26659722222222221</v>
      </c>
      <c r="G2797" s="44">
        <v>6.3</v>
      </c>
      <c r="H2797" s="43" t="s">
        <v>1363</v>
      </c>
      <c r="I2797" s="40" t="s">
        <v>1361</v>
      </c>
    </row>
    <row r="2798" spans="1:9" x14ac:dyDescent="0.25">
      <c r="A2798" s="40" t="s">
        <v>359</v>
      </c>
      <c r="B2798" s="28">
        <v>3198</v>
      </c>
      <c r="C2798" s="28" t="s">
        <v>35</v>
      </c>
      <c r="D2798" s="28" t="s">
        <v>38</v>
      </c>
      <c r="E2798" s="41">
        <v>46154</v>
      </c>
      <c r="F2798" s="47">
        <v>0.27424768518518516</v>
      </c>
      <c r="G2798" s="44">
        <v>6.3</v>
      </c>
      <c r="H2798" s="43" t="s">
        <v>1364</v>
      </c>
      <c r="I2798" s="40" t="s">
        <v>1361</v>
      </c>
    </row>
    <row r="2799" spans="1:9" x14ac:dyDescent="0.25">
      <c r="A2799" s="40" t="s">
        <v>359</v>
      </c>
      <c r="B2799" s="28">
        <v>3198</v>
      </c>
      <c r="C2799" s="28">
        <v>5665743</v>
      </c>
      <c r="D2799" s="28" t="s">
        <v>37</v>
      </c>
      <c r="E2799" s="41">
        <v>46155</v>
      </c>
      <c r="F2799" s="47">
        <v>0.74010416666666667</v>
      </c>
      <c r="G2799" s="44">
        <v>6.3</v>
      </c>
      <c r="H2799" s="43" t="s">
        <v>1363</v>
      </c>
      <c r="I2799" s="40" t="s">
        <v>1361</v>
      </c>
    </row>
    <row r="2800" spans="1:9" x14ac:dyDescent="0.25">
      <c r="A2800" s="40" t="s">
        <v>359</v>
      </c>
      <c r="B2800" s="28">
        <v>3198</v>
      </c>
      <c r="C2800" s="28">
        <v>5665743</v>
      </c>
      <c r="D2800" s="28" t="s">
        <v>37</v>
      </c>
      <c r="E2800" s="41">
        <v>46155</v>
      </c>
      <c r="F2800" s="47">
        <v>0.75960648148148147</v>
      </c>
      <c r="G2800" s="44">
        <v>6.3</v>
      </c>
      <c r="H2800" s="43" t="s">
        <v>1364</v>
      </c>
      <c r="I2800" s="40" t="s">
        <v>1361</v>
      </c>
    </row>
    <row r="2801" spans="1:9" x14ac:dyDescent="0.25">
      <c r="A2801" s="40" t="s">
        <v>359</v>
      </c>
      <c r="B2801" s="28">
        <v>3198</v>
      </c>
      <c r="C2801" s="28">
        <v>5667652</v>
      </c>
      <c r="D2801" s="28" t="s">
        <v>37</v>
      </c>
      <c r="E2801" s="41">
        <v>46156</v>
      </c>
      <c r="F2801" s="47">
        <v>0.18878472222222223</v>
      </c>
      <c r="G2801" s="44">
        <v>6.3</v>
      </c>
      <c r="H2801" s="43" t="s">
        <v>1364</v>
      </c>
      <c r="I2801" s="40" t="s">
        <v>1361</v>
      </c>
    </row>
    <row r="2802" spans="1:9" x14ac:dyDescent="0.25">
      <c r="A2802" s="40" t="s">
        <v>359</v>
      </c>
      <c r="B2802" s="28">
        <v>3198</v>
      </c>
      <c r="C2802" s="28">
        <v>5669366</v>
      </c>
      <c r="D2802" s="28" t="s">
        <v>37</v>
      </c>
      <c r="E2802" s="41">
        <v>46157</v>
      </c>
      <c r="F2802" s="47">
        <v>0.26960648148148147</v>
      </c>
      <c r="G2802" s="44">
        <v>6.3</v>
      </c>
      <c r="H2802" s="43" t="s">
        <v>1360</v>
      </c>
      <c r="I2802" s="40" t="s">
        <v>1361</v>
      </c>
    </row>
    <row r="2803" spans="1:9" x14ac:dyDescent="0.25">
      <c r="A2803" s="40" t="s">
        <v>359</v>
      </c>
      <c r="B2803" s="28">
        <v>3198</v>
      </c>
      <c r="C2803" s="28">
        <v>5669366</v>
      </c>
      <c r="D2803" s="28" t="s">
        <v>37</v>
      </c>
      <c r="E2803" s="45">
        <v>46157</v>
      </c>
      <c r="F2803" s="48">
        <v>0.28100694444444446</v>
      </c>
      <c r="G2803" s="42">
        <v>6.3</v>
      </c>
      <c r="H2803" s="40" t="s">
        <v>1366</v>
      </c>
      <c r="I2803" s="40" t="s">
        <v>1361</v>
      </c>
    </row>
    <row r="2804" spans="1:9" x14ac:dyDescent="0.25">
      <c r="A2804" s="40" t="s">
        <v>359</v>
      </c>
      <c r="B2804" s="28">
        <v>3198</v>
      </c>
      <c r="C2804" s="28">
        <v>5668277</v>
      </c>
      <c r="D2804" s="28"/>
      <c r="E2804" s="41">
        <v>46157</v>
      </c>
      <c r="F2804" s="47">
        <v>0.64422453703703708</v>
      </c>
      <c r="G2804" s="42">
        <v>6.3</v>
      </c>
      <c r="H2804" s="40" t="s">
        <v>1360</v>
      </c>
      <c r="I2804" s="40" t="s">
        <v>1361</v>
      </c>
    </row>
    <row r="2805" spans="1:9" x14ac:dyDescent="0.25">
      <c r="A2805" s="40" t="s">
        <v>359</v>
      </c>
      <c r="B2805" s="28">
        <v>3198</v>
      </c>
      <c r="C2805" s="28">
        <v>5668277</v>
      </c>
      <c r="D2805" s="28"/>
      <c r="E2805" s="41">
        <v>46157</v>
      </c>
      <c r="F2805" s="47">
        <v>0.65680555555555553</v>
      </c>
      <c r="G2805" s="42">
        <v>6.3</v>
      </c>
      <c r="H2805" s="40" t="s">
        <v>1362</v>
      </c>
      <c r="I2805" s="40" t="s">
        <v>1361</v>
      </c>
    </row>
    <row r="2806" spans="1:9" x14ac:dyDescent="0.25">
      <c r="A2806" s="40" t="s">
        <v>359</v>
      </c>
      <c r="B2806" s="28">
        <v>3198</v>
      </c>
      <c r="C2806" s="28">
        <v>5668657</v>
      </c>
      <c r="D2806" s="28"/>
      <c r="E2806" s="41">
        <v>46157</v>
      </c>
      <c r="F2806" s="47">
        <v>0.71377314814814818</v>
      </c>
      <c r="G2806" s="42">
        <v>6.3</v>
      </c>
      <c r="H2806" s="40" t="s">
        <v>1363</v>
      </c>
      <c r="I2806" s="40" t="s">
        <v>1361</v>
      </c>
    </row>
    <row r="2807" spans="1:9" x14ac:dyDescent="0.25">
      <c r="A2807" s="40" t="s">
        <v>359</v>
      </c>
      <c r="B2807" s="28">
        <v>3198</v>
      </c>
      <c r="C2807" s="28">
        <v>5668657</v>
      </c>
      <c r="D2807" s="28"/>
      <c r="E2807" s="41">
        <v>46157</v>
      </c>
      <c r="F2807" s="47">
        <v>0.72896990740740741</v>
      </c>
      <c r="G2807" s="44">
        <v>6.3</v>
      </c>
      <c r="H2807" s="43" t="s">
        <v>1364</v>
      </c>
      <c r="I2807" s="40" t="s">
        <v>1361</v>
      </c>
    </row>
    <row r="2808" spans="1:9" x14ac:dyDescent="0.25">
      <c r="A2808" s="40" t="s">
        <v>359</v>
      </c>
      <c r="B2808" s="28">
        <v>3198</v>
      </c>
      <c r="C2808" s="28" t="s">
        <v>35</v>
      </c>
      <c r="D2808" s="28" t="s">
        <v>38</v>
      </c>
      <c r="E2808" s="41">
        <v>46157</v>
      </c>
      <c r="F2808" s="47">
        <v>0.81313657407407403</v>
      </c>
      <c r="G2808" s="44">
        <v>6.3</v>
      </c>
      <c r="H2808" s="43" t="s">
        <v>1360</v>
      </c>
      <c r="I2808" s="40" t="s">
        <v>1361</v>
      </c>
    </row>
    <row r="2809" spans="1:9" x14ac:dyDescent="0.25">
      <c r="A2809" s="40" t="s">
        <v>359</v>
      </c>
      <c r="B2809" s="28">
        <v>3198</v>
      </c>
      <c r="C2809" s="28" t="s">
        <v>35</v>
      </c>
      <c r="D2809" s="28" t="s">
        <v>38</v>
      </c>
      <c r="E2809" s="45">
        <v>46157</v>
      </c>
      <c r="F2809" s="48">
        <v>0.83494212962962966</v>
      </c>
      <c r="G2809" s="44">
        <v>6.3</v>
      </c>
      <c r="H2809" s="43" t="s">
        <v>1362</v>
      </c>
      <c r="I2809" s="40" t="s">
        <v>1361</v>
      </c>
    </row>
    <row r="2810" spans="1:9" x14ac:dyDescent="0.25">
      <c r="A2810" s="40" t="s">
        <v>359</v>
      </c>
      <c r="B2810" s="28">
        <v>3198</v>
      </c>
      <c r="C2810" s="28">
        <v>5672163</v>
      </c>
      <c r="D2810" s="28"/>
      <c r="E2810" s="41">
        <v>46159</v>
      </c>
      <c r="F2810" s="47">
        <v>0.22344907407407408</v>
      </c>
      <c r="G2810" s="44">
        <v>6.3</v>
      </c>
      <c r="H2810" s="43" t="s">
        <v>1369</v>
      </c>
      <c r="I2810" s="40" t="s">
        <v>1365</v>
      </c>
    </row>
    <row r="2811" spans="1:9" x14ac:dyDescent="0.25">
      <c r="A2811" s="40" t="s">
        <v>359</v>
      </c>
      <c r="B2811" s="28">
        <v>3198</v>
      </c>
      <c r="C2811" s="28">
        <v>5672163</v>
      </c>
      <c r="D2811" s="28"/>
      <c r="E2811" s="41">
        <v>46159</v>
      </c>
      <c r="F2811" s="47">
        <v>0.22869212962962962</v>
      </c>
      <c r="G2811" s="44">
        <v>6.3</v>
      </c>
      <c r="H2811" s="43" t="s">
        <v>1364</v>
      </c>
      <c r="I2811" s="40" t="s">
        <v>1365</v>
      </c>
    </row>
    <row r="2812" spans="1:9" x14ac:dyDescent="0.25">
      <c r="A2812" s="40" t="s">
        <v>359</v>
      </c>
      <c r="B2812" s="28">
        <v>3198</v>
      </c>
      <c r="C2812" s="28">
        <v>5673032</v>
      </c>
      <c r="D2812" s="28"/>
      <c r="E2812" s="41">
        <v>46159</v>
      </c>
      <c r="F2812" s="47">
        <v>0.90104166666666663</v>
      </c>
      <c r="G2812" s="44">
        <v>6.3</v>
      </c>
      <c r="H2812" s="43" t="s">
        <v>1363</v>
      </c>
      <c r="I2812" s="40" t="s">
        <v>1365</v>
      </c>
    </row>
    <row r="2813" spans="1:9" x14ac:dyDescent="0.25">
      <c r="A2813" s="40" t="s">
        <v>359</v>
      </c>
      <c r="B2813" s="28">
        <v>3198</v>
      </c>
      <c r="C2813" s="28">
        <v>5673032</v>
      </c>
      <c r="D2813" s="28"/>
      <c r="E2813" s="41">
        <v>46159</v>
      </c>
      <c r="F2813" s="47">
        <v>0.90662037037037035</v>
      </c>
      <c r="G2813" s="44">
        <v>6.3</v>
      </c>
      <c r="H2813" s="43" t="s">
        <v>1364</v>
      </c>
      <c r="I2813" s="40" t="s">
        <v>1365</v>
      </c>
    </row>
    <row r="2814" spans="1:9" x14ac:dyDescent="0.25">
      <c r="A2814" s="40" t="s">
        <v>359</v>
      </c>
      <c r="B2814" s="28">
        <v>3198</v>
      </c>
      <c r="C2814" s="28">
        <v>5671545</v>
      </c>
      <c r="D2814" s="28"/>
      <c r="E2814" s="41">
        <v>46159</v>
      </c>
      <c r="F2814" s="47">
        <v>0.99846064814814817</v>
      </c>
      <c r="G2814" s="44">
        <v>6.3</v>
      </c>
      <c r="H2814" s="43" t="s">
        <v>1360</v>
      </c>
      <c r="I2814" s="40" t="s">
        <v>1365</v>
      </c>
    </row>
    <row r="2815" spans="1:9" x14ac:dyDescent="0.25">
      <c r="A2815" s="40" t="s">
        <v>430</v>
      </c>
      <c r="B2815" s="28">
        <v>3206</v>
      </c>
      <c r="C2815" s="28" t="s">
        <v>854</v>
      </c>
      <c r="D2815" s="28"/>
      <c r="E2815" s="41">
        <v>46153</v>
      </c>
      <c r="F2815" s="47">
        <v>0.61322916666666671</v>
      </c>
      <c r="G2815" s="44">
        <v>6.3</v>
      </c>
      <c r="H2815" s="43" t="s">
        <v>1363</v>
      </c>
      <c r="I2815" s="40" t="s">
        <v>1361</v>
      </c>
    </row>
    <row r="2816" spans="1:9" x14ac:dyDescent="0.25">
      <c r="A2816" s="40" t="s">
        <v>430</v>
      </c>
      <c r="B2816" s="28">
        <v>3206</v>
      </c>
      <c r="C2816" s="28" t="s">
        <v>854</v>
      </c>
      <c r="D2816" s="28"/>
      <c r="E2816" s="45">
        <v>46153</v>
      </c>
      <c r="F2816" s="48">
        <v>0.61895833333333339</v>
      </c>
      <c r="G2816" s="44">
        <v>6.3</v>
      </c>
      <c r="H2816" s="43" t="s">
        <v>1364</v>
      </c>
      <c r="I2816" s="40" t="s">
        <v>1361</v>
      </c>
    </row>
    <row r="2817" spans="1:9" x14ac:dyDescent="0.25">
      <c r="A2817" s="40" t="s">
        <v>430</v>
      </c>
      <c r="B2817" s="28">
        <v>3206</v>
      </c>
      <c r="C2817" s="28" t="s">
        <v>855</v>
      </c>
      <c r="D2817" s="28"/>
      <c r="E2817" s="41">
        <v>46153</v>
      </c>
      <c r="F2817" s="47">
        <v>0.68185185185185182</v>
      </c>
      <c r="G2817" s="44">
        <v>6.3</v>
      </c>
      <c r="H2817" s="43" t="s">
        <v>1360</v>
      </c>
      <c r="I2817" s="40" t="s">
        <v>1361</v>
      </c>
    </row>
    <row r="2818" spans="1:9" x14ac:dyDescent="0.25">
      <c r="A2818" s="40" t="s">
        <v>430</v>
      </c>
      <c r="B2818" s="28">
        <v>3206</v>
      </c>
      <c r="C2818" s="28" t="s">
        <v>855</v>
      </c>
      <c r="D2818" s="28"/>
      <c r="E2818" s="41">
        <v>46153</v>
      </c>
      <c r="F2818" s="47">
        <v>0.69371527777777775</v>
      </c>
      <c r="G2818" s="44">
        <v>6.3</v>
      </c>
      <c r="H2818" s="43" t="s">
        <v>1362</v>
      </c>
      <c r="I2818" s="40" t="s">
        <v>1361</v>
      </c>
    </row>
    <row r="2819" spans="1:9" x14ac:dyDescent="0.25">
      <c r="A2819" s="40" t="s">
        <v>430</v>
      </c>
      <c r="B2819" s="28">
        <v>3206</v>
      </c>
      <c r="C2819" s="28" t="s">
        <v>856</v>
      </c>
      <c r="D2819" s="28"/>
      <c r="E2819" s="41">
        <v>46154</v>
      </c>
      <c r="F2819" s="47">
        <v>0.39559027777777778</v>
      </c>
      <c r="G2819" s="44">
        <v>6.3</v>
      </c>
      <c r="H2819" s="43" t="s">
        <v>1363</v>
      </c>
      <c r="I2819" s="40" t="s">
        <v>1361</v>
      </c>
    </row>
    <row r="2820" spans="1:9" x14ac:dyDescent="0.25">
      <c r="A2820" s="40" t="s">
        <v>430</v>
      </c>
      <c r="B2820" s="28">
        <v>3206</v>
      </c>
      <c r="C2820" s="28" t="s">
        <v>856</v>
      </c>
      <c r="D2820" s="28"/>
      <c r="E2820" s="41">
        <v>46154</v>
      </c>
      <c r="F2820" s="47">
        <v>0.41260416666666666</v>
      </c>
      <c r="G2820" s="44">
        <v>6.3</v>
      </c>
      <c r="H2820" s="43" t="s">
        <v>1364</v>
      </c>
      <c r="I2820" s="40" t="s">
        <v>1361</v>
      </c>
    </row>
    <row r="2821" spans="1:9" x14ac:dyDescent="0.25">
      <c r="A2821" s="40" t="s">
        <v>430</v>
      </c>
      <c r="B2821" s="28">
        <v>3206</v>
      </c>
      <c r="C2821" s="28" t="s">
        <v>857</v>
      </c>
      <c r="D2821" s="28"/>
      <c r="E2821" s="41">
        <v>46154</v>
      </c>
      <c r="F2821" s="47">
        <v>0.48956018518518518</v>
      </c>
      <c r="G2821" s="44">
        <v>6.3</v>
      </c>
      <c r="H2821" s="43" t="s">
        <v>1360</v>
      </c>
      <c r="I2821" s="40" t="s">
        <v>1361</v>
      </c>
    </row>
    <row r="2822" spans="1:9" x14ac:dyDescent="0.25">
      <c r="A2822" s="40" t="s">
        <v>430</v>
      </c>
      <c r="B2822" s="28">
        <v>3206</v>
      </c>
      <c r="C2822" s="28" t="s">
        <v>857</v>
      </c>
      <c r="D2822" s="28"/>
      <c r="E2822" s="41">
        <v>46154</v>
      </c>
      <c r="F2822" s="47">
        <v>0.49938657407407405</v>
      </c>
      <c r="G2822" s="44">
        <v>6.3</v>
      </c>
      <c r="H2822" s="43" t="s">
        <v>1362</v>
      </c>
      <c r="I2822" s="40" t="s">
        <v>1361</v>
      </c>
    </row>
    <row r="2823" spans="1:9" x14ac:dyDescent="0.25">
      <c r="A2823" s="40" t="s">
        <v>430</v>
      </c>
      <c r="B2823" s="28">
        <v>3206</v>
      </c>
      <c r="C2823" s="28" t="s">
        <v>858</v>
      </c>
      <c r="D2823" s="28"/>
      <c r="E2823" s="41">
        <v>46154</v>
      </c>
      <c r="F2823" s="47">
        <v>0.55063657407407407</v>
      </c>
      <c r="G2823" s="44">
        <v>6.3</v>
      </c>
      <c r="H2823" s="43" t="s">
        <v>1363</v>
      </c>
      <c r="I2823" s="40" t="s">
        <v>1361</v>
      </c>
    </row>
    <row r="2824" spans="1:9" x14ac:dyDescent="0.25">
      <c r="A2824" s="40" t="s">
        <v>430</v>
      </c>
      <c r="B2824" s="28">
        <v>3206</v>
      </c>
      <c r="C2824" s="28" t="s">
        <v>858</v>
      </c>
      <c r="D2824" s="28"/>
      <c r="E2824" s="41">
        <v>46154</v>
      </c>
      <c r="F2824" s="47">
        <v>0.55646990740740743</v>
      </c>
      <c r="G2824" s="42">
        <v>6.3</v>
      </c>
      <c r="H2824" s="40" t="s">
        <v>1364</v>
      </c>
      <c r="I2824" s="40" t="s">
        <v>1361</v>
      </c>
    </row>
    <row r="2825" spans="1:9" x14ac:dyDescent="0.25">
      <c r="A2825" s="40" t="s">
        <v>430</v>
      </c>
      <c r="B2825" s="28">
        <v>3206</v>
      </c>
      <c r="C2825" s="28" t="s">
        <v>859</v>
      </c>
      <c r="D2825" s="28"/>
      <c r="E2825" s="45">
        <v>46154</v>
      </c>
      <c r="F2825" s="48">
        <v>0.6590625</v>
      </c>
      <c r="G2825" s="42">
        <v>6.3</v>
      </c>
      <c r="H2825" s="40" t="s">
        <v>1360</v>
      </c>
      <c r="I2825" s="40" t="s">
        <v>1361</v>
      </c>
    </row>
    <row r="2826" spans="1:9" x14ac:dyDescent="0.25">
      <c r="A2826" s="40" t="s">
        <v>430</v>
      </c>
      <c r="B2826" s="28">
        <v>3206</v>
      </c>
      <c r="C2826" s="28" t="s">
        <v>859</v>
      </c>
      <c r="D2826" s="28"/>
      <c r="E2826" s="41">
        <v>46154</v>
      </c>
      <c r="F2826" s="47">
        <v>0.67364583333333339</v>
      </c>
      <c r="G2826" s="42">
        <v>6.3</v>
      </c>
      <c r="H2826" s="40" t="s">
        <v>1368</v>
      </c>
      <c r="I2826" s="40" t="s">
        <v>1361</v>
      </c>
    </row>
    <row r="2827" spans="1:9" x14ac:dyDescent="0.25">
      <c r="A2827" s="40" t="s">
        <v>430</v>
      </c>
      <c r="B2827" s="28">
        <v>3206</v>
      </c>
      <c r="C2827" s="28" t="s">
        <v>860</v>
      </c>
      <c r="D2827" s="28"/>
      <c r="E2827" s="41">
        <v>46155</v>
      </c>
      <c r="F2827" s="47">
        <v>0.27876157407407409</v>
      </c>
      <c r="G2827" s="42">
        <v>6.3</v>
      </c>
      <c r="H2827" s="40" t="s">
        <v>1370</v>
      </c>
      <c r="I2827" s="40" t="s">
        <v>1361</v>
      </c>
    </row>
    <row r="2828" spans="1:9" x14ac:dyDescent="0.25">
      <c r="A2828" s="40" t="s">
        <v>430</v>
      </c>
      <c r="B2828" s="28">
        <v>3206</v>
      </c>
      <c r="C2828" s="28" t="s">
        <v>860</v>
      </c>
      <c r="D2828" s="28"/>
      <c r="E2828" s="45">
        <v>46155</v>
      </c>
      <c r="F2828" s="48">
        <v>0.29767361111111112</v>
      </c>
      <c r="G2828" s="42">
        <v>6.3</v>
      </c>
      <c r="H2828" s="40" t="s">
        <v>1364</v>
      </c>
      <c r="I2828" s="40" t="s">
        <v>1361</v>
      </c>
    </row>
    <row r="2829" spans="1:9" x14ac:dyDescent="0.25">
      <c r="A2829" s="40" t="s">
        <v>430</v>
      </c>
      <c r="B2829" s="28">
        <v>3206</v>
      </c>
      <c r="C2829" s="28" t="s">
        <v>861</v>
      </c>
      <c r="D2829" s="28"/>
      <c r="E2829" s="41">
        <v>46155</v>
      </c>
      <c r="F2829" s="47">
        <v>0.43481481481481482</v>
      </c>
      <c r="G2829" s="42">
        <v>6.3</v>
      </c>
      <c r="H2829" s="40" t="s">
        <v>1360</v>
      </c>
      <c r="I2829" s="40" t="s">
        <v>1361</v>
      </c>
    </row>
    <row r="2830" spans="1:9" x14ac:dyDescent="0.25">
      <c r="A2830" s="40" t="s">
        <v>430</v>
      </c>
      <c r="B2830" s="28">
        <v>3206</v>
      </c>
      <c r="C2830" s="28" t="s">
        <v>861</v>
      </c>
      <c r="D2830" s="28"/>
      <c r="E2830" s="41">
        <v>46155</v>
      </c>
      <c r="F2830" s="47">
        <v>0.45215277777777779</v>
      </c>
      <c r="G2830" s="42">
        <v>6.3</v>
      </c>
      <c r="H2830" s="40" t="s">
        <v>1362</v>
      </c>
      <c r="I2830" s="40" t="s">
        <v>1361</v>
      </c>
    </row>
    <row r="2831" spans="1:9" x14ac:dyDescent="0.25">
      <c r="A2831" s="40" t="s">
        <v>430</v>
      </c>
      <c r="B2831" s="28">
        <v>3206</v>
      </c>
      <c r="C2831" s="28" t="s">
        <v>861</v>
      </c>
      <c r="D2831" s="28"/>
      <c r="E2831" s="41">
        <v>46155</v>
      </c>
      <c r="F2831" s="47">
        <v>0.52717592592592588</v>
      </c>
      <c r="G2831" s="42">
        <v>6.3</v>
      </c>
      <c r="H2831" s="40" t="s">
        <v>1363</v>
      </c>
      <c r="I2831" s="40" t="s">
        <v>1361</v>
      </c>
    </row>
    <row r="2832" spans="1:9" x14ac:dyDescent="0.25">
      <c r="A2832" s="40" t="s">
        <v>430</v>
      </c>
      <c r="B2832" s="28">
        <v>3206</v>
      </c>
      <c r="C2832" s="28" t="s">
        <v>861</v>
      </c>
      <c r="D2832" s="28"/>
      <c r="E2832" s="41">
        <v>46155</v>
      </c>
      <c r="F2832" s="47">
        <v>0.533599537037037</v>
      </c>
      <c r="G2832" s="44">
        <v>6.3</v>
      </c>
      <c r="H2832" s="43" t="s">
        <v>1364</v>
      </c>
      <c r="I2832" s="40" t="s">
        <v>1361</v>
      </c>
    </row>
    <row r="2833" spans="1:9" x14ac:dyDescent="0.25">
      <c r="A2833" s="40" t="s">
        <v>430</v>
      </c>
      <c r="B2833" s="28">
        <v>3206</v>
      </c>
      <c r="C2833" s="28" t="s">
        <v>862</v>
      </c>
      <c r="D2833" s="28"/>
      <c r="E2833" s="41">
        <v>46155</v>
      </c>
      <c r="F2833" s="47">
        <v>0.59138888888888885</v>
      </c>
      <c r="G2833" s="44">
        <v>6.3</v>
      </c>
      <c r="H2833" s="43" t="s">
        <v>1360</v>
      </c>
      <c r="I2833" s="40" t="s">
        <v>1361</v>
      </c>
    </row>
    <row r="2834" spans="1:9" x14ac:dyDescent="0.25">
      <c r="A2834" s="40" t="s">
        <v>430</v>
      </c>
      <c r="B2834" s="28">
        <v>3206</v>
      </c>
      <c r="C2834" s="28" t="s">
        <v>862</v>
      </c>
      <c r="D2834" s="28"/>
      <c r="E2834" s="41">
        <v>46155</v>
      </c>
      <c r="F2834" s="47">
        <v>0.59950231481481486</v>
      </c>
      <c r="G2834" s="44">
        <v>6.3</v>
      </c>
      <c r="H2834" s="43" t="s">
        <v>1362</v>
      </c>
      <c r="I2834" s="40" t="s">
        <v>1361</v>
      </c>
    </row>
    <row r="2835" spans="1:9" x14ac:dyDescent="0.25">
      <c r="A2835" s="40" t="s">
        <v>430</v>
      </c>
      <c r="B2835" s="28">
        <v>3206</v>
      </c>
      <c r="C2835" s="28" t="s">
        <v>863</v>
      </c>
      <c r="D2835" s="28"/>
      <c r="E2835" s="41">
        <v>46155</v>
      </c>
      <c r="F2835" s="47">
        <v>0.71862268518518524</v>
      </c>
      <c r="G2835" s="44">
        <v>6.3</v>
      </c>
      <c r="H2835" s="43" t="s">
        <v>1363</v>
      </c>
      <c r="I2835" s="40" t="s">
        <v>1361</v>
      </c>
    </row>
    <row r="2836" spans="1:9" x14ac:dyDescent="0.25">
      <c r="A2836" s="40" t="s">
        <v>430</v>
      </c>
      <c r="B2836" s="28">
        <v>3206</v>
      </c>
      <c r="C2836" s="28" t="s">
        <v>863</v>
      </c>
      <c r="D2836" s="28"/>
      <c r="E2836" s="41">
        <v>46155</v>
      </c>
      <c r="F2836" s="47">
        <v>0.73184027777777783</v>
      </c>
      <c r="G2836" s="44">
        <v>6.3</v>
      </c>
      <c r="H2836" s="43" t="s">
        <v>1364</v>
      </c>
      <c r="I2836" s="40" t="s">
        <v>1361</v>
      </c>
    </row>
    <row r="2837" spans="1:9" x14ac:dyDescent="0.25">
      <c r="A2837" s="40" t="s">
        <v>430</v>
      </c>
      <c r="B2837" s="28">
        <v>3206</v>
      </c>
      <c r="C2837" s="28" t="s">
        <v>864</v>
      </c>
      <c r="D2837" s="28"/>
      <c r="E2837" s="41">
        <v>46155</v>
      </c>
      <c r="F2837" s="47">
        <v>0.87366898148148153</v>
      </c>
      <c r="G2837" s="44">
        <v>6.3</v>
      </c>
      <c r="H2837" s="43" t="s">
        <v>1360</v>
      </c>
      <c r="I2837" s="40" t="s">
        <v>1361</v>
      </c>
    </row>
    <row r="2838" spans="1:9" x14ac:dyDescent="0.25">
      <c r="A2838" s="40" t="s">
        <v>430</v>
      </c>
      <c r="B2838" s="28">
        <v>3206</v>
      </c>
      <c r="C2838" s="28" t="s">
        <v>864</v>
      </c>
      <c r="D2838" s="28"/>
      <c r="E2838" s="41">
        <v>46155</v>
      </c>
      <c r="F2838" s="47">
        <v>0.88093750000000004</v>
      </c>
      <c r="G2838" s="44">
        <v>6.3</v>
      </c>
      <c r="H2838" s="43" t="s">
        <v>1362</v>
      </c>
      <c r="I2838" s="40" t="s">
        <v>1361</v>
      </c>
    </row>
    <row r="2839" spans="1:9" x14ac:dyDescent="0.25">
      <c r="A2839" s="40" t="s">
        <v>430</v>
      </c>
      <c r="B2839" s="28">
        <v>3206</v>
      </c>
      <c r="C2839" s="28" t="s">
        <v>865</v>
      </c>
      <c r="D2839" s="28"/>
      <c r="E2839" s="41">
        <v>46156</v>
      </c>
      <c r="F2839" s="47">
        <v>0.48122685185185188</v>
      </c>
      <c r="G2839" s="44">
        <v>6.3</v>
      </c>
      <c r="H2839" s="43" t="s">
        <v>1363</v>
      </c>
      <c r="I2839" s="40" t="s">
        <v>1361</v>
      </c>
    </row>
    <row r="2840" spans="1:9" x14ac:dyDescent="0.25">
      <c r="A2840" s="40" t="s">
        <v>430</v>
      </c>
      <c r="B2840" s="28">
        <v>3206</v>
      </c>
      <c r="C2840" s="28" t="s">
        <v>865</v>
      </c>
      <c r="D2840" s="28"/>
      <c r="E2840" s="41">
        <v>46156</v>
      </c>
      <c r="F2840" s="47">
        <v>0.48748842592592595</v>
      </c>
      <c r="G2840" s="44">
        <v>6.3</v>
      </c>
      <c r="H2840" s="43" t="s">
        <v>1364</v>
      </c>
      <c r="I2840" s="40" t="s">
        <v>1361</v>
      </c>
    </row>
    <row r="2841" spans="1:9" x14ac:dyDescent="0.25">
      <c r="A2841" s="40" t="s">
        <v>430</v>
      </c>
      <c r="B2841" s="28">
        <v>3206</v>
      </c>
      <c r="C2841" s="28" t="s">
        <v>866</v>
      </c>
      <c r="D2841" s="28"/>
      <c r="E2841" s="41">
        <v>46156</v>
      </c>
      <c r="F2841" s="47">
        <v>0.57596064814814818</v>
      </c>
      <c r="G2841" s="44">
        <v>6.3</v>
      </c>
      <c r="H2841" s="43" t="s">
        <v>1360</v>
      </c>
      <c r="I2841" s="40" t="s">
        <v>1361</v>
      </c>
    </row>
    <row r="2842" spans="1:9" x14ac:dyDescent="0.25">
      <c r="A2842" s="40" t="s">
        <v>430</v>
      </c>
      <c r="B2842" s="28">
        <v>3206</v>
      </c>
      <c r="C2842" s="28" t="s">
        <v>866</v>
      </c>
      <c r="D2842" s="28"/>
      <c r="E2842" s="41">
        <v>46156</v>
      </c>
      <c r="F2842" s="47">
        <v>0.58348379629629632</v>
      </c>
      <c r="G2842" s="44">
        <v>6.3</v>
      </c>
      <c r="H2842" s="43" t="s">
        <v>1368</v>
      </c>
      <c r="I2842" s="40" t="s">
        <v>1361</v>
      </c>
    </row>
    <row r="2843" spans="1:9" x14ac:dyDescent="0.25">
      <c r="A2843" s="40" t="s">
        <v>430</v>
      </c>
      <c r="B2843" s="28">
        <v>3206</v>
      </c>
      <c r="C2843" s="28" t="s">
        <v>867</v>
      </c>
      <c r="D2843" s="28"/>
      <c r="E2843" s="41">
        <v>46156</v>
      </c>
      <c r="F2843" s="47">
        <v>0.81815972222222222</v>
      </c>
      <c r="G2843" s="44">
        <v>6.3</v>
      </c>
      <c r="H2843" s="43" t="s">
        <v>1369</v>
      </c>
      <c r="I2843" s="40" t="s">
        <v>1361</v>
      </c>
    </row>
    <row r="2844" spans="1:9" x14ac:dyDescent="0.25">
      <c r="A2844" s="40" t="s">
        <v>430</v>
      </c>
      <c r="B2844" s="28">
        <v>3206</v>
      </c>
      <c r="C2844" s="28" t="s">
        <v>867</v>
      </c>
      <c r="D2844" s="28"/>
      <c r="E2844" s="41">
        <v>46156</v>
      </c>
      <c r="F2844" s="47">
        <v>0.83499999999999996</v>
      </c>
      <c r="G2844" s="44">
        <v>6.3</v>
      </c>
      <c r="H2844" s="43" t="s">
        <v>1364</v>
      </c>
      <c r="I2844" s="40" t="s">
        <v>1361</v>
      </c>
    </row>
    <row r="2845" spans="1:9" x14ac:dyDescent="0.25">
      <c r="A2845" s="40" t="s">
        <v>430</v>
      </c>
      <c r="B2845" s="28">
        <v>3206</v>
      </c>
      <c r="C2845" s="28" t="s">
        <v>868</v>
      </c>
      <c r="D2845" s="28"/>
      <c r="E2845" s="41">
        <v>46156</v>
      </c>
      <c r="F2845" s="47">
        <v>0.88766203703703705</v>
      </c>
      <c r="G2845" s="44">
        <v>6.3</v>
      </c>
      <c r="H2845" s="43" t="s">
        <v>1360</v>
      </c>
      <c r="I2845" s="40" t="s">
        <v>1361</v>
      </c>
    </row>
    <row r="2846" spans="1:9" x14ac:dyDescent="0.25">
      <c r="A2846" s="40" t="s">
        <v>430</v>
      </c>
      <c r="B2846" s="28">
        <v>3206</v>
      </c>
      <c r="C2846" s="28" t="s">
        <v>868</v>
      </c>
      <c r="D2846" s="28"/>
      <c r="E2846" s="41">
        <v>46156</v>
      </c>
      <c r="F2846" s="47">
        <v>0.8941203703703704</v>
      </c>
      <c r="G2846" s="44">
        <v>6.3</v>
      </c>
      <c r="H2846" s="43" t="s">
        <v>1368</v>
      </c>
      <c r="I2846" s="40" t="s">
        <v>1361</v>
      </c>
    </row>
    <row r="2847" spans="1:9" x14ac:dyDescent="0.25">
      <c r="A2847" s="40" t="s">
        <v>430</v>
      </c>
      <c r="B2847" s="28">
        <v>3206</v>
      </c>
      <c r="C2847" s="28" t="s">
        <v>869</v>
      </c>
      <c r="D2847" s="28"/>
      <c r="E2847" s="41">
        <v>46157</v>
      </c>
      <c r="F2847" s="47">
        <v>0.38511574074074073</v>
      </c>
      <c r="G2847" s="44">
        <v>6.3</v>
      </c>
      <c r="H2847" s="43" t="s">
        <v>1369</v>
      </c>
      <c r="I2847" s="40" t="s">
        <v>1361</v>
      </c>
    </row>
    <row r="2848" spans="1:9" x14ac:dyDescent="0.25">
      <c r="A2848" s="40" t="s">
        <v>430</v>
      </c>
      <c r="B2848" s="28">
        <v>3206</v>
      </c>
      <c r="C2848" s="28" t="s">
        <v>869</v>
      </c>
      <c r="D2848" s="28"/>
      <c r="E2848" s="45">
        <v>46157</v>
      </c>
      <c r="F2848" s="48">
        <v>0.39182870370370371</v>
      </c>
      <c r="G2848" s="44">
        <v>6.3</v>
      </c>
      <c r="H2848" s="43" t="s">
        <v>1364</v>
      </c>
      <c r="I2848" s="40" t="s">
        <v>1361</v>
      </c>
    </row>
    <row r="2849" spans="1:9" x14ac:dyDescent="0.25">
      <c r="A2849" s="40" t="s">
        <v>430</v>
      </c>
      <c r="B2849" s="28">
        <v>3206</v>
      </c>
      <c r="C2849" s="28" t="s">
        <v>870</v>
      </c>
      <c r="D2849" s="28"/>
      <c r="E2849" s="41">
        <v>46157</v>
      </c>
      <c r="F2849" s="47">
        <v>0.47120370370370368</v>
      </c>
      <c r="G2849" s="44">
        <v>6.3</v>
      </c>
      <c r="H2849" s="43" t="s">
        <v>1360</v>
      </c>
      <c r="I2849" s="40" t="s">
        <v>1361</v>
      </c>
    </row>
    <row r="2850" spans="1:9" x14ac:dyDescent="0.25">
      <c r="A2850" s="40" t="s">
        <v>430</v>
      </c>
      <c r="B2850" s="28">
        <v>3206</v>
      </c>
      <c r="C2850" s="28" t="s">
        <v>870</v>
      </c>
      <c r="D2850" s="28"/>
      <c r="E2850" s="41">
        <v>46157</v>
      </c>
      <c r="F2850" s="47">
        <v>0.48188657407407409</v>
      </c>
      <c r="G2850" s="44">
        <v>6.3</v>
      </c>
      <c r="H2850" s="43" t="s">
        <v>1362</v>
      </c>
      <c r="I2850" s="40" t="s">
        <v>1361</v>
      </c>
    </row>
    <row r="2851" spans="1:9" x14ac:dyDescent="0.25">
      <c r="A2851" s="40" t="s">
        <v>430</v>
      </c>
      <c r="B2851" s="28">
        <v>3206</v>
      </c>
      <c r="C2851" s="28" t="s">
        <v>871</v>
      </c>
      <c r="D2851" s="28"/>
      <c r="E2851" s="45">
        <v>46157</v>
      </c>
      <c r="F2851" s="48">
        <v>0.57226851851851857</v>
      </c>
      <c r="G2851" s="44">
        <v>6.3</v>
      </c>
      <c r="H2851" s="43" t="s">
        <v>1363</v>
      </c>
      <c r="I2851" s="40" t="s">
        <v>1361</v>
      </c>
    </row>
    <row r="2852" spans="1:9" x14ac:dyDescent="0.25">
      <c r="A2852" s="40" t="s">
        <v>430</v>
      </c>
      <c r="B2852" s="28">
        <v>3206</v>
      </c>
      <c r="C2852" s="28" t="s">
        <v>871</v>
      </c>
      <c r="D2852" s="28"/>
      <c r="E2852" s="41">
        <v>46157</v>
      </c>
      <c r="F2852" s="47">
        <v>0.57810185185185181</v>
      </c>
      <c r="G2852" s="44">
        <v>6.3</v>
      </c>
      <c r="H2852" s="43" t="s">
        <v>1364</v>
      </c>
      <c r="I2852" s="40" t="s">
        <v>1361</v>
      </c>
    </row>
    <row r="2853" spans="1:9" x14ac:dyDescent="0.25">
      <c r="A2853" s="40" t="s">
        <v>430</v>
      </c>
      <c r="B2853" s="28">
        <v>3206</v>
      </c>
      <c r="C2853" s="28" t="s">
        <v>872</v>
      </c>
      <c r="D2853" s="28"/>
      <c r="E2853" s="41">
        <v>46157</v>
      </c>
      <c r="F2853" s="47">
        <v>0.65887731481481482</v>
      </c>
      <c r="G2853" s="44">
        <v>6.3</v>
      </c>
      <c r="H2853" s="43" t="s">
        <v>1360</v>
      </c>
      <c r="I2853" s="40" t="s">
        <v>1361</v>
      </c>
    </row>
    <row r="2854" spans="1:9" x14ac:dyDescent="0.25">
      <c r="A2854" s="40" t="s">
        <v>430</v>
      </c>
      <c r="B2854" s="28">
        <v>3206</v>
      </c>
      <c r="C2854" s="28" t="s">
        <v>872</v>
      </c>
      <c r="D2854" s="28"/>
      <c r="E2854" s="41">
        <v>46157</v>
      </c>
      <c r="F2854" s="47">
        <v>0.66958333333333331</v>
      </c>
      <c r="G2854" s="44">
        <v>6.3</v>
      </c>
      <c r="H2854" s="43" t="s">
        <v>1368</v>
      </c>
      <c r="I2854" s="40" t="s">
        <v>1361</v>
      </c>
    </row>
    <row r="2855" spans="1:9" x14ac:dyDescent="0.25">
      <c r="A2855" s="40" t="s">
        <v>430</v>
      </c>
      <c r="B2855" s="28">
        <v>3206</v>
      </c>
      <c r="C2855" s="28" t="s">
        <v>873</v>
      </c>
      <c r="D2855" s="28"/>
      <c r="E2855" s="41">
        <v>46157</v>
      </c>
      <c r="F2855" s="47">
        <v>0.70604166666666668</v>
      </c>
      <c r="G2855" s="44">
        <v>6.3</v>
      </c>
      <c r="H2855" s="43" t="s">
        <v>1369</v>
      </c>
      <c r="I2855" s="40" t="s">
        <v>1361</v>
      </c>
    </row>
    <row r="2856" spans="1:9" x14ac:dyDescent="0.25">
      <c r="A2856" s="40" t="s">
        <v>430</v>
      </c>
      <c r="B2856" s="28">
        <v>3206</v>
      </c>
      <c r="C2856" s="28" t="s">
        <v>873</v>
      </c>
      <c r="D2856" s="28"/>
      <c r="E2856" s="41">
        <v>46157</v>
      </c>
      <c r="F2856" s="47">
        <v>0.72574074074074069</v>
      </c>
      <c r="G2856" s="44">
        <v>6.3</v>
      </c>
      <c r="H2856" s="43" t="s">
        <v>1364</v>
      </c>
      <c r="I2856" s="40" t="s">
        <v>1361</v>
      </c>
    </row>
    <row r="2857" spans="1:9" x14ac:dyDescent="0.25">
      <c r="A2857" s="40" t="s">
        <v>430</v>
      </c>
      <c r="B2857" s="28">
        <v>3206</v>
      </c>
      <c r="C2857" s="28" t="s">
        <v>874</v>
      </c>
      <c r="D2857" s="28"/>
      <c r="E2857" s="45">
        <v>46157</v>
      </c>
      <c r="F2857" s="48">
        <v>0.90820601851851857</v>
      </c>
      <c r="G2857" s="44">
        <v>6.3</v>
      </c>
      <c r="H2857" s="43" t="s">
        <v>1360</v>
      </c>
      <c r="I2857" s="40" t="s">
        <v>1361</v>
      </c>
    </row>
    <row r="2858" spans="1:9" x14ac:dyDescent="0.25">
      <c r="A2858" s="40" t="s">
        <v>430</v>
      </c>
      <c r="B2858" s="28">
        <v>3206</v>
      </c>
      <c r="C2858" s="28" t="s">
        <v>874</v>
      </c>
      <c r="D2858" s="28"/>
      <c r="E2858" s="41">
        <v>46157</v>
      </c>
      <c r="F2858" s="47">
        <v>0.91520833333333329</v>
      </c>
      <c r="G2858" s="44">
        <v>6.3</v>
      </c>
      <c r="H2858" s="43" t="s">
        <v>1362</v>
      </c>
      <c r="I2858" s="40" t="s">
        <v>1361</v>
      </c>
    </row>
    <row r="2859" spans="1:9" x14ac:dyDescent="0.25">
      <c r="A2859" s="40" t="s">
        <v>430</v>
      </c>
      <c r="B2859" s="28">
        <v>3206</v>
      </c>
      <c r="C2859" s="28" t="s">
        <v>875</v>
      </c>
      <c r="D2859" s="28"/>
      <c r="E2859" s="41">
        <v>46158</v>
      </c>
      <c r="F2859" s="47">
        <v>0.28188657407407408</v>
      </c>
      <c r="G2859" s="44">
        <v>6.3</v>
      </c>
      <c r="H2859" s="43" t="s">
        <v>1370</v>
      </c>
      <c r="I2859" s="40" t="s">
        <v>1365</v>
      </c>
    </row>
    <row r="2860" spans="1:9" x14ac:dyDescent="0.25">
      <c r="A2860" s="40" t="s">
        <v>430</v>
      </c>
      <c r="B2860" s="28">
        <v>3206</v>
      </c>
      <c r="C2860" s="28" t="s">
        <v>875</v>
      </c>
      <c r="D2860" s="28"/>
      <c r="E2860" s="41">
        <v>46158</v>
      </c>
      <c r="F2860" s="47">
        <v>0.28775462962962961</v>
      </c>
      <c r="G2860" s="44">
        <v>6.3</v>
      </c>
      <c r="H2860" s="43" t="s">
        <v>1364</v>
      </c>
      <c r="I2860" s="40" t="s">
        <v>1365</v>
      </c>
    </row>
    <row r="2861" spans="1:9" x14ac:dyDescent="0.25">
      <c r="A2861" s="40" t="s">
        <v>430</v>
      </c>
      <c r="B2861" s="28">
        <v>3206</v>
      </c>
      <c r="C2861" s="28" t="s">
        <v>876</v>
      </c>
      <c r="D2861" s="28"/>
      <c r="E2861" s="41">
        <v>46158</v>
      </c>
      <c r="F2861" s="47">
        <v>0.51333333333333331</v>
      </c>
      <c r="G2861" s="44">
        <v>6.3</v>
      </c>
      <c r="H2861" s="43" t="s">
        <v>1363</v>
      </c>
      <c r="I2861" s="40" t="s">
        <v>1365</v>
      </c>
    </row>
    <row r="2862" spans="1:9" x14ac:dyDescent="0.25">
      <c r="A2862" s="40" t="s">
        <v>430</v>
      </c>
      <c r="B2862" s="28">
        <v>3206</v>
      </c>
      <c r="C2862" s="28" t="s">
        <v>876</v>
      </c>
      <c r="D2862" s="28"/>
      <c r="E2862" s="41">
        <v>46158</v>
      </c>
      <c r="F2862" s="47">
        <v>0.51892361111111107</v>
      </c>
      <c r="G2862" s="44">
        <v>6.3</v>
      </c>
      <c r="H2862" s="43" t="s">
        <v>1364</v>
      </c>
      <c r="I2862" s="40" t="s">
        <v>1365</v>
      </c>
    </row>
    <row r="2863" spans="1:9" x14ac:dyDescent="0.25">
      <c r="A2863" s="40" t="s">
        <v>430</v>
      </c>
      <c r="B2863" s="28">
        <v>3206</v>
      </c>
      <c r="C2863" s="28" t="s">
        <v>877</v>
      </c>
      <c r="D2863" s="28"/>
      <c r="E2863" s="41">
        <v>46158</v>
      </c>
      <c r="F2863" s="47">
        <v>0.60137731481481482</v>
      </c>
      <c r="G2863" s="44">
        <v>6.3</v>
      </c>
      <c r="H2863" s="43" t="s">
        <v>1360</v>
      </c>
      <c r="I2863" s="40" t="s">
        <v>1365</v>
      </c>
    </row>
    <row r="2864" spans="1:9" x14ac:dyDescent="0.25">
      <c r="A2864" s="40" t="s">
        <v>86</v>
      </c>
      <c r="B2864" s="28">
        <v>3236</v>
      </c>
      <c r="C2864" s="28">
        <v>5661896</v>
      </c>
      <c r="D2864" s="28"/>
      <c r="E2864" s="41">
        <v>46153</v>
      </c>
      <c r="F2864" s="47">
        <v>0.40384259259259259</v>
      </c>
      <c r="G2864" s="44">
        <v>6.3</v>
      </c>
      <c r="H2864" s="43" t="s">
        <v>1364</v>
      </c>
      <c r="I2864" s="40" t="s">
        <v>1361</v>
      </c>
    </row>
    <row r="2865" spans="1:9" x14ac:dyDescent="0.25">
      <c r="A2865" s="40" t="s">
        <v>86</v>
      </c>
      <c r="B2865" s="28">
        <v>3236</v>
      </c>
      <c r="C2865" s="28">
        <v>5663947</v>
      </c>
      <c r="D2865" s="28"/>
      <c r="E2865" s="41">
        <v>46154</v>
      </c>
      <c r="F2865" s="47">
        <v>0.1542824074074074</v>
      </c>
      <c r="G2865" s="44">
        <v>6.3</v>
      </c>
      <c r="H2865" s="43" t="s">
        <v>1364</v>
      </c>
      <c r="I2865" s="40" t="s">
        <v>1361</v>
      </c>
    </row>
    <row r="2866" spans="1:9" x14ac:dyDescent="0.25">
      <c r="A2866" s="40" t="s">
        <v>86</v>
      </c>
      <c r="B2866" s="28">
        <v>3236</v>
      </c>
      <c r="C2866" s="28">
        <v>5664239</v>
      </c>
      <c r="D2866" s="28"/>
      <c r="E2866" s="41">
        <v>46154</v>
      </c>
      <c r="F2866" s="47">
        <v>0.23550925925925925</v>
      </c>
      <c r="G2866" s="44">
        <v>6.3</v>
      </c>
      <c r="H2866" s="43" t="s">
        <v>1360</v>
      </c>
      <c r="I2866" s="40" t="s">
        <v>1361</v>
      </c>
    </row>
    <row r="2867" spans="1:9" x14ac:dyDescent="0.25">
      <c r="A2867" s="40" t="s">
        <v>86</v>
      </c>
      <c r="B2867" s="28">
        <v>3236</v>
      </c>
      <c r="C2867" s="28">
        <v>5664239</v>
      </c>
      <c r="D2867" s="28"/>
      <c r="E2867" s="41">
        <v>46154</v>
      </c>
      <c r="F2867" s="47">
        <v>0.24450231481481483</v>
      </c>
      <c r="G2867" s="44">
        <v>6.3</v>
      </c>
      <c r="H2867" s="43" t="s">
        <v>1362</v>
      </c>
      <c r="I2867" s="40" t="s">
        <v>1361</v>
      </c>
    </row>
    <row r="2868" spans="1:9" x14ac:dyDescent="0.25">
      <c r="A2868" s="40" t="s">
        <v>86</v>
      </c>
      <c r="B2868" s="28">
        <v>3236</v>
      </c>
      <c r="C2868" s="28">
        <v>5666870</v>
      </c>
      <c r="D2868" s="28"/>
      <c r="E2868" s="41">
        <v>46156</v>
      </c>
      <c r="F2868" s="47">
        <v>0.20019675925925925</v>
      </c>
      <c r="G2868" s="42">
        <v>6.3</v>
      </c>
      <c r="H2868" s="40" t="s">
        <v>1367</v>
      </c>
      <c r="I2868" s="40" t="s">
        <v>1361</v>
      </c>
    </row>
    <row r="2869" spans="1:9" x14ac:dyDescent="0.25">
      <c r="A2869" s="40" t="s">
        <v>86</v>
      </c>
      <c r="B2869" s="28">
        <v>3236</v>
      </c>
      <c r="C2869" s="28">
        <v>5666870</v>
      </c>
      <c r="D2869" s="28"/>
      <c r="E2869" s="41">
        <v>46156</v>
      </c>
      <c r="F2869" s="47">
        <v>0.20288194444444443</v>
      </c>
      <c r="G2869" s="42">
        <v>6.3</v>
      </c>
      <c r="H2869" s="40" t="s">
        <v>1364</v>
      </c>
      <c r="I2869" s="40" t="s">
        <v>1361</v>
      </c>
    </row>
    <row r="2870" spans="1:9" x14ac:dyDescent="0.25">
      <c r="A2870" s="40" t="s">
        <v>86</v>
      </c>
      <c r="B2870" s="28">
        <v>3236</v>
      </c>
      <c r="C2870" s="28">
        <v>5668069</v>
      </c>
      <c r="D2870" s="28"/>
      <c r="E2870" s="41">
        <v>46157</v>
      </c>
      <c r="F2870" s="47">
        <v>0.21524305555555556</v>
      </c>
      <c r="G2870" s="42">
        <v>6.3</v>
      </c>
      <c r="H2870" s="40" t="s">
        <v>1367</v>
      </c>
      <c r="I2870" s="40" t="s">
        <v>1361</v>
      </c>
    </row>
    <row r="2871" spans="1:9" x14ac:dyDescent="0.25">
      <c r="A2871" s="40" t="s">
        <v>86</v>
      </c>
      <c r="B2871" s="28">
        <v>3236</v>
      </c>
      <c r="C2871" s="28">
        <v>5668069</v>
      </c>
      <c r="D2871" s="28"/>
      <c r="E2871" s="41">
        <v>46157</v>
      </c>
      <c r="F2871" s="47">
        <v>0.21819444444444444</v>
      </c>
      <c r="G2871" s="42">
        <v>6.3</v>
      </c>
      <c r="H2871" s="40" t="s">
        <v>1364</v>
      </c>
      <c r="I2871" s="40" t="s">
        <v>1361</v>
      </c>
    </row>
    <row r="2872" spans="1:9" x14ac:dyDescent="0.25">
      <c r="A2872" s="40" t="s">
        <v>86</v>
      </c>
      <c r="B2872" s="28">
        <v>3236</v>
      </c>
      <c r="C2872" s="28" t="s">
        <v>878</v>
      </c>
      <c r="D2872" s="28"/>
      <c r="E2872" s="41">
        <v>46157</v>
      </c>
      <c r="F2872" s="47">
        <v>0.34315972222222224</v>
      </c>
      <c r="G2872" s="42">
        <v>6.3</v>
      </c>
      <c r="H2872" s="40" t="s">
        <v>1360</v>
      </c>
      <c r="I2872" s="40" t="s">
        <v>1361</v>
      </c>
    </row>
    <row r="2873" spans="1:9" x14ac:dyDescent="0.25">
      <c r="A2873" s="40" t="s">
        <v>86</v>
      </c>
      <c r="B2873" s="28">
        <v>3236</v>
      </c>
      <c r="C2873" s="28" t="s">
        <v>878</v>
      </c>
      <c r="D2873" s="28"/>
      <c r="E2873" s="41">
        <v>46157</v>
      </c>
      <c r="F2873" s="47">
        <v>0.35296296296296298</v>
      </c>
      <c r="G2873" s="42">
        <v>6.3</v>
      </c>
      <c r="H2873" s="40" t="s">
        <v>1368</v>
      </c>
      <c r="I2873" s="40" t="s">
        <v>1361</v>
      </c>
    </row>
    <row r="2874" spans="1:9" x14ac:dyDescent="0.25">
      <c r="A2874" s="40" t="s">
        <v>86</v>
      </c>
      <c r="B2874" s="28">
        <v>3236</v>
      </c>
      <c r="C2874" s="28" t="s">
        <v>35</v>
      </c>
      <c r="D2874" s="28" t="s">
        <v>38</v>
      </c>
      <c r="E2874" s="41">
        <v>46157</v>
      </c>
      <c r="F2874" s="47">
        <v>0.40545138888888888</v>
      </c>
      <c r="G2874" s="42">
        <v>6.3</v>
      </c>
      <c r="H2874" s="40" t="s">
        <v>1363</v>
      </c>
      <c r="I2874" s="40" t="s">
        <v>1361</v>
      </c>
    </row>
    <row r="2875" spans="1:9" x14ac:dyDescent="0.25">
      <c r="A2875" s="40" t="s">
        <v>86</v>
      </c>
      <c r="B2875" s="28">
        <v>3236</v>
      </c>
      <c r="C2875" s="28" t="s">
        <v>35</v>
      </c>
      <c r="D2875" s="28" t="s">
        <v>38</v>
      </c>
      <c r="E2875" s="41">
        <v>46158</v>
      </c>
      <c r="F2875" s="47">
        <v>0.63753472222222218</v>
      </c>
      <c r="G2875" s="44">
        <v>6.3</v>
      </c>
      <c r="H2875" s="43" t="s">
        <v>1364</v>
      </c>
      <c r="I2875" s="40" t="s">
        <v>1365</v>
      </c>
    </row>
    <row r="2876" spans="1:9" x14ac:dyDescent="0.25">
      <c r="A2876" s="40" t="s">
        <v>86</v>
      </c>
      <c r="B2876" s="28">
        <v>3236</v>
      </c>
      <c r="C2876" s="28">
        <v>5671693</v>
      </c>
      <c r="D2876" s="28" t="s">
        <v>37</v>
      </c>
      <c r="E2876" s="41">
        <v>46158</v>
      </c>
      <c r="F2876" s="47">
        <v>0.6840856481481481</v>
      </c>
      <c r="G2876" s="44">
        <v>6.3</v>
      </c>
      <c r="H2876" s="43" t="s">
        <v>1360</v>
      </c>
      <c r="I2876" s="40" t="s">
        <v>1365</v>
      </c>
    </row>
    <row r="2877" spans="1:9" x14ac:dyDescent="0.25">
      <c r="A2877" s="40" t="s">
        <v>86</v>
      </c>
      <c r="B2877" s="28">
        <v>3236</v>
      </c>
      <c r="C2877" s="28">
        <v>5671693</v>
      </c>
      <c r="D2877" s="28" t="s">
        <v>37</v>
      </c>
      <c r="E2877" s="41">
        <v>46158</v>
      </c>
      <c r="F2877" s="47">
        <v>0.69180555555555556</v>
      </c>
      <c r="G2877" s="44">
        <v>6.3</v>
      </c>
      <c r="H2877" s="43" t="s">
        <v>1362</v>
      </c>
      <c r="I2877" s="40" t="s">
        <v>1365</v>
      </c>
    </row>
    <row r="2878" spans="1:9" x14ac:dyDescent="0.25">
      <c r="A2878" s="40" t="s">
        <v>86</v>
      </c>
      <c r="B2878" s="28">
        <v>3236</v>
      </c>
      <c r="C2878" s="28" t="s">
        <v>35</v>
      </c>
      <c r="D2878" s="28" t="s">
        <v>38</v>
      </c>
      <c r="E2878" s="45">
        <v>46158</v>
      </c>
      <c r="F2878" s="48">
        <v>0.75437500000000002</v>
      </c>
      <c r="G2878" s="44">
        <v>6.3</v>
      </c>
      <c r="H2878" s="43" t="s">
        <v>1370</v>
      </c>
      <c r="I2878" s="40" t="s">
        <v>1365</v>
      </c>
    </row>
    <row r="2879" spans="1:9" x14ac:dyDescent="0.25">
      <c r="A2879" s="40" t="s">
        <v>86</v>
      </c>
      <c r="B2879" s="28">
        <v>3236</v>
      </c>
      <c r="C2879" s="28" t="s">
        <v>879</v>
      </c>
      <c r="D2879" s="28"/>
      <c r="E2879" s="41">
        <v>46159</v>
      </c>
      <c r="F2879" s="47">
        <v>0.42420138888888886</v>
      </c>
      <c r="G2879" s="44">
        <v>6.3</v>
      </c>
      <c r="H2879" s="43" t="s">
        <v>1360</v>
      </c>
      <c r="I2879" s="40" t="s">
        <v>1365</v>
      </c>
    </row>
    <row r="2880" spans="1:9" x14ac:dyDescent="0.25">
      <c r="A2880" s="40" t="s">
        <v>86</v>
      </c>
      <c r="B2880" s="28">
        <v>3236</v>
      </c>
      <c r="C2880" s="28" t="s">
        <v>879</v>
      </c>
      <c r="D2880" s="28"/>
      <c r="E2880" s="41">
        <v>46159</v>
      </c>
      <c r="F2880" s="47">
        <v>0.43103009259259262</v>
      </c>
      <c r="G2880" s="44">
        <v>6.3</v>
      </c>
      <c r="H2880" s="43" t="s">
        <v>1362</v>
      </c>
      <c r="I2880" s="40" t="s">
        <v>1365</v>
      </c>
    </row>
    <row r="2881" spans="1:9" x14ac:dyDescent="0.25">
      <c r="A2881" s="40" t="s">
        <v>86</v>
      </c>
      <c r="B2881" s="28">
        <v>3236</v>
      </c>
      <c r="C2881" s="28">
        <v>5672367</v>
      </c>
      <c r="D2881" s="28"/>
      <c r="E2881" s="41">
        <v>46159</v>
      </c>
      <c r="F2881" s="47">
        <v>0.48734953703703704</v>
      </c>
      <c r="G2881" s="44">
        <v>6.3</v>
      </c>
      <c r="H2881" s="43" t="s">
        <v>1363</v>
      </c>
      <c r="I2881" s="40" t="s">
        <v>1365</v>
      </c>
    </row>
    <row r="2882" spans="1:9" x14ac:dyDescent="0.25">
      <c r="A2882" s="40" t="s">
        <v>86</v>
      </c>
      <c r="B2882" s="28">
        <v>3236</v>
      </c>
      <c r="C2882" s="28">
        <v>5672367</v>
      </c>
      <c r="D2882" s="28"/>
      <c r="E2882" s="41">
        <v>46159</v>
      </c>
      <c r="F2882" s="47">
        <v>0.49226851851851849</v>
      </c>
      <c r="G2882" s="44">
        <v>6.3</v>
      </c>
      <c r="H2882" s="43" t="s">
        <v>1364</v>
      </c>
      <c r="I2882" s="40" t="s">
        <v>1365</v>
      </c>
    </row>
    <row r="2883" spans="1:9" x14ac:dyDescent="0.25">
      <c r="A2883" s="40" t="s">
        <v>368</v>
      </c>
      <c r="B2883" s="28">
        <v>3242</v>
      </c>
      <c r="C2883" s="28" t="s">
        <v>35</v>
      </c>
      <c r="D2883" s="28" t="s">
        <v>38</v>
      </c>
      <c r="E2883" s="41">
        <v>46153</v>
      </c>
      <c r="F2883" s="47">
        <v>0.4632175925925926</v>
      </c>
      <c r="G2883" s="44">
        <v>6.3</v>
      </c>
      <c r="H2883" s="43" t="s">
        <v>1360</v>
      </c>
      <c r="I2883" s="40" t="s">
        <v>1361</v>
      </c>
    </row>
    <row r="2884" spans="1:9" x14ac:dyDescent="0.25">
      <c r="A2884" s="40" t="s">
        <v>368</v>
      </c>
      <c r="B2884" s="28">
        <v>3242</v>
      </c>
      <c r="C2884" s="28">
        <v>5642061</v>
      </c>
      <c r="D2884" s="28"/>
      <c r="E2884" s="45">
        <v>46153</v>
      </c>
      <c r="F2884" s="48">
        <v>0.52293981481481477</v>
      </c>
      <c r="G2884" s="44">
        <v>6.3</v>
      </c>
      <c r="H2884" s="43" t="s">
        <v>1366</v>
      </c>
      <c r="I2884" s="40" t="s">
        <v>1361</v>
      </c>
    </row>
    <row r="2885" spans="1:9" x14ac:dyDescent="0.25">
      <c r="A2885" s="40" t="s">
        <v>368</v>
      </c>
      <c r="B2885" s="28">
        <v>3242</v>
      </c>
      <c r="C2885" s="28">
        <v>5664000</v>
      </c>
      <c r="D2885" s="28"/>
      <c r="E2885" s="41">
        <v>46154</v>
      </c>
      <c r="F2885" s="47">
        <v>0.28002314814814816</v>
      </c>
      <c r="G2885" s="44">
        <v>6.3</v>
      </c>
      <c r="H2885" s="43" t="s">
        <v>1363</v>
      </c>
      <c r="I2885" s="40" t="s">
        <v>1361</v>
      </c>
    </row>
    <row r="2886" spans="1:9" x14ac:dyDescent="0.25">
      <c r="A2886" s="40" t="s">
        <v>368</v>
      </c>
      <c r="B2886" s="28">
        <v>3242</v>
      </c>
      <c r="C2886" s="28">
        <v>5664000</v>
      </c>
      <c r="D2886" s="28"/>
      <c r="E2886" s="45">
        <v>46154</v>
      </c>
      <c r="F2886" s="48">
        <v>0.29167824074074072</v>
      </c>
      <c r="G2886" s="44">
        <v>6.3</v>
      </c>
      <c r="H2886" s="43" t="s">
        <v>1364</v>
      </c>
      <c r="I2886" s="40" t="s">
        <v>1361</v>
      </c>
    </row>
    <row r="2887" spans="1:9" x14ac:dyDescent="0.25">
      <c r="A2887" s="40" t="s">
        <v>368</v>
      </c>
      <c r="B2887" s="28">
        <v>3242</v>
      </c>
      <c r="C2887" s="28">
        <v>5664316</v>
      </c>
      <c r="D2887" s="28"/>
      <c r="E2887" s="41">
        <v>46154</v>
      </c>
      <c r="F2887" s="47">
        <v>0.43474537037037037</v>
      </c>
      <c r="G2887" s="44">
        <v>6.3</v>
      </c>
      <c r="H2887" s="43" t="s">
        <v>1360</v>
      </c>
      <c r="I2887" s="40" t="s">
        <v>1361</v>
      </c>
    </row>
    <row r="2888" spans="1:9" x14ac:dyDescent="0.25">
      <c r="A2888" s="40" t="s">
        <v>368</v>
      </c>
      <c r="B2888" s="28">
        <v>3242</v>
      </c>
      <c r="C2888" s="28">
        <v>5664316</v>
      </c>
      <c r="D2888" s="28"/>
      <c r="E2888" s="41">
        <v>46154</v>
      </c>
      <c r="F2888" s="47">
        <v>0.45604166666666668</v>
      </c>
      <c r="G2888" s="44">
        <v>6.3</v>
      </c>
      <c r="H2888" s="43" t="s">
        <v>1368</v>
      </c>
      <c r="I2888" s="40" t="s">
        <v>1361</v>
      </c>
    </row>
    <row r="2889" spans="1:9" x14ac:dyDescent="0.25">
      <c r="A2889" s="40" t="s">
        <v>368</v>
      </c>
      <c r="B2889" s="28">
        <v>3242</v>
      </c>
      <c r="C2889" s="28" t="s">
        <v>880</v>
      </c>
      <c r="D2889" s="28"/>
      <c r="E2889" s="45">
        <v>46157</v>
      </c>
      <c r="F2889" s="48">
        <v>0.30306712962962962</v>
      </c>
      <c r="G2889" s="44">
        <v>6.3</v>
      </c>
      <c r="H2889" s="43" t="s">
        <v>1363</v>
      </c>
      <c r="I2889" s="40" t="s">
        <v>1361</v>
      </c>
    </row>
    <row r="2890" spans="1:9" x14ac:dyDescent="0.25">
      <c r="A2890" s="40" t="s">
        <v>368</v>
      </c>
      <c r="B2890" s="28">
        <v>3242</v>
      </c>
      <c r="C2890" s="28" t="s">
        <v>880</v>
      </c>
      <c r="D2890" s="28"/>
      <c r="E2890" s="45">
        <v>46157</v>
      </c>
      <c r="F2890" s="48">
        <v>0.31107638888888889</v>
      </c>
      <c r="G2890" s="44">
        <v>6.3</v>
      </c>
      <c r="H2890" s="43" t="s">
        <v>1364</v>
      </c>
      <c r="I2890" s="40" t="s">
        <v>1361</v>
      </c>
    </row>
    <row r="2891" spans="1:9" x14ac:dyDescent="0.25">
      <c r="A2891" s="40" t="s">
        <v>368</v>
      </c>
      <c r="B2891" s="28">
        <v>3242</v>
      </c>
      <c r="C2891" s="28" t="s">
        <v>35</v>
      </c>
      <c r="D2891" s="28" t="s">
        <v>38</v>
      </c>
      <c r="E2891" s="41">
        <v>46157</v>
      </c>
      <c r="F2891" s="47">
        <v>0.66398148148148151</v>
      </c>
      <c r="G2891" s="44">
        <v>6.3</v>
      </c>
      <c r="H2891" s="43" t="s">
        <v>1360</v>
      </c>
      <c r="I2891" s="40" t="s">
        <v>1361</v>
      </c>
    </row>
    <row r="2892" spans="1:9" x14ac:dyDescent="0.25">
      <c r="A2892" s="40" t="s">
        <v>368</v>
      </c>
      <c r="B2892" s="28">
        <v>3242</v>
      </c>
      <c r="C2892" s="28" t="s">
        <v>35</v>
      </c>
      <c r="D2892" s="28" t="s">
        <v>38</v>
      </c>
      <c r="E2892" s="41">
        <v>46159</v>
      </c>
      <c r="F2892" s="47">
        <v>0.39070601851851849</v>
      </c>
      <c r="G2892" s="44">
        <v>6.3</v>
      </c>
      <c r="H2892" s="43" t="s">
        <v>1362</v>
      </c>
      <c r="I2892" s="40" t="s">
        <v>1365</v>
      </c>
    </row>
    <row r="2893" spans="1:9" x14ac:dyDescent="0.25">
      <c r="A2893" s="40" t="s">
        <v>131</v>
      </c>
      <c r="B2893" s="28">
        <v>3243</v>
      </c>
      <c r="C2893" s="28">
        <v>5661184</v>
      </c>
      <c r="D2893" s="28"/>
      <c r="E2893" s="41">
        <v>46153</v>
      </c>
      <c r="F2893" s="47">
        <v>0.89751157407407411</v>
      </c>
      <c r="G2893" s="44">
        <v>6.3</v>
      </c>
      <c r="H2893" s="43" t="s">
        <v>1363</v>
      </c>
      <c r="I2893" s="40" t="s">
        <v>1361</v>
      </c>
    </row>
    <row r="2894" spans="1:9" x14ac:dyDescent="0.25">
      <c r="A2894" s="40" t="s">
        <v>131</v>
      </c>
      <c r="B2894" s="28">
        <v>3243</v>
      </c>
      <c r="C2894" s="28">
        <v>5661184</v>
      </c>
      <c r="D2894" s="28"/>
      <c r="E2894" s="41">
        <v>46153</v>
      </c>
      <c r="F2894" s="47">
        <v>0.90273148148148152</v>
      </c>
      <c r="G2894" s="44">
        <v>6.3</v>
      </c>
      <c r="H2894" s="43" t="s">
        <v>1364</v>
      </c>
      <c r="I2894" s="40" t="s">
        <v>1361</v>
      </c>
    </row>
    <row r="2895" spans="1:9" x14ac:dyDescent="0.25">
      <c r="A2895" s="40" t="s">
        <v>131</v>
      </c>
      <c r="B2895" s="28">
        <v>3243</v>
      </c>
      <c r="C2895" s="28">
        <v>5664849</v>
      </c>
      <c r="D2895" s="28"/>
      <c r="E2895" s="41">
        <v>46155</v>
      </c>
      <c r="F2895" s="47">
        <v>0.71248842592592587</v>
      </c>
      <c r="G2895" s="44">
        <v>6.3</v>
      </c>
      <c r="H2895" s="43" t="s">
        <v>1370</v>
      </c>
      <c r="I2895" s="40" t="s">
        <v>1361</v>
      </c>
    </row>
    <row r="2896" spans="1:9" x14ac:dyDescent="0.25">
      <c r="A2896" s="40" t="s">
        <v>131</v>
      </c>
      <c r="B2896" s="28">
        <v>3243</v>
      </c>
      <c r="C2896" s="28">
        <v>5664849</v>
      </c>
      <c r="D2896" s="28"/>
      <c r="E2896" s="41">
        <v>46155</v>
      </c>
      <c r="F2896" s="47">
        <v>0.72425925925925927</v>
      </c>
      <c r="G2896" s="44">
        <v>6.3</v>
      </c>
      <c r="H2896" s="43" t="s">
        <v>1364</v>
      </c>
      <c r="I2896" s="40" t="s">
        <v>1361</v>
      </c>
    </row>
    <row r="2897" spans="1:9" x14ac:dyDescent="0.25">
      <c r="A2897" s="40" t="s">
        <v>131</v>
      </c>
      <c r="B2897" s="28">
        <v>3243</v>
      </c>
      <c r="C2897" s="28">
        <v>5664833</v>
      </c>
      <c r="D2897" s="28"/>
      <c r="E2897" s="41">
        <v>46155</v>
      </c>
      <c r="F2897" s="47">
        <v>0.8542939814814815</v>
      </c>
      <c r="G2897" s="44">
        <v>6.3</v>
      </c>
      <c r="H2897" s="43" t="s">
        <v>1360</v>
      </c>
      <c r="I2897" s="40" t="s">
        <v>1361</v>
      </c>
    </row>
    <row r="2898" spans="1:9" x14ac:dyDescent="0.25">
      <c r="A2898" s="40" t="s">
        <v>131</v>
      </c>
      <c r="B2898" s="28">
        <v>3243</v>
      </c>
      <c r="C2898" s="28">
        <v>5664833</v>
      </c>
      <c r="D2898" s="28"/>
      <c r="E2898" s="45">
        <v>46155</v>
      </c>
      <c r="F2898" s="48">
        <v>0.86208333333333331</v>
      </c>
      <c r="G2898" s="42">
        <v>6.3</v>
      </c>
      <c r="H2898" s="40" t="s">
        <v>1362</v>
      </c>
      <c r="I2898" s="40" t="s">
        <v>1361</v>
      </c>
    </row>
    <row r="2899" spans="1:9" x14ac:dyDescent="0.25">
      <c r="A2899" s="40" t="s">
        <v>131</v>
      </c>
      <c r="B2899" s="28">
        <v>3243</v>
      </c>
      <c r="C2899" s="28">
        <v>5664870</v>
      </c>
      <c r="D2899" s="28"/>
      <c r="E2899" s="41">
        <v>46155</v>
      </c>
      <c r="F2899" s="47">
        <v>0.89716435185185184</v>
      </c>
      <c r="G2899" s="42">
        <v>6.3</v>
      </c>
      <c r="H2899" s="40" t="s">
        <v>1369</v>
      </c>
      <c r="I2899" s="40" t="s">
        <v>1361</v>
      </c>
    </row>
    <row r="2900" spans="1:9" x14ac:dyDescent="0.25">
      <c r="A2900" s="40" t="s">
        <v>131</v>
      </c>
      <c r="B2900" s="28">
        <v>3243</v>
      </c>
      <c r="C2900" s="28">
        <v>5664870</v>
      </c>
      <c r="D2900" s="28"/>
      <c r="E2900" s="41">
        <v>46155</v>
      </c>
      <c r="F2900" s="47">
        <v>0.90268518518518515</v>
      </c>
      <c r="G2900" s="44">
        <v>6.3</v>
      </c>
      <c r="H2900" s="43" t="s">
        <v>1364</v>
      </c>
      <c r="I2900" s="40" t="s">
        <v>1361</v>
      </c>
    </row>
    <row r="2901" spans="1:9" x14ac:dyDescent="0.25">
      <c r="A2901" s="40" t="s">
        <v>131</v>
      </c>
      <c r="B2901" s="28">
        <v>3243</v>
      </c>
      <c r="C2901" s="28">
        <v>5666589</v>
      </c>
      <c r="D2901" s="28"/>
      <c r="E2901" s="41">
        <v>46156</v>
      </c>
      <c r="F2901" s="47">
        <v>0.62200231481481483</v>
      </c>
      <c r="G2901" s="44">
        <v>6.3</v>
      </c>
      <c r="H2901" s="43" t="s">
        <v>1363</v>
      </c>
      <c r="I2901" s="40" t="s">
        <v>1361</v>
      </c>
    </row>
    <row r="2902" spans="1:9" x14ac:dyDescent="0.25">
      <c r="A2902" s="40" t="s">
        <v>131</v>
      </c>
      <c r="B2902" s="28">
        <v>3243</v>
      </c>
      <c r="C2902" s="28">
        <v>5666589</v>
      </c>
      <c r="D2902" s="28"/>
      <c r="E2902" s="45">
        <v>46156</v>
      </c>
      <c r="F2902" s="48">
        <v>0.62767361111111108</v>
      </c>
      <c r="G2902" s="44">
        <v>6.3</v>
      </c>
      <c r="H2902" s="43" t="s">
        <v>1364</v>
      </c>
      <c r="I2902" s="40" t="s">
        <v>1361</v>
      </c>
    </row>
    <row r="2903" spans="1:9" x14ac:dyDescent="0.25">
      <c r="A2903" s="40" t="s">
        <v>131</v>
      </c>
      <c r="B2903" s="28">
        <v>3243</v>
      </c>
      <c r="C2903" s="28" t="s">
        <v>35</v>
      </c>
      <c r="D2903" s="28" t="s">
        <v>38</v>
      </c>
      <c r="E2903" s="41">
        <v>46156</v>
      </c>
      <c r="F2903" s="47">
        <v>0.66144675925925922</v>
      </c>
      <c r="G2903" s="44">
        <v>6.3</v>
      </c>
      <c r="H2903" s="43" t="s">
        <v>1360</v>
      </c>
      <c r="I2903" s="40" t="s">
        <v>1361</v>
      </c>
    </row>
    <row r="2904" spans="1:9" x14ac:dyDescent="0.25">
      <c r="A2904" s="40" t="s">
        <v>131</v>
      </c>
      <c r="B2904" s="28">
        <v>3243</v>
      </c>
      <c r="C2904" s="28" t="s">
        <v>35</v>
      </c>
      <c r="D2904" s="28" t="s">
        <v>38</v>
      </c>
      <c r="E2904" s="41">
        <v>46156</v>
      </c>
      <c r="F2904" s="47">
        <v>0.67686342592592597</v>
      </c>
      <c r="G2904" s="44">
        <v>6.3</v>
      </c>
      <c r="H2904" s="43" t="s">
        <v>1362</v>
      </c>
      <c r="I2904" s="40" t="s">
        <v>1361</v>
      </c>
    </row>
    <row r="2905" spans="1:9" x14ac:dyDescent="0.25">
      <c r="A2905" s="40" t="s">
        <v>131</v>
      </c>
      <c r="B2905" s="28">
        <v>3243</v>
      </c>
      <c r="C2905" s="28">
        <v>5666598</v>
      </c>
      <c r="D2905" s="28"/>
      <c r="E2905" s="41">
        <v>46156</v>
      </c>
      <c r="F2905" s="47">
        <v>0.77410879629629625</v>
      </c>
      <c r="G2905" s="44">
        <v>6.3</v>
      </c>
      <c r="H2905" s="43" t="s">
        <v>1364</v>
      </c>
      <c r="I2905" s="40" t="s">
        <v>1361</v>
      </c>
    </row>
    <row r="2906" spans="1:9" x14ac:dyDescent="0.25">
      <c r="A2906" s="40" t="s">
        <v>131</v>
      </c>
      <c r="B2906" s="28">
        <v>3243</v>
      </c>
      <c r="C2906" s="28">
        <v>5671502</v>
      </c>
      <c r="D2906" s="28"/>
      <c r="E2906" s="41">
        <v>46159</v>
      </c>
      <c r="F2906" s="47">
        <v>0.58246527777777779</v>
      </c>
      <c r="G2906" s="44">
        <v>6.3</v>
      </c>
      <c r="H2906" s="43" t="s">
        <v>1360</v>
      </c>
      <c r="I2906" s="40" t="s">
        <v>1365</v>
      </c>
    </row>
    <row r="2907" spans="1:9" x14ac:dyDescent="0.25">
      <c r="A2907" s="40" t="s">
        <v>131</v>
      </c>
      <c r="B2907" s="28">
        <v>3243</v>
      </c>
      <c r="C2907" s="28">
        <v>5671502</v>
      </c>
      <c r="D2907" s="28"/>
      <c r="E2907" s="41">
        <v>46159</v>
      </c>
      <c r="F2907" s="47">
        <v>0.58993055555555551</v>
      </c>
      <c r="G2907" s="44">
        <v>6.3</v>
      </c>
      <c r="H2907" s="43" t="s">
        <v>1362</v>
      </c>
      <c r="I2907" s="40" t="s">
        <v>1365</v>
      </c>
    </row>
    <row r="2908" spans="1:9" x14ac:dyDescent="0.25">
      <c r="A2908" s="40" t="s">
        <v>131</v>
      </c>
      <c r="B2908" s="28">
        <v>3243</v>
      </c>
      <c r="C2908" s="28">
        <v>5671542</v>
      </c>
      <c r="D2908" s="28"/>
      <c r="E2908" s="41">
        <v>46159</v>
      </c>
      <c r="F2908" s="47">
        <v>0.71125000000000005</v>
      </c>
      <c r="G2908" s="42">
        <v>6.3</v>
      </c>
      <c r="H2908" s="40" t="s">
        <v>1363</v>
      </c>
      <c r="I2908" s="40" t="s">
        <v>1365</v>
      </c>
    </row>
    <row r="2909" spans="1:9" x14ac:dyDescent="0.25">
      <c r="A2909" s="40" t="s">
        <v>131</v>
      </c>
      <c r="B2909" s="28">
        <v>3243</v>
      </c>
      <c r="C2909" s="28">
        <v>5671542</v>
      </c>
      <c r="D2909" s="28"/>
      <c r="E2909" s="41">
        <v>46159</v>
      </c>
      <c r="F2909" s="47">
        <v>0.71665509259259264</v>
      </c>
      <c r="G2909" s="44">
        <v>6.3</v>
      </c>
      <c r="H2909" s="43" t="s">
        <v>1364</v>
      </c>
      <c r="I2909" s="40" t="s">
        <v>1365</v>
      </c>
    </row>
    <row r="2910" spans="1:9" x14ac:dyDescent="0.25">
      <c r="A2910" s="40" t="s">
        <v>131</v>
      </c>
      <c r="B2910" s="28">
        <v>3243</v>
      </c>
      <c r="C2910" s="28">
        <v>5671507</v>
      </c>
      <c r="D2910" s="28"/>
      <c r="E2910" s="41">
        <v>46159</v>
      </c>
      <c r="F2910" s="47">
        <v>0.78293981481481478</v>
      </c>
      <c r="G2910" s="44">
        <v>6.3</v>
      </c>
      <c r="H2910" s="43" t="s">
        <v>1360</v>
      </c>
      <c r="I2910" s="40" t="s">
        <v>1365</v>
      </c>
    </row>
    <row r="2911" spans="1:9" x14ac:dyDescent="0.25">
      <c r="A2911" s="40" t="s">
        <v>131</v>
      </c>
      <c r="B2911" s="28">
        <v>3243</v>
      </c>
      <c r="C2911" s="28">
        <v>5671507</v>
      </c>
      <c r="D2911" s="28"/>
      <c r="E2911" s="41">
        <v>46159</v>
      </c>
      <c r="F2911" s="47">
        <v>0.79083333333333339</v>
      </c>
      <c r="G2911" s="44">
        <v>6.3</v>
      </c>
      <c r="H2911" s="43" t="s">
        <v>1368</v>
      </c>
      <c r="I2911" s="40" t="s">
        <v>1365</v>
      </c>
    </row>
    <row r="2912" spans="1:9" x14ac:dyDescent="0.25">
      <c r="A2912" s="40" t="s">
        <v>131</v>
      </c>
      <c r="B2912" s="28">
        <v>3243</v>
      </c>
      <c r="C2912" s="28" t="s">
        <v>35</v>
      </c>
      <c r="D2912" s="28" t="s">
        <v>38</v>
      </c>
      <c r="E2912" s="41">
        <v>46159</v>
      </c>
      <c r="F2912" s="47">
        <v>0.82843750000000005</v>
      </c>
      <c r="G2912" s="44">
        <v>6.3</v>
      </c>
      <c r="H2912" s="43" t="s">
        <v>1369</v>
      </c>
      <c r="I2912" s="40" t="s">
        <v>1365</v>
      </c>
    </row>
    <row r="2913" spans="1:9" x14ac:dyDescent="0.25">
      <c r="A2913" s="40" t="s">
        <v>101</v>
      </c>
      <c r="B2913" s="28">
        <v>3289</v>
      </c>
      <c r="C2913" s="28" t="s">
        <v>881</v>
      </c>
      <c r="D2913" s="28"/>
      <c r="E2913" s="41">
        <v>46154</v>
      </c>
      <c r="F2913" s="47">
        <v>0.68611111111111112</v>
      </c>
      <c r="G2913" s="44">
        <v>6.3</v>
      </c>
      <c r="H2913" s="43" t="s">
        <v>1363</v>
      </c>
      <c r="I2913" s="40" t="s">
        <v>1361</v>
      </c>
    </row>
    <row r="2914" spans="1:9" x14ac:dyDescent="0.25">
      <c r="A2914" s="40" t="s">
        <v>101</v>
      </c>
      <c r="B2914" s="28">
        <v>3289</v>
      </c>
      <c r="C2914" s="28" t="s">
        <v>881</v>
      </c>
      <c r="D2914" s="28"/>
      <c r="E2914" s="41">
        <v>46154</v>
      </c>
      <c r="F2914" s="47">
        <v>0.70337962962962963</v>
      </c>
      <c r="G2914" s="44">
        <v>6.3</v>
      </c>
      <c r="H2914" s="43" t="s">
        <v>1364</v>
      </c>
      <c r="I2914" s="40" t="s">
        <v>1361</v>
      </c>
    </row>
    <row r="2915" spans="1:9" x14ac:dyDescent="0.25">
      <c r="A2915" s="40" t="s">
        <v>101</v>
      </c>
      <c r="B2915" s="28">
        <v>3289</v>
      </c>
      <c r="C2915" s="28" t="s">
        <v>882</v>
      </c>
      <c r="D2915" s="28"/>
      <c r="E2915" s="41">
        <v>46154</v>
      </c>
      <c r="F2915" s="47">
        <v>0.79649305555555561</v>
      </c>
      <c r="G2915" s="44">
        <v>6.3</v>
      </c>
      <c r="H2915" s="43" t="s">
        <v>1360</v>
      </c>
      <c r="I2915" s="40" t="s">
        <v>1361</v>
      </c>
    </row>
    <row r="2916" spans="1:9" x14ac:dyDescent="0.25">
      <c r="A2916" s="40" t="s">
        <v>101</v>
      </c>
      <c r="B2916" s="28">
        <v>3289</v>
      </c>
      <c r="C2916" s="28" t="s">
        <v>882</v>
      </c>
      <c r="D2916" s="28"/>
      <c r="E2916" s="41">
        <v>46154</v>
      </c>
      <c r="F2916" s="47">
        <v>0.81533564814814818</v>
      </c>
      <c r="G2916" s="44">
        <v>6.3</v>
      </c>
      <c r="H2916" s="43" t="s">
        <v>1362</v>
      </c>
      <c r="I2916" s="40" t="s">
        <v>1361</v>
      </c>
    </row>
    <row r="2917" spans="1:9" x14ac:dyDescent="0.25">
      <c r="A2917" s="40" t="s">
        <v>101</v>
      </c>
      <c r="B2917" s="28">
        <v>3289</v>
      </c>
      <c r="C2917" s="28" t="s">
        <v>883</v>
      </c>
      <c r="D2917" s="28"/>
      <c r="E2917" s="41">
        <v>46154</v>
      </c>
      <c r="F2917" s="47">
        <v>0.86850694444444443</v>
      </c>
      <c r="G2917" s="44">
        <v>6.3</v>
      </c>
      <c r="H2917" s="43" t="s">
        <v>1363</v>
      </c>
      <c r="I2917" s="40" t="s">
        <v>1361</v>
      </c>
    </row>
    <row r="2918" spans="1:9" x14ac:dyDescent="0.25">
      <c r="A2918" s="40" t="s">
        <v>101</v>
      </c>
      <c r="B2918" s="28">
        <v>3289</v>
      </c>
      <c r="C2918" s="28" t="s">
        <v>883</v>
      </c>
      <c r="D2918" s="28"/>
      <c r="E2918" s="45">
        <v>46154</v>
      </c>
      <c r="F2918" s="48">
        <v>0.87643518518518515</v>
      </c>
      <c r="G2918" s="44">
        <v>6.3</v>
      </c>
      <c r="H2918" s="43" t="s">
        <v>1364</v>
      </c>
      <c r="I2918" s="40" t="s">
        <v>1361</v>
      </c>
    </row>
    <row r="2919" spans="1:9" x14ac:dyDescent="0.25">
      <c r="A2919" s="40" t="s">
        <v>101</v>
      </c>
      <c r="B2919" s="28">
        <v>3289</v>
      </c>
      <c r="C2919" s="28" t="s">
        <v>884</v>
      </c>
      <c r="D2919" s="28"/>
      <c r="E2919" s="41">
        <v>46154</v>
      </c>
      <c r="F2919" s="47">
        <v>0.94651620370370371</v>
      </c>
      <c r="G2919" s="44">
        <v>6.3</v>
      </c>
      <c r="H2919" s="43" t="s">
        <v>1360</v>
      </c>
      <c r="I2919" s="40" t="s">
        <v>1361</v>
      </c>
    </row>
    <row r="2920" spans="1:9" x14ac:dyDescent="0.25">
      <c r="A2920" s="40" t="s">
        <v>101</v>
      </c>
      <c r="B2920" s="28">
        <v>3289</v>
      </c>
      <c r="C2920" s="28" t="s">
        <v>885</v>
      </c>
      <c r="D2920" s="28"/>
      <c r="E2920" s="41">
        <v>46155</v>
      </c>
      <c r="F2920" s="47">
        <v>0.65932870370370367</v>
      </c>
      <c r="G2920" s="44">
        <v>6.3</v>
      </c>
      <c r="H2920" s="43" t="s">
        <v>1363</v>
      </c>
      <c r="I2920" s="40" t="s">
        <v>1361</v>
      </c>
    </row>
    <row r="2921" spans="1:9" x14ac:dyDescent="0.25">
      <c r="A2921" s="40" t="s">
        <v>101</v>
      </c>
      <c r="B2921" s="28">
        <v>3289</v>
      </c>
      <c r="C2921" s="28" t="s">
        <v>885</v>
      </c>
      <c r="D2921" s="28"/>
      <c r="E2921" s="41">
        <v>46155</v>
      </c>
      <c r="F2921" s="47">
        <v>0.66591435185185188</v>
      </c>
      <c r="G2921" s="44">
        <v>6.3</v>
      </c>
      <c r="H2921" s="43" t="s">
        <v>1364</v>
      </c>
      <c r="I2921" s="40" t="s">
        <v>1361</v>
      </c>
    </row>
    <row r="2922" spans="1:9" x14ac:dyDescent="0.25">
      <c r="A2922" s="40" t="s">
        <v>101</v>
      </c>
      <c r="B2922" s="28">
        <v>3289</v>
      </c>
      <c r="C2922" s="28" t="s">
        <v>886</v>
      </c>
      <c r="D2922" s="28"/>
      <c r="E2922" s="45">
        <v>46155</v>
      </c>
      <c r="F2922" s="48">
        <v>0.7646412037037037</v>
      </c>
      <c r="G2922" s="44">
        <v>6.3</v>
      </c>
      <c r="H2922" s="43" t="s">
        <v>1360</v>
      </c>
      <c r="I2922" s="40" t="s">
        <v>1361</v>
      </c>
    </row>
    <row r="2923" spans="1:9" x14ac:dyDescent="0.25">
      <c r="A2923" s="40" t="s">
        <v>101</v>
      </c>
      <c r="B2923" s="28">
        <v>3289</v>
      </c>
      <c r="C2923" s="28" t="s">
        <v>887</v>
      </c>
      <c r="D2923" s="28"/>
      <c r="E2923" s="41">
        <v>46155</v>
      </c>
      <c r="F2923" s="47">
        <v>0.84078703703703705</v>
      </c>
      <c r="G2923" s="44">
        <v>6.3</v>
      </c>
      <c r="H2923" s="43" t="s">
        <v>1363</v>
      </c>
      <c r="I2923" s="40" t="s">
        <v>1361</v>
      </c>
    </row>
    <row r="2924" spans="1:9" x14ac:dyDescent="0.25">
      <c r="A2924" s="40" t="s">
        <v>101</v>
      </c>
      <c r="B2924" s="28">
        <v>3289</v>
      </c>
      <c r="C2924" s="28" t="s">
        <v>887</v>
      </c>
      <c r="D2924" s="28"/>
      <c r="E2924" s="41">
        <v>46155</v>
      </c>
      <c r="F2924" s="47">
        <v>0.85946759259259264</v>
      </c>
      <c r="G2924" s="44">
        <v>6.3</v>
      </c>
      <c r="H2924" s="43" t="s">
        <v>1364</v>
      </c>
      <c r="I2924" s="40" t="s">
        <v>1361</v>
      </c>
    </row>
    <row r="2925" spans="1:9" x14ac:dyDescent="0.25">
      <c r="A2925" s="40" t="s">
        <v>101</v>
      </c>
      <c r="B2925" s="28">
        <v>3289</v>
      </c>
      <c r="C2925" s="28" t="s">
        <v>888</v>
      </c>
      <c r="D2925" s="28"/>
      <c r="E2925" s="41">
        <v>46155</v>
      </c>
      <c r="F2925" s="47">
        <v>0.93696759259259255</v>
      </c>
      <c r="G2925" s="44">
        <v>6.3</v>
      </c>
      <c r="H2925" s="43" t="s">
        <v>1360</v>
      </c>
      <c r="I2925" s="40" t="s">
        <v>1361</v>
      </c>
    </row>
    <row r="2926" spans="1:9" x14ac:dyDescent="0.25">
      <c r="A2926" s="40" t="s">
        <v>101</v>
      </c>
      <c r="B2926" s="28">
        <v>3289</v>
      </c>
      <c r="C2926" s="28" t="s">
        <v>888</v>
      </c>
      <c r="D2926" s="28"/>
      <c r="E2926" s="41">
        <v>46155</v>
      </c>
      <c r="F2926" s="47">
        <v>0.94498842592592591</v>
      </c>
      <c r="G2926" s="44">
        <v>6.3</v>
      </c>
      <c r="H2926" s="43" t="s">
        <v>1362</v>
      </c>
      <c r="I2926" s="40" t="s">
        <v>1361</v>
      </c>
    </row>
    <row r="2927" spans="1:9" x14ac:dyDescent="0.25">
      <c r="A2927" s="40" t="s">
        <v>101</v>
      </c>
      <c r="B2927" s="28">
        <v>3289</v>
      </c>
      <c r="C2927" s="28" t="s">
        <v>889</v>
      </c>
      <c r="D2927" s="28"/>
      <c r="E2927" s="41">
        <v>46156</v>
      </c>
      <c r="F2927" s="47">
        <v>0.70791666666666664</v>
      </c>
      <c r="G2927" s="44">
        <v>6.3</v>
      </c>
      <c r="H2927" s="43" t="s">
        <v>1363</v>
      </c>
      <c r="I2927" s="40" t="s">
        <v>1361</v>
      </c>
    </row>
    <row r="2928" spans="1:9" x14ac:dyDescent="0.25">
      <c r="A2928" s="40" t="s">
        <v>101</v>
      </c>
      <c r="B2928" s="28">
        <v>3289</v>
      </c>
      <c r="C2928" s="28" t="s">
        <v>889</v>
      </c>
      <c r="D2928" s="28"/>
      <c r="E2928" s="41">
        <v>46156</v>
      </c>
      <c r="F2928" s="47">
        <v>0.72116898148148145</v>
      </c>
      <c r="G2928" s="44">
        <v>6.3</v>
      </c>
      <c r="H2928" s="43" t="s">
        <v>1364</v>
      </c>
      <c r="I2928" s="40" t="s">
        <v>1361</v>
      </c>
    </row>
    <row r="2929" spans="1:9" x14ac:dyDescent="0.25">
      <c r="A2929" s="40" t="s">
        <v>101</v>
      </c>
      <c r="B2929" s="28">
        <v>3289</v>
      </c>
      <c r="C2929" s="28" t="s">
        <v>890</v>
      </c>
      <c r="D2929" s="28"/>
      <c r="E2929" s="41">
        <v>46158</v>
      </c>
      <c r="F2929" s="47">
        <v>0.7119212962962963</v>
      </c>
      <c r="G2929" s="44">
        <v>6.3</v>
      </c>
      <c r="H2929" s="43" t="s">
        <v>1363</v>
      </c>
      <c r="I2929" s="40" t="s">
        <v>1365</v>
      </c>
    </row>
    <row r="2930" spans="1:9" x14ac:dyDescent="0.25">
      <c r="A2930" s="40" t="s">
        <v>101</v>
      </c>
      <c r="B2930" s="28">
        <v>3289</v>
      </c>
      <c r="C2930" s="28" t="s">
        <v>890</v>
      </c>
      <c r="D2930" s="28"/>
      <c r="E2930" s="45">
        <v>46158</v>
      </c>
      <c r="F2930" s="48">
        <v>0.72892361111111115</v>
      </c>
      <c r="G2930" s="44">
        <v>6.3</v>
      </c>
      <c r="H2930" s="43" t="s">
        <v>1364</v>
      </c>
      <c r="I2930" s="40" t="s">
        <v>1365</v>
      </c>
    </row>
    <row r="2931" spans="1:9" x14ac:dyDescent="0.25">
      <c r="A2931" s="40" t="s">
        <v>101</v>
      </c>
      <c r="B2931" s="28">
        <v>3289</v>
      </c>
      <c r="C2931" s="28">
        <v>10682518</v>
      </c>
      <c r="D2931" s="28" t="s">
        <v>36</v>
      </c>
      <c r="E2931" s="41">
        <v>46158</v>
      </c>
      <c r="F2931" s="47">
        <v>0.86473379629629632</v>
      </c>
      <c r="G2931" s="44">
        <v>6.3</v>
      </c>
      <c r="H2931" s="43" t="s">
        <v>1360</v>
      </c>
      <c r="I2931" s="40" t="s">
        <v>1365</v>
      </c>
    </row>
    <row r="2932" spans="1:9" x14ac:dyDescent="0.25">
      <c r="A2932" s="40" t="s">
        <v>101</v>
      </c>
      <c r="B2932" s="28">
        <v>3289</v>
      </c>
      <c r="C2932" s="28">
        <v>10682518</v>
      </c>
      <c r="D2932" s="28" t="s">
        <v>36</v>
      </c>
      <c r="E2932" s="41">
        <v>46158</v>
      </c>
      <c r="F2932" s="47">
        <v>0.87228009259259254</v>
      </c>
      <c r="G2932" s="42">
        <v>6.3</v>
      </c>
      <c r="H2932" s="40" t="s">
        <v>1362</v>
      </c>
      <c r="I2932" s="40" t="s">
        <v>1365</v>
      </c>
    </row>
    <row r="2933" spans="1:9" x14ac:dyDescent="0.25">
      <c r="A2933" s="40" t="s">
        <v>101</v>
      </c>
      <c r="B2933" s="28">
        <v>3289</v>
      </c>
      <c r="C2933" s="28" t="s">
        <v>891</v>
      </c>
      <c r="D2933" s="28"/>
      <c r="E2933" s="41">
        <v>46159</v>
      </c>
      <c r="F2933" s="47">
        <v>0.97189814814814812</v>
      </c>
      <c r="G2933" s="42">
        <v>6.3</v>
      </c>
      <c r="H2933" s="40" t="s">
        <v>1360</v>
      </c>
      <c r="I2933" s="40" t="s">
        <v>1365</v>
      </c>
    </row>
    <row r="2934" spans="1:9" x14ac:dyDescent="0.25">
      <c r="A2934" s="40" t="s">
        <v>101</v>
      </c>
      <c r="B2934" s="28">
        <v>3289</v>
      </c>
      <c r="C2934" s="28" t="s">
        <v>891</v>
      </c>
      <c r="D2934" s="28"/>
      <c r="E2934" s="41">
        <v>46159</v>
      </c>
      <c r="F2934" s="47">
        <v>0.97905092592592591</v>
      </c>
      <c r="G2934" s="44">
        <v>6.3</v>
      </c>
      <c r="H2934" s="43" t="s">
        <v>1362</v>
      </c>
      <c r="I2934" s="40" t="s">
        <v>1365</v>
      </c>
    </row>
    <row r="2935" spans="1:9" x14ac:dyDescent="0.25">
      <c r="A2935" s="40" t="s">
        <v>102</v>
      </c>
      <c r="B2935" s="28">
        <v>3309</v>
      </c>
      <c r="C2935" s="28">
        <v>10652706</v>
      </c>
      <c r="D2935" s="28" t="s">
        <v>36</v>
      </c>
      <c r="E2935" s="45">
        <v>46155</v>
      </c>
      <c r="F2935" s="48">
        <v>0.56508101851851855</v>
      </c>
      <c r="G2935" s="44">
        <v>6.3</v>
      </c>
      <c r="H2935" s="43" t="s">
        <v>1360</v>
      </c>
      <c r="I2935" s="40" t="s">
        <v>1361</v>
      </c>
    </row>
    <row r="2936" spans="1:9" x14ac:dyDescent="0.25">
      <c r="A2936" s="40" t="s">
        <v>102</v>
      </c>
      <c r="B2936" s="28">
        <v>3309</v>
      </c>
      <c r="C2936" s="28" t="s">
        <v>892</v>
      </c>
      <c r="D2936" s="28"/>
      <c r="E2936" s="41">
        <v>46155</v>
      </c>
      <c r="F2936" s="47">
        <v>0.81328703703703709</v>
      </c>
      <c r="G2936" s="44">
        <v>6.3</v>
      </c>
      <c r="H2936" s="43" t="s">
        <v>1363</v>
      </c>
      <c r="I2936" s="40" t="s">
        <v>1361</v>
      </c>
    </row>
    <row r="2937" spans="1:9" x14ac:dyDescent="0.25">
      <c r="A2937" s="40" t="s">
        <v>102</v>
      </c>
      <c r="B2937" s="28">
        <v>3309</v>
      </c>
      <c r="C2937" s="28" t="s">
        <v>892</v>
      </c>
      <c r="D2937" s="28"/>
      <c r="E2937" s="41">
        <v>46155</v>
      </c>
      <c r="F2937" s="47">
        <v>0.83329861111111114</v>
      </c>
      <c r="G2937" s="44">
        <v>6.3</v>
      </c>
      <c r="H2937" s="43" t="s">
        <v>1364</v>
      </c>
      <c r="I2937" s="40" t="s">
        <v>1361</v>
      </c>
    </row>
    <row r="2938" spans="1:9" x14ac:dyDescent="0.25">
      <c r="A2938" s="40" t="s">
        <v>102</v>
      </c>
      <c r="B2938" s="28">
        <v>3309</v>
      </c>
      <c r="C2938" s="28" t="s">
        <v>893</v>
      </c>
      <c r="D2938" s="28"/>
      <c r="E2938" s="45">
        <v>46156</v>
      </c>
      <c r="F2938" s="48">
        <v>0.61643518518518514</v>
      </c>
      <c r="G2938" s="44">
        <v>6.3</v>
      </c>
      <c r="H2938" s="43" t="s">
        <v>1360</v>
      </c>
      <c r="I2938" s="40" t="s">
        <v>1361</v>
      </c>
    </row>
    <row r="2939" spans="1:9" x14ac:dyDescent="0.25">
      <c r="A2939" s="40" t="s">
        <v>102</v>
      </c>
      <c r="B2939" s="28">
        <v>3309</v>
      </c>
      <c r="C2939" s="28" t="s">
        <v>893</v>
      </c>
      <c r="D2939" s="28"/>
      <c r="E2939" s="41">
        <v>46156</v>
      </c>
      <c r="F2939" s="47">
        <v>0.62695601851851857</v>
      </c>
      <c r="G2939" s="44">
        <v>6.3</v>
      </c>
      <c r="H2939" s="43" t="s">
        <v>1362</v>
      </c>
      <c r="I2939" s="40" t="s">
        <v>1361</v>
      </c>
    </row>
    <row r="2940" spans="1:9" x14ac:dyDescent="0.25">
      <c r="A2940" s="40" t="s">
        <v>102</v>
      </c>
      <c r="B2940" s="28">
        <v>3309</v>
      </c>
      <c r="C2940" s="28" t="s">
        <v>894</v>
      </c>
      <c r="D2940" s="28"/>
      <c r="E2940" s="41">
        <v>46156</v>
      </c>
      <c r="F2940" s="47">
        <v>0.83141203703703703</v>
      </c>
      <c r="G2940" s="42">
        <v>6.3</v>
      </c>
      <c r="H2940" s="40" t="s">
        <v>1364</v>
      </c>
      <c r="I2940" s="40" t="s">
        <v>1361</v>
      </c>
    </row>
    <row r="2941" spans="1:9" x14ac:dyDescent="0.25">
      <c r="A2941" s="40" t="s">
        <v>102</v>
      </c>
      <c r="B2941" s="28">
        <v>3309</v>
      </c>
      <c r="C2941" s="28" t="s">
        <v>895</v>
      </c>
      <c r="D2941" s="28"/>
      <c r="E2941" s="41">
        <v>46158</v>
      </c>
      <c r="F2941" s="47">
        <v>0.65173611111111107</v>
      </c>
      <c r="G2941" s="42">
        <v>6.3</v>
      </c>
      <c r="H2941" s="40" t="s">
        <v>1360</v>
      </c>
      <c r="I2941" s="40" t="s">
        <v>1365</v>
      </c>
    </row>
    <row r="2942" spans="1:9" x14ac:dyDescent="0.25">
      <c r="A2942" s="40" t="s">
        <v>102</v>
      </c>
      <c r="B2942" s="28">
        <v>3309</v>
      </c>
      <c r="C2942" s="28" t="s">
        <v>895</v>
      </c>
      <c r="D2942" s="28"/>
      <c r="E2942" s="41">
        <v>46158</v>
      </c>
      <c r="F2942" s="47">
        <v>0.66046296296296292</v>
      </c>
      <c r="G2942" s="42">
        <v>6.3</v>
      </c>
      <c r="H2942" s="40" t="s">
        <v>1368</v>
      </c>
      <c r="I2942" s="40" t="s">
        <v>1365</v>
      </c>
    </row>
    <row r="2943" spans="1:9" x14ac:dyDescent="0.25">
      <c r="A2943" s="40" t="s">
        <v>102</v>
      </c>
      <c r="B2943" s="28">
        <v>3309</v>
      </c>
      <c r="C2943" s="28" t="s">
        <v>35</v>
      </c>
      <c r="D2943" s="28" t="s">
        <v>38</v>
      </c>
      <c r="E2943" s="41">
        <v>46158</v>
      </c>
      <c r="F2943" s="47">
        <v>0.82548611111111114</v>
      </c>
      <c r="G2943" s="44">
        <v>6.3</v>
      </c>
      <c r="H2943" s="43" t="s">
        <v>1363</v>
      </c>
      <c r="I2943" s="40" t="s">
        <v>1365</v>
      </c>
    </row>
    <row r="2944" spans="1:9" x14ac:dyDescent="0.25">
      <c r="A2944" s="40" t="s">
        <v>102</v>
      </c>
      <c r="B2944" s="28">
        <v>3309</v>
      </c>
      <c r="C2944" s="28" t="s">
        <v>35</v>
      </c>
      <c r="D2944" s="28" t="s">
        <v>38</v>
      </c>
      <c r="E2944" s="41">
        <v>46158</v>
      </c>
      <c r="F2944" s="47">
        <v>0.8351736111111111</v>
      </c>
      <c r="G2944" s="44">
        <v>6.3</v>
      </c>
      <c r="H2944" s="43" t="s">
        <v>1364</v>
      </c>
      <c r="I2944" s="40" t="s">
        <v>1365</v>
      </c>
    </row>
    <row r="2945" spans="1:9" x14ac:dyDescent="0.25">
      <c r="A2945" s="40" t="s">
        <v>102</v>
      </c>
      <c r="B2945" s="28">
        <v>3309</v>
      </c>
      <c r="C2945" s="28" t="s">
        <v>896</v>
      </c>
      <c r="D2945" s="28"/>
      <c r="E2945" s="41">
        <v>46159</v>
      </c>
      <c r="F2945" s="47">
        <v>0.64946759259259257</v>
      </c>
      <c r="G2945" s="42">
        <v>6.3</v>
      </c>
      <c r="H2945" s="40" t="s">
        <v>1360</v>
      </c>
      <c r="I2945" s="40" t="s">
        <v>1365</v>
      </c>
    </row>
    <row r="2946" spans="1:9" x14ac:dyDescent="0.25">
      <c r="A2946" s="40" t="s">
        <v>102</v>
      </c>
      <c r="B2946" s="28">
        <v>3309</v>
      </c>
      <c r="C2946" s="28" t="s">
        <v>896</v>
      </c>
      <c r="D2946" s="28"/>
      <c r="E2946" s="41">
        <v>46159</v>
      </c>
      <c r="F2946" s="47">
        <v>0.65607638888888886</v>
      </c>
      <c r="G2946" s="42">
        <v>6.3</v>
      </c>
      <c r="H2946" s="40" t="s">
        <v>1368</v>
      </c>
      <c r="I2946" s="40" t="s">
        <v>1365</v>
      </c>
    </row>
    <row r="2947" spans="1:9" x14ac:dyDescent="0.25">
      <c r="A2947" s="40" t="s">
        <v>102</v>
      </c>
      <c r="B2947" s="28">
        <v>3309</v>
      </c>
      <c r="C2947" s="28" t="s">
        <v>897</v>
      </c>
      <c r="D2947" s="28"/>
      <c r="E2947" s="41">
        <v>46159</v>
      </c>
      <c r="F2947" s="47">
        <v>0.81458333333333333</v>
      </c>
      <c r="G2947" s="42">
        <v>6.3</v>
      </c>
      <c r="H2947" s="40" t="s">
        <v>1363</v>
      </c>
      <c r="I2947" s="40" t="s">
        <v>1365</v>
      </c>
    </row>
    <row r="2948" spans="1:9" x14ac:dyDescent="0.25">
      <c r="A2948" s="40" t="s">
        <v>102</v>
      </c>
      <c r="B2948" s="28">
        <v>3309</v>
      </c>
      <c r="C2948" s="28" t="s">
        <v>897</v>
      </c>
      <c r="D2948" s="28"/>
      <c r="E2948" s="41">
        <v>46159</v>
      </c>
      <c r="F2948" s="47">
        <v>0.82040509259259264</v>
      </c>
      <c r="G2948" s="44">
        <v>6.3</v>
      </c>
      <c r="H2948" s="43" t="s">
        <v>1364</v>
      </c>
      <c r="I2948" s="40" t="s">
        <v>1365</v>
      </c>
    </row>
    <row r="2949" spans="1:9" x14ac:dyDescent="0.25">
      <c r="A2949" s="40" t="s">
        <v>431</v>
      </c>
      <c r="B2949" s="28">
        <v>3335</v>
      </c>
      <c r="C2949" s="28" t="s">
        <v>898</v>
      </c>
      <c r="D2949" s="28"/>
      <c r="E2949" s="41">
        <v>46155</v>
      </c>
      <c r="F2949" s="47">
        <v>0.25284722222222222</v>
      </c>
      <c r="G2949" s="44">
        <v>6.3</v>
      </c>
      <c r="H2949" s="43" t="s">
        <v>1360</v>
      </c>
      <c r="I2949" s="40" t="s">
        <v>1361</v>
      </c>
    </row>
    <row r="2950" spans="1:9" x14ac:dyDescent="0.25">
      <c r="A2950" s="40" t="s">
        <v>431</v>
      </c>
      <c r="B2950" s="28">
        <v>3335</v>
      </c>
      <c r="C2950" s="28" t="s">
        <v>898</v>
      </c>
      <c r="D2950" s="28"/>
      <c r="E2950" s="41">
        <v>46155</v>
      </c>
      <c r="F2950" s="47">
        <v>0.26504629629629628</v>
      </c>
      <c r="G2950" s="44">
        <v>6.3</v>
      </c>
      <c r="H2950" s="43" t="s">
        <v>1362</v>
      </c>
      <c r="I2950" s="40" t="s">
        <v>1361</v>
      </c>
    </row>
    <row r="2951" spans="1:9" x14ac:dyDescent="0.25">
      <c r="A2951" s="40" t="s">
        <v>431</v>
      </c>
      <c r="B2951" s="28">
        <v>3335</v>
      </c>
      <c r="C2951" s="28" t="s">
        <v>899</v>
      </c>
      <c r="D2951" s="28"/>
      <c r="E2951" s="41">
        <v>46155</v>
      </c>
      <c r="F2951" s="47">
        <v>0.38998842592592592</v>
      </c>
      <c r="G2951" s="44">
        <v>6.3</v>
      </c>
      <c r="H2951" s="43" t="s">
        <v>1364</v>
      </c>
      <c r="I2951" s="40" t="s">
        <v>1361</v>
      </c>
    </row>
    <row r="2952" spans="1:9" x14ac:dyDescent="0.25">
      <c r="A2952" s="40" t="s">
        <v>431</v>
      </c>
      <c r="B2952" s="28">
        <v>3335</v>
      </c>
      <c r="C2952" s="28" t="s">
        <v>900</v>
      </c>
      <c r="D2952" s="28"/>
      <c r="E2952" s="45">
        <v>46155</v>
      </c>
      <c r="F2952" s="48">
        <v>0.49490740740740741</v>
      </c>
      <c r="G2952" s="42">
        <v>6.3</v>
      </c>
      <c r="H2952" s="40" t="s">
        <v>1360</v>
      </c>
      <c r="I2952" s="40" t="s">
        <v>1361</v>
      </c>
    </row>
    <row r="2953" spans="1:9" x14ac:dyDescent="0.25">
      <c r="A2953" s="40" t="s">
        <v>431</v>
      </c>
      <c r="B2953" s="28">
        <v>3335</v>
      </c>
      <c r="C2953" s="28" t="s">
        <v>900</v>
      </c>
      <c r="D2953" s="28"/>
      <c r="E2953" s="41">
        <v>46155</v>
      </c>
      <c r="F2953" s="47">
        <v>0.51355324074074071</v>
      </c>
      <c r="G2953" s="42">
        <v>6.3</v>
      </c>
      <c r="H2953" s="40" t="s">
        <v>1362</v>
      </c>
      <c r="I2953" s="40" t="s">
        <v>1361</v>
      </c>
    </row>
    <row r="2954" spans="1:9" x14ac:dyDescent="0.25">
      <c r="A2954" s="40" t="s">
        <v>431</v>
      </c>
      <c r="B2954" s="28">
        <v>3335</v>
      </c>
      <c r="C2954" s="28" t="s">
        <v>901</v>
      </c>
      <c r="D2954" s="28"/>
      <c r="E2954" s="45">
        <v>46156</v>
      </c>
      <c r="F2954" s="48">
        <v>0.31987268518518519</v>
      </c>
      <c r="G2954" s="44">
        <v>6.3</v>
      </c>
      <c r="H2954" s="43" t="s">
        <v>1360</v>
      </c>
      <c r="I2954" s="40" t="s">
        <v>1361</v>
      </c>
    </row>
    <row r="2955" spans="1:9" x14ac:dyDescent="0.25">
      <c r="A2955" s="40" t="s">
        <v>431</v>
      </c>
      <c r="B2955" s="28">
        <v>3335</v>
      </c>
      <c r="C2955" s="28" t="s">
        <v>901</v>
      </c>
      <c r="D2955" s="28"/>
      <c r="E2955" s="41">
        <v>46156</v>
      </c>
      <c r="F2955" s="47">
        <v>0.33510416666666665</v>
      </c>
      <c r="G2955" s="44">
        <v>6.3</v>
      </c>
      <c r="H2955" s="43" t="s">
        <v>1362</v>
      </c>
      <c r="I2955" s="40" t="s">
        <v>1361</v>
      </c>
    </row>
    <row r="2956" spans="1:9" x14ac:dyDescent="0.25">
      <c r="A2956" s="40" t="s">
        <v>431</v>
      </c>
      <c r="B2956" s="28">
        <v>3335</v>
      </c>
      <c r="C2956" s="28" t="s">
        <v>902</v>
      </c>
      <c r="D2956" s="28"/>
      <c r="E2956" s="41">
        <v>46156</v>
      </c>
      <c r="F2956" s="47">
        <v>0.40837962962962965</v>
      </c>
      <c r="G2956" s="42">
        <v>6.3</v>
      </c>
      <c r="H2956" s="40" t="s">
        <v>1363</v>
      </c>
      <c r="I2956" s="40" t="s">
        <v>1361</v>
      </c>
    </row>
    <row r="2957" spans="1:9" x14ac:dyDescent="0.25">
      <c r="A2957" s="40" t="s">
        <v>431</v>
      </c>
      <c r="B2957" s="28">
        <v>3335</v>
      </c>
      <c r="C2957" s="28" t="s">
        <v>902</v>
      </c>
      <c r="D2957" s="28"/>
      <c r="E2957" s="45">
        <v>46156</v>
      </c>
      <c r="F2957" s="48">
        <v>0.41726851851851854</v>
      </c>
      <c r="G2957" s="42">
        <v>6.3</v>
      </c>
      <c r="H2957" s="40" t="s">
        <v>1364</v>
      </c>
      <c r="I2957" s="40" t="s">
        <v>1361</v>
      </c>
    </row>
    <row r="2958" spans="1:9" x14ac:dyDescent="0.25">
      <c r="A2958" s="40" t="s">
        <v>431</v>
      </c>
      <c r="B2958" s="28">
        <v>3335</v>
      </c>
      <c r="C2958" s="28" t="s">
        <v>903</v>
      </c>
      <c r="D2958" s="28"/>
      <c r="E2958" s="41">
        <v>46157</v>
      </c>
      <c r="F2958" s="47">
        <v>0.47763888888888889</v>
      </c>
      <c r="G2958" s="42">
        <v>6.3</v>
      </c>
      <c r="H2958" s="40" t="s">
        <v>1360</v>
      </c>
      <c r="I2958" s="40" t="s">
        <v>1361</v>
      </c>
    </row>
    <row r="2959" spans="1:9" x14ac:dyDescent="0.25">
      <c r="A2959" s="40" t="s">
        <v>431</v>
      </c>
      <c r="B2959" s="28">
        <v>3335</v>
      </c>
      <c r="C2959" s="28" t="s">
        <v>903</v>
      </c>
      <c r="D2959" s="28"/>
      <c r="E2959" s="45">
        <v>46157</v>
      </c>
      <c r="F2959" s="48">
        <v>0.48759259259259258</v>
      </c>
      <c r="G2959" s="42">
        <v>6.3</v>
      </c>
      <c r="H2959" s="40" t="s">
        <v>1362</v>
      </c>
      <c r="I2959" s="40" t="s">
        <v>1361</v>
      </c>
    </row>
    <row r="2960" spans="1:9" x14ac:dyDescent="0.25">
      <c r="A2960" s="40" t="s">
        <v>431</v>
      </c>
      <c r="B2960" s="28">
        <v>3335</v>
      </c>
      <c r="C2960" s="28">
        <v>5668330</v>
      </c>
      <c r="D2960" s="28"/>
      <c r="E2960" s="45">
        <v>46157</v>
      </c>
      <c r="F2960" s="48">
        <v>0.53118055555555554</v>
      </c>
      <c r="G2960" s="44">
        <v>6.3</v>
      </c>
      <c r="H2960" s="43" t="s">
        <v>1363</v>
      </c>
      <c r="I2960" s="40" t="s">
        <v>1361</v>
      </c>
    </row>
    <row r="2961" spans="1:9" x14ac:dyDescent="0.25">
      <c r="A2961" s="40" t="s">
        <v>431</v>
      </c>
      <c r="B2961" s="28">
        <v>3335</v>
      </c>
      <c r="C2961" s="28">
        <v>5668330</v>
      </c>
      <c r="D2961" s="28"/>
      <c r="E2961" s="41">
        <v>46157</v>
      </c>
      <c r="F2961" s="47">
        <v>0.53668981481481481</v>
      </c>
      <c r="G2961" s="44">
        <v>6.3</v>
      </c>
      <c r="H2961" s="43" t="s">
        <v>1364</v>
      </c>
      <c r="I2961" s="40" t="s">
        <v>1361</v>
      </c>
    </row>
    <row r="2962" spans="1:9" x14ac:dyDescent="0.25">
      <c r="A2962" s="40" t="s">
        <v>431</v>
      </c>
      <c r="B2962" s="28">
        <v>3335</v>
      </c>
      <c r="C2962" s="28" t="s">
        <v>904</v>
      </c>
      <c r="D2962" s="28"/>
      <c r="E2962" s="41">
        <v>46158</v>
      </c>
      <c r="F2962" s="47">
        <v>0.24297453703703703</v>
      </c>
      <c r="G2962" s="44">
        <v>6.3</v>
      </c>
      <c r="H2962" s="43" t="s">
        <v>1360</v>
      </c>
      <c r="I2962" s="40" t="s">
        <v>1365</v>
      </c>
    </row>
    <row r="2963" spans="1:9" x14ac:dyDescent="0.25">
      <c r="A2963" s="40" t="s">
        <v>431</v>
      </c>
      <c r="B2963" s="28">
        <v>3335</v>
      </c>
      <c r="C2963" s="28" t="s">
        <v>904</v>
      </c>
      <c r="D2963" s="28"/>
      <c r="E2963" s="41">
        <v>46158</v>
      </c>
      <c r="F2963" s="47">
        <v>0.25261574074074072</v>
      </c>
      <c r="G2963" s="44">
        <v>6.3</v>
      </c>
      <c r="H2963" s="43" t="s">
        <v>1362</v>
      </c>
      <c r="I2963" s="40" t="s">
        <v>1365</v>
      </c>
    </row>
    <row r="2964" spans="1:9" x14ac:dyDescent="0.25">
      <c r="A2964" s="40" t="s">
        <v>431</v>
      </c>
      <c r="B2964" s="28">
        <v>3335</v>
      </c>
      <c r="C2964" s="28" t="s">
        <v>905</v>
      </c>
      <c r="D2964" s="28"/>
      <c r="E2964" s="45">
        <v>46158</v>
      </c>
      <c r="F2964" s="48">
        <v>0.37192129629629628</v>
      </c>
      <c r="G2964" s="44">
        <v>6.3</v>
      </c>
      <c r="H2964" s="43" t="s">
        <v>1363</v>
      </c>
      <c r="I2964" s="40" t="s">
        <v>1365</v>
      </c>
    </row>
    <row r="2965" spans="1:9" x14ac:dyDescent="0.25">
      <c r="A2965" s="40" t="s">
        <v>431</v>
      </c>
      <c r="B2965" s="28">
        <v>3335</v>
      </c>
      <c r="C2965" s="28" t="s">
        <v>905</v>
      </c>
      <c r="D2965" s="28"/>
      <c r="E2965" s="41">
        <v>46158</v>
      </c>
      <c r="F2965" s="47">
        <v>0.37891203703703702</v>
      </c>
      <c r="G2965" s="44">
        <v>6.3</v>
      </c>
      <c r="H2965" s="43" t="s">
        <v>1364</v>
      </c>
      <c r="I2965" s="40" t="s">
        <v>1365</v>
      </c>
    </row>
    <row r="2966" spans="1:9" x14ac:dyDescent="0.25">
      <c r="A2966" s="40" t="s">
        <v>431</v>
      </c>
      <c r="B2966" s="28">
        <v>3335</v>
      </c>
      <c r="C2966" s="28" t="s">
        <v>906</v>
      </c>
      <c r="D2966" s="28"/>
      <c r="E2966" s="41">
        <v>46158</v>
      </c>
      <c r="F2966" s="47">
        <v>0.53037037037037038</v>
      </c>
      <c r="G2966" s="44">
        <v>6.3</v>
      </c>
      <c r="H2966" s="43" t="s">
        <v>1363</v>
      </c>
      <c r="I2966" s="40" t="s">
        <v>1365</v>
      </c>
    </row>
    <row r="2967" spans="1:9" x14ac:dyDescent="0.25">
      <c r="A2967" s="40" t="s">
        <v>431</v>
      </c>
      <c r="B2967" s="28">
        <v>3335</v>
      </c>
      <c r="C2967" s="28" t="s">
        <v>906</v>
      </c>
      <c r="D2967" s="28"/>
      <c r="E2967" s="41">
        <v>46158</v>
      </c>
      <c r="F2967" s="47">
        <v>0.53748842592592594</v>
      </c>
      <c r="G2967" s="44">
        <v>6.3</v>
      </c>
      <c r="H2967" s="43" t="s">
        <v>1364</v>
      </c>
      <c r="I2967" s="40" t="s">
        <v>1365</v>
      </c>
    </row>
    <row r="2968" spans="1:9" x14ac:dyDescent="0.25">
      <c r="A2968" s="40" t="s">
        <v>431</v>
      </c>
      <c r="B2968" s="28">
        <v>3335</v>
      </c>
      <c r="C2968" s="28" t="s">
        <v>907</v>
      </c>
      <c r="D2968" s="28"/>
      <c r="E2968" s="41">
        <v>46159</v>
      </c>
      <c r="F2968" s="47">
        <v>0.36557870370370371</v>
      </c>
      <c r="G2968" s="44">
        <v>6.3</v>
      </c>
      <c r="H2968" s="43" t="s">
        <v>1363</v>
      </c>
      <c r="I2968" s="40" t="s">
        <v>1365</v>
      </c>
    </row>
    <row r="2969" spans="1:9" x14ac:dyDescent="0.25">
      <c r="A2969" s="40" t="s">
        <v>431</v>
      </c>
      <c r="B2969" s="28">
        <v>3335</v>
      </c>
      <c r="C2969" s="28" t="s">
        <v>907</v>
      </c>
      <c r="D2969" s="28"/>
      <c r="E2969" s="41">
        <v>46159</v>
      </c>
      <c r="F2969" s="47">
        <v>0.37068287037037034</v>
      </c>
      <c r="G2969" s="44">
        <v>6.3</v>
      </c>
      <c r="H2969" s="43" t="s">
        <v>1364</v>
      </c>
      <c r="I2969" s="40" t="s">
        <v>1365</v>
      </c>
    </row>
    <row r="2970" spans="1:9" x14ac:dyDescent="0.25">
      <c r="A2970" s="40" t="s">
        <v>431</v>
      </c>
      <c r="B2970" s="28">
        <v>3335</v>
      </c>
      <c r="C2970" s="28">
        <v>5671536</v>
      </c>
      <c r="D2970" s="28"/>
      <c r="E2970" s="41">
        <v>46159</v>
      </c>
      <c r="F2970" s="47">
        <v>0.5615162037037037</v>
      </c>
      <c r="G2970" s="44">
        <v>6.3</v>
      </c>
      <c r="H2970" s="43" t="s">
        <v>1363</v>
      </c>
      <c r="I2970" s="40" t="s">
        <v>1365</v>
      </c>
    </row>
    <row r="2971" spans="1:9" x14ac:dyDescent="0.25">
      <c r="A2971" s="40" t="s">
        <v>431</v>
      </c>
      <c r="B2971" s="28">
        <v>3335</v>
      </c>
      <c r="C2971" s="28">
        <v>5671536</v>
      </c>
      <c r="D2971" s="28"/>
      <c r="E2971" s="41">
        <v>46159</v>
      </c>
      <c r="F2971" s="47">
        <v>0.56686342592592598</v>
      </c>
      <c r="G2971" s="44">
        <v>6.3</v>
      </c>
      <c r="H2971" s="43" t="s">
        <v>1364</v>
      </c>
      <c r="I2971" s="40" t="s">
        <v>1365</v>
      </c>
    </row>
    <row r="2972" spans="1:9" x14ac:dyDescent="0.25">
      <c r="A2972" s="40" t="s">
        <v>432</v>
      </c>
      <c r="B2972" s="28">
        <v>3348</v>
      </c>
      <c r="C2972" s="28">
        <v>5662895</v>
      </c>
      <c r="D2972" s="28"/>
      <c r="E2972" s="41">
        <v>46154</v>
      </c>
      <c r="F2972" s="47">
        <v>0.8205324074074074</v>
      </c>
      <c r="G2972" s="44">
        <v>6.3</v>
      </c>
      <c r="H2972" s="43" t="s">
        <v>1360</v>
      </c>
      <c r="I2972" s="40" t="s">
        <v>1361</v>
      </c>
    </row>
    <row r="2973" spans="1:9" x14ac:dyDescent="0.25">
      <c r="A2973" s="40" t="s">
        <v>432</v>
      </c>
      <c r="B2973" s="28">
        <v>3348</v>
      </c>
      <c r="C2973" s="28" t="s">
        <v>908</v>
      </c>
      <c r="D2973" s="28"/>
      <c r="E2973" s="41">
        <v>46154</v>
      </c>
      <c r="F2973" s="47">
        <v>0.90439814814814812</v>
      </c>
      <c r="G2973" s="44">
        <v>6.3</v>
      </c>
      <c r="H2973" s="43" t="s">
        <v>1363</v>
      </c>
      <c r="I2973" s="40" t="s">
        <v>1361</v>
      </c>
    </row>
    <row r="2974" spans="1:9" x14ac:dyDescent="0.25">
      <c r="A2974" s="40" t="s">
        <v>432</v>
      </c>
      <c r="B2974" s="28">
        <v>3348</v>
      </c>
      <c r="C2974" s="28" t="s">
        <v>908</v>
      </c>
      <c r="D2974" s="28"/>
      <c r="E2974" s="41">
        <v>46154</v>
      </c>
      <c r="F2974" s="47">
        <v>0.90931712962962963</v>
      </c>
      <c r="G2974" s="44">
        <v>6.3</v>
      </c>
      <c r="H2974" s="43" t="s">
        <v>1364</v>
      </c>
      <c r="I2974" s="40" t="s">
        <v>1361</v>
      </c>
    </row>
    <row r="2975" spans="1:9" x14ac:dyDescent="0.25">
      <c r="A2975" s="40" t="s">
        <v>432</v>
      </c>
      <c r="B2975" s="28">
        <v>3348</v>
      </c>
      <c r="C2975" s="28">
        <v>5668575</v>
      </c>
      <c r="D2975" s="28"/>
      <c r="E2975" s="41">
        <v>46156</v>
      </c>
      <c r="F2975" s="47">
        <v>0.77111111111111108</v>
      </c>
      <c r="G2975" s="44">
        <v>6.3</v>
      </c>
      <c r="H2975" s="43" t="s">
        <v>1363</v>
      </c>
      <c r="I2975" s="40" t="s">
        <v>1361</v>
      </c>
    </row>
    <row r="2976" spans="1:9" x14ac:dyDescent="0.25">
      <c r="A2976" s="40" t="s">
        <v>432</v>
      </c>
      <c r="B2976" s="28">
        <v>3348</v>
      </c>
      <c r="C2976" s="28">
        <v>5668575</v>
      </c>
      <c r="D2976" s="28"/>
      <c r="E2976" s="41">
        <v>46156</v>
      </c>
      <c r="F2976" s="47">
        <v>0.78659722222222217</v>
      </c>
      <c r="G2976" s="44">
        <v>6.3</v>
      </c>
      <c r="H2976" s="43" t="s">
        <v>1364</v>
      </c>
      <c r="I2976" s="40" t="s">
        <v>1361</v>
      </c>
    </row>
    <row r="2977" spans="1:9" x14ac:dyDescent="0.25">
      <c r="A2977" s="40" t="s">
        <v>332</v>
      </c>
      <c r="B2977" s="28">
        <v>3357</v>
      </c>
      <c r="C2977" s="28" t="s">
        <v>909</v>
      </c>
      <c r="D2977" s="28"/>
      <c r="E2977" s="41">
        <v>46155</v>
      </c>
      <c r="F2977" s="47">
        <v>0.39559027777777778</v>
      </c>
      <c r="G2977" s="44">
        <v>6.3</v>
      </c>
      <c r="H2977" s="43" t="s">
        <v>1363</v>
      </c>
      <c r="I2977" s="40" t="s">
        <v>1361</v>
      </c>
    </row>
    <row r="2978" spans="1:9" x14ac:dyDescent="0.25">
      <c r="A2978" s="40" t="s">
        <v>332</v>
      </c>
      <c r="B2978" s="28">
        <v>3357</v>
      </c>
      <c r="C2978" s="28" t="s">
        <v>909</v>
      </c>
      <c r="D2978" s="28"/>
      <c r="E2978" s="41">
        <v>46155</v>
      </c>
      <c r="F2978" s="47">
        <v>0.40488425925925925</v>
      </c>
      <c r="G2978" s="42">
        <v>6.3</v>
      </c>
      <c r="H2978" s="40" t="s">
        <v>1364</v>
      </c>
      <c r="I2978" s="40" t="s">
        <v>1361</v>
      </c>
    </row>
    <row r="2979" spans="1:9" x14ac:dyDescent="0.25">
      <c r="A2979" s="40" t="s">
        <v>332</v>
      </c>
      <c r="B2979" s="28">
        <v>3357</v>
      </c>
      <c r="C2979" s="28" t="s">
        <v>910</v>
      </c>
      <c r="D2979" s="28"/>
      <c r="E2979" s="41">
        <v>46156</v>
      </c>
      <c r="F2979" s="47">
        <v>0.28658564814814813</v>
      </c>
      <c r="G2979" s="42">
        <v>6.3</v>
      </c>
      <c r="H2979" s="40" t="s">
        <v>1369</v>
      </c>
      <c r="I2979" s="40" t="s">
        <v>1361</v>
      </c>
    </row>
    <row r="2980" spans="1:9" x14ac:dyDescent="0.25">
      <c r="A2980" s="40" t="s">
        <v>332</v>
      </c>
      <c r="B2980" s="28">
        <v>3357</v>
      </c>
      <c r="C2980" s="28" t="s">
        <v>910</v>
      </c>
      <c r="D2980" s="28"/>
      <c r="E2980" s="41">
        <v>46156</v>
      </c>
      <c r="F2980" s="47">
        <v>0.29417824074074073</v>
      </c>
      <c r="G2980" s="42">
        <v>6.3</v>
      </c>
      <c r="H2980" s="40" t="s">
        <v>1364</v>
      </c>
      <c r="I2980" s="40" t="s">
        <v>1361</v>
      </c>
    </row>
    <row r="2981" spans="1:9" x14ac:dyDescent="0.25">
      <c r="A2981" s="40" t="s">
        <v>332</v>
      </c>
      <c r="B2981" s="28">
        <v>3357</v>
      </c>
      <c r="C2981" s="28" t="s">
        <v>911</v>
      </c>
      <c r="D2981" s="28"/>
      <c r="E2981" s="41">
        <v>46156</v>
      </c>
      <c r="F2981" s="47">
        <v>0.34150462962962963</v>
      </c>
      <c r="G2981" s="42">
        <v>6.3</v>
      </c>
      <c r="H2981" s="40" t="s">
        <v>1360</v>
      </c>
      <c r="I2981" s="40" t="s">
        <v>1361</v>
      </c>
    </row>
    <row r="2982" spans="1:9" x14ac:dyDescent="0.25">
      <c r="A2982" s="40" t="s">
        <v>332</v>
      </c>
      <c r="B2982" s="28">
        <v>3357</v>
      </c>
      <c r="C2982" s="28" t="s">
        <v>912</v>
      </c>
      <c r="D2982" s="28"/>
      <c r="E2982" s="41">
        <v>46156</v>
      </c>
      <c r="F2982" s="47">
        <v>0.56024305555555554</v>
      </c>
      <c r="G2982" s="42">
        <v>6.3</v>
      </c>
      <c r="H2982" s="40" t="s">
        <v>1360</v>
      </c>
      <c r="I2982" s="40" t="s">
        <v>1361</v>
      </c>
    </row>
    <row r="2983" spans="1:9" x14ac:dyDescent="0.25">
      <c r="A2983" s="40" t="s">
        <v>332</v>
      </c>
      <c r="B2983" s="28">
        <v>3357</v>
      </c>
      <c r="C2983" s="28" t="s">
        <v>912</v>
      </c>
      <c r="D2983" s="28"/>
      <c r="E2983" s="45">
        <v>46156</v>
      </c>
      <c r="F2983" s="48">
        <v>0.57025462962962958</v>
      </c>
      <c r="G2983" s="44">
        <v>6.3</v>
      </c>
      <c r="H2983" s="43" t="s">
        <v>1362</v>
      </c>
      <c r="I2983" s="40" t="s">
        <v>1361</v>
      </c>
    </row>
    <row r="2984" spans="1:9" x14ac:dyDescent="0.25">
      <c r="A2984" s="40" t="s">
        <v>332</v>
      </c>
      <c r="B2984" s="28">
        <v>3357</v>
      </c>
      <c r="C2984" s="28" t="s">
        <v>913</v>
      </c>
      <c r="D2984" s="28"/>
      <c r="E2984" s="41">
        <v>46157</v>
      </c>
      <c r="F2984" s="47">
        <v>0.33865740740740741</v>
      </c>
      <c r="G2984" s="44">
        <v>6.3</v>
      </c>
      <c r="H2984" s="43" t="s">
        <v>1363</v>
      </c>
      <c r="I2984" s="40" t="s">
        <v>1361</v>
      </c>
    </row>
    <row r="2985" spans="1:9" x14ac:dyDescent="0.25">
      <c r="A2985" s="40" t="s">
        <v>332</v>
      </c>
      <c r="B2985" s="28">
        <v>3357</v>
      </c>
      <c r="C2985" s="28" t="s">
        <v>913</v>
      </c>
      <c r="D2985" s="28"/>
      <c r="E2985" s="41">
        <v>46157</v>
      </c>
      <c r="F2985" s="47">
        <v>0.35135416666666669</v>
      </c>
      <c r="G2985" s="44">
        <v>6.3</v>
      </c>
      <c r="H2985" s="43" t="s">
        <v>1364</v>
      </c>
      <c r="I2985" s="40" t="s">
        <v>1361</v>
      </c>
    </row>
    <row r="2986" spans="1:9" x14ac:dyDescent="0.25">
      <c r="A2986" s="40" t="s">
        <v>332</v>
      </c>
      <c r="B2986" s="28">
        <v>3357</v>
      </c>
      <c r="C2986" s="28" t="s">
        <v>914</v>
      </c>
      <c r="D2986" s="28"/>
      <c r="E2986" s="41">
        <v>46157</v>
      </c>
      <c r="F2986" s="47">
        <v>0.5893518518518519</v>
      </c>
      <c r="G2986" s="44">
        <v>6.3</v>
      </c>
      <c r="H2986" s="43" t="s">
        <v>1360</v>
      </c>
      <c r="I2986" s="40" t="s">
        <v>1361</v>
      </c>
    </row>
    <row r="2987" spans="1:9" x14ac:dyDescent="0.25">
      <c r="A2987" s="40" t="s">
        <v>332</v>
      </c>
      <c r="B2987" s="28">
        <v>3357</v>
      </c>
      <c r="C2987" s="28" t="s">
        <v>914</v>
      </c>
      <c r="D2987" s="28"/>
      <c r="E2987" s="41">
        <v>46157</v>
      </c>
      <c r="F2987" s="47">
        <v>0.59989583333333329</v>
      </c>
      <c r="G2987" s="44">
        <v>6.3</v>
      </c>
      <c r="H2987" s="43" t="s">
        <v>1368</v>
      </c>
      <c r="I2987" s="40" t="s">
        <v>1361</v>
      </c>
    </row>
    <row r="2988" spans="1:9" x14ac:dyDescent="0.25">
      <c r="A2988" s="40" t="s">
        <v>332</v>
      </c>
      <c r="B2988" s="28">
        <v>3357</v>
      </c>
      <c r="C2988" s="28" t="s">
        <v>915</v>
      </c>
      <c r="D2988" s="28"/>
      <c r="E2988" s="41">
        <v>46158</v>
      </c>
      <c r="F2988" s="47">
        <v>0.35223379629629631</v>
      </c>
      <c r="G2988" s="44">
        <v>6.3</v>
      </c>
      <c r="H2988" s="43" t="s">
        <v>1369</v>
      </c>
      <c r="I2988" s="40" t="s">
        <v>1365</v>
      </c>
    </row>
    <row r="2989" spans="1:9" x14ac:dyDescent="0.25">
      <c r="A2989" s="40" t="s">
        <v>332</v>
      </c>
      <c r="B2989" s="28">
        <v>3357</v>
      </c>
      <c r="C2989" s="28" t="s">
        <v>915</v>
      </c>
      <c r="D2989" s="28"/>
      <c r="E2989" s="41">
        <v>46158</v>
      </c>
      <c r="F2989" s="47">
        <v>0.35841435185185183</v>
      </c>
      <c r="G2989" s="44">
        <v>6.3</v>
      </c>
      <c r="H2989" s="43" t="s">
        <v>1364</v>
      </c>
      <c r="I2989" s="40" t="s">
        <v>1365</v>
      </c>
    </row>
    <row r="2990" spans="1:9" x14ac:dyDescent="0.25">
      <c r="A2990" s="40" t="s">
        <v>332</v>
      </c>
      <c r="B2990" s="28">
        <v>3357</v>
      </c>
      <c r="C2990" s="28" t="s">
        <v>916</v>
      </c>
      <c r="D2990" s="28"/>
      <c r="E2990" s="41">
        <v>46158</v>
      </c>
      <c r="F2990" s="47">
        <v>0.49030092592592595</v>
      </c>
      <c r="G2990" s="44">
        <v>6.3</v>
      </c>
      <c r="H2990" s="43" t="s">
        <v>1363</v>
      </c>
      <c r="I2990" s="40" t="s">
        <v>1365</v>
      </c>
    </row>
    <row r="2991" spans="1:9" x14ac:dyDescent="0.25">
      <c r="A2991" s="40" t="s">
        <v>332</v>
      </c>
      <c r="B2991" s="28">
        <v>3357</v>
      </c>
      <c r="C2991" s="28" t="s">
        <v>916</v>
      </c>
      <c r="D2991" s="28"/>
      <c r="E2991" s="41">
        <v>46158</v>
      </c>
      <c r="F2991" s="47">
        <v>0.49616898148148147</v>
      </c>
      <c r="G2991" s="44">
        <v>6.3</v>
      </c>
      <c r="H2991" s="43" t="s">
        <v>1364</v>
      </c>
      <c r="I2991" s="40" t="s">
        <v>1365</v>
      </c>
    </row>
    <row r="2992" spans="1:9" x14ac:dyDescent="0.25">
      <c r="A2992" s="40" t="s">
        <v>332</v>
      </c>
      <c r="B2992" s="28">
        <v>3357</v>
      </c>
      <c r="C2992" s="28" t="s">
        <v>917</v>
      </c>
      <c r="D2992" s="28"/>
      <c r="E2992" s="45">
        <v>46158</v>
      </c>
      <c r="F2992" s="48">
        <v>0.59295138888888888</v>
      </c>
      <c r="G2992" s="44">
        <v>6.3</v>
      </c>
      <c r="H2992" s="43" t="s">
        <v>1360</v>
      </c>
      <c r="I2992" s="40" t="s">
        <v>1365</v>
      </c>
    </row>
    <row r="2993" spans="1:9" x14ac:dyDescent="0.25">
      <c r="A2993" s="40" t="s">
        <v>332</v>
      </c>
      <c r="B2993" s="28">
        <v>3357</v>
      </c>
      <c r="C2993" s="28" t="s">
        <v>917</v>
      </c>
      <c r="D2993" s="28"/>
      <c r="E2993" s="45">
        <v>46158</v>
      </c>
      <c r="F2993" s="48">
        <v>0.60708333333333331</v>
      </c>
      <c r="G2993" s="44">
        <v>6.3</v>
      </c>
      <c r="H2993" s="43" t="s">
        <v>1362</v>
      </c>
      <c r="I2993" s="40" t="s">
        <v>1365</v>
      </c>
    </row>
    <row r="2994" spans="1:9" x14ac:dyDescent="0.25">
      <c r="A2994" s="40" t="s">
        <v>332</v>
      </c>
      <c r="B2994" s="28">
        <v>3357</v>
      </c>
      <c r="C2994" s="28" t="s">
        <v>918</v>
      </c>
      <c r="D2994" s="28"/>
      <c r="E2994" s="41">
        <v>46159</v>
      </c>
      <c r="F2994" s="47">
        <v>0.27664351851851854</v>
      </c>
      <c r="G2994" s="44">
        <v>6.3</v>
      </c>
      <c r="H2994" s="43" t="s">
        <v>1370</v>
      </c>
      <c r="I2994" s="40" t="s">
        <v>1365</v>
      </c>
    </row>
    <row r="2995" spans="1:9" x14ac:dyDescent="0.25">
      <c r="A2995" s="40" t="s">
        <v>332</v>
      </c>
      <c r="B2995" s="28">
        <v>3357</v>
      </c>
      <c r="C2995" s="28" t="s">
        <v>918</v>
      </c>
      <c r="D2995" s="28"/>
      <c r="E2995" s="41">
        <v>46159</v>
      </c>
      <c r="F2995" s="47">
        <v>0.28113425925925928</v>
      </c>
      <c r="G2995" s="44">
        <v>6.3</v>
      </c>
      <c r="H2995" s="43" t="s">
        <v>1364</v>
      </c>
      <c r="I2995" s="40" t="s">
        <v>1365</v>
      </c>
    </row>
    <row r="2996" spans="1:9" x14ac:dyDescent="0.25">
      <c r="A2996" s="40" t="s">
        <v>332</v>
      </c>
      <c r="B2996" s="28">
        <v>3357</v>
      </c>
      <c r="C2996" s="28" t="s">
        <v>919</v>
      </c>
      <c r="D2996" s="28"/>
      <c r="E2996" s="41">
        <v>46159</v>
      </c>
      <c r="F2996" s="47">
        <v>0.40540509259259261</v>
      </c>
      <c r="G2996" s="44">
        <v>6.3</v>
      </c>
      <c r="H2996" s="43" t="s">
        <v>1364</v>
      </c>
      <c r="I2996" s="40" t="s">
        <v>1365</v>
      </c>
    </row>
    <row r="2997" spans="1:9" x14ac:dyDescent="0.25">
      <c r="A2997" s="40" t="s">
        <v>332</v>
      </c>
      <c r="B2997" s="28">
        <v>3357</v>
      </c>
      <c r="C2997" s="28" t="s">
        <v>920</v>
      </c>
      <c r="D2997" s="28"/>
      <c r="E2997" s="41">
        <v>46159</v>
      </c>
      <c r="F2997" s="47">
        <v>0.52901620370370372</v>
      </c>
      <c r="G2997" s="44">
        <v>6.3</v>
      </c>
      <c r="H2997" s="43" t="s">
        <v>1360</v>
      </c>
      <c r="I2997" s="40" t="s">
        <v>1365</v>
      </c>
    </row>
    <row r="2998" spans="1:9" x14ac:dyDescent="0.25">
      <c r="A2998" s="40" t="s">
        <v>332</v>
      </c>
      <c r="B2998" s="28">
        <v>3357</v>
      </c>
      <c r="C2998" s="28" t="s">
        <v>920</v>
      </c>
      <c r="D2998" s="28"/>
      <c r="E2998" s="41">
        <v>46159</v>
      </c>
      <c r="F2998" s="47">
        <v>0.53612268518518513</v>
      </c>
      <c r="G2998" s="44">
        <v>6.3</v>
      </c>
      <c r="H2998" s="43" t="s">
        <v>1366</v>
      </c>
      <c r="I2998" s="40" t="s">
        <v>1365</v>
      </c>
    </row>
    <row r="2999" spans="1:9" x14ac:dyDescent="0.25">
      <c r="A2999" s="40" t="s">
        <v>433</v>
      </c>
      <c r="B2999" s="28">
        <v>3368</v>
      </c>
      <c r="C2999" s="28" t="s">
        <v>35</v>
      </c>
      <c r="D2999" s="28" t="s">
        <v>38</v>
      </c>
      <c r="E2999" s="41">
        <v>46154</v>
      </c>
      <c r="F2999" s="47">
        <v>0.81535879629629626</v>
      </c>
      <c r="G2999" s="44">
        <v>6.3</v>
      </c>
      <c r="H2999" s="43" t="s">
        <v>1364</v>
      </c>
      <c r="I2999" s="40" t="s">
        <v>1361</v>
      </c>
    </row>
    <row r="3000" spans="1:9" x14ac:dyDescent="0.25">
      <c r="A3000" s="40" t="s">
        <v>433</v>
      </c>
      <c r="B3000" s="28">
        <v>3368</v>
      </c>
      <c r="C3000" s="28">
        <v>5665597</v>
      </c>
      <c r="D3000" s="28"/>
      <c r="E3000" s="41">
        <v>46154</v>
      </c>
      <c r="F3000" s="47">
        <v>0.94831018518518517</v>
      </c>
      <c r="G3000" s="44">
        <v>6.3</v>
      </c>
      <c r="H3000" s="43" t="s">
        <v>1360</v>
      </c>
      <c r="I3000" s="40" t="s">
        <v>1361</v>
      </c>
    </row>
    <row r="3001" spans="1:9" x14ac:dyDescent="0.25">
      <c r="A3001" s="40" t="s">
        <v>433</v>
      </c>
      <c r="B3001" s="28">
        <v>3368</v>
      </c>
      <c r="C3001" s="28">
        <v>5665597</v>
      </c>
      <c r="D3001" s="28"/>
      <c r="E3001" s="41">
        <v>46154</v>
      </c>
      <c r="F3001" s="47">
        <v>0.95628472222222227</v>
      </c>
      <c r="G3001" s="44">
        <v>6.3</v>
      </c>
      <c r="H3001" s="43" t="s">
        <v>1368</v>
      </c>
      <c r="I3001" s="40" t="s">
        <v>1361</v>
      </c>
    </row>
    <row r="3002" spans="1:9" x14ac:dyDescent="0.25">
      <c r="A3002" s="40" t="s">
        <v>433</v>
      </c>
      <c r="B3002" s="28">
        <v>3368</v>
      </c>
      <c r="C3002" s="28" t="s">
        <v>35</v>
      </c>
      <c r="D3002" s="28" t="s">
        <v>38</v>
      </c>
      <c r="E3002" s="41">
        <v>46154</v>
      </c>
      <c r="F3002" s="47">
        <v>0.97892361111111115</v>
      </c>
      <c r="G3002" s="44">
        <v>6.3</v>
      </c>
      <c r="H3002" s="43" t="s">
        <v>1370</v>
      </c>
      <c r="I3002" s="40" t="s">
        <v>1361</v>
      </c>
    </row>
    <row r="3003" spans="1:9" x14ac:dyDescent="0.25">
      <c r="A3003" s="40" t="s">
        <v>433</v>
      </c>
      <c r="B3003" s="28">
        <v>3368</v>
      </c>
      <c r="C3003" s="28">
        <v>5669831</v>
      </c>
      <c r="D3003" s="28"/>
      <c r="E3003" s="41">
        <v>46157</v>
      </c>
      <c r="F3003" s="47">
        <v>0.97375</v>
      </c>
      <c r="G3003" s="44">
        <v>6.3</v>
      </c>
      <c r="H3003" s="43" t="s">
        <v>1363</v>
      </c>
      <c r="I3003" s="40" t="s">
        <v>1361</v>
      </c>
    </row>
    <row r="3004" spans="1:9" x14ac:dyDescent="0.25">
      <c r="A3004" s="40" t="s">
        <v>103</v>
      </c>
      <c r="B3004" s="28">
        <v>3378</v>
      </c>
      <c r="C3004" s="28" t="s">
        <v>921</v>
      </c>
      <c r="D3004" s="28"/>
      <c r="E3004" s="41">
        <v>46153</v>
      </c>
      <c r="F3004" s="47">
        <v>4.2037037037037039E-2</v>
      </c>
      <c r="G3004" s="44">
        <v>6.3</v>
      </c>
      <c r="H3004" s="43" t="s">
        <v>1360</v>
      </c>
      <c r="I3004" s="40" t="s">
        <v>1361</v>
      </c>
    </row>
    <row r="3005" spans="1:9" x14ac:dyDescent="0.25">
      <c r="A3005" s="40" t="s">
        <v>103</v>
      </c>
      <c r="B3005" s="28">
        <v>3378</v>
      </c>
      <c r="C3005" s="28" t="s">
        <v>921</v>
      </c>
      <c r="D3005" s="28"/>
      <c r="E3005" s="41">
        <v>46153</v>
      </c>
      <c r="F3005" s="47">
        <v>4.8738425925925928E-2</v>
      </c>
      <c r="G3005" s="44">
        <v>6.3</v>
      </c>
      <c r="H3005" s="43" t="s">
        <v>1362</v>
      </c>
      <c r="I3005" s="40" t="s">
        <v>1361</v>
      </c>
    </row>
    <row r="3006" spans="1:9" x14ac:dyDescent="0.25">
      <c r="A3006" s="40" t="s">
        <v>103</v>
      </c>
      <c r="B3006" s="28">
        <v>3378</v>
      </c>
      <c r="C3006" s="28" t="s">
        <v>922</v>
      </c>
      <c r="D3006" s="28"/>
      <c r="E3006" s="45">
        <v>46158</v>
      </c>
      <c r="F3006" s="48">
        <v>0.94893518518518516</v>
      </c>
      <c r="G3006" s="44">
        <v>6.3</v>
      </c>
      <c r="H3006" s="43" t="s">
        <v>1360</v>
      </c>
      <c r="I3006" s="40" t="s">
        <v>1365</v>
      </c>
    </row>
    <row r="3007" spans="1:9" x14ac:dyDescent="0.25">
      <c r="A3007" s="40" t="s">
        <v>103</v>
      </c>
      <c r="B3007" s="28">
        <v>3378</v>
      </c>
      <c r="C3007" s="28" t="s">
        <v>922</v>
      </c>
      <c r="D3007" s="28"/>
      <c r="E3007" s="45">
        <v>46158</v>
      </c>
      <c r="F3007" s="48">
        <v>0.95596064814814818</v>
      </c>
      <c r="G3007" s="44">
        <v>6.3</v>
      </c>
      <c r="H3007" s="43" t="s">
        <v>1362</v>
      </c>
      <c r="I3007" s="40" t="s">
        <v>1365</v>
      </c>
    </row>
    <row r="3008" spans="1:9" x14ac:dyDescent="0.25">
      <c r="A3008" s="40" t="s">
        <v>501</v>
      </c>
      <c r="B3008" s="28">
        <v>3381</v>
      </c>
      <c r="C3008" s="28" t="s">
        <v>923</v>
      </c>
      <c r="D3008" s="28"/>
      <c r="E3008" s="45">
        <v>46158</v>
      </c>
      <c r="F3008" s="48">
        <v>0.41468749999999999</v>
      </c>
      <c r="G3008" s="44">
        <v>6.3</v>
      </c>
      <c r="H3008" s="43" t="s">
        <v>1360</v>
      </c>
      <c r="I3008" s="40" t="s">
        <v>1365</v>
      </c>
    </row>
    <row r="3009" spans="1:9" x14ac:dyDescent="0.25">
      <c r="A3009" s="40" t="s">
        <v>501</v>
      </c>
      <c r="B3009" s="28">
        <v>3381</v>
      </c>
      <c r="C3009" s="28" t="s">
        <v>923</v>
      </c>
      <c r="D3009" s="28"/>
      <c r="E3009" s="45">
        <v>46158</v>
      </c>
      <c r="F3009" s="48">
        <v>0.4246064814814815</v>
      </c>
      <c r="G3009" s="44">
        <v>6.3</v>
      </c>
      <c r="H3009" s="43" t="s">
        <v>1362</v>
      </c>
      <c r="I3009" s="40" t="s">
        <v>1365</v>
      </c>
    </row>
    <row r="3010" spans="1:9" x14ac:dyDescent="0.25">
      <c r="A3010" s="40" t="s">
        <v>501</v>
      </c>
      <c r="B3010" s="28">
        <v>3381</v>
      </c>
      <c r="C3010" s="28" t="s">
        <v>924</v>
      </c>
      <c r="D3010" s="28"/>
      <c r="E3010" s="41">
        <v>46158</v>
      </c>
      <c r="F3010" s="47">
        <v>0.50396990740740744</v>
      </c>
      <c r="G3010" s="44">
        <v>6.3</v>
      </c>
      <c r="H3010" s="43" t="s">
        <v>1363</v>
      </c>
      <c r="I3010" s="40" t="s">
        <v>1365</v>
      </c>
    </row>
    <row r="3011" spans="1:9" x14ac:dyDescent="0.25">
      <c r="A3011" s="40" t="s">
        <v>501</v>
      </c>
      <c r="B3011" s="28">
        <v>3381</v>
      </c>
      <c r="C3011" s="28" t="s">
        <v>924</v>
      </c>
      <c r="D3011" s="28"/>
      <c r="E3011" s="41">
        <v>46158</v>
      </c>
      <c r="F3011" s="47">
        <v>0.51013888888888892</v>
      </c>
      <c r="G3011" s="44">
        <v>6.3</v>
      </c>
      <c r="H3011" s="43" t="s">
        <v>1364</v>
      </c>
      <c r="I3011" s="40" t="s">
        <v>1365</v>
      </c>
    </row>
    <row r="3012" spans="1:9" x14ac:dyDescent="0.25">
      <c r="A3012" s="40" t="s">
        <v>501</v>
      </c>
      <c r="B3012" s="28">
        <v>3381</v>
      </c>
      <c r="C3012" s="28" t="s">
        <v>925</v>
      </c>
      <c r="D3012" s="28"/>
      <c r="E3012" s="41">
        <v>46158</v>
      </c>
      <c r="F3012" s="47">
        <v>0.62430555555555556</v>
      </c>
      <c r="G3012" s="44">
        <v>6.3</v>
      </c>
      <c r="H3012" s="43" t="s">
        <v>1360</v>
      </c>
      <c r="I3012" s="40" t="s">
        <v>1365</v>
      </c>
    </row>
    <row r="3013" spans="1:9" x14ac:dyDescent="0.25">
      <c r="A3013" s="40" t="s">
        <v>501</v>
      </c>
      <c r="B3013" s="28">
        <v>3381</v>
      </c>
      <c r="C3013" s="28" t="s">
        <v>925</v>
      </c>
      <c r="D3013" s="28"/>
      <c r="E3013" s="41">
        <v>46158</v>
      </c>
      <c r="F3013" s="47">
        <v>0.63451388888888893</v>
      </c>
      <c r="G3013" s="44">
        <v>6.3</v>
      </c>
      <c r="H3013" s="43" t="s">
        <v>1362</v>
      </c>
      <c r="I3013" s="40" t="s">
        <v>1365</v>
      </c>
    </row>
    <row r="3014" spans="1:9" x14ac:dyDescent="0.25">
      <c r="A3014" s="40" t="s">
        <v>378</v>
      </c>
      <c r="B3014" s="28">
        <v>3386</v>
      </c>
      <c r="C3014" s="28">
        <v>5663244</v>
      </c>
      <c r="D3014" s="28"/>
      <c r="E3014" s="41">
        <v>46154</v>
      </c>
      <c r="F3014" s="47">
        <v>0.35577546296296297</v>
      </c>
      <c r="G3014" s="44">
        <v>6.3</v>
      </c>
      <c r="H3014" s="43" t="s">
        <v>1360</v>
      </c>
      <c r="I3014" s="40" t="s">
        <v>1361</v>
      </c>
    </row>
    <row r="3015" spans="1:9" x14ac:dyDescent="0.25">
      <c r="A3015" s="40" t="s">
        <v>378</v>
      </c>
      <c r="B3015" s="28">
        <v>3386</v>
      </c>
      <c r="C3015" s="28">
        <v>5663244</v>
      </c>
      <c r="D3015" s="28"/>
      <c r="E3015" s="41">
        <v>46154</v>
      </c>
      <c r="F3015" s="47">
        <v>0.37078703703703703</v>
      </c>
      <c r="G3015" s="44">
        <v>6.3</v>
      </c>
      <c r="H3015" s="43" t="s">
        <v>1362</v>
      </c>
      <c r="I3015" s="40" t="s">
        <v>1361</v>
      </c>
    </row>
    <row r="3016" spans="1:9" x14ac:dyDescent="0.25">
      <c r="A3016" s="40" t="s">
        <v>378</v>
      </c>
      <c r="B3016" s="28">
        <v>3386</v>
      </c>
      <c r="C3016" s="28" t="s">
        <v>35</v>
      </c>
      <c r="D3016" s="28" t="s">
        <v>38</v>
      </c>
      <c r="E3016" s="41">
        <v>46154</v>
      </c>
      <c r="F3016" s="47">
        <v>0.40674768518518517</v>
      </c>
      <c r="G3016" s="42">
        <v>6.3</v>
      </c>
      <c r="H3016" s="40" t="s">
        <v>1363</v>
      </c>
      <c r="I3016" s="40" t="s">
        <v>1361</v>
      </c>
    </row>
    <row r="3017" spans="1:9" x14ac:dyDescent="0.25">
      <c r="A3017" s="40" t="s">
        <v>378</v>
      </c>
      <c r="B3017" s="28">
        <v>3386</v>
      </c>
      <c r="C3017" s="28">
        <v>5671213</v>
      </c>
      <c r="D3017" s="28"/>
      <c r="E3017" s="41">
        <v>46158</v>
      </c>
      <c r="F3017" s="47">
        <v>0.22550925925925927</v>
      </c>
      <c r="G3017" s="42">
        <v>6.3</v>
      </c>
      <c r="H3017" s="40" t="s">
        <v>1360</v>
      </c>
      <c r="I3017" s="40" t="s">
        <v>1365</v>
      </c>
    </row>
    <row r="3018" spans="1:9" x14ac:dyDescent="0.25">
      <c r="A3018" s="40" t="s">
        <v>378</v>
      </c>
      <c r="B3018" s="28">
        <v>3386</v>
      </c>
      <c r="C3018" s="28">
        <v>5671213</v>
      </c>
      <c r="D3018" s="28"/>
      <c r="E3018" s="41">
        <v>46158</v>
      </c>
      <c r="F3018" s="47">
        <v>0.23326388888888888</v>
      </c>
      <c r="G3018" s="44">
        <v>6.3</v>
      </c>
      <c r="H3018" s="43" t="s">
        <v>1362</v>
      </c>
      <c r="I3018" s="40" t="s">
        <v>1365</v>
      </c>
    </row>
    <row r="3019" spans="1:9" x14ac:dyDescent="0.25">
      <c r="A3019" s="40" t="s">
        <v>378</v>
      </c>
      <c r="B3019" s="28">
        <v>3386</v>
      </c>
      <c r="C3019" s="28" t="s">
        <v>35</v>
      </c>
      <c r="D3019" s="28" t="s">
        <v>38</v>
      </c>
      <c r="E3019" s="41">
        <v>46158</v>
      </c>
      <c r="F3019" s="47">
        <v>0.98306712962962961</v>
      </c>
      <c r="G3019" s="44">
        <v>6.3</v>
      </c>
      <c r="H3019" s="43" t="s">
        <v>1364</v>
      </c>
      <c r="I3019" s="40" t="s">
        <v>1365</v>
      </c>
    </row>
    <row r="3020" spans="1:9" x14ac:dyDescent="0.25">
      <c r="A3020" s="40" t="s">
        <v>172</v>
      </c>
      <c r="B3020" s="28">
        <v>3398</v>
      </c>
      <c r="C3020" s="28">
        <v>5663440</v>
      </c>
      <c r="D3020" s="28"/>
      <c r="E3020" s="41">
        <v>46153</v>
      </c>
      <c r="F3020" s="47">
        <v>0.84715277777777775</v>
      </c>
      <c r="G3020" s="44">
        <v>6.3</v>
      </c>
      <c r="H3020" s="43" t="s">
        <v>1360</v>
      </c>
      <c r="I3020" s="40" t="s">
        <v>1361</v>
      </c>
    </row>
    <row r="3021" spans="1:9" x14ac:dyDescent="0.25">
      <c r="A3021" s="40" t="s">
        <v>172</v>
      </c>
      <c r="B3021" s="28">
        <v>3398</v>
      </c>
      <c r="C3021" s="28">
        <v>5663440</v>
      </c>
      <c r="D3021" s="28"/>
      <c r="E3021" s="41">
        <v>46153</v>
      </c>
      <c r="F3021" s="47">
        <v>0.85570601851851846</v>
      </c>
      <c r="G3021" s="44">
        <v>6.3</v>
      </c>
      <c r="H3021" s="43" t="s">
        <v>1362</v>
      </c>
      <c r="I3021" s="40" t="s">
        <v>1361</v>
      </c>
    </row>
    <row r="3022" spans="1:9" x14ac:dyDescent="0.25">
      <c r="A3022" s="40" t="s">
        <v>172</v>
      </c>
      <c r="B3022" s="28">
        <v>3398</v>
      </c>
      <c r="C3022" s="28" t="s">
        <v>926</v>
      </c>
      <c r="D3022" s="28"/>
      <c r="E3022" s="41">
        <v>46154</v>
      </c>
      <c r="F3022" s="47">
        <v>0.58833333333333337</v>
      </c>
      <c r="G3022" s="44">
        <v>6.3</v>
      </c>
      <c r="H3022" s="43" t="s">
        <v>1360</v>
      </c>
      <c r="I3022" s="40" t="s">
        <v>1361</v>
      </c>
    </row>
    <row r="3023" spans="1:9" x14ac:dyDescent="0.25">
      <c r="A3023" s="40" t="s">
        <v>172</v>
      </c>
      <c r="B3023" s="28">
        <v>3398</v>
      </c>
      <c r="C3023" s="28" t="s">
        <v>926</v>
      </c>
      <c r="D3023" s="28"/>
      <c r="E3023" s="41">
        <v>46154</v>
      </c>
      <c r="F3023" s="47">
        <v>0.59849537037037037</v>
      </c>
      <c r="G3023" s="44">
        <v>6.3</v>
      </c>
      <c r="H3023" s="43" t="s">
        <v>1368</v>
      </c>
      <c r="I3023" s="40" t="s">
        <v>1361</v>
      </c>
    </row>
    <row r="3024" spans="1:9" x14ac:dyDescent="0.25">
      <c r="A3024" s="40" t="s">
        <v>172</v>
      </c>
      <c r="B3024" s="28">
        <v>3398</v>
      </c>
      <c r="C3024" s="28" t="s">
        <v>927</v>
      </c>
      <c r="D3024" s="28"/>
      <c r="E3024" s="41">
        <v>46156</v>
      </c>
      <c r="F3024" s="47">
        <v>0.53984953703703709</v>
      </c>
      <c r="G3024" s="44">
        <v>6.3</v>
      </c>
      <c r="H3024" s="43" t="s">
        <v>1369</v>
      </c>
      <c r="I3024" s="40" t="s">
        <v>1361</v>
      </c>
    </row>
    <row r="3025" spans="1:9" x14ac:dyDescent="0.25">
      <c r="A3025" s="40" t="s">
        <v>172</v>
      </c>
      <c r="B3025" s="28">
        <v>3398</v>
      </c>
      <c r="C3025" s="28" t="s">
        <v>927</v>
      </c>
      <c r="D3025" s="28"/>
      <c r="E3025" s="41">
        <v>46156</v>
      </c>
      <c r="F3025" s="47">
        <v>0.5456481481481481</v>
      </c>
      <c r="G3025" s="44">
        <v>6.3</v>
      </c>
      <c r="H3025" s="43" t="s">
        <v>1364</v>
      </c>
      <c r="I3025" s="40" t="s">
        <v>1361</v>
      </c>
    </row>
    <row r="3026" spans="1:9" x14ac:dyDescent="0.25">
      <c r="A3026" s="40" t="s">
        <v>172</v>
      </c>
      <c r="B3026" s="28">
        <v>3398</v>
      </c>
      <c r="C3026" s="28">
        <v>5668887</v>
      </c>
      <c r="D3026" s="28"/>
      <c r="E3026" s="41">
        <v>46156</v>
      </c>
      <c r="F3026" s="47">
        <v>0.78819444444444442</v>
      </c>
      <c r="G3026" s="44">
        <v>6.3</v>
      </c>
      <c r="H3026" s="43" t="s">
        <v>1363</v>
      </c>
      <c r="I3026" s="40" t="s">
        <v>1361</v>
      </c>
    </row>
    <row r="3027" spans="1:9" x14ac:dyDescent="0.25">
      <c r="A3027" s="40" t="s">
        <v>172</v>
      </c>
      <c r="B3027" s="28">
        <v>3398</v>
      </c>
      <c r="C3027" s="28">
        <v>5669158</v>
      </c>
      <c r="D3027" s="28"/>
      <c r="E3027" s="41">
        <v>46156</v>
      </c>
      <c r="F3027" s="47">
        <v>0.94354166666666661</v>
      </c>
      <c r="G3027" s="44">
        <v>6.3</v>
      </c>
      <c r="H3027" s="43" t="s">
        <v>1360</v>
      </c>
      <c r="I3027" s="40" t="s">
        <v>1361</v>
      </c>
    </row>
    <row r="3028" spans="1:9" x14ac:dyDescent="0.25">
      <c r="A3028" s="40" t="s">
        <v>172</v>
      </c>
      <c r="B3028" s="28">
        <v>3398</v>
      </c>
      <c r="C3028" s="28">
        <v>5669158</v>
      </c>
      <c r="D3028" s="28"/>
      <c r="E3028" s="45">
        <v>46156</v>
      </c>
      <c r="F3028" s="48">
        <v>0.95026620370370374</v>
      </c>
      <c r="G3028" s="44">
        <v>6.3</v>
      </c>
      <c r="H3028" s="43" t="s">
        <v>1368</v>
      </c>
      <c r="I3028" s="40" t="s">
        <v>1361</v>
      </c>
    </row>
    <row r="3029" spans="1:9" x14ac:dyDescent="0.25">
      <c r="A3029" s="40" t="s">
        <v>172</v>
      </c>
      <c r="B3029" s="28">
        <v>3398</v>
      </c>
      <c r="C3029" s="28" t="s">
        <v>35</v>
      </c>
      <c r="D3029" s="28" t="s">
        <v>38</v>
      </c>
      <c r="E3029" s="41">
        <v>46157</v>
      </c>
      <c r="F3029" s="47">
        <v>0.47064814814814815</v>
      </c>
      <c r="G3029" s="44">
        <v>6.3</v>
      </c>
      <c r="H3029" s="43" t="s">
        <v>1360</v>
      </c>
      <c r="I3029" s="40" t="s">
        <v>1361</v>
      </c>
    </row>
    <row r="3030" spans="1:9" x14ac:dyDescent="0.25">
      <c r="A3030" s="40" t="s">
        <v>172</v>
      </c>
      <c r="B3030" s="28">
        <v>3398</v>
      </c>
      <c r="C3030" s="28" t="s">
        <v>35</v>
      </c>
      <c r="D3030" s="28" t="s">
        <v>38</v>
      </c>
      <c r="E3030" s="41">
        <v>46157</v>
      </c>
      <c r="F3030" s="47">
        <v>0.48175925925925928</v>
      </c>
      <c r="G3030" s="44">
        <v>6.3</v>
      </c>
      <c r="H3030" s="43" t="s">
        <v>1362</v>
      </c>
      <c r="I3030" s="40" t="s">
        <v>1361</v>
      </c>
    </row>
    <row r="3031" spans="1:9" x14ac:dyDescent="0.25">
      <c r="A3031" s="40" t="s">
        <v>172</v>
      </c>
      <c r="B3031" s="28">
        <v>3398</v>
      </c>
      <c r="C3031" s="28">
        <v>10678498</v>
      </c>
      <c r="D3031" s="28"/>
      <c r="E3031" s="41">
        <v>46158</v>
      </c>
      <c r="F3031" s="47">
        <v>0.57230324074074079</v>
      </c>
      <c r="G3031" s="44">
        <v>6.3</v>
      </c>
      <c r="H3031" s="43" t="s">
        <v>1364</v>
      </c>
      <c r="I3031" s="40" t="s">
        <v>1365</v>
      </c>
    </row>
    <row r="3032" spans="1:9" x14ac:dyDescent="0.25">
      <c r="A3032" s="40" t="s">
        <v>172</v>
      </c>
      <c r="B3032" s="28">
        <v>3398</v>
      </c>
      <c r="C3032" s="28">
        <v>5671447</v>
      </c>
      <c r="D3032" s="28"/>
      <c r="E3032" s="41">
        <v>46158</v>
      </c>
      <c r="F3032" s="47">
        <v>0.64239583333333339</v>
      </c>
      <c r="G3032" s="44">
        <v>6.3</v>
      </c>
      <c r="H3032" s="43" t="s">
        <v>1360</v>
      </c>
      <c r="I3032" s="40" t="s">
        <v>1365</v>
      </c>
    </row>
    <row r="3033" spans="1:9" x14ac:dyDescent="0.25">
      <c r="A3033" s="40" t="s">
        <v>172</v>
      </c>
      <c r="B3033" s="28">
        <v>3398</v>
      </c>
      <c r="C3033" s="28" t="s">
        <v>928</v>
      </c>
      <c r="D3033" s="28"/>
      <c r="E3033" s="41">
        <v>46158</v>
      </c>
      <c r="F3033" s="47">
        <v>0.7286111111111111</v>
      </c>
      <c r="G3033" s="44">
        <v>6.3</v>
      </c>
      <c r="H3033" s="43" t="s">
        <v>1364</v>
      </c>
      <c r="I3033" s="40" t="s">
        <v>1365</v>
      </c>
    </row>
    <row r="3034" spans="1:9" x14ac:dyDescent="0.25">
      <c r="A3034" s="40" t="s">
        <v>172</v>
      </c>
      <c r="B3034" s="28">
        <v>3398</v>
      </c>
      <c r="C3034" s="28">
        <v>5671926</v>
      </c>
      <c r="D3034" s="28"/>
      <c r="E3034" s="41">
        <v>46158</v>
      </c>
      <c r="F3034" s="47">
        <v>0.99890046296296298</v>
      </c>
      <c r="G3034" s="44">
        <v>6.3</v>
      </c>
      <c r="H3034" s="43" t="s">
        <v>1360</v>
      </c>
      <c r="I3034" s="40" t="s">
        <v>1365</v>
      </c>
    </row>
    <row r="3035" spans="1:9" x14ac:dyDescent="0.25">
      <c r="A3035" s="40" t="s">
        <v>172</v>
      </c>
      <c r="B3035" s="28">
        <v>3398</v>
      </c>
      <c r="C3035" s="28">
        <v>5671926</v>
      </c>
      <c r="D3035" s="28"/>
      <c r="E3035" s="41">
        <v>46159</v>
      </c>
      <c r="F3035" s="47">
        <v>6.7245370370370367E-3</v>
      </c>
      <c r="G3035" s="44">
        <v>6.3</v>
      </c>
      <c r="H3035" s="43" t="s">
        <v>1368</v>
      </c>
      <c r="I3035" s="40" t="s">
        <v>1365</v>
      </c>
    </row>
    <row r="3036" spans="1:9" x14ac:dyDescent="0.25">
      <c r="A3036" s="40" t="s">
        <v>172</v>
      </c>
      <c r="B3036" s="28">
        <v>3398</v>
      </c>
      <c r="C3036" s="28">
        <v>5672372</v>
      </c>
      <c r="D3036" s="28"/>
      <c r="E3036" s="41">
        <v>46159</v>
      </c>
      <c r="F3036" s="47">
        <v>0.49995370370370368</v>
      </c>
      <c r="G3036" s="44">
        <v>6.3</v>
      </c>
      <c r="H3036" s="43" t="s">
        <v>1363</v>
      </c>
      <c r="I3036" s="40" t="s">
        <v>1365</v>
      </c>
    </row>
    <row r="3037" spans="1:9" x14ac:dyDescent="0.25">
      <c r="A3037" s="40" t="s">
        <v>172</v>
      </c>
      <c r="B3037" s="28">
        <v>3398</v>
      </c>
      <c r="C3037" s="28">
        <v>5672372</v>
      </c>
      <c r="D3037" s="28"/>
      <c r="E3037" s="41">
        <v>46159</v>
      </c>
      <c r="F3037" s="47">
        <v>0.50564814814814818</v>
      </c>
      <c r="G3037" s="42">
        <v>6.3</v>
      </c>
      <c r="H3037" s="40" t="s">
        <v>1364</v>
      </c>
      <c r="I3037" s="40" t="s">
        <v>1365</v>
      </c>
    </row>
    <row r="3038" spans="1:9" x14ac:dyDescent="0.25">
      <c r="A3038" s="40" t="s">
        <v>172</v>
      </c>
      <c r="B3038" s="28">
        <v>3398</v>
      </c>
      <c r="C3038" s="28" t="s">
        <v>929</v>
      </c>
      <c r="D3038" s="28"/>
      <c r="E3038" s="41">
        <v>46159</v>
      </c>
      <c r="F3038" s="47">
        <v>0.5865393518518518</v>
      </c>
      <c r="G3038" s="44">
        <v>6.3</v>
      </c>
      <c r="H3038" s="43" t="s">
        <v>1360</v>
      </c>
      <c r="I3038" s="40" t="s">
        <v>1365</v>
      </c>
    </row>
    <row r="3039" spans="1:9" x14ac:dyDescent="0.25">
      <c r="A3039" s="40" t="s">
        <v>172</v>
      </c>
      <c r="B3039" s="28">
        <v>3398</v>
      </c>
      <c r="C3039" s="28" t="s">
        <v>929</v>
      </c>
      <c r="D3039" s="28"/>
      <c r="E3039" s="45">
        <v>46159</v>
      </c>
      <c r="F3039" s="48">
        <v>0.59531250000000002</v>
      </c>
      <c r="G3039" s="44">
        <v>6.3</v>
      </c>
      <c r="H3039" s="43" t="s">
        <v>1368</v>
      </c>
      <c r="I3039" s="40" t="s">
        <v>1365</v>
      </c>
    </row>
    <row r="3040" spans="1:9" x14ac:dyDescent="0.25">
      <c r="A3040" s="40" t="s">
        <v>434</v>
      </c>
      <c r="B3040" s="28">
        <v>3399</v>
      </c>
      <c r="C3040" s="28" t="s">
        <v>35</v>
      </c>
      <c r="D3040" s="28" t="s">
        <v>38</v>
      </c>
      <c r="E3040" s="41">
        <v>46158</v>
      </c>
      <c r="F3040" s="47">
        <v>0.24616898148148147</v>
      </c>
      <c r="G3040" s="44">
        <v>6.3</v>
      </c>
      <c r="H3040" s="43" t="s">
        <v>1362</v>
      </c>
      <c r="I3040" s="40" t="s">
        <v>1365</v>
      </c>
    </row>
    <row r="3041" spans="1:9" x14ac:dyDescent="0.25">
      <c r="A3041" s="40" t="s">
        <v>434</v>
      </c>
      <c r="B3041" s="28">
        <v>3399</v>
      </c>
      <c r="C3041" s="28">
        <v>5671681</v>
      </c>
      <c r="D3041" s="28"/>
      <c r="E3041" s="45">
        <v>46158</v>
      </c>
      <c r="F3041" s="48">
        <v>0.97127314814814814</v>
      </c>
      <c r="G3041" s="44">
        <v>6.3</v>
      </c>
      <c r="H3041" s="43" t="s">
        <v>1363</v>
      </c>
      <c r="I3041" s="40" t="s">
        <v>1365</v>
      </c>
    </row>
    <row r="3042" spans="1:9" x14ac:dyDescent="0.25">
      <c r="A3042" s="40" t="s">
        <v>434</v>
      </c>
      <c r="B3042" s="28">
        <v>3399</v>
      </c>
      <c r="C3042" s="28">
        <v>5672141</v>
      </c>
      <c r="D3042" s="28"/>
      <c r="E3042" s="41">
        <v>46159</v>
      </c>
      <c r="F3042" s="47">
        <v>0.19203703703703703</v>
      </c>
      <c r="G3042" s="44">
        <v>6.3</v>
      </c>
      <c r="H3042" s="43" t="s">
        <v>1363</v>
      </c>
      <c r="I3042" s="40" t="s">
        <v>1365</v>
      </c>
    </row>
    <row r="3043" spans="1:9" x14ac:dyDescent="0.25">
      <c r="A3043" s="40" t="s">
        <v>434</v>
      </c>
      <c r="B3043" s="28">
        <v>3399</v>
      </c>
      <c r="C3043" s="28">
        <v>5672635</v>
      </c>
      <c r="D3043" s="28"/>
      <c r="E3043" s="41">
        <v>46159</v>
      </c>
      <c r="F3043" s="47">
        <v>0.61552083333333329</v>
      </c>
      <c r="G3043" s="44">
        <v>6.3</v>
      </c>
      <c r="H3043" s="43" t="s">
        <v>1363</v>
      </c>
      <c r="I3043" s="40" t="s">
        <v>1365</v>
      </c>
    </row>
    <row r="3044" spans="1:9" x14ac:dyDescent="0.25">
      <c r="A3044" s="40" t="s">
        <v>104</v>
      </c>
      <c r="B3044" s="28">
        <v>3411</v>
      </c>
      <c r="C3044" s="28" t="s">
        <v>930</v>
      </c>
      <c r="D3044" s="28"/>
      <c r="E3044" s="41">
        <v>46155</v>
      </c>
      <c r="F3044" s="47">
        <v>0.56917824074074075</v>
      </c>
      <c r="G3044" s="42">
        <v>6.3</v>
      </c>
      <c r="H3044" s="40" t="s">
        <v>1360</v>
      </c>
      <c r="I3044" s="40" t="s">
        <v>1361</v>
      </c>
    </row>
    <row r="3045" spans="1:9" x14ac:dyDescent="0.25">
      <c r="A3045" s="40" t="s">
        <v>104</v>
      </c>
      <c r="B3045" s="28">
        <v>3411</v>
      </c>
      <c r="C3045" s="28" t="s">
        <v>930</v>
      </c>
      <c r="D3045" s="28"/>
      <c r="E3045" s="41">
        <v>46155</v>
      </c>
      <c r="F3045" s="47">
        <v>0.57922453703703702</v>
      </c>
      <c r="G3045" s="44">
        <v>6.3</v>
      </c>
      <c r="H3045" s="43" t="s">
        <v>1362</v>
      </c>
      <c r="I3045" s="40" t="s">
        <v>1361</v>
      </c>
    </row>
    <row r="3046" spans="1:9" x14ac:dyDescent="0.25">
      <c r="A3046" s="40" t="s">
        <v>104</v>
      </c>
      <c r="B3046" s="28">
        <v>3411</v>
      </c>
      <c r="C3046" s="28" t="s">
        <v>931</v>
      </c>
      <c r="D3046" s="28"/>
      <c r="E3046" s="41">
        <v>46155</v>
      </c>
      <c r="F3046" s="47">
        <v>0.72888888888888892</v>
      </c>
      <c r="G3046" s="44">
        <v>6.3</v>
      </c>
      <c r="H3046" s="43" t="s">
        <v>1360</v>
      </c>
      <c r="I3046" s="40" t="s">
        <v>1361</v>
      </c>
    </row>
    <row r="3047" spans="1:9" x14ac:dyDescent="0.25">
      <c r="A3047" s="40" t="s">
        <v>104</v>
      </c>
      <c r="B3047" s="28">
        <v>3411</v>
      </c>
      <c r="C3047" s="28" t="s">
        <v>931</v>
      </c>
      <c r="D3047" s="28"/>
      <c r="E3047" s="41">
        <v>46155</v>
      </c>
      <c r="F3047" s="47">
        <v>0.74</v>
      </c>
      <c r="G3047" s="44">
        <v>6.3</v>
      </c>
      <c r="H3047" s="43" t="s">
        <v>1362</v>
      </c>
      <c r="I3047" s="40" t="s">
        <v>1361</v>
      </c>
    </row>
    <row r="3048" spans="1:9" x14ac:dyDescent="0.25">
      <c r="A3048" s="40" t="s">
        <v>104</v>
      </c>
      <c r="B3048" s="28">
        <v>3411</v>
      </c>
      <c r="C3048" s="28" t="s">
        <v>932</v>
      </c>
      <c r="D3048" s="28"/>
      <c r="E3048" s="41">
        <v>46157</v>
      </c>
      <c r="F3048" s="47">
        <v>0.31622685185185184</v>
      </c>
      <c r="G3048" s="44">
        <v>6.3</v>
      </c>
      <c r="H3048" s="43" t="s">
        <v>1360</v>
      </c>
      <c r="I3048" s="40" t="s">
        <v>1361</v>
      </c>
    </row>
    <row r="3049" spans="1:9" x14ac:dyDescent="0.25">
      <c r="A3049" s="40" t="s">
        <v>104</v>
      </c>
      <c r="B3049" s="28">
        <v>3411</v>
      </c>
      <c r="C3049" s="28" t="s">
        <v>932</v>
      </c>
      <c r="D3049" s="28"/>
      <c r="E3049" s="41">
        <v>46157</v>
      </c>
      <c r="F3049" s="47">
        <v>0.32939814814814816</v>
      </c>
      <c r="G3049" s="44">
        <v>6.3</v>
      </c>
      <c r="H3049" s="43" t="s">
        <v>1362</v>
      </c>
      <c r="I3049" s="40" t="s">
        <v>1361</v>
      </c>
    </row>
    <row r="3050" spans="1:9" x14ac:dyDescent="0.25">
      <c r="A3050" s="40" t="s">
        <v>104</v>
      </c>
      <c r="B3050" s="28">
        <v>3411</v>
      </c>
      <c r="C3050" s="28" t="s">
        <v>933</v>
      </c>
      <c r="D3050" s="28"/>
      <c r="E3050" s="45">
        <v>46157</v>
      </c>
      <c r="F3050" s="48">
        <v>0.38427083333333334</v>
      </c>
      <c r="G3050" s="44">
        <v>6.3</v>
      </c>
      <c r="H3050" s="43" t="s">
        <v>1363</v>
      </c>
      <c r="I3050" s="40" t="s">
        <v>1361</v>
      </c>
    </row>
    <row r="3051" spans="1:9" x14ac:dyDescent="0.25">
      <c r="A3051" s="40" t="s">
        <v>104</v>
      </c>
      <c r="B3051" s="28">
        <v>3411</v>
      </c>
      <c r="C3051" s="28" t="s">
        <v>933</v>
      </c>
      <c r="D3051" s="28"/>
      <c r="E3051" s="41">
        <v>46157</v>
      </c>
      <c r="F3051" s="47">
        <v>0.39201388888888888</v>
      </c>
      <c r="G3051" s="44">
        <v>6.3</v>
      </c>
      <c r="H3051" s="43" t="s">
        <v>1364</v>
      </c>
      <c r="I3051" s="40" t="s">
        <v>1361</v>
      </c>
    </row>
    <row r="3052" spans="1:9" x14ac:dyDescent="0.25">
      <c r="A3052" s="40" t="s">
        <v>104</v>
      </c>
      <c r="B3052" s="28">
        <v>3411</v>
      </c>
      <c r="C3052" s="28" t="s">
        <v>934</v>
      </c>
      <c r="D3052" s="28"/>
      <c r="E3052" s="41">
        <v>46157</v>
      </c>
      <c r="F3052" s="47">
        <v>0.73207175925925927</v>
      </c>
      <c r="G3052" s="44">
        <v>6.3</v>
      </c>
      <c r="H3052" s="43" t="s">
        <v>1360</v>
      </c>
      <c r="I3052" s="40" t="s">
        <v>1361</v>
      </c>
    </row>
    <row r="3053" spans="1:9" x14ac:dyDescent="0.25">
      <c r="A3053" s="40" t="s">
        <v>104</v>
      </c>
      <c r="B3053" s="28">
        <v>3411</v>
      </c>
      <c r="C3053" s="28" t="s">
        <v>934</v>
      </c>
      <c r="D3053" s="28"/>
      <c r="E3053" s="41">
        <v>46157</v>
      </c>
      <c r="F3053" s="47">
        <v>0.74653935185185183</v>
      </c>
      <c r="G3053" s="44">
        <v>6.3</v>
      </c>
      <c r="H3053" s="43" t="s">
        <v>1362</v>
      </c>
      <c r="I3053" s="40" t="s">
        <v>1361</v>
      </c>
    </row>
    <row r="3054" spans="1:9" x14ac:dyDescent="0.25">
      <c r="A3054" s="40" t="s">
        <v>104</v>
      </c>
      <c r="B3054" s="28">
        <v>3411</v>
      </c>
      <c r="C3054" s="28" t="s">
        <v>935</v>
      </c>
      <c r="D3054" s="28"/>
      <c r="E3054" s="41">
        <v>46157</v>
      </c>
      <c r="F3054" s="47">
        <v>0.93978009259259254</v>
      </c>
      <c r="G3054" s="44">
        <v>6.3</v>
      </c>
      <c r="H3054" s="43" t="s">
        <v>1360</v>
      </c>
      <c r="I3054" s="40" t="s">
        <v>1361</v>
      </c>
    </row>
    <row r="3055" spans="1:9" x14ac:dyDescent="0.25">
      <c r="A3055" s="40" t="s">
        <v>104</v>
      </c>
      <c r="B3055" s="28">
        <v>3411</v>
      </c>
      <c r="C3055" s="28" t="s">
        <v>935</v>
      </c>
      <c r="D3055" s="28"/>
      <c r="E3055" s="41">
        <v>46157</v>
      </c>
      <c r="F3055" s="47">
        <v>0.94694444444444448</v>
      </c>
      <c r="G3055" s="42">
        <v>6.3</v>
      </c>
      <c r="H3055" s="40" t="s">
        <v>1362</v>
      </c>
      <c r="I3055" s="40" t="s">
        <v>1361</v>
      </c>
    </row>
    <row r="3056" spans="1:9" x14ac:dyDescent="0.25">
      <c r="A3056" s="40" t="s">
        <v>104</v>
      </c>
      <c r="B3056" s="28">
        <v>3411</v>
      </c>
      <c r="C3056" s="28" t="s">
        <v>936</v>
      </c>
      <c r="D3056" s="28"/>
      <c r="E3056" s="41">
        <v>46158</v>
      </c>
      <c r="F3056" s="47">
        <v>0.36453703703703705</v>
      </c>
      <c r="G3056" s="44">
        <v>6.3</v>
      </c>
      <c r="H3056" s="43" t="s">
        <v>1360</v>
      </c>
      <c r="I3056" s="40" t="s">
        <v>1365</v>
      </c>
    </row>
    <row r="3057" spans="1:9" x14ac:dyDescent="0.25">
      <c r="A3057" s="40" t="s">
        <v>104</v>
      </c>
      <c r="B3057" s="28">
        <v>3411</v>
      </c>
      <c r="C3057" s="28" t="s">
        <v>936</v>
      </c>
      <c r="D3057" s="28"/>
      <c r="E3057" s="41">
        <v>46158</v>
      </c>
      <c r="F3057" s="47">
        <v>0.37480324074074073</v>
      </c>
      <c r="G3057" s="44">
        <v>6.3</v>
      </c>
      <c r="H3057" s="43" t="s">
        <v>1362</v>
      </c>
      <c r="I3057" s="40" t="s">
        <v>1365</v>
      </c>
    </row>
    <row r="3058" spans="1:9" x14ac:dyDescent="0.25">
      <c r="A3058" s="40" t="s">
        <v>104</v>
      </c>
      <c r="B3058" s="28">
        <v>3411</v>
      </c>
      <c r="C3058" s="28" t="s">
        <v>937</v>
      </c>
      <c r="D3058" s="28"/>
      <c r="E3058" s="41">
        <v>46158</v>
      </c>
      <c r="F3058" s="47">
        <v>0.52285879629629628</v>
      </c>
      <c r="G3058" s="44">
        <v>6.3</v>
      </c>
      <c r="H3058" s="43" t="s">
        <v>1363</v>
      </c>
      <c r="I3058" s="40" t="s">
        <v>1365</v>
      </c>
    </row>
    <row r="3059" spans="1:9" x14ac:dyDescent="0.25">
      <c r="A3059" s="40" t="s">
        <v>104</v>
      </c>
      <c r="B3059" s="28">
        <v>3411</v>
      </c>
      <c r="C3059" s="28" t="s">
        <v>937</v>
      </c>
      <c r="D3059" s="28"/>
      <c r="E3059" s="41">
        <v>46158</v>
      </c>
      <c r="F3059" s="47">
        <v>0.52962962962962967</v>
      </c>
      <c r="G3059" s="44">
        <v>6.3</v>
      </c>
      <c r="H3059" s="43" t="s">
        <v>1364</v>
      </c>
      <c r="I3059" s="40" t="s">
        <v>1365</v>
      </c>
    </row>
    <row r="3060" spans="1:9" x14ac:dyDescent="0.25">
      <c r="A3060" s="40" t="s">
        <v>166</v>
      </c>
      <c r="B3060" s="28">
        <v>3424</v>
      </c>
      <c r="C3060" s="28" t="s">
        <v>35</v>
      </c>
      <c r="D3060" s="28" t="s">
        <v>38</v>
      </c>
      <c r="E3060" s="41">
        <v>46154</v>
      </c>
      <c r="F3060" s="47">
        <v>6.6643518518518519E-2</v>
      </c>
      <c r="G3060" s="44">
        <v>6.3</v>
      </c>
      <c r="H3060" s="43" t="s">
        <v>1363</v>
      </c>
      <c r="I3060" s="40" t="s">
        <v>1361</v>
      </c>
    </row>
    <row r="3061" spans="1:9" x14ac:dyDescent="0.25">
      <c r="A3061" s="40" t="s">
        <v>166</v>
      </c>
      <c r="B3061" s="28">
        <v>3424</v>
      </c>
      <c r="C3061" s="28" t="s">
        <v>35</v>
      </c>
      <c r="D3061" s="28" t="s">
        <v>38</v>
      </c>
      <c r="E3061" s="41">
        <v>46155</v>
      </c>
      <c r="F3061" s="47">
        <v>2.7800925925925927E-2</v>
      </c>
      <c r="G3061" s="44">
        <v>6.3</v>
      </c>
      <c r="H3061" s="43" t="s">
        <v>1360</v>
      </c>
      <c r="I3061" s="40" t="s">
        <v>1361</v>
      </c>
    </row>
    <row r="3062" spans="1:9" x14ac:dyDescent="0.25">
      <c r="A3062" s="40" t="s">
        <v>166</v>
      </c>
      <c r="B3062" s="28">
        <v>3424</v>
      </c>
      <c r="C3062" s="28" t="s">
        <v>35</v>
      </c>
      <c r="D3062" s="28" t="s">
        <v>38</v>
      </c>
      <c r="E3062" s="41">
        <v>46155</v>
      </c>
      <c r="F3062" s="47">
        <v>3.4178240740740738E-2</v>
      </c>
      <c r="G3062" s="44">
        <v>6.3</v>
      </c>
      <c r="H3062" s="43" t="s">
        <v>1362</v>
      </c>
      <c r="I3062" s="40" t="s">
        <v>1361</v>
      </c>
    </row>
    <row r="3063" spans="1:9" x14ac:dyDescent="0.25">
      <c r="A3063" s="40" t="s">
        <v>166</v>
      </c>
      <c r="B3063" s="28">
        <v>3424</v>
      </c>
      <c r="C3063" s="28" t="s">
        <v>35</v>
      </c>
      <c r="D3063" s="28" t="s">
        <v>38</v>
      </c>
      <c r="E3063" s="45">
        <v>46155</v>
      </c>
      <c r="F3063" s="48">
        <v>5.7326388888888892E-2</v>
      </c>
      <c r="G3063" s="44">
        <v>6.3</v>
      </c>
      <c r="H3063" s="43" t="s">
        <v>1363</v>
      </c>
      <c r="I3063" s="40" t="s">
        <v>1361</v>
      </c>
    </row>
    <row r="3064" spans="1:9" x14ac:dyDescent="0.25">
      <c r="A3064" s="40" t="s">
        <v>166</v>
      </c>
      <c r="B3064" s="28">
        <v>3424</v>
      </c>
      <c r="C3064" s="28">
        <v>5667167</v>
      </c>
      <c r="D3064" s="28" t="s">
        <v>36</v>
      </c>
      <c r="E3064" s="41">
        <v>46156</v>
      </c>
      <c r="F3064" s="47">
        <v>0.25762731481481482</v>
      </c>
      <c r="G3064" s="44">
        <v>6.3</v>
      </c>
      <c r="H3064" s="43" t="s">
        <v>1360</v>
      </c>
      <c r="I3064" s="40" t="s">
        <v>1361</v>
      </c>
    </row>
    <row r="3065" spans="1:9" x14ac:dyDescent="0.25">
      <c r="A3065" s="40" t="s">
        <v>166</v>
      </c>
      <c r="B3065" s="28">
        <v>3424</v>
      </c>
      <c r="C3065" s="28">
        <v>5667167</v>
      </c>
      <c r="D3065" s="28" t="s">
        <v>36</v>
      </c>
      <c r="E3065" s="41">
        <v>46156</v>
      </c>
      <c r="F3065" s="47">
        <v>0.27240740740740743</v>
      </c>
      <c r="G3065" s="44">
        <v>6.3</v>
      </c>
      <c r="H3065" s="43" t="s">
        <v>1362</v>
      </c>
      <c r="I3065" s="40" t="s">
        <v>1361</v>
      </c>
    </row>
    <row r="3066" spans="1:9" x14ac:dyDescent="0.25">
      <c r="A3066" s="40" t="s">
        <v>166</v>
      </c>
      <c r="B3066" s="28">
        <v>3424</v>
      </c>
      <c r="C3066" s="28">
        <v>5664773</v>
      </c>
      <c r="D3066" s="28"/>
      <c r="E3066" s="41">
        <v>46157</v>
      </c>
      <c r="F3066" s="47">
        <v>0.25785879629629632</v>
      </c>
      <c r="G3066" s="44">
        <v>6.3</v>
      </c>
      <c r="H3066" s="43" t="s">
        <v>1360</v>
      </c>
      <c r="I3066" s="40" t="s">
        <v>1361</v>
      </c>
    </row>
    <row r="3067" spans="1:9" x14ac:dyDescent="0.25">
      <c r="A3067" s="40" t="s">
        <v>166</v>
      </c>
      <c r="B3067" s="28">
        <v>3424</v>
      </c>
      <c r="C3067" s="28">
        <v>5664773</v>
      </c>
      <c r="D3067" s="28"/>
      <c r="E3067" s="41">
        <v>46157</v>
      </c>
      <c r="F3067" s="47">
        <v>0.26927083333333335</v>
      </c>
      <c r="G3067" s="42">
        <v>6.3</v>
      </c>
      <c r="H3067" s="40" t="s">
        <v>1362</v>
      </c>
      <c r="I3067" s="40" t="s">
        <v>1361</v>
      </c>
    </row>
    <row r="3068" spans="1:9" x14ac:dyDescent="0.25">
      <c r="A3068" s="40" t="s">
        <v>166</v>
      </c>
      <c r="B3068" s="28">
        <v>3424</v>
      </c>
      <c r="C3068" s="28" t="s">
        <v>938</v>
      </c>
      <c r="D3068" s="28"/>
      <c r="E3068" s="41">
        <v>46158</v>
      </c>
      <c r="F3068" s="47">
        <v>2.2916666666666665E-2</v>
      </c>
      <c r="G3068" s="42">
        <v>6.3</v>
      </c>
      <c r="H3068" s="40" t="s">
        <v>1360</v>
      </c>
      <c r="I3068" s="40" t="s">
        <v>1365</v>
      </c>
    </row>
    <row r="3069" spans="1:9" x14ac:dyDescent="0.25">
      <c r="A3069" s="40" t="s">
        <v>166</v>
      </c>
      <c r="B3069" s="28">
        <v>3424</v>
      </c>
      <c r="C3069" s="28" t="s">
        <v>938</v>
      </c>
      <c r="D3069" s="28"/>
      <c r="E3069" s="45">
        <v>46158</v>
      </c>
      <c r="F3069" s="48">
        <v>3.048611111111111E-2</v>
      </c>
      <c r="G3069" s="42">
        <v>6.3</v>
      </c>
      <c r="H3069" s="40" t="s">
        <v>1362</v>
      </c>
      <c r="I3069" s="40" t="s">
        <v>1365</v>
      </c>
    </row>
    <row r="3070" spans="1:9" x14ac:dyDescent="0.25">
      <c r="A3070" s="40" t="s">
        <v>166</v>
      </c>
      <c r="B3070" s="28">
        <v>3424</v>
      </c>
      <c r="C3070" s="28" t="s">
        <v>35</v>
      </c>
      <c r="D3070" s="28" t="s">
        <v>38</v>
      </c>
      <c r="E3070" s="41">
        <v>46158</v>
      </c>
      <c r="F3070" s="47">
        <v>4.8263888888888891E-2</v>
      </c>
      <c r="G3070" s="42">
        <v>6.3</v>
      </c>
      <c r="H3070" s="40" t="s">
        <v>1363</v>
      </c>
      <c r="I3070" s="40" t="s">
        <v>1365</v>
      </c>
    </row>
    <row r="3071" spans="1:9" x14ac:dyDescent="0.25">
      <c r="A3071" s="40" t="s">
        <v>166</v>
      </c>
      <c r="B3071" s="28">
        <v>3424</v>
      </c>
      <c r="C3071" s="28">
        <v>5672433</v>
      </c>
      <c r="D3071" s="28"/>
      <c r="E3071" s="41">
        <v>46159</v>
      </c>
      <c r="F3071" s="47">
        <v>0.47138888888888891</v>
      </c>
      <c r="G3071" s="42">
        <v>6.3</v>
      </c>
      <c r="H3071" s="40" t="s">
        <v>1360</v>
      </c>
      <c r="I3071" s="40" t="s">
        <v>1365</v>
      </c>
    </row>
    <row r="3072" spans="1:9" x14ac:dyDescent="0.25">
      <c r="A3072" s="40" t="s">
        <v>166</v>
      </c>
      <c r="B3072" s="28">
        <v>3424</v>
      </c>
      <c r="C3072" s="28">
        <v>5672433</v>
      </c>
      <c r="D3072" s="28"/>
      <c r="E3072" s="45">
        <v>46159</v>
      </c>
      <c r="F3072" s="48">
        <v>0.47857638888888887</v>
      </c>
      <c r="G3072" s="44">
        <v>6.3</v>
      </c>
      <c r="H3072" s="43" t="s">
        <v>1362</v>
      </c>
      <c r="I3072" s="40" t="s">
        <v>1365</v>
      </c>
    </row>
    <row r="3073" spans="1:9" x14ac:dyDescent="0.25">
      <c r="A3073" s="40" t="s">
        <v>166</v>
      </c>
      <c r="B3073" s="28">
        <v>3424</v>
      </c>
      <c r="C3073" s="28" t="s">
        <v>35</v>
      </c>
      <c r="D3073" s="28" t="s">
        <v>38</v>
      </c>
      <c r="E3073" s="41">
        <v>46159</v>
      </c>
      <c r="F3073" s="47">
        <v>0.49782407407407409</v>
      </c>
      <c r="G3073" s="44">
        <v>6.3</v>
      </c>
      <c r="H3073" s="43" t="s">
        <v>1363</v>
      </c>
      <c r="I3073" s="40" t="s">
        <v>1365</v>
      </c>
    </row>
    <row r="3074" spans="1:9" x14ac:dyDescent="0.25">
      <c r="A3074" s="40" t="s">
        <v>166</v>
      </c>
      <c r="B3074" s="28">
        <v>3424</v>
      </c>
      <c r="C3074" s="28">
        <v>5673553</v>
      </c>
      <c r="D3074" s="28"/>
      <c r="E3074" s="41">
        <v>46159</v>
      </c>
      <c r="F3074" s="47">
        <v>0.9572222222222222</v>
      </c>
      <c r="G3074" s="44">
        <v>6.3</v>
      </c>
      <c r="H3074" s="43" t="s">
        <v>1360</v>
      </c>
      <c r="I3074" s="40" t="s">
        <v>1365</v>
      </c>
    </row>
    <row r="3075" spans="1:9" x14ac:dyDescent="0.25">
      <c r="A3075" s="40" t="s">
        <v>166</v>
      </c>
      <c r="B3075" s="28">
        <v>3424</v>
      </c>
      <c r="C3075" s="28">
        <v>5673553</v>
      </c>
      <c r="D3075" s="28"/>
      <c r="E3075" s="45">
        <v>46159</v>
      </c>
      <c r="F3075" s="48">
        <v>0.96420138888888884</v>
      </c>
      <c r="G3075" s="44">
        <v>6.3</v>
      </c>
      <c r="H3075" s="43" t="s">
        <v>1362</v>
      </c>
      <c r="I3075" s="40" t="s">
        <v>1365</v>
      </c>
    </row>
    <row r="3076" spans="1:9" x14ac:dyDescent="0.25">
      <c r="A3076" s="40" t="s">
        <v>166</v>
      </c>
      <c r="B3076" s="28">
        <v>3424</v>
      </c>
      <c r="C3076" s="28" t="s">
        <v>35</v>
      </c>
      <c r="D3076" s="28" t="s">
        <v>38</v>
      </c>
      <c r="E3076" s="41">
        <v>46159</v>
      </c>
      <c r="F3076" s="47">
        <v>0.97701388888888885</v>
      </c>
      <c r="G3076" s="44">
        <v>6.3</v>
      </c>
      <c r="H3076" s="43" t="s">
        <v>1363</v>
      </c>
      <c r="I3076" s="40" t="s">
        <v>1365</v>
      </c>
    </row>
    <row r="3077" spans="1:9" x14ac:dyDescent="0.25">
      <c r="A3077" s="40" t="s">
        <v>347</v>
      </c>
      <c r="B3077" s="28">
        <v>3449</v>
      </c>
      <c r="C3077" s="28">
        <v>5662621</v>
      </c>
      <c r="D3077" s="28"/>
      <c r="E3077" s="41">
        <v>46153</v>
      </c>
      <c r="F3077" s="47">
        <v>0.52557870370370374</v>
      </c>
      <c r="G3077" s="44">
        <v>6.3</v>
      </c>
      <c r="H3077" s="43" t="s">
        <v>1360</v>
      </c>
      <c r="I3077" s="40" t="s">
        <v>1361</v>
      </c>
    </row>
    <row r="3078" spans="1:9" x14ac:dyDescent="0.25">
      <c r="A3078" s="40" t="s">
        <v>347</v>
      </c>
      <c r="B3078" s="28">
        <v>3449</v>
      </c>
      <c r="C3078" s="28">
        <v>5662621</v>
      </c>
      <c r="D3078" s="28"/>
      <c r="E3078" s="41">
        <v>46153</v>
      </c>
      <c r="F3078" s="47">
        <v>0.53597222222222218</v>
      </c>
      <c r="G3078" s="44">
        <v>6.3</v>
      </c>
      <c r="H3078" s="43" t="s">
        <v>1362</v>
      </c>
      <c r="I3078" s="40" t="s">
        <v>1361</v>
      </c>
    </row>
    <row r="3079" spans="1:9" x14ac:dyDescent="0.25">
      <c r="A3079" s="40" t="s">
        <v>347</v>
      </c>
      <c r="B3079" s="28">
        <v>3449</v>
      </c>
      <c r="C3079" s="28" t="s">
        <v>35</v>
      </c>
      <c r="D3079" s="28" t="s">
        <v>38</v>
      </c>
      <c r="E3079" s="41">
        <v>46155</v>
      </c>
      <c r="F3079" s="47">
        <v>0.63983796296296291</v>
      </c>
      <c r="G3079" s="44">
        <v>6.3</v>
      </c>
      <c r="H3079" s="43" t="s">
        <v>1364</v>
      </c>
      <c r="I3079" s="40" t="s">
        <v>1361</v>
      </c>
    </row>
    <row r="3080" spans="1:9" x14ac:dyDescent="0.25">
      <c r="A3080" s="40" t="s">
        <v>347</v>
      </c>
      <c r="B3080" s="28">
        <v>3449</v>
      </c>
      <c r="C3080" s="28">
        <v>5668664</v>
      </c>
      <c r="D3080" s="28"/>
      <c r="E3080" s="41">
        <v>46156</v>
      </c>
      <c r="F3080" s="47">
        <v>0.84559027777777773</v>
      </c>
      <c r="G3080" s="44">
        <v>6.3</v>
      </c>
      <c r="H3080" s="43" t="s">
        <v>1360</v>
      </c>
      <c r="I3080" s="40" t="s">
        <v>1361</v>
      </c>
    </row>
    <row r="3081" spans="1:9" x14ac:dyDescent="0.25">
      <c r="A3081" s="40" t="s">
        <v>347</v>
      </c>
      <c r="B3081" s="28">
        <v>3449</v>
      </c>
      <c r="C3081" s="28">
        <v>5668664</v>
      </c>
      <c r="D3081" s="28"/>
      <c r="E3081" s="41">
        <v>46156</v>
      </c>
      <c r="F3081" s="47">
        <v>0.85317129629629629</v>
      </c>
      <c r="G3081" s="44">
        <v>6.3</v>
      </c>
      <c r="H3081" s="43" t="s">
        <v>1362</v>
      </c>
      <c r="I3081" s="40" t="s">
        <v>1361</v>
      </c>
    </row>
    <row r="3082" spans="1:9" x14ac:dyDescent="0.25">
      <c r="A3082" s="40" t="s">
        <v>347</v>
      </c>
      <c r="B3082" s="28">
        <v>3449</v>
      </c>
      <c r="C3082" s="28" t="s">
        <v>35</v>
      </c>
      <c r="D3082" s="28" t="s">
        <v>38</v>
      </c>
      <c r="E3082" s="41">
        <v>46156</v>
      </c>
      <c r="F3082" s="47">
        <v>0.87677083333333339</v>
      </c>
      <c r="G3082" s="44">
        <v>6.3</v>
      </c>
      <c r="H3082" s="43" t="s">
        <v>1363</v>
      </c>
      <c r="I3082" s="40" t="s">
        <v>1361</v>
      </c>
    </row>
    <row r="3083" spans="1:9" x14ac:dyDescent="0.25">
      <c r="A3083" s="40" t="s">
        <v>347</v>
      </c>
      <c r="B3083" s="28">
        <v>3449</v>
      </c>
      <c r="C3083" s="28" t="s">
        <v>35</v>
      </c>
      <c r="D3083" s="28" t="s">
        <v>38</v>
      </c>
      <c r="E3083" s="41">
        <v>46156</v>
      </c>
      <c r="F3083" s="47">
        <v>0.88800925925925922</v>
      </c>
      <c r="G3083" s="44">
        <v>6.3</v>
      </c>
      <c r="H3083" s="43" t="s">
        <v>1364</v>
      </c>
      <c r="I3083" s="40" t="s">
        <v>1361</v>
      </c>
    </row>
    <row r="3084" spans="1:9" x14ac:dyDescent="0.25">
      <c r="A3084" s="40" t="s">
        <v>347</v>
      </c>
      <c r="B3084" s="28">
        <v>3449</v>
      </c>
      <c r="C3084" s="28">
        <v>5669356</v>
      </c>
      <c r="D3084" s="28"/>
      <c r="E3084" s="41">
        <v>46157</v>
      </c>
      <c r="F3084" s="47">
        <v>0.24844907407407407</v>
      </c>
      <c r="G3084" s="44">
        <v>6.3</v>
      </c>
      <c r="H3084" s="43" t="s">
        <v>1360</v>
      </c>
      <c r="I3084" s="40" t="s">
        <v>1361</v>
      </c>
    </row>
    <row r="3085" spans="1:9" x14ac:dyDescent="0.25">
      <c r="A3085" s="40" t="s">
        <v>347</v>
      </c>
      <c r="B3085" s="28">
        <v>3449</v>
      </c>
      <c r="C3085" s="28">
        <v>5669356</v>
      </c>
      <c r="D3085" s="28"/>
      <c r="E3085" s="41">
        <v>46157</v>
      </c>
      <c r="F3085" s="47">
        <v>0.26042824074074072</v>
      </c>
      <c r="G3085" s="44">
        <v>6.3</v>
      </c>
      <c r="H3085" s="43" t="s">
        <v>1362</v>
      </c>
      <c r="I3085" s="40" t="s">
        <v>1361</v>
      </c>
    </row>
    <row r="3086" spans="1:9" x14ac:dyDescent="0.25">
      <c r="A3086" s="40" t="s">
        <v>347</v>
      </c>
      <c r="B3086" s="28">
        <v>3449</v>
      </c>
      <c r="C3086" s="28">
        <v>5669522</v>
      </c>
      <c r="D3086" s="28" t="s">
        <v>37</v>
      </c>
      <c r="E3086" s="41">
        <v>46157</v>
      </c>
      <c r="F3086" s="47">
        <v>0.34247685185185184</v>
      </c>
      <c r="G3086" s="44">
        <v>6.3</v>
      </c>
      <c r="H3086" s="43" t="s">
        <v>1364</v>
      </c>
      <c r="I3086" s="40" t="s">
        <v>1361</v>
      </c>
    </row>
    <row r="3087" spans="1:9" x14ac:dyDescent="0.25">
      <c r="A3087" s="40" t="s">
        <v>347</v>
      </c>
      <c r="B3087" s="28">
        <v>3449</v>
      </c>
      <c r="C3087" s="28">
        <v>5673369</v>
      </c>
      <c r="D3087" s="28"/>
      <c r="E3087" s="41">
        <v>46159</v>
      </c>
      <c r="F3087" s="47">
        <v>0.87172453703703701</v>
      </c>
      <c r="G3087" s="44">
        <v>6.3</v>
      </c>
      <c r="H3087" s="43" t="s">
        <v>1360</v>
      </c>
      <c r="I3087" s="40" t="s">
        <v>1365</v>
      </c>
    </row>
    <row r="3088" spans="1:9" x14ac:dyDescent="0.25">
      <c r="A3088" s="40" t="s">
        <v>347</v>
      </c>
      <c r="B3088" s="28">
        <v>3449</v>
      </c>
      <c r="C3088" s="28">
        <v>5673369</v>
      </c>
      <c r="D3088" s="28"/>
      <c r="E3088" s="41">
        <v>46159</v>
      </c>
      <c r="F3088" s="47">
        <v>0.87928240740740737</v>
      </c>
      <c r="G3088" s="44">
        <v>6.3</v>
      </c>
      <c r="H3088" s="43" t="s">
        <v>1362</v>
      </c>
      <c r="I3088" s="40" t="s">
        <v>1365</v>
      </c>
    </row>
    <row r="3089" spans="1:9" x14ac:dyDescent="0.25">
      <c r="A3089" s="40" t="s">
        <v>148</v>
      </c>
      <c r="B3089" s="28">
        <v>3460</v>
      </c>
      <c r="C3089" s="28">
        <v>5660840</v>
      </c>
      <c r="D3089" s="28"/>
      <c r="E3089" s="45">
        <v>46153</v>
      </c>
      <c r="F3089" s="48">
        <v>6.2152777777777779E-3</v>
      </c>
      <c r="G3089" s="44">
        <v>6.3</v>
      </c>
      <c r="H3089" s="43" t="s">
        <v>1369</v>
      </c>
      <c r="I3089" s="40" t="s">
        <v>1361</v>
      </c>
    </row>
    <row r="3090" spans="1:9" x14ac:dyDescent="0.25">
      <c r="A3090" s="40" t="s">
        <v>148</v>
      </c>
      <c r="B3090" s="28">
        <v>3460</v>
      </c>
      <c r="C3090" s="28">
        <v>5660840</v>
      </c>
      <c r="D3090" s="28"/>
      <c r="E3090" s="41">
        <v>46153</v>
      </c>
      <c r="F3090" s="47">
        <v>1.150462962962963E-2</v>
      </c>
      <c r="G3090" s="44">
        <v>6.3</v>
      </c>
      <c r="H3090" s="43" t="s">
        <v>1364</v>
      </c>
      <c r="I3090" s="40" t="s">
        <v>1361</v>
      </c>
    </row>
    <row r="3091" spans="1:9" x14ac:dyDescent="0.25">
      <c r="A3091" s="40" t="s">
        <v>148</v>
      </c>
      <c r="B3091" s="28">
        <v>3460</v>
      </c>
      <c r="C3091" s="28" t="s">
        <v>939</v>
      </c>
      <c r="D3091" s="28"/>
      <c r="E3091" s="41">
        <v>46153</v>
      </c>
      <c r="F3091" s="47">
        <v>4.2037037037037039E-2</v>
      </c>
      <c r="G3091" s="44">
        <v>6.3</v>
      </c>
      <c r="H3091" s="43" t="s">
        <v>1360</v>
      </c>
      <c r="I3091" s="40" t="s">
        <v>1361</v>
      </c>
    </row>
    <row r="3092" spans="1:9" x14ac:dyDescent="0.25">
      <c r="A3092" s="40" t="s">
        <v>148</v>
      </c>
      <c r="B3092" s="28">
        <v>3460</v>
      </c>
      <c r="C3092" s="28" t="s">
        <v>939</v>
      </c>
      <c r="D3092" s="28"/>
      <c r="E3092" s="41">
        <v>46153</v>
      </c>
      <c r="F3092" s="47">
        <v>4.8819444444444443E-2</v>
      </c>
      <c r="G3092" s="44">
        <v>6.3</v>
      </c>
      <c r="H3092" s="43" t="s">
        <v>1362</v>
      </c>
      <c r="I3092" s="40" t="s">
        <v>1361</v>
      </c>
    </row>
    <row r="3093" spans="1:9" x14ac:dyDescent="0.25">
      <c r="A3093" s="40" t="s">
        <v>148</v>
      </c>
      <c r="B3093" s="28">
        <v>3460</v>
      </c>
      <c r="C3093" s="28" t="s">
        <v>940</v>
      </c>
      <c r="D3093" s="28"/>
      <c r="E3093" s="41">
        <v>46153</v>
      </c>
      <c r="F3093" s="47">
        <v>0.15273148148148147</v>
      </c>
      <c r="G3093" s="44">
        <v>6.3</v>
      </c>
      <c r="H3093" s="43" t="s">
        <v>1360</v>
      </c>
      <c r="I3093" s="40" t="s">
        <v>1361</v>
      </c>
    </row>
    <row r="3094" spans="1:9" x14ac:dyDescent="0.25">
      <c r="A3094" s="40" t="s">
        <v>148</v>
      </c>
      <c r="B3094" s="28">
        <v>3460</v>
      </c>
      <c r="C3094" s="28" t="s">
        <v>940</v>
      </c>
      <c r="D3094" s="28"/>
      <c r="E3094" s="41">
        <v>46153</v>
      </c>
      <c r="F3094" s="47">
        <v>0.15957175925925926</v>
      </c>
      <c r="G3094" s="44">
        <v>6.3</v>
      </c>
      <c r="H3094" s="43" t="s">
        <v>1368</v>
      </c>
      <c r="I3094" s="40" t="s">
        <v>1361</v>
      </c>
    </row>
    <row r="3095" spans="1:9" x14ac:dyDescent="0.25">
      <c r="A3095" s="40" t="s">
        <v>148</v>
      </c>
      <c r="B3095" s="28">
        <v>3460</v>
      </c>
      <c r="C3095" s="28" t="s">
        <v>940</v>
      </c>
      <c r="D3095" s="28"/>
      <c r="E3095" s="41">
        <v>46153</v>
      </c>
      <c r="F3095" s="47">
        <v>0.18516203703703704</v>
      </c>
      <c r="G3095" s="44">
        <v>6.3</v>
      </c>
      <c r="H3095" s="43" t="s">
        <v>1370</v>
      </c>
      <c r="I3095" s="40" t="s">
        <v>1361</v>
      </c>
    </row>
    <row r="3096" spans="1:9" x14ac:dyDescent="0.25">
      <c r="A3096" s="40" t="s">
        <v>148</v>
      </c>
      <c r="B3096" s="28">
        <v>3460</v>
      </c>
      <c r="C3096" s="28" t="s">
        <v>940</v>
      </c>
      <c r="D3096" s="28"/>
      <c r="E3096" s="41">
        <v>46153</v>
      </c>
      <c r="F3096" s="47">
        <v>0.18940972222222222</v>
      </c>
      <c r="G3096" s="44">
        <v>6.3</v>
      </c>
      <c r="H3096" s="43" t="s">
        <v>1364</v>
      </c>
      <c r="I3096" s="40" t="s">
        <v>1361</v>
      </c>
    </row>
    <row r="3097" spans="1:9" x14ac:dyDescent="0.25">
      <c r="A3097" s="40" t="s">
        <v>148</v>
      </c>
      <c r="B3097" s="28">
        <v>3460</v>
      </c>
      <c r="C3097" s="28" t="s">
        <v>941</v>
      </c>
      <c r="D3097" s="28"/>
      <c r="E3097" s="45">
        <v>46153</v>
      </c>
      <c r="F3097" s="48">
        <v>0.72793981481481485</v>
      </c>
      <c r="G3097" s="44">
        <v>6.3</v>
      </c>
      <c r="H3097" s="43" t="s">
        <v>1360</v>
      </c>
      <c r="I3097" s="40" t="s">
        <v>1361</v>
      </c>
    </row>
    <row r="3098" spans="1:9" x14ac:dyDescent="0.25">
      <c r="A3098" s="40" t="s">
        <v>148</v>
      </c>
      <c r="B3098" s="28">
        <v>3460</v>
      </c>
      <c r="C3098" s="28" t="s">
        <v>941</v>
      </c>
      <c r="D3098" s="28"/>
      <c r="E3098" s="41">
        <v>46153</v>
      </c>
      <c r="F3098" s="47">
        <v>0.74211805555555554</v>
      </c>
      <c r="G3098" s="44">
        <v>6.3</v>
      </c>
      <c r="H3098" s="43" t="s">
        <v>1362</v>
      </c>
      <c r="I3098" s="40" t="s">
        <v>1361</v>
      </c>
    </row>
    <row r="3099" spans="1:9" x14ac:dyDescent="0.25">
      <c r="A3099" s="40" t="s">
        <v>148</v>
      </c>
      <c r="B3099" s="28">
        <v>3460</v>
      </c>
      <c r="C3099" s="28" t="s">
        <v>942</v>
      </c>
      <c r="D3099" s="28"/>
      <c r="E3099" s="41">
        <v>46154</v>
      </c>
      <c r="F3099" s="47">
        <v>0.25782407407407409</v>
      </c>
      <c r="G3099" s="44">
        <v>6.3</v>
      </c>
      <c r="H3099" s="43" t="s">
        <v>1360</v>
      </c>
      <c r="I3099" s="40" t="s">
        <v>1361</v>
      </c>
    </row>
    <row r="3100" spans="1:9" x14ac:dyDescent="0.25">
      <c r="A3100" s="40" t="s">
        <v>148</v>
      </c>
      <c r="B3100" s="28">
        <v>3460</v>
      </c>
      <c r="C3100" s="28" t="s">
        <v>942</v>
      </c>
      <c r="D3100" s="28"/>
      <c r="E3100" s="41">
        <v>46154</v>
      </c>
      <c r="F3100" s="47">
        <v>0.26747685185185183</v>
      </c>
      <c r="G3100" s="44">
        <v>6.3</v>
      </c>
      <c r="H3100" s="43" t="s">
        <v>1362</v>
      </c>
      <c r="I3100" s="40" t="s">
        <v>1361</v>
      </c>
    </row>
    <row r="3101" spans="1:9" x14ac:dyDescent="0.25">
      <c r="A3101" s="40" t="s">
        <v>148</v>
      </c>
      <c r="B3101" s="28">
        <v>3460</v>
      </c>
      <c r="C3101" s="28" t="s">
        <v>943</v>
      </c>
      <c r="D3101" s="28"/>
      <c r="E3101" s="41">
        <v>46154</v>
      </c>
      <c r="F3101" s="47">
        <v>0.41770833333333335</v>
      </c>
      <c r="G3101" s="44">
        <v>6.3</v>
      </c>
      <c r="H3101" s="43" t="s">
        <v>1360</v>
      </c>
      <c r="I3101" s="40" t="s">
        <v>1361</v>
      </c>
    </row>
    <row r="3102" spans="1:9" x14ac:dyDescent="0.25">
      <c r="A3102" s="40" t="s">
        <v>148</v>
      </c>
      <c r="B3102" s="28">
        <v>3460</v>
      </c>
      <c r="C3102" s="28" t="s">
        <v>943</v>
      </c>
      <c r="D3102" s="28"/>
      <c r="E3102" s="41">
        <v>46154</v>
      </c>
      <c r="F3102" s="47">
        <v>0.43153935185185183</v>
      </c>
      <c r="G3102" s="42">
        <v>6.3</v>
      </c>
      <c r="H3102" s="40" t="s">
        <v>1362</v>
      </c>
      <c r="I3102" s="40" t="s">
        <v>1361</v>
      </c>
    </row>
    <row r="3103" spans="1:9" x14ac:dyDescent="0.25">
      <c r="A3103" s="40" t="s">
        <v>148</v>
      </c>
      <c r="B3103" s="28">
        <v>3460</v>
      </c>
      <c r="C3103" s="28" t="s">
        <v>944</v>
      </c>
      <c r="D3103" s="28"/>
      <c r="E3103" s="45">
        <v>46154</v>
      </c>
      <c r="F3103" s="48">
        <v>0.62399305555555551</v>
      </c>
      <c r="G3103" s="42">
        <v>6.3</v>
      </c>
      <c r="H3103" s="40" t="s">
        <v>1360</v>
      </c>
      <c r="I3103" s="40" t="s">
        <v>1361</v>
      </c>
    </row>
    <row r="3104" spans="1:9" x14ac:dyDescent="0.25">
      <c r="A3104" s="40" t="s">
        <v>148</v>
      </c>
      <c r="B3104" s="28">
        <v>3460</v>
      </c>
      <c r="C3104" s="28" t="s">
        <v>944</v>
      </c>
      <c r="D3104" s="28"/>
      <c r="E3104" s="41">
        <v>46154</v>
      </c>
      <c r="F3104" s="47">
        <v>0.63482638888888887</v>
      </c>
      <c r="G3104" s="42">
        <v>6.3</v>
      </c>
      <c r="H3104" s="40" t="s">
        <v>1362</v>
      </c>
      <c r="I3104" s="40" t="s">
        <v>1361</v>
      </c>
    </row>
    <row r="3105" spans="1:9" x14ac:dyDescent="0.25">
      <c r="A3105" s="40" t="s">
        <v>148</v>
      </c>
      <c r="B3105" s="28">
        <v>3460</v>
      </c>
      <c r="C3105" s="28" t="s">
        <v>945</v>
      </c>
      <c r="D3105" s="28"/>
      <c r="E3105" s="41">
        <v>46154</v>
      </c>
      <c r="F3105" s="47">
        <v>0.67849537037037033</v>
      </c>
      <c r="G3105" s="42">
        <v>6.3</v>
      </c>
      <c r="H3105" s="40" t="s">
        <v>1369</v>
      </c>
      <c r="I3105" s="40" t="s">
        <v>1361</v>
      </c>
    </row>
    <row r="3106" spans="1:9" x14ac:dyDescent="0.25">
      <c r="A3106" s="40" t="s">
        <v>148</v>
      </c>
      <c r="B3106" s="28">
        <v>3460</v>
      </c>
      <c r="C3106" s="28" t="s">
        <v>945</v>
      </c>
      <c r="D3106" s="28"/>
      <c r="E3106" s="41">
        <v>46154</v>
      </c>
      <c r="F3106" s="47">
        <v>0.69802083333333331</v>
      </c>
      <c r="G3106" s="42">
        <v>6.3</v>
      </c>
      <c r="H3106" s="40" t="s">
        <v>1364</v>
      </c>
      <c r="I3106" s="40" t="s">
        <v>1361</v>
      </c>
    </row>
    <row r="3107" spans="1:9" x14ac:dyDescent="0.25">
      <c r="A3107" s="40" t="s">
        <v>148</v>
      </c>
      <c r="B3107" s="28">
        <v>3460</v>
      </c>
      <c r="C3107" s="28" t="s">
        <v>946</v>
      </c>
      <c r="D3107" s="28"/>
      <c r="E3107" s="41">
        <v>46154</v>
      </c>
      <c r="F3107" s="47">
        <v>0.79276620370370365</v>
      </c>
      <c r="G3107" s="42">
        <v>6.3</v>
      </c>
      <c r="H3107" s="40" t="s">
        <v>1360</v>
      </c>
      <c r="I3107" s="40" t="s">
        <v>1361</v>
      </c>
    </row>
    <row r="3108" spans="1:9" x14ac:dyDescent="0.25">
      <c r="A3108" s="40" t="s">
        <v>148</v>
      </c>
      <c r="B3108" s="28">
        <v>3460</v>
      </c>
      <c r="C3108" s="28">
        <v>5666519</v>
      </c>
      <c r="D3108" s="28"/>
      <c r="E3108" s="41">
        <v>46155</v>
      </c>
      <c r="F3108" s="47">
        <v>0.62673611111111116</v>
      </c>
      <c r="G3108" s="42">
        <v>6.3</v>
      </c>
      <c r="H3108" s="40" t="s">
        <v>1363</v>
      </c>
      <c r="I3108" s="40" t="s">
        <v>1361</v>
      </c>
    </row>
    <row r="3109" spans="1:9" x14ac:dyDescent="0.25">
      <c r="A3109" s="40" t="s">
        <v>148</v>
      </c>
      <c r="B3109" s="28">
        <v>3460</v>
      </c>
      <c r="C3109" s="28">
        <v>5666519</v>
      </c>
      <c r="D3109" s="28"/>
      <c r="E3109" s="41">
        <v>46155</v>
      </c>
      <c r="F3109" s="47">
        <v>0.63275462962962958</v>
      </c>
      <c r="G3109" s="42">
        <v>6.3</v>
      </c>
      <c r="H3109" s="40" t="s">
        <v>1364</v>
      </c>
      <c r="I3109" s="40" t="s">
        <v>1361</v>
      </c>
    </row>
    <row r="3110" spans="1:9" x14ac:dyDescent="0.25">
      <c r="A3110" s="40" t="s">
        <v>148</v>
      </c>
      <c r="B3110" s="28">
        <v>3460</v>
      </c>
      <c r="C3110" s="28">
        <v>5642687</v>
      </c>
      <c r="D3110" s="28" t="s">
        <v>36</v>
      </c>
      <c r="E3110" s="41">
        <v>46155</v>
      </c>
      <c r="F3110" s="47">
        <v>0.82302083333333331</v>
      </c>
      <c r="G3110" s="44">
        <v>6.3</v>
      </c>
      <c r="H3110" s="43" t="s">
        <v>1369</v>
      </c>
      <c r="I3110" s="40" t="s">
        <v>1361</v>
      </c>
    </row>
    <row r="3111" spans="1:9" x14ac:dyDescent="0.25">
      <c r="A3111" s="40" t="s">
        <v>148</v>
      </c>
      <c r="B3111" s="28">
        <v>3460</v>
      </c>
      <c r="C3111" s="28">
        <v>5642687</v>
      </c>
      <c r="D3111" s="28" t="s">
        <v>36</v>
      </c>
      <c r="E3111" s="41">
        <v>46155</v>
      </c>
      <c r="F3111" s="47">
        <v>0.84680555555555559</v>
      </c>
      <c r="G3111" s="44">
        <v>6.3</v>
      </c>
      <c r="H3111" s="43" t="s">
        <v>1364</v>
      </c>
      <c r="I3111" s="40" t="s">
        <v>1361</v>
      </c>
    </row>
    <row r="3112" spans="1:9" x14ac:dyDescent="0.25">
      <c r="A3112" s="40" t="s">
        <v>148</v>
      </c>
      <c r="B3112" s="28">
        <v>3460</v>
      </c>
      <c r="C3112" s="28">
        <v>5665792</v>
      </c>
      <c r="D3112" s="28"/>
      <c r="E3112" s="41">
        <v>46156</v>
      </c>
      <c r="F3112" s="47">
        <v>0.11309027777777778</v>
      </c>
      <c r="G3112" s="44">
        <v>6.3</v>
      </c>
      <c r="H3112" s="43" t="s">
        <v>1369</v>
      </c>
      <c r="I3112" s="40" t="s">
        <v>1361</v>
      </c>
    </row>
    <row r="3113" spans="1:9" x14ac:dyDescent="0.25">
      <c r="A3113" s="40" t="s">
        <v>148</v>
      </c>
      <c r="B3113" s="28">
        <v>3460</v>
      </c>
      <c r="C3113" s="28">
        <v>5665792</v>
      </c>
      <c r="D3113" s="28"/>
      <c r="E3113" s="45">
        <v>46156</v>
      </c>
      <c r="F3113" s="48">
        <v>0.11819444444444445</v>
      </c>
      <c r="G3113" s="44">
        <v>6.3</v>
      </c>
      <c r="H3113" s="43" t="s">
        <v>1364</v>
      </c>
      <c r="I3113" s="40" t="s">
        <v>1361</v>
      </c>
    </row>
    <row r="3114" spans="1:9" x14ac:dyDescent="0.25">
      <c r="A3114" s="40" t="s">
        <v>148</v>
      </c>
      <c r="B3114" s="28">
        <v>3460</v>
      </c>
      <c r="C3114" s="28" t="s">
        <v>947</v>
      </c>
      <c r="D3114" s="28"/>
      <c r="E3114" s="45">
        <v>46156</v>
      </c>
      <c r="F3114" s="48">
        <v>0.24199074074074073</v>
      </c>
      <c r="G3114" s="44">
        <v>6.3</v>
      </c>
      <c r="H3114" s="43" t="s">
        <v>1360</v>
      </c>
      <c r="I3114" s="40" t="s">
        <v>1361</v>
      </c>
    </row>
    <row r="3115" spans="1:9" x14ac:dyDescent="0.25">
      <c r="A3115" s="40" t="s">
        <v>148</v>
      </c>
      <c r="B3115" s="28">
        <v>3460</v>
      </c>
      <c r="C3115" s="28" t="s">
        <v>948</v>
      </c>
      <c r="D3115" s="28"/>
      <c r="E3115" s="41">
        <v>46156</v>
      </c>
      <c r="F3115" s="47">
        <v>0.33461805555555557</v>
      </c>
      <c r="G3115" s="44">
        <v>6.3</v>
      </c>
      <c r="H3115" s="43" t="s">
        <v>1363</v>
      </c>
      <c r="I3115" s="40" t="s">
        <v>1361</v>
      </c>
    </row>
    <row r="3116" spans="1:9" x14ac:dyDescent="0.25">
      <c r="A3116" s="40" t="s">
        <v>148</v>
      </c>
      <c r="B3116" s="28">
        <v>3460</v>
      </c>
      <c r="C3116" s="28" t="s">
        <v>948</v>
      </c>
      <c r="D3116" s="28"/>
      <c r="E3116" s="41">
        <v>46156</v>
      </c>
      <c r="F3116" s="47">
        <v>0.34012731481481484</v>
      </c>
      <c r="G3116" s="44">
        <v>6.3</v>
      </c>
      <c r="H3116" s="43" t="s">
        <v>1364</v>
      </c>
      <c r="I3116" s="40" t="s">
        <v>1361</v>
      </c>
    </row>
    <row r="3117" spans="1:9" x14ac:dyDescent="0.25">
      <c r="A3117" s="40" t="s">
        <v>148</v>
      </c>
      <c r="B3117" s="28">
        <v>3460</v>
      </c>
      <c r="C3117" s="28">
        <v>5666980</v>
      </c>
      <c r="D3117" s="28" t="s">
        <v>37</v>
      </c>
      <c r="E3117" s="41">
        <v>46157</v>
      </c>
      <c r="F3117" s="47">
        <v>0.1340625</v>
      </c>
      <c r="G3117" s="44">
        <v>6.3</v>
      </c>
      <c r="H3117" s="43" t="s">
        <v>1363</v>
      </c>
      <c r="I3117" s="40" t="s">
        <v>1361</v>
      </c>
    </row>
    <row r="3118" spans="1:9" x14ac:dyDescent="0.25">
      <c r="A3118" s="40" t="s">
        <v>148</v>
      </c>
      <c r="B3118" s="28">
        <v>3460</v>
      </c>
      <c r="C3118" s="28">
        <v>5666980</v>
      </c>
      <c r="D3118" s="28" t="s">
        <v>37</v>
      </c>
      <c r="E3118" s="45">
        <v>46157</v>
      </c>
      <c r="F3118" s="48">
        <v>0.13907407407407407</v>
      </c>
      <c r="G3118" s="44">
        <v>6.3</v>
      </c>
      <c r="H3118" s="43" t="s">
        <v>1364</v>
      </c>
      <c r="I3118" s="40" t="s">
        <v>1361</v>
      </c>
    </row>
    <row r="3119" spans="1:9" x14ac:dyDescent="0.25">
      <c r="A3119" s="40" t="s">
        <v>148</v>
      </c>
      <c r="B3119" s="28">
        <v>3460</v>
      </c>
      <c r="C3119" s="28">
        <v>5670620</v>
      </c>
      <c r="D3119" s="28" t="s">
        <v>37</v>
      </c>
      <c r="E3119" s="41">
        <v>46157</v>
      </c>
      <c r="F3119" s="47">
        <v>0.93331018518518516</v>
      </c>
      <c r="G3119" s="44">
        <v>6.3</v>
      </c>
      <c r="H3119" s="43" t="s">
        <v>1363</v>
      </c>
      <c r="I3119" s="40" t="s">
        <v>1361</v>
      </c>
    </row>
    <row r="3120" spans="1:9" x14ac:dyDescent="0.25">
      <c r="A3120" s="40" t="s">
        <v>148</v>
      </c>
      <c r="B3120" s="28">
        <v>3460</v>
      </c>
      <c r="C3120" s="28">
        <v>5670620</v>
      </c>
      <c r="D3120" s="28" t="s">
        <v>37</v>
      </c>
      <c r="E3120" s="41">
        <v>46157</v>
      </c>
      <c r="F3120" s="47">
        <v>0.93899305555555557</v>
      </c>
      <c r="G3120" s="44">
        <v>6.3</v>
      </c>
      <c r="H3120" s="43" t="s">
        <v>1364</v>
      </c>
      <c r="I3120" s="40" t="s">
        <v>1365</v>
      </c>
    </row>
    <row r="3121" spans="1:9" x14ac:dyDescent="0.25">
      <c r="A3121" s="40" t="s">
        <v>148</v>
      </c>
      <c r="B3121" s="28">
        <v>3460</v>
      </c>
      <c r="C3121" s="28" t="s">
        <v>949</v>
      </c>
      <c r="D3121" s="28"/>
      <c r="E3121" s="41">
        <v>46158</v>
      </c>
      <c r="F3121" s="47">
        <v>0.52541666666666664</v>
      </c>
      <c r="G3121" s="44">
        <v>6.3</v>
      </c>
      <c r="H3121" s="43" t="s">
        <v>1369</v>
      </c>
      <c r="I3121" s="40" t="s">
        <v>1365</v>
      </c>
    </row>
    <row r="3122" spans="1:9" x14ac:dyDescent="0.25">
      <c r="A3122" s="40" t="s">
        <v>148</v>
      </c>
      <c r="B3122" s="28">
        <v>3460</v>
      </c>
      <c r="C3122" s="28" t="s">
        <v>949</v>
      </c>
      <c r="D3122" s="28"/>
      <c r="E3122" s="41">
        <v>46158</v>
      </c>
      <c r="F3122" s="47">
        <v>0.53216435185185185</v>
      </c>
      <c r="G3122" s="44">
        <v>6.3</v>
      </c>
      <c r="H3122" s="43" t="s">
        <v>1364</v>
      </c>
      <c r="I3122" s="40" t="s">
        <v>1365</v>
      </c>
    </row>
    <row r="3123" spans="1:9" x14ac:dyDescent="0.25">
      <c r="A3123" s="40" t="s">
        <v>148</v>
      </c>
      <c r="B3123" s="28">
        <v>3460</v>
      </c>
      <c r="C3123" s="28" t="s">
        <v>950</v>
      </c>
      <c r="D3123" s="28"/>
      <c r="E3123" s="41">
        <v>46159</v>
      </c>
      <c r="F3123" s="47">
        <v>0.25388888888888889</v>
      </c>
      <c r="G3123" s="44">
        <v>6.3</v>
      </c>
      <c r="H3123" s="43" t="s">
        <v>1360</v>
      </c>
      <c r="I3123" s="40" t="s">
        <v>1365</v>
      </c>
    </row>
    <row r="3124" spans="1:9" x14ac:dyDescent="0.25">
      <c r="A3124" s="40" t="s">
        <v>148</v>
      </c>
      <c r="B3124" s="28">
        <v>3460</v>
      </c>
      <c r="C3124" s="28" t="s">
        <v>950</v>
      </c>
      <c r="D3124" s="28"/>
      <c r="E3124" s="41">
        <v>46159</v>
      </c>
      <c r="F3124" s="47">
        <v>0.2605439814814815</v>
      </c>
      <c r="G3124" s="44">
        <v>6.3</v>
      </c>
      <c r="H3124" s="43" t="s">
        <v>1362</v>
      </c>
      <c r="I3124" s="40" t="s">
        <v>1365</v>
      </c>
    </row>
    <row r="3125" spans="1:9" x14ac:dyDescent="0.25">
      <c r="A3125" s="40" t="s">
        <v>148</v>
      </c>
      <c r="B3125" s="28">
        <v>3460</v>
      </c>
      <c r="C3125" s="28" t="s">
        <v>951</v>
      </c>
      <c r="D3125" s="28"/>
      <c r="E3125" s="41">
        <v>46159</v>
      </c>
      <c r="F3125" s="47">
        <v>0.3039236111111111</v>
      </c>
      <c r="G3125" s="44">
        <v>6.3</v>
      </c>
      <c r="H3125" s="43" t="s">
        <v>1363</v>
      </c>
      <c r="I3125" s="40" t="s">
        <v>1365</v>
      </c>
    </row>
    <row r="3126" spans="1:9" x14ac:dyDescent="0.25">
      <c r="A3126" s="40" t="s">
        <v>148</v>
      </c>
      <c r="B3126" s="28">
        <v>3460</v>
      </c>
      <c r="C3126" s="28" t="s">
        <v>951</v>
      </c>
      <c r="D3126" s="28"/>
      <c r="E3126" s="41">
        <v>46159</v>
      </c>
      <c r="F3126" s="47">
        <v>0.3089351851851852</v>
      </c>
      <c r="G3126" s="44">
        <v>6.3</v>
      </c>
      <c r="H3126" s="43" t="s">
        <v>1364</v>
      </c>
      <c r="I3126" s="40" t="s">
        <v>1365</v>
      </c>
    </row>
    <row r="3127" spans="1:9" x14ac:dyDescent="0.25">
      <c r="A3127" s="40" t="s">
        <v>214</v>
      </c>
      <c r="B3127" s="28">
        <v>3461</v>
      </c>
      <c r="C3127" s="28">
        <v>5666533</v>
      </c>
      <c r="D3127" s="28"/>
      <c r="E3127" s="41">
        <v>46156</v>
      </c>
      <c r="F3127" s="47">
        <v>0.12755787037037036</v>
      </c>
      <c r="G3127" s="44">
        <v>6.3</v>
      </c>
      <c r="H3127" s="43" t="s">
        <v>1363</v>
      </c>
      <c r="I3127" s="40" t="s">
        <v>1361</v>
      </c>
    </row>
    <row r="3128" spans="1:9" x14ac:dyDescent="0.25">
      <c r="A3128" s="40" t="s">
        <v>214</v>
      </c>
      <c r="B3128" s="28">
        <v>3461</v>
      </c>
      <c r="C3128" s="28">
        <v>5666533</v>
      </c>
      <c r="D3128" s="28"/>
      <c r="E3128" s="41">
        <v>46156</v>
      </c>
      <c r="F3128" s="47">
        <v>0.13250000000000001</v>
      </c>
      <c r="G3128" s="44">
        <v>6.3</v>
      </c>
      <c r="H3128" s="43" t="s">
        <v>1364</v>
      </c>
      <c r="I3128" s="40" t="s">
        <v>1361</v>
      </c>
    </row>
    <row r="3129" spans="1:9" x14ac:dyDescent="0.25">
      <c r="A3129" s="40" t="s">
        <v>214</v>
      </c>
      <c r="B3129" s="28">
        <v>3461</v>
      </c>
      <c r="C3129" s="28" t="s">
        <v>35</v>
      </c>
      <c r="D3129" s="28" t="s">
        <v>38</v>
      </c>
      <c r="E3129" s="45">
        <v>46158</v>
      </c>
      <c r="F3129" s="48">
        <v>0.60195601851851854</v>
      </c>
      <c r="G3129" s="44">
        <v>6.3</v>
      </c>
      <c r="H3129" s="43" t="s">
        <v>1362</v>
      </c>
      <c r="I3129" s="40" t="s">
        <v>1365</v>
      </c>
    </row>
    <row r="3130" spans="1:9" x14ac:dyDescent="0.25">
      <c r="A3130" s="40" t="s">
        <v>105</v>
      </c>
      <c r="B3130" s="28">
        <v>3504</v>
      </c>
      <c r="C3130" s="28" t="s">
        <v>952</v>
      </c>
      <c r="D3130" s="28"/>
      <c r="E3130" s="41">
        <v>46153</v>
      </c>
      <c r="F3130" s="47">
        <v>0.91905092592592597</v>
      </c>
      <c r="G3130" s="44">
        <v>6.3</v>
      </c>
      <c r="H3130" s="43" t="s">
        <v>1360</v>
      </c>
      <c r="I3130" s="40" t="s">
        <v>1361</v>
      </c>
    </row>
    <row r="3131" spans="1:9" x14ac:dyDescent="0.25">
      <c r="A3131" s="40" t="s">
        <v>105</v>
      </c>
      <c r="B3131" s="28">
        <v>3504</v>
      </c>
      <c r="C3131" s="28" t="s">
        <v>952</v>
      </c>
      <c r="D3131" s="28"/>
      <c r="E3131" s="45">
        <v>46153</v>
      </c>
      <c r="F3131" s="48">
        <v>0.92605324074074069</v>
      </c>
      <c r="G3131" s="44">
        <v>6.3</v>
      </c>
      <c r="H3131" s="43" t="s">
        <v>1362</v>
      </c>
      <c r="I3131" s="40" t="s">
        <v>1361</v>
      </c>
    </row>
    <row r="3132" spans="1:9" x14ac:dyDescent="0.25">
      <c r="A3132" s="40" t="s">
        <v>105</v>
      </c>
      <c r="B3132" s="28">
        <v>3504</v>
      </c>
      <c r="C3132" s="28" t="s">
        <v>953</v>
      </c>
      <c r="D3132" s="28"/>
      <c r="E3132" s="41">
        <v>46154</v>
      </c>
      <c r="F3132" s="47">
        <v>0.14976851851851852</v>
      </c>
      <c r="G3132" s="44">
        <v>6.3</v>
      </c>
      <c r="H3132" s="43" t="s">
        <v>1363</v>
      </c>
      <c r="I3132" s="40" t="s">
        <v>1361</v>
      </c>
    </row>
    <row r="3133" spans="1:9" x14ac:dyDescent="0.25">
      <c r="A3133" s="40" t="s">
        <v>105</v>
      </c>
      <c r="B3133" s="28">
        <v>3504</v>
      </c>
      <c r="C3133" s="28" t="s">
        <v>953</v>
      </c>
      <c r="D3133" s="28"/>
      <c r="E3133" s="41">
        <v>46154</v>
      </c>
      <c r="F3133" s="47">
        <v>0.155</v>
      </c>
      <c r="G3133" s="44">
        <v>6.3</v>
      </c>
      <c r="H3133" s="43" t="s">
        <v>1364</v>
      </c>
      <c r="I3133" s="40" t="s">
        <v>1361</v>
      </c>
    </row>
    <row r="3134" spans="1:9" x14ac:dyDescent="0.25">
      <c r="A3134" s="40" t="s">
        <v>105</v>
      </c>
      <c r="B3134" s="28">
        <v>3504</v>
      </c>
      <c r="C3134" s="28" t="s">
        <v>954</v>
      </c>
      <c r="D3134" s="28"/>
      <c r="E3134" s="41">
        <v>46155</v>
      </c>
      <c r="F3134" s="47">
        <v>0.44430555555555556</v>
      </c>
      <c r="G3134" s="44">
        <v>6.3</v>
      </c>
      <c r="H3134" s="43" t="s">
        <v>1360</v>
      </c>
      <c r="I3134" s="40" t="s">
        <v>1361</v>
      </c>
    </row>
    <row r="3135" spans="1:9" x14ac:dyDescent="0.25">
      <c r="A3135" s="40" t="s">
        <v>105</v>
      </c>
      <c r="B3135" s="28">
        <v>3504</v>
      </c>
      <c r="C3135" s="28" t="s">
        <v>954</v>
      </c>
      <c r="D3135" s="28"/>
      <c r="E3135" s="41">
        <v>46155</v>
      </c>
      <c r="F3135" s="47">
        <v>0.46101851851851849</v>
      </c>
      <c r="G3135" s="44">
        <v>6.3</v>
      </c>
      <c r="H3135" s="43" t="s">
        <v>1362</v>
      </c>
      <c r="I3135" s="40" t="s">
        <v>1361</v>
      </c>
    </row>
    <row r="3136" spans="1:9" x14ac:dyDescent="0.25">
      <c r="A3136" s="40" t="s">
        <v>105</v>
      </c>
      <c r="B3136" s="28">
        <v>3504</v>
      </c>
      <c r="C3136" s="28" t="s">
        <v>955</v>
      </c>
      <c r="D3136" s="28"/>
      <c r="E3136" s="45">
        <v>46155</v>
      </c>
      <c r="F3136" s="48">
        <v>0.52702546296296293</v>
      </c>
      <c r="G3136" s="44">
        <v>6.3</v>
      </c>
      <c r="H3136" s="43" t="s">
        <v>1363</v>
      </c>
      <c r="I3136" s="40" t="s">
        <v>1361</v>
      </c>
    </row>
    <row r="3137" spans="1:9" x14ac:dyDescent="0.25">
      <c r="A3137" s="40" t="s">
        <v>105</v>
      </c>
      <c r="B3137" s="28">
        <v>3504</v>
      </c>
      <c r="C3137" s="28" t="s">
        <v>955</v>
      </c>
      <c r="D3137" s="28"/>
      <c r="E3137" s="45">
        <v>46155</v>
      </c>
      <c r="F3137" s="48">
        <v>0.53388888888888886</v>
      </c>
      <c r="G3137" s="44">
        <v>6.3</v>
      </c>
      <c r="H3137" s="43" t="s">
        <v>1364</v>
      </c>
      <c r="I3137" s="40" t="s">
        <v>1361</v>
      </c>
    </row>
    <row r="3138" spans="1:9" x14ac:dyDescent="0.25">
      <c r="A3138" s="40" t="s">
        <v>105</v>
      </c>
      <c r="B3138" s="28">
        <v>3504</v>
      </c>
      <c r="C3138" s="28" t="s">
        <v>956</v>
      </c>
      <c r="D3138" s="28"/>
      <c r="E3138" s="41">
        <v>46156</v>
      </c>
      <c r="F3138" s="47">
        <v>0.24907407407407409</v>
      </c>
      <c r="G3138" s="44">
        <v>6.3</v>
      </c>
      <c r="H3138" s="43" t="s">
        <v>1360</v>
      </c>
      <c r="I3138" s="40" t="s">
        <v>1361</v>
      </c>
    </row>
    <row r="3139" spans="1:9" x14ac:dyDescent="0.25">
      <c r="A3139" s="40" t="s">
        <v>105</v>
      </c>
      <c r="B3139" s="28">
        <v>3504</v>
      </c>
      <c r="C3139" s="28" t="s">
        <v>956</v>
      </c>
      <c r="D3139" s="28"/>
      <c r="E3139" s="45">
        <v>46156</v>
      </c>
      <c r="F3139" s="48">
        <v>0.26436342592592593</v>
      </c>
      <c r="G3139" s="42">
        <v>6.3</v>
      </c>
      <c r="H3139" s="40" t="s">
        <v>1362</v>
      </c>
      <c r="I3139" s="40" t="s">
        <v>1361</v>
      </c>
    </row>
    <row r="3140" spans="1:9" x14ac:dyDescent="0.25">
      <c r="A3140" s="40" t="s">
        <v>105</v>
      </c>
      <c r="B3140" s="28">
        <v>3504</v>
      </c>
      <c r="C3140" s="28" t="s">
        <v>957</v>
      </c>
      <c r="D3140" s="28"/>
      <c r="E3140" s="41">
        <v>46156</v>
      </c>
      <c r="F3140" s="47">
        <v>0.35803240740740738</v>
      </c>
      <c r="G3140" s="42">
        <v>6.3</v>
      </c>
      <c r="H3140" s="40" t="s">
        <v>1363</v>
      </c>
      <c r="I3140" s="40" t="s">
        <v>1361</v>
      </c>
    </row>
    <row r="3141" spans="1:9" x14ac:dyDescent="0.25">
      <c r="A3141" s="40" t="s">
        <v>105</v>
      </c>
      <c r="B3141" s="28">
        <v>3504</v>
      </c>
      <c r="C3141" s="28" t="s">
        <v>957</v>
      </c>
      <c r="D3141" s="28"/>
      <c r="E3141" s="41">
        <v>46156</v>
      </c>
      <c r="F3141" s="47">
        <v>0.36506944444444445</v>
      </c>
      <c r="G3141" s="42">
        <v>6.3</v>
      </c>
      <c r="H3141" s="40" t="s">
        <v>1364</v>
      </c>
      <c r="I3141" s="40" t="s">
        <v>1361</v>
      </c>
    </row>
    <row r="3142" spans="1:9" x14ac:dyDescent="0.25">
      <c r="A3142" s="40" t="s">
        <v>105</v>
      </c>
      <c r="B3142" s="28">
        <v>3504</v>
      </c>
      <c r="C3142" s="28" t="s">
        <v>958</v>
      </c>
      <c r="D3142" s="28"/>
      <c r="E3142" s="41">
        <v>46157</v>
      </c>
      <c r="F3142" s="47">
        <v>0.33049768518518519</v>
      </c>
      <c r="G3142" s="42">
        <v>6.3</v>
      </c>
      <c r="H3142" s="40" t="s">
        <v>1360</v>
      </c>
      <c r="I3142" s="40" t="s">
        <v>1361</v>
      </c>
    </row>
    <row r="3143" spans="1:9" x14ac:dyDescent="0.25">
      <c r="A3143" s="40" t="s">
        <v>105</v>
      </c>
      <c r="B3143" s="28">
        <v>3504</v>
      </c>
      <c r="C3143" s="28" t="s">
        <v>958</v>
      </c>
      <c r="D3143" s="28"/>
      <c r="E3143" s="41">
        <v>46157</v>
      </c>
      <c r="F3143" s="47">
        <v>0.34667824074074072</v>
      </c>
      <c r="G3143" s="42">
        <v>6.3</v>
      </c>
      <c r="H3143" s="40" t="s">
        <v>1362</v>
      </c>
      <c r="I3143" s="40" t="s">
        <v>1361</v>
      </c>
    </row>
    <row r="3144" spans="1:9" x14ac:dyDescent="0.25">
      <c r="A3144" s="40" t="s">
        <v>105</v>
      </c>
      <c r="B3144" s="28">
        <v>3504</v>
      </c>
      <c r="C3144" s="28" t="s">
        <v>959</v>
      </c>
      <c r="D3144" s="28"/>
      <c r="E3144" s="45">
        <v>46157</v>
      </c>
      <c r="F3144" s="48">
        <v>0.45777777777777778</v>
      </c>
      <c r="G3144" s="42">
        <v>6.3</v>
      </c>
      <c r="H3144" s="40" t="s">
        <v>1363</v>
      </c>
      <c r="I3144" s="40" t="s">
        <v>1361</v>
      </c>
    </row>
    <row r="3145" spans="1:9" x14ac:dyDescent="0.25">
      <c r="A3145" s="40" t="s">
        <v>105</v>
      </c>
      <c r="B3145" s="28">
        <v>3504</v>
      </c>
      <c r="C3145" s="28" t="s">
        <v>959</v>
      </c>
      <c r="D3145" s="28"/>
      <c r="E3145" s="41">
        <v>46157</v>
      </c>
      <c r="F3145" s="47">
        <v>0.46462962962962961</v>
      </c>
      <c r="G3145" s="42">
        <v>6.3</v>
      </c>
      <c r="H3145" s="40" t="s">
        <v>1364</v>
      </c>
      <c r="I3145" s="40" t="s">
        <v>1361</v>
      </c>
    </row>
    <row r="3146" spans="1:9" x14ac:dyDescent="0.25">
      <c r="A3146" s="40" t="s">
        <v>105</v>
      </c>
      <c r="B3146" s="28">
        <v>3504</v>
      </c>
      <c r="C3146" s="28" t="s">
        <v>960</v>
      </c>
      <c r="D3146" s="28"/>
      <c r="E3146" s="45">
        <v>46157</v>
      </c>
      <c r="F3146" s="48">
        <v>0.91770833333333335</v>
      </c>
      <c r="G3146" s="42">
        <v>6.3</v>
      </c>
      <c r="H3146" s="40" t="s">
        <v>1360</v>
      </c>
      <c r="I3146" s="40" t="s">
        <v>1361</v>
      </c>
    </row>
    <row r="3147" spans="1:9" x14ac:dyDescent="0.25">
      <c r="A3147" s="40" t="s">
        <v>105</v>
      </c>
      <c r="B3147" s="28">
        <v>3504</v>
      </c>
      <c r="C3147" s="28" t="s">
        <v>960</v>
      </c>
      <c r="D3147" s="28"/>
      <c r="E3147" s="41">
        <v>46157</v>
      </c>
      <c r="F3147" s="47">
        <v>0.9252893518518519</v>
      </c>
      <c r="G3147" s="42">
        <v>6.3</v>
      </c>
      <c r="H3147" s="40" t="s">
        <v>1362</v>
      </c>
      <c r="I3147" s="40" t="s">
        <v>1361</v>
      </c>
    </row>
    <row r="3148" spans="1:9" x14ac:dyDescent="0.25">
      <c r="A3148" s="40" t="s">
        <v>105</v>
      </c>
      <c r="B3148" s="28">
        <v>3504</v>
      </c>
      <c r="C3148" s="28" t="s">
        <v>961</v>
      </c>
      <c r="D3148" s="28"/>
      <c r="E3148" s="41">
        <v>46158</v>
      </c>
      <c r="F3148" s="47">
        <v>0.17789351851851851</v>
      </c>
      <c r="G3148" s="42">
        <v>6.3</v>
      </c>
      <c r="H3148" s="40" t="s">
        <v>1363</v>
      </c>
      <c r="I3148" s="40" t="s">
        <v>1365</v>
      </c>
    </row>
    <row r="3149" spans="1:9" x14ac:dyDescent="0.25">
      <c r="A3149" s="40" t="s">
        <v>105</v>
      </c>
      <c r="B3149" s="28">
        <v>3504</v>
      </c>
      <c r="C3149" s="28" t="s">
        <v>961</v>
      </c>
      <c r="D3149" s="28"/>
      <c r="E3149" s="41">
        <v>46158</v>
      </c>
      <c r="F3149" s="47">
        <v>0.18303240740740739</v>
      </c>
      <c r="G3149" s="42">
        <v>6.3</v>
      </c>
      <c r="H3149" s="40" t="s">
        <v>1364</v>
      </c>
      <c r="I3149" s="40" t="s">
        <v>1365</v>
      </c>
    </row>
    <row r="3150" spans="1:9" x14ac:dyDescent="0.25">
      <c r="A3150" s="40" t="s">
        <v>105</v>
      </c>
      <c r="B3150" s="28">
        <v>3504</v>
      </c>
      <c r="C3150" s="28" t="s">
        <v>962</v>
      </c>
      <c r="D3150" s="28"/>
      <c r="E3150" s="41">
        <v>46159</v>
      </c>
      <c r="F3150" s="47">
        <v>0.35745370370370372</v>
      </c>
      <c r="G3150" s="42">
        <v>6.3</v>
      </c>
      <c r="H3150" s="40" t="s">
        <v>1363</v>
      </c>
      <c r="I3150" s="40" t="s">
        <v>1365</v>
      </c>
    </row>
    <row r="3151" spans="1:9" x14ac:dyDescent="0.25">
      <c r="A3151" s="40" t="s">
        <v>105</v>
      </c>
      <c r="B3151" s="28">
        <v>3504</v>
      </c>
      <c r="C3151" s="28" t="s">
        <v>962</v>
      </c>
      <c r="D3151" s="28"/>
      <c r="E3151" s="41">
        <v>46159</v>
      </c>
      <c r="F3151" s="47">
        <v>0.36268518518518517</v>
      </c>
      <c r="G3151" s="42">
        <v>6.3</v>
      </c>
      <c r="H3151" s="40" t="s">
        <v>1364</v>
      </c>
      <c r="I3151" s="40" t="s">
        <v>1365</v>
      </c>
    </row>
    <row r="3152" spans="1:9" x14ac:dyDescent="0.25">
      <c r="A3152" s="40" t="s">
        <v>253</v>
      </c>
      <c r="B3152" s="28">
        <v>3509</v>
      </c>
      <c r="C3152" s="28">
        <v>5664380</v>
      </c>
      <c r="D3152" s="28"/>
      <c r="E3152" s="45">
        <v>46154</v>
      </c>
      <c r="F3152" s="48">
        <v>0.3679398148148148</v>
      </c>
      <c r="G3152" s="42">
        <v>6.3</v>
      </c>
      <c r="H3152" s="40" t="s">
        <v>1360</v>
      </c>
      <c r="I3152" s="40" t="s">
        <v>1361</v>
      </c>
    </row>
    <row r="3153" spans="1:9" x14ac:dyDescent="0.25">
      <c r="A3153" s="40" t="s">
        <v>253</v>
      </c>
      <c r="B3153" s="28">
        <v>3509</v>
      </c>
      <c r="C3153" s="28">
        <v>5664380</v>
      </c>
      <c r="D3153" s="28"/>
      <c r="E3153" s="41">
        <v>46154</v>
      </c>
      <c r="F3153" s="47">
        <v>0.38609953703703703</v>
      </c>
      <c r="G3153" s="42">
        <v>6.3</v>
      </c>
      <c r="H3153" s="40" t="s">
        <v>1362</v>
      </c>
      <c r="I3153" s="40" t="s">
        <v>1361</v>
      </c>
    </row>
    <row r="3154" spans="1:9" x14ac:dyDescent="0.25">
      <c r="A3154" s="40" t="s">
        <v>253</v>
      </c>
      <c r="B3154" s="28">
        <v>3509</v>
      </c>
      <c r="C3154" s="28" t="s">
        <v>35</v>
      </c>
      <c r="D3154" s="28" t="s">
        <v>38</v>
      </c>
      <c r="E3154" s="41">
        <v>46154</v>
      </c>
      <c r="F3154" s="47">
        <v>0.4060185185185185</v>
      </c>
      <c r="G3154" s="42">
        <v>6.3</v>
      </c>
      <c r="H3154" s="40" t="s">
        <v>1363</v>
      </c>
      <c r="I3154" s="40" t="s">
        <v>1361</v>
      </c>
    </row>
    <row r="3155" spans="1:9" x14ac:dyDescent="0.25">
      <c r="A3155" s="40" t="s">
        <v>253</v>
      </c>
      <c r="B3155" s="28">
        <v>3509</v>
      </c>
      <c r="C3155" s="28">
        <v>5665148</v>
      </c>
      <c r="D3155" s="28"/>
      <c r="E3155" s="41">
        <v>46154</v>
      </c>
      <c r="F3155" s="47">
        <v>0.68677083333333333</v>
      </c>
      <c r="G3155" s="44">
        <v>6.3</v>
      </c>
      <c r="H3155" s="43" t="s">
        <v>1360</v>
      </c>
      <c r="I3155" s="40" t="s">
        <v>1361</v>
      </c>
    </row>
    <row r="3156" spans="1:9" x14ac:dyDescent="0.25">
      <c r="A3156" s="40" t="s">
        <v>253</v>
      </c>
      <c r="B3156" s="28">
        <v>3509</v>
      </c>
      <c r="C3156" s="28">
        <v>5665148</v>
      </c>
      <c r="D3156" s="28"/>
      <c r="E3156" s="45">
        <v>46154</v>
      </c>
      <c r="F3156" s="48">
        <v>0.70101851851851849</v>
      </c>
      <c r="G3156" s="44">
        <v>6.3</v>
      </c>
      <c r="H3156" s="43" t="s">
        <v>1368</v>
      </c>
      <c r="I3156" s="40" t="s">
        <v>1361</v>
      </c>
    </row>
    <row r="3157" spans="1:9" x14ac:dyDescent="0.25">
      <c r="A3157" s="40" t="s">
        <v>253</v>
      </c>
      <c r="B3157" s="28">
        <v>3509</v>
      </c>
      <c r="C3157" s="28">
        <v>5664652</v>
      </c>
      <c r="D3157" s="28"/>
      <c r="E3157" s="41">
        <v>46154</v>
      </c>
      <c r="F3157" s="47">
        <v>0.77129629629629626</v>
      </c>
      <c r="G3157" s="44">
        <v>6.3</v>
      </c>
      <c r="H3157" s="43" t="s">
        <v>1367</v>
      </c>
      <c r="I3157" s="40" t="s">
        <v>1361</v>
      </c>
    </row>
    <row r="3158" spans="1:9" x14ac:dyDescent="0.25">
      <c r="A3158" s="40" t="s">
        <v>253</v>
      </c>
      <c r="B3158" s="28">
        <v>3509</v>
      </c>
      <c r="C3158" s="28">
        <v>5664652</v>
      </c>
      <c r="D3158" s="28"/>
      <c r="E3158" s="41">
        <v>46154</v>
      </c>
      <c r="F3158" s="47">
        <v>0.78997685185185185</v>
      </c>
      <c r="G3158" s="44">
        <v>6.3</v>
      </c>
      <c r="H3158" s="43" t="s">
        <v>1364</v>
      </c>
      <c r="I3158" s="40" t="s">
        <v>1361</v>
      </c>
    </row>
    <row r="3159" spans="1:9" x14ac:dyDescent="0.25">
      <c r="A3159" s="40" t="s">
        <v>253</v>
      </c>
      <c r="B3159" s="28">
        <v>3509</v>
      </c>
      <c r="C3159" s="28">
        <v>5665367</v>
      </c>
      <c r="D3159" s="28"/>
      <c r="E3159" s="41">
        <v>46155</v>
      </c>
      <c r="F3159" s="47">
        <v>0.40771990740740743</v>
      </c>
      <c r="G3159" s="44">
        <v>6.3</v>
      </c>
      <c r="H3159" s="43" t="s">
        <v>1363</v>
      </c>
      <c r="I3159" s="40" t="s">
        <v>1361</v>
      </c>
    </row>
    <row r="3160" spans="1:9" x14ac:dyDescent="0.25">
      <c r="A3160" s="40" t="s">
        <v>253</v>
      </c>
      <c r="B3160" s="28">
        <v>3509</v>
      </c>
      <c r="C3160" s="28">
        <v>5665367</v>
      </c>
      <c r="D3160" s="28"/>
      <c r="E3160" s="41">
        <v>46155</v>
      </c>
      <c r="F3160" s="47">
        <v>0.41461805555555553</v>
      </c>
      <c r="G3160" s="44">
        <v>6.3</v>
      </c>
      <c r="H3160" s="43" t="s">
        <v>1364</v>
      </c>
      <c r="I3160" s="40" t="s">
        <v>1361</v>
      </c>
    </row>
    <row r="3161" spans="1:9" x14ac:dyDescent="0.25">
      <c r="A3161" s="40" t="s">
        <v>253</v>
      </c>
      <c r="B3161" s="28">
        <v>3509</v>
      </c>
      <c r="C3161" s="28">
        <v>5666768</v>
      </c>
      <c r="D3161" s="28"/>
      <c r="E3161" s="41">
        <v>46155</v>
      </c>
      <c r="F3161" s="47">
        <v>0.68827546296296294</v>
      </c>
      <c r="G3161" s="44">
        <v>6.3</v>
      </c>
      <c r="H3161" s="43" t="s">
        <v>1369</v>
      </c>
      <c r="I3161" s="40" t="s">
        <v>1361</v>
      </c>
    </row>
    <row r="3162" spans="1:9" x14ac:dyDescent="0.25">
      <c r="A3162" s="40" t="s">
        <v>253</v>
      </c>
      <c r="B3162" s="28">
        <v>3509</v>
      </c>
      <c r="C3162" s="28">
        <v>5666768</v>
      </c>
      <c r="D3162" s="28"/>
      <c r="E3162" s="45">
        <v>46155</v>
      </c>
      <c r="F3162" s="48">
        <v>0.69508101851851856</v>
      </c>
      <c r="G3162" s="44">
        <v>6.3</v>
      </c>
      <c r="H3162" s="43" t="s">
        <v>1364</v>
      </c>
      <c r="I3162" s="40" t="s">
        <v>1361</v>
      </c>
    </row>
    <row r="3163" spans="1:9" x14ac:dyDescent="0.25">
      <c r="A3163" s="40" t="s">
        <v>253</v>
      </c>
      <c r="B3163" s="28">
        <v>3509</v>
      </c>
      <c r="C3163" s="28">
        <v>5667973</v>
      </c>
      <c r="D3163" s="28"/>
      <c r="E3163" s="41">
        <v>46156</v>
      </c>
      <c r="F3163" s="47">
        <v>0.40078703703703705</v>
      </c>
      <c r="G3163" s="44">
        <v>6.3</v>
      </c>
      <c r="H3163" s="43" t="s">
        <v>1360</v>
      </c>
      <c r="I3163" s="40" t="s">
        <v>1361</v>
      </c>
    </row>
    <row r="3164" spans="1:9" x14ac:dyDescent="0.25">
      <c r="A3164" s="40" t="s">
        <v>253</v>
      </c>
      <c r="B3164" s="28">
        <v>3509</v>
      </c>
      <c r="C3164" s="28">
        <v>5667973</v>
      </c>
      <c r="D3164" s="28"/>
      <c r="E3164" s="45">
        <v>46156</v>
      </c>
      <c r="F3164" s="48">
        <v>0.41334490740740742</v>
      </c>
      <c r="G3164" s="44">
        <v>6.3</v>
      </c>
      <c r="H3164" s="43" t="s">
        <v>1362</v>
      </c>
      <c r="I3164" s="40" t="s">
        <v>1361</v>
      </c>
    </row>
    <row r="3165" spans="1:9" x14ac:dyDescent="0.25">
      <c r="A3165" s="40" t="s">
        <v>253</v>
      </c>
      <c r="B3165" s="28">
        <v>3509</v>
      </c>
      <c r="C3165" s="28" t="s">
        <v>963</v>
      </c>
      <c r="D3165" s="28"/>
      <c r="E3165" s="45">
        <v>46156</v>
      </c>
      <c r="F3165" s="48">
        <v>0.57298611111111108</v>
      </c>
      <c r="G3165" s="44">
        <v>6.3</v>
      </c>
      <c r="H3165" s="43" t="s">
        <v>1360</v>
      </c>
      <c r="I3165" s="40" t="s">
        <v>1361</v>
      </c>
    </row>
    <row r="3166" spans="1:9" x14ac:dyDescent="0.25">
      <c r="A3166" s="40" t="s">
        <v>253</v>
      </c>
      <c r="B3166" s="28">
        <v>3509</v>
      </c>
      <c r="C3166" s="28" t="s">
        <v>963</v>
      </c>
      <c r="D3166" s="28"/>
      <c r="E3166" s="45">
        <v>46156</v>
      </c>
      <c r="F3166" s="48">
        <v>0.58175925925925931</v>
      </c>
      <c r="G3166" s="44">
        <v>6.3</v>
      </c>
      <c r="H3166" s="43" t="s">
        <v>1362</v>
      </c>
      <c r="I3166" s="40" t="s">
        <v>1361</v>
      </c>
    </row>
    <row r="3167" spans="1:9" x14ac:dyDescent="0.25">
      <c r="A3167" s="40" t="s">
        <v>253</v>
      </c>
      <c r="B3167" s="28">
        <v>3509</v>
      </c>
      <c r="C3167" s="28">
        <v>5668548</v>
      </c>
      <c r="D3167" s="28"/>
      <c r="E3167" s="41">
        <v>46156</v>
      </c>
      <c r="F3167" s="47">
        <v>0.6436574074074074</v>
      </c>
      <c r="G3167" s="44">
        <v>6.3</v>
      </c>
      <c r="H3167" s="43" t="s">
        <v>1363</v>
      </c>
      <c r="I3167" s="40" t="s">
        <v>1361</v>
      </c>
    </row>
    <row r="3168" spans="1:9" x14ac:dyDescent="0.25">
      <c r="A3168" s="40" t="s">
        <v>253</v>
      </c>
      <c r="B3168" s="28">
        <v>3509</v>
      </c>
      <c r="C3168" s="28">
        <v>5668548</v>
      </c>
      <c r="D3168" s="28"/>
      <c r="E3168" s="41">
        <v>46156</v>
      </c>
      <c r="F3168" s="47">
        <v>0.65179398148148149</v>
      </c>
      <c r="G3168" s="44">
        <v>6.3</v>
      </c>
      <c r="H3168" s="43" t="s">
        <v>1364</v>
      </c>
      <c r="I3168" s="40" t="s">
        <v>1361</v>
      </c>
    </row>
    <row r="3169" spans="1:9" x14ac:dyDescent="0.25">
      <c r="A3169" s="40" t="s">
        <v>253</v>
      </c>
      <c r="B3169" s="28">
        <v>3509</v>
      </c>
      <c r="C3169" s="28">
        <v>5668493</v>
      </c>
      <c r="D3169" s="28" t="s">
        <v>36</v>
      </c>
      <c r="E3169" s="41">
        <v>46156</v>
      </c>
      <c r="F3169" s="47">
        <v>0.81118055555555557</v>
      </c>
      <c r="G3169" s="44">
        <v>6.3</v>
      </c>
      <c r="H3169" s="43" t="s">
        <v>1360</v>
      </c>
      <c r="I3169" s="40" t="s">
        <v>1361</v>
      </c>
    </row>
    <row r="3170" spans="1:9" x14ac:dyDescent="0.25">
      <c r="A3170" s="40" t="s">
        <v>215</v>
      </c>
      <c r="B3170" s="28">
        <v>3517</v>
      </c>
      <c r="C3170" s="28" t="s">
        <v>964</v>
      </c>
      <c r="D3170" s="28"/>
      <c r="E3170" s="41">
        <v>46153</v>
      </c>
      <c r="F3170" s="47">
        <v>0.80903935185185183</v>
      </c>
      <c r="G3170" s="44">
        <v>6.3</v>
      </c>
      <c r="H3170" s="43" t="s">
        <v>1360</v>
      </c>
      <c r="I3170" s="40" t="s">
        <v>1361</v>
      </c>
    </row>
    <row r="3171" spans="1:9" x14ac:dyDescent="0.25">
      <c r="A3171" s="40" t="s">
        <v>215</v>
      </c>
      <c r="B3171" s="28">
        <v>3517</v>
      </c>
      <c r="C3171" s="28" t="s">
        <v>964</v>
      </c>
      <c r="D3171" s="28"/>
      <c r="E3171" s="41">
        <v>46153</v>
      </c>
      <c r="F3171" s="47">
        <v>0.81934027777777774</v>
      </c>
      <c r="G3171" s="44">
        <v>6.3</v>
      </c>
      <c r="H3171" s="43" t="s">
        <v>1362</v>
      </c>
      <c r="I3171" s="40" t="s">
        <v>1361</v>
      </c>
    </row>
    <row r="3172" spans="1:9" x14ac:dyDescent="0.25">
      <c r="A3172" s="40" t="s">
        <v>215</v>
      </c>
      <c r="B3172" s="28">
        <v>3517</v>
      </c>
      <c r="C3172" s="28" t="s">
        <v>965</v>
      </c>
      <c r="D3172" s="28"/>
      <c r="E3172" s="41">
        <v>46153</v>
      </c>
      <c r="F3172" s="47">
        <v>0.96736111111111112</v>
      </c>
      <c r="G3172" s="44">
        <v>6.3</v>
      </c>
      <c r="H3172" s="43" t="s">
        <v>1360</v>
      </c>
      <c r="I3172" s="40" t="s">
        <v>1361</v>
      </c>
    </row>
    <row r="3173" spans="1:9" x14ac:dyDescent="0.25">
      <c r="A3173" s="40" t="s">
        <v>215</v>
      </c>
      <c r="B3173" s="28">
        <v>3517</v>
      </c>
      <c r="C3173" s="28" t="s">
        <v>965</v>
      </c>
      <c r="D3173" s="28"/>
      <c r="E3173" s="41">
        <v>46153</v>
      </c>
      <c r="F3173" s="47">
        <v>0.97453703703703709</v>
      </c>
      <c r="G3173" s="44">
        <v>6.3</v>
      </c>
      <c r="H3173" s="43" t="s">
        <v>1362</v>
      </c>
      <c r="I3173" s="40" t="s">
        <v>1361</v>
      </c>
    </row>
    <row r="3174" spans="1:9" x14ac:dyDescent="0.25">
      <c r="A3174" s="40" t="s">
        <v>215</v>
      </c>
      <c r="B3174" s="28">
        <v>3517</v>
      </c>
      <c r="C3174" s="28" t="s">
        <v>966</v>
      </c>
      <c r="D3174" s="28"/>
      <c r="E3174" s="41">
        <v>46154</v>
      </c>
      <c r="F3174" s="47">
        <v>0.98468750000000005</v>
      </c>
      <c r="G3174" s="44">
        <v>6.3</v>
      </c>
      <c r="H3174" s="43" t="s">
        <v>1360</v>
      </c>
      <c r="I3174" s="40" t="s">
        <v>1361</v>
      </c>
    </row>
    <row r="3175" spans="1:9" x14ac:dyDescent="0.25">
      <c r="A3175" s="40" t="s">
        <v>215</v>
      </c>
      <c r="B3175" s="28">
        <v>3517</v>
      </c>
      <c r="C3175" s="28" t="s">
        <v>966</v>
      </c>
      <c r="D3175" s="28"/>
      <c r="E3175" s="41">
        <v>46154</v>
      </c>
      <c r="F3175" s="47">
        <v>0.99232638888888891</v>
      </c>
      <c r="G3175" s="44">
        <v>6.3</v>
      </c>
      <c r="H3175" s="43" t="s">
        <v>1362</v>
      </c>
      <c r="I3175" s="40" t="s">
        <v>1361</v>
      </c>
    </row>
    <row r="3176" spans="1:9" x14ac:dyDescent="0.25">
      <c r="A3176" s="40" t="s">
        <v>215</v>
      </c>
      <c r="B3176" s="28">
        <v>3517</v>
      </c>
      <c r="C3176" s="28" t="s">
        <v>967</v>
      </c>
      <c r="D3176" s="28"/>
      <c r="E3176" s="41">
        <v>46155</v>
      </c>
      <c r="F3176" s="47">
        <v>0.65453703703703703</v>
      </c>
      <c r="G3176" s="44">
        <v>6.3</v>
      </c>
      <c r="H3176" s="43" t="s">
        <v>1360</v>
      </c>
      <c r="I3176" s="40" t="s">
        <v>1361</v>
      </c>
    </row>
    <row r="3177" spans="1:9" x14ac:dyDescent="0.25">
      <c r="A3177" s="40" t="s">
        <v>215</v>
      </c>
      <c r="B3177" s="28">
        <v>3517</v>
      </c>
      <c r="C3177" s="28" t="s">
        <v>967</v>
      </c>
      <c r="D3177" s="28"/>
      <c r="E3177" s="41">
        <v>46155</v>
      </c>
      <c r="F3177" s="47">
        <v>0.66412037037037042</v>
      </c>
      <c r="G3177" s="44">
        <v>6.3</v>
      </c>
      <c r="H3177" s="43" t="s">
        <v>1362</v>
      </c>
      <c r="I3177" s="40" t="s">
        <v>1361</v>
      </c>
    </row>
    <row r="3178" spans="1:9" x14ac:dyDescent="0.25">
      <c r="A3178" s="40" t="s">
        <v>215</v>
      </c>
      <c r="B3178" s="28">
        <v>3517</v>
      </c>
      <c r="C3178" s="28" t="s">
        <v>968</v>
      </c>
      <c r="D3178" s="28"/>
      <c r="E3178" s="41">
        <v>46155</v>
      </c>
      <c r="F3178" s="47">
        <v>0.72387731481481477</v>
      </c>
      <c r="G3178" s="44">
        <v>6.3</v>
      </c>
      <c r="H3178" s="43" t="s">
        <v>1363</v>
      </c>
      <c r="I3178" s="40" t="s">
        <v>1361</v>
      </c>
    </row>
    <row r="3179" spans="1:9" x14ac:dyDescent="0.25">
      <c r="A3179" s="40" t="s">
        <v>215</v>
      </c>
      <c r="B3179" s="28">
        <v>3517</v>
      </c>
      <c r="C3179" s="28" t="s">
        <v>968</v>
      </c>
      <c r="D3179" s="28"/>
      <c r="E3179" s="41">
        <v>46155</v>
      </c>
      <c r="F3179" s="47">
        <v>0.73704861111111108</v>
      </c>
      <c r="G3179" s="44">
        <v>6.3</v>
      </c>
      <c r="H3179" s="43" t="s">
        <v>1364</v>
      </c>
      <c r="I3179" s="40" t="s">
        <v>1361</v>
      </c>
    </row>
    <row r="3180" spans="1:9" x14ac:dyDescent="0.25">
      <c r="A3180" s="40" t="s">
        <v>215</v>
      </c>
      <c r="B3180" s="28">
        <v>3517</v>
      </c>
      <c r="C3180" s="28" t="s">
        <v>969</v>
      </c>
      <c r="D3180" s="28"/>
      <c r="E3180" s="45">
        <v>46155</v>
      </c>
      <c r="F3180" s="48">
        <v>0.98884259259259255</v>
      </c>
      <c r="G3180" s="44">
        <v>6.3</v>
      </c>
      <c r="H3180" s="43" t="s">
        <v>1360</v>
      </c>
      <c r="I3180" s="40" t="s">
        <v>1361</v>
      </c>
    </row>
    <row r="3181" spans="1:9" x14ac:dyDescent="0.25">
      <c r="A3181" s="40" t="s">
        <v>215</v>
      </c>
      <c r="B3181" s="28">
        <v>3517</v>
      </c>
      <c r="C3181" s="28" t="s">
        <v>969</v>
      </c>
      <c r="D3181" s="28"/>
      <c r="E3181" s="41">
        <v>46155</v>
      </c>
      <c r="F3181" s="47">
        <v>0.99750000000000005</v>
      </c>
      <c r="G3181" s="44">
        <v>6.3</v>
      </c>
      <c r="H3181" s="43" t="s">
        <v>1362</v>
      </c>
      <c r="I3181" s="40" t="s">
        <v>1361</v>
      </c>
    </row>
    <row r="3182" spans="1:9" x14ac:dyDescent="0.25">
      <c r="A3182" s="40" t="s">
        <v>215</v>
      </c>
      <c r="B3182" s="28">
        <v>3517</v>
      </c>
      <c r="C3182" s="28" t="s">
        <v>970</v>
      </c>
      <c r="D3182" s="28"/>
      <c r="E3182" s="45">
        <v>46157</v>
      </c>
      <c r="F3182" s="48">
        <v>1.3784722222222223E-2</v>
      </c>
      <c r="G3182" s="44">
        <v>6.3</v>
      </c>
      <c r="H3182" s="43" t="s">
        <v>1360</v>
      </c>
      <c r="I3182" s="40" t="s">
        <v>1361</v>
      </c>
    </row>
    <row r="3183" spans="1:9" x14ac:dyDescent="0.25">
      <c r="A3183" s="40" t="s">
        <v>215</v>
      </c>
      <c r="B3183" s="28">
        <v>3517</v>
      </c>
      <c r="C3183" s="28" t="s">
        <v>970</v>
      </c>
      <c r="D3183" s="28"/>
      <c r="E3183" s="41">
        <v>46157</v>
      </c>
      <c r="F3183" s="47">
        <v>2.6817129629629628E-2</v>
      </c>
      <c r="G3183" s="44">
        <v>6.3</v>
      </c>
      <c r="H3183" s="43" t="s">
        <v>1362</v>
      </c>
      <c r="I3183" s="40" t="s">
        <v>1361</v>
      </c>
    </row>
    <row r="3184" spans="1:9" x14ac:dyDescent="0.25">
      <c r="A3184" s="40" t="s">
        <v>215</v>
      </c>
      <c r="B3184" s="28">
        <v>3517</v>
      </c>
      <c r="C3184" s="28" t="s">
        <v>971</v>
      </c>
      <c r="D3184" s="28"/>
      <c r="E3184" s="41">
        <v>46157</v>
      </c>
      <c r="F3184" s="47">
        <v>0.52768518518518515</v>
      </c>
      <c r="G3184" s="44">
        <v>6.3</v>
      </c>
      <c r="H3184" s="43" t="s">
        <v>1363</v>
      </c>
      <c r="I3184" s="40" t="s">
        <v>1361</v>
      </c>
    </row>
    <row r="3185" spans="1:9" x14ac:dyDescent="0.25">
      <c r="A3185" s="40" t="s">
        <v>215</v>
      </c>
      <c r="B3185" s="28">
        <v>3517</v>
      </c>
      <c r="C3185" s="28" t="s">
        <v>971</v>
      </c>
      <c r="D3185" s="28"/>
      <c r="E3185" s="41">
        <v>46157</v>
      </c>
      <c r="F3185" s="47">
        <v>0.53379629629629632</v>
      </c>
      <c r="G3185" s="44">
        <v>6.3</v>
      </c>
      <c r="H3185" s="43" t="s">
        <v>1364</v>
      </c>
      <c r="I3185" s="40" t="s">
        <v>1361</v>
      </c>
    </row>
    <row r="3186" spans="1:9" x14ac:dyDescent="0.25">
      <c r="A3186" s="40" t="s">
        <v>215</v>
      </c>
      <c r="B3186" s="28">
        <v>3517</v>
      </c>
      <c r="C3186" s="28" t="s">
        <v>972</v>
      </c>
      <c r="D3186" s="28"/>
      <c r="E3186" s="41">
        <v>46158</v>
      </c>
      <c r="F3186" s="47">
        <v>1.1018518518518518E-2</v>
      </c>
      <c r="G3186" s="44">
        <v>6.3</v>
      </c>
      <c r="H3186" s="43" t="s">
        <v>1360</v>
      </c>
      <c r="I3186" s="40" t="s">
        <v>1365</v>
      </c>
    </row>
    <row r="3187" spans="1:9" x14ac:dyDescent="0.25">
      <c r="A3187" s="40" t="s">
        <v>215</v>
      </c>
      <c r="B3187" s="28">
        <v>3517</v>
      </c>
      <c r="C3187" s="28" t="s">
        <v>972</v>
      </c>
      <c r="D3187" s="28"/>
      <c r="E3187" s="41">
        <v>46158</v>
      </c>
      <c r="F3187" s="47">
        <v>1.9050925925925926E-2</v>
      </c>
      <c r="G3187" s="44">
        <v>6.3</v>
      </c>
      <c r="H3187" s="43" t="s">
        <v>1362</v>
      </c>
      <c r="I3187" s="40" t="s">
        <v>1365</v>
      </c>
    </row>
    <row r="3188" spans="1:9" x14ac:dyDescent="0.25">
      <c r="A3188" s="40" t="s">
        <v>215</v>
      </c>
      <c r="B3188" s="28">
        <v>3517</v>
      </c>
      <c r="C3188" s="28" t="s">
        <v>973</v>
      </c>
      <c r="D3188" s="28"/>
      <c r="E3188" s="41">
        <v>46158</v>
      </c>
      <c r="F3188" s="47">
        <v>0.71075231481481482</v>
      </c>
      <c r="G3188" s="44">
        <v>6.3</v>
      </c>
      <c r="H3188" s="43" t="s">
        <v>1370</v>
      </c>
      <c r="I3188" s="40" t="s">
        <v>1365</v>
      </c>
    </row>
    <row r="3189" spans="1:9" x14ac:dyDescent="0.25">
      <c r="A3189" s="40" t="s">
        <v>215</v>
      </c>
      <c r="B3189" s="28">
        <v>3517</v>
      </c>
      <c r="C3189" s="28" t="s">
        <v>973</v>
      </c>
      <c r="D3189" s="28"/>
      <c r="E3189" s="45">
        <v>46158</v>
      </c>
      <c r="F3189" s="48">
        <v>0.72550925925925924</v>
      </c>
      <c r="G3189" s="44">
        <v>6.3</v>
      </c>
      <c r="H3189" s="43" t="s">
        <v>1364</v>
      </c>
      <c r="I3189" s="40" t="s">
        <v>1365</v>
      </c>
    </row>
    <row r="3190" spans="1:9" x14ac:dyDescent="0.25">
      <c r="A3190" s="40" t="s">
        <v>215</v>
      </c>
      <c r="B3190" s="28">
        <v>3517</v>
      </c>
      <c r="C3190" s="28" t="s">
        <v>974</v>
      </c>
      <c r="D3190" s="28"/>
      <c r="E3190" s="41">
        <v>46158</v>
      </c>
      <c r="F3190" s="47">
        <v>0.99048611111111107</v>
      </c>
      <c r="G3190" s="44">
        <v>6.3</v>
      </c>
      <c r="H3190" s="43" t="s">
        <v>1360</v>
      </c>
      <c r="I3190" s="40" t="s">
        <v>1365</v>
      </c>
    </row>
    <row r="3191" spans="1:9" x14ac:dyDescent="0.25">
      <c r="A3191" s="40" t="s">
        <v>215</v>
      </c>
      <c r="B3191" s="28">
        <v>3517</v>
      </c>
      <c r="C3191" s="28" t="s">
        <v>974</v>
      </c>
      <c r="D3191" s="28"/>
      <c r="E3191" s="41">
        <v>46158</v>
      </c>
      <c r="F3191" s="47">
        <v>0.99829861111111107</v>
      </c>
      <c r="G3191" s="44">
        <v>6.3</v>
      </c>
      <c r="H3191" s="43" t="s">
        <v>1362</v>
      </c>
      <c r="I3191" s="40" t="s">
        <v>1365</v>
      </c>
    </row>
    <row r="3192" spans="1:9" x14ac:dyDescent="0.25">
      <c r="A3192" s="40" t="s">
        <v>364</v>
      </c>
      <c r="B3192" s="28">
        <v>3554</v>
      </c>
      <c r="C3192" s="28">
        <v>5666004</v>
      </c>
      <c r="D3192" s="28" t="s">
        <v>36</v>
      </c>
      <c r="E3192" s="41">
        <v>46155</v>
      </c>
      <c r="F3192" s="47">
        <v>0.37193287037037037</v>
      </c>
      <c r="G3192" s="42">
        <v>6.3</v>
      </c>
      <c r="H3192" s="40" t="s">
        <v>1362</v>
      </c>
      <c r="I3192" s="40" t="s">
        <v>1361</v>
      </c>
    </row>
    <row r="3193" spans="1:9" x14ac:dyDescent="0.25">
      <c r="A3193" s="40" t="s">
        <v>287</v>
      </c>
      <c r="B3193" s="28">
        <v>3565</v>
      </c>
      <c r="C3193" s="28">
        <v>5661071</v>
      </c>
      <c r="D3193" s="28"/>
      <c r="E3193" s="41">
        <v>46153</v>
      </c>
      <c r="F3193" s="47">
        <v>0.17937500000000001</v>
      </c>
      <c r="G3193" s="42">
        <v>6.3</v>
      </c>
      <c r="H3193" s="40" t="s">
        <v>1370</v>
      </c>
      <c r="I3193" s="40" t="s">
        <v>1361</v>
      </c>
    </row>
    <row r="3194" spans="1:9" x14ac:dyDescent="0.25">
      <c r="A3194" s="40" t="s">
        <v>287</v>
      </c>
      <c r="B3194" s="28">
        <v>3565</v>
      </c>
      <c r="C3194" s="28">
        <v>5661071</v>
      </c>
      <c r="D3194" s="28"/>
      <c r="E3194" s="41">
        <v>46153</v>
      </c>
      <c r="F3194" s="47">
        <v>0.18353009259259259</v>
      </c>
      <c r="G3194" s="42">
        <v>6.3</v>
      </c>
      <c r="H3194" s="40" t="s">
        <v>1364</v>
      </c>
      <c r="I3194" s="40" t="s">
        <v>1361</v>
      </c>
    </row>
    <row r="3195" spans="1:9" x14ac:dyDescent="0.25">
      <c r="A3195" s="40" t="s">
        <v>287</v>
      </c>
      <c r="B3195" s="28">
        <v>3565</v>
      </c>
      <c r="C3195" s="28">
        <v>5662246</v>
      </c>
      <c r="D3195" s="28" t="s">
        <v>37</v>
      </c>
      <c r="E3195" s="41">
        <v>46153</v>
      </c>
      <c r="F3195" s="47">
        <v>0.36332175925925925</v>
      </c>
      <c r="G3195" s="42">
        <v>6.3</v>
      </c>
      <c r="H3195" s="40" t="s">
        <v>1360</v>
      </c>
      <c r="I3195" s="40" t="s">
        <v>1361</v>
      </c>
    </row>
    <row r="3196" spans="1:9" x14ac:dyDescent="0.25">
      <c r="A3196" s="40" t="s">
        <v>287</v>
      </c>
      <c r="B3196" s="28">
        <v>3565</v>
      </c>
      <c r="C3196" s="28">
        <v>5662246</v>
      </c>
      <c r="D3196" s="28" t="s">
        <v>37</v>
      </c>
      <c r="E3196" s="41">
        <v>46153</v>
      </c>
      <c r="F3196" s="47">
        <v>0.37613425925925925</v>
      </c>
      <c r="G3196" s="44">
        <v>6.3</v>
      </c>
      <c r="H3196" s="43" t="s">
        <v>1362</v>
      </c>
      <c r="I3196" s="40" t="s">
        <v>1361</v>
      </c>
    </row>
    <row r="3197" spans="1:9" x14ac:dyDescent="0.25">
      <c r="A3197" s="40" t="s">
        <v>287</v>
      </c>
      <c r="B3197" s="28">
        <v>3565</v>
      </c>
      <c r="C3197" s="28" t="s">
        <v>35</v>
      </c>
      <c r="D3197" s="28" t="s">
        <v>38</v>
      </c>
      <c r="E3197" s="41">
        <v>46153</v>
      </c>
      <c r="F3197" s="47">
        <v>0.4699652777777778</v>
      </c>
      <c r="G3197" s="44">
        <v>6.3</v>
      </c>
      <c r="H3197" s="43" t="s">
        <v>1363</v>
      </c>
      <c r="I3197" s="40" t="s">
        <v>1361</v>
      </c>
    </row>
    <row r="3198" spans="1:9" x14ac:dyDescent="0.25">
      <c r="A3198" s="40" t="s">
        <v>287</v>
      </c>
      <c r="B3198" s="28">
        <v>3565</v>
      </c>
      <c r="C3198" s="28">
        <v>5663335</v>
      </c>
      <c r="D3198" s="28"/>
      <c r="E3198" s="41">
        <v>46153</v>
      </c>
      <c r="F3198" s="47">
        <v>0.8334259259259259</v>
      </c>
      <c r="G3198" s="44">
        <v>6.3</v>
      </c>
      <c r="H3198" s="43" t="s">
        <v>1369</v>
      </c>
      <c r="I3198" s="40" t="s">
        <v>1361</v>
      </c>
    </row>
    <row r="3199" spans="1:9" x14ac:dyDescent="0.25">
      <c r="A3199" s="40" t="s">
        <v>287</v>
      </c>
      <c r="B3199" s="28">
        <v>3565</v>
      </c>
      <c r="C3199" s="28">
        <v>5663335</v>
      </c>
      <c r="D3199" s="28"/>
      <c r="E3199" s="41">
        <v>46153</v>
      </c>
      <c r="F3199" s="47">
        <v>0.83989583333333329</v>
      </c>
      <c r="G3199" s="44">
        <v>6.3</v>
      </c>
      <c r="H3199" s="43" t="s">
        <v>1364</v>
      </c>
      <c r="I3199" s="40" t="s">
        <v>1361</v>
      </c>
    </row>
    <row r="3200" spans="1:9" x14ac:dyDescent="0.25">
      <c r="A3200" s="40" t="s">
        <v>287</v>
      </c>
      <c r="B3200" s="28">
        <v>3565</v>
      </c>
      <c r="C3200" s="28" t="s">
        <v>35</v>
      </c>
      <c r="D3200" s="28" t="s">
        <v>38</v>
      </c>
      <c r="E3200" s="41">
        <v>46153</v>
      </c>
      <c r="F3200" s="47">
        <v>0.94974537037037032</v>
      </c>
      <c r="G3200" s="44">
        <v>6.3</v>
      </c>
      <c r="H3200" s="43" t="s">
        <v>1360</v>
      </c>
      <c r="I3200" s="40" t="s">
        <v>1361</v>
      </c>
    </row>
    <row r="3201" spans="1:9" x14ac:dyDescent="0.25">
      <c r="A3201" s="40" t="s">
        <v>287</v>
      </c>
      <c r="B3201" s="28">
        <v>3565</v>
      </c>
      <c r="C3201" s="28" t="s">
        <v>35</v>
      </c>
      <c r="D3201" s="28" t="s">
        <v>38</v>
      </c>
      <c r="E3201" s="41">
        <v>46153</v>
      </c>
      <c r="F3201" s="47">
        <v>0.95626157407407408</v>
      </c>
      <c r="G3201" s="44">
        <v>6.3</v>
      </c>
      <c r="H3201" s="43" t="s">
        <v>1362</v>
      </c>
      <c r="I3201" s="40" t="s">
        <v>1361</v>
      </c>
    </row>
    <row r="3202" spans="1:9" x14ac:dyDescent="0.25">
      <c r="A3202" s="40" t="s">
        <v>287</v>
      </c>
      <c r="B3202" s="28">
        <v>3565</v>
      </c>
      <c r="C3202" s="28">
        <v>5663535</v>
      </c>
      <c r="D3202" s="28"/>
      <c r="E3202" s="41">
        <v>46154</v>
      </c>
      <c r="F3202" s="47">
        <v>0.22285879629629629</v>
      </c>
      <c r="G3202" s="44">
        <v>6.3</v>
      </c>
      <c r="H3202" s="43" t="s">
        <v>1369</v>
      </c>
      <c r="I3202" s="40" t="s">
        <v>1361</v>
      </c>
    </row>
    <row r="3203" spans="1:9" x14ac:dyDescent="0.25">
      <c r="A3203" s="40" t="s">
        <v>287</v>
      </c>
      <c r="B3203" s="28">
        <v>3565</v>
      </c>
      <c r="C3203" s="28">
        <v>5663535</v>
      </c>
      <c r="D3203" s="28"/>
      <c r="E3203" s="45">
        <v>46154</v>
      </c>
      <c r="F3203" s="48">
        <v>0.22795138888888888</v>
      </c>
      <c r="G3203" s="44">
        <v>6.3</v>
      </c>
      <c r="H3203" s="43" t="s">
        <v>1364</v>
      </c>
      <c r="I3203" s="40" t="s">
        <v>1361</v>
      </c>
    </row>
    <row r="3204" spans="1:9" x14ac:dyDescent="0.25">
      <c r="A3204" s="40" t="s">
        <v>287</v>
      </c>
      <c r="B3204" s="28">
        <v>3565</v>
      </c>
      <c r="C3204" s="28">
        <v>5664479</v>
      </c>
      <c r="D3204" s="28" t="s">
        <v>37</v>
      </c>
      <c r="E3204" s="41">
        <v>46154</v>
      </c>
      <c r="F3204" s="47">
        <v>0.67439814814814814</v>
      </c>
      <c r="G3204" s="44">
        <v>6.3</v>
      </c>
      <c r="H3204" s="43" t="s">
        <v>1363</v>
      </c>
      <c r="I3204" s="40" t="s">
        <v>1361</v>
      </c>
    </row>
    <row r="3205" spans="1:9" x14ac:dyDescent="0.25">
      <c r="A3205" s="40" t="s">
        <v>287</v>
      </c>
      <c r="B3205" s="28">
        <v>3565</v>
      </c>
      <c r="C3205" s="28">
        <v>5664479</v>
      </c>
      <c r="D3205" s="28" t="s">
        <v>37</v>
      </c>
      <c r="E3205" s="45">
        <v>46154</v>
      </c>
      <c r="F3205" s="48">
        <v>0.69285879629629632</v>
      </c>
      <c r="G3205" s="44">
        <v>6.3</v>
      </c>
      <c r="H3205" s="43" t="s">
        <v>1364</v>
      </c>
      <c r="I3205" s="40" t="s">
        <v>1361</v>
      </c>
    </row>
    <row r="3206" spans="1:9" x14ac:dyDescent="0.25">
      <c r="A3206" s="40" t="s">
        <v>287</v>
      </c>
      <c r="B3206" s="28">
        <v>3565</v>
      </c>
      <c r="C3206" s="28">
        <v>5665547</v>
      </c>
      <c r="D3206" s="28"/>
      <c r="E3206" s="41">
        <v>46155</v>
      </c>
      <c r="F3206" s="47">
        <v>0.20703703703703705</v>
      </c>
      <c r="G3206" s="44">
        <v>6.3</v>
      </c>
      <c r="H3206" s="43" t="s">
        <v>1367</v>
      </c>
      <c r="I3206" s="40" t="s">
        <v>1361</v>
      </c>
    </row>
    <row r="3207" spans="1:9" x14ac:dyDescent="0.25">
      <c r="A3207" s="40" t="s">
        <v>287</v>
      </c>
      <c r="B3207" s="28">
        <v>3565</v>
      </c>
      <c r="C3207" s="28">
        <v>5665547</v>
      </c>
      <c r="D3207" s="28"/>
      <c r="E3207" s="41">
        <v>46155</v>
      </c>
      <c r="F3207" s="47">
        <v>0.20973379629629629</v>
      </c>
      <c r="G3207" s="44">
        <v>6.3</v>
      </c>
      <c r="H3207" s="43" t="s">
        <v>1364</v>
      </c>
      <c r="I3207" s="40" t="s">
        <v>1361</v>
      </c>
    </row>
    <row r="3208" spans="1:9" x14ac:dyDescent="0.25">
      <c r="A3208" s="40" t="s">
        <v>287</v>
      </c>
      <c r="B3208" s="28">
        <v>3565</v>
      </c>
      <c r="C3208" s="28" t="s">
        <v>35</v>
      </c>
      <c r="D3208" s="28" t="s">
        <v>38</v>
      </c>
      <c r="E3208" s="41">
        <v>46155</v>
      </c>
      <c r="F3208" s="47">
        <v>0.23619212962962963</v>
      </c>
      <c r="G3208" s="44">
        <v>6.3</v>
      </c>
      <c r="H3208" s="43" t="s">
        <v>1360</v>
      </c>
      <c r="I3208" s="40" t="s">
        <v>1361</v>
      </c>
    </row>
    <row r="3209" spans="1:9" x14ac:dyDescent="0.25">
      <c r="A3209" s="40" t="s">
        <v>287</v>
      </c>
      <c r="B3209" s="28">
        <v>3565</v>
      </c>
      <c r="C3209" s="28" t="s">
        <v>35</v>
      </c>
      <c r="D3209" s="28" t="s">
        <v>38</v>
      </c>
      <c r="E3209" s="41">
        <v>46155</v>
      </c>
      <c r="F3209" s="47">
        <v>0.24781249999999999</v>
      </c>
      <c r="G3209" s="44">
        <v>6.3</v>
      </c>
      <c r="H3209" s="43" t="s">
        <v>1362</v>
      </c>
      <c r="I3209" s="40" t="s">
        <v>1361</v>
      </c>
    </row>
    <row r="3210" spans="1:9" x14ac:dyDescent="0.25">
      <c r="A3210" s="40" t="s">
        <v>287</v>
      </c>
      <c r="B3210" s="28">
        <v>3565</v>
      </c>
      <c r="C3210" s="28">
        <v>5665560</v>
      </c>
      <c r="D3210" s="28" t="s">
        <v>37</v>
      </c>
      <c r="E3210" s="41">
        <v>46155</v>
      </c>
      <c r="F3210" s="47">
        <v>0.30914351851851851</v>
      </c>
      <c r="G3210" s="44">
        <v>6.3</v>
      </c>
      <c r="H3210" s="43" t="s">
        <v>1363</v>
      </c>
      <c r="I3210" s="40" t="s">
        <v>1361</v>
      </c>
    </row>
    <row r="3211" spans="1:9" x14ac:dyDescent="0.25">
      <c r="A3211" s="40" t="s">
        <v>287</v>
      </c>
      <c r="B3211" s="28">
        <v>3565</v>
      </c>
      <c r="C3211" s="28">
        <v>5665560</v>
      </c>
      <c r="D3211" s="28" t="s">
        <v>37</v>
      </c>
      <c r="E3211" s="41">
        <v>46155</v>
      </c>
      <c r="F3211" s="47">
        <v>0.32844907407407409</v>
      </c>
      <c r="G3211" s="44">
        <v>6.3</v>
      </c>
      <c r="H3211" s="43" t="s">
        <v>1364</v>
      </c>
      <c r="I3211" s="40" t="s">
        <v>1361</v>
      </c>
    </row>
    <row r="3212" spans="1:9" x14ac:dyDescent="0.25">
      <c r="A3212" s="40" t="s">
        <v>287</v>
      </c>
      <c r="B3212" s="28">
        <v>3565</v>
      </c>
      <c r="C3212" s="28">
        <v>5667179</v>
      </c>
      <c r="D3212" s="28"/>
      <c r="E3212" s="41">
        <v>46156</v>
      </c>
      <c r="F3212" s="47">
        <v>0.22723379629629631</v>
      </c>
      <c r="G3212" s="42">
        <v>6.3</v>
      </c>
      <c r="H3212" s="40" t="s">
        <v>1369</v>
      </c>
      <c r="I3212" s="40" t="s">
        <v>1361</v>
      </c>
    </row>
    <row r="3213" spans="1:9" x14ac:dyDescent="0.25">
      <c r="A3213" s="40" t="s">
        <v>287</v>
      </c>
      <c r="B3213" s="28">
        <v>3565</v>
      </c>
      <c r="C3213" s="28">
        <v>5667179</v>
      </c>
      <c r="D3213" s="28"/>
      <c r="E3213" s="41">
        <v>46156</v>
      </c>
      <c r="F3213" s="47">
        <v>0.23244212962962962</v>
      </c>
      <c r="G3213" s="42">
        <v>6.3</v>
      </c>
      <c r="H3213" s="40" t="s">
        <v>1364</v>
      </c>
      <c r="I3213" s="40" t="s">
        <v>1361</v>
      </c>
    </row>
    <row r="3214" spans="1:9" x14ac:dyDescent="0.25">
      <c r="A3214" s="40" t="s">
        <v>287</v>
      </c>
      <c r="B3214" s="28">
        <v>3565</v>
      </c>
      <c r="C3214" s="28" t="s">
        <v>975</v>
      </c>
      <c r="D3214" s="28"/>
      <c r="E3214" s="41">
        <v>46156</v>
      </c>
      <c r="F3214" s="47">
        <v>0.49811342592592595</v>
      </c>
      <c r="G3214" s="44">
        <v>6.3</v>
      </c>
      <c r="H3214" s="43" t="s">
        <v>1360</v>
      </c>
      <c r="I3214" s="40" t="s">
        <v>1361</v>
      </c>
    </row>
    <row r="3215" spans="1:9" x14ac:dyDescent="0.25">
      <c r="A3215" s="40" t="s">
        <v>287</v>
      </c>
      <c r="B3215" s="28">
        <v>3565</v>
      </c>
      <c r="C3215" s="28" t="s">
        <v>975</v>
      </c>
      <c r="D3215" s="28"/>
      <c r="E3215" s="41">
        <v>46156</v>
      </c>
      <c r="F3215" s="47">
        <v>0.50799768518518518</v>
      </c>
      <c r="G3215" s="44">
        <v>6.3</v>
      </c>
      <c r="H3215" s="43" t="s">
        <v>1362</v>
      </c>
      <c r="I3215" s="40" t="s">
        <v>1361</v>
      </c>
    </row>
    <row r="3216" spans="1:9" x14ac:dyDescent="0.25">
      <c r="A3216" s="40" t="s">
        <v>287</v>
      </c>
      <c r="B3216" s="28">
        <v>3565</v>
      </c>
      <c r="C3216" s="28">
        <v>5663119</v>
      </c>
      <c r="D3216" s="28"/>
      <c r="E3216" s="41">
        <v>46157</v>
      </c>
      <c r="F3216" s="47">
        <v>0.81563657407407408</v>
      </c>
      <c r="G3216" s="44">
        <v>6.3</v>
      </c>
      <c r="H3216" s="43" t="s">
        <v>1369</v>
      </c>
      <c r="I3216" s="40" t="s">
        <v>1361</v>
      </c>
    </row>
    <row r="3217" spans="1:9" x14ac:dyDescent="0.25">
      <c r="A3217" s="40" t="s">
        <v>287</v>
      </c>
      <c r="B3217" s="28">
        <v>3565</v>
      </c>
      <c r="C3217" s="28">
        <v>5663119</v>
      </c>
      <c r="D3217" s="28"/>
      <c r="E3217" s="41">
        <v>46157</v>
      </c>
      <c r="F3217" s="47">
        <v>0.8319212962962963</v>
      </c>
      <c r="G3217" s="44">
        <v>6.3</v>
      </c>
      <c r="H3217" s="43" t="s">
        <v>1364</v>
      </c>
      <c r="I3217" s="40" t="s">
        <v>1361</v>
      </c>
    </row>
    <row r="3218" spans="1:9" x14ac:dyDescent="0.25">
      <c r="A3218" s="40" t="s">
        <v>287</v>
      </c>
      <c r="B3218" s="28">
        <v>3565</v>
      </c>
      <c r="C3218" s="28" t="s">
        <v>35</v>
      </c>
      <c r="D3218" s="28" t="s">
        <v>38</v>
      </c>
      <c r="E3218" s="41">
        <v>46157</v>
      </c>
      <c r="F3218" s="47">
        <v>0.8916087962962963</v>
      </c>
      <c r="G3218" s="44">
        <v>6.3</v>
      </c>
      <c r="H3218" s="43" t="s">
        <v>1360</v>
      </c>
      <c r="I3218" s="40" t="s">
        <v>1361</v>
      </c>
    </row>
    <row r="3219" spans="1:9" x14ac:dyDescent="0.25">
      <c r="A3219" s="40" t="s">
        <v>287</v>
      </c>
      <c r="B3219" s="28">
        <v>3565</v>
      </c>
      <c r="C3219" s="28" t="s">
        <v>35</v>
      </c>
      <c r="D3219" s="28" t="s">
        <v>38</v>
      </c>
      <c r="E3219" s="41">
        <v>46157</v>
      </c>
      <c r="F3219" s="47">
        <v>0.8995023148148148</v>
      </c>
      <c r="G3219" s="44">
        <v>6.3</v>
      </c>
      <c r="H3219" s="43" t="s">
        <v>1362</v>
      </c>
      <c r="I3219" s="40" t="s">
        <v>1361</v>
      </c>
    </row>
    <row r="3220" spans="1:9" x14ac:dyDescent="0.25">
      <c r="A3220" s="40" t="s">
        <v>287</v>
      </c>
      <c r="B3220" s="28">
        <v>3565</v>
      </c>
      <c r="C3220" s="28" t="s">
        <v>976</v>
      </c>
      <c r="D3220" s="28"/>
      <c r="E3220" s="41">
        <v>46159</v>
      </c>
      <c r="F3220" s="47">
        <v>0.84916666666666663</v>
      </c>
      <c r="G3220" s="44">
        <v>6.3</v>
      </c>
      <c r="H3220" s="43" t="s">
        <v>1360</v>
      </c>
      <c r="I3220" s="40" t="s">
        <v>1365</v>
      </c>
    </row>
    <row r="3221" spans="1:9" x14ac:dyDescent="0.25">
      <c r="A3221" s="40" t="s">
        <v>287</v>
      </c>
      <c r="B3221" s="28">
        <v>3565</v>
      </c>
      <c r="C3221" s="28" t="s">
        <v>976</v>
      </c>
      <c r="D3221" s="28"/>
      <c r="E3221" s="41">
        <v>46159</v>
      </c>
      <c r="F3221" s="47">
        <v>0.85608796296296297</v>
      </c>
      <c r="G3221" s="44">
        <v>6.3</v>
      </c>
      <c r="H3221" s="43" t="s">
        <v>1362</v>
      </c>
      <c r="I3221" s="40" t="s">
        <v>1365</v>
      </c>
    </row>
    <row r="3222" spans="1:9" x14ac:dyDescent="0.25">
      <c r="A3222" s="40" t="s">
        <v>390</v>
      </c>
      <c r="B3222" s="28">
        <v>3568</v>
      </c>
      <c r="C3222" s="28" t="s">
        <v>35</v>
      </c>
      <c r="D3222" s="28" t="s">
        <v>38</v>
      </c>
      <c r="E3222" s="45">
        <v>46154</v>
      </c>
      <c r="F3222" s="48">
        <v>0.1638425925925926</v>
      </c>
      <c r="G3222" s="44">
        <v>6.3</v>
      </c>
      <c r="H3222" s="43" t="s">
        <v>1360</v>
      </c>
      <c r="I3222" s="40" t="s">
        <v>1361</v>
      </c>
    </row>
    <row r="3223" spans="1:9" x14ac:dyDescent="0.25">
      <c r="A3223" s="40" t="s">
        <v>390</v>
      </c>
      <c r="B3223" s="28">
        <v>3568</v>
      </c>
      <c r="C3223" s="28">
        <v>5662669</v>
      </c>
      <c r="D3223" s="28" t="s">
        <v>37</v>
      </c>
      <c r="E3223" s="41">
        <v>46154</v>
      </c>
      <c r="F3223" s="47">
        <v>0.20168981481481482</v>
      </c>
      <c r="G3223" s="44">
        <v>6.3</v>
      </c>
      <c r="H3223" s="43" t="s">
        <v>1369</v>
      </c>
      <c r="I3223" s="40" t="s">
        <v>1361</v>
      </c>
    </row>
    <row r="3224" spans="1:9" x14ac:dyDescent="0.25">
      <c r="A3224" s="40" t="s">
        <v>390</v>
      </c>
      <c r="B3224" s="28">
        <v>3568</v>
      </c>
      <c r="C3224" s="28">
        <v>5662669</v>
      </c>
      <c r="D3224" s="28" t="s">
        <v>37</v>
      </c>
      <c r="E3224" s="45">
        <v>46154</v>
      </c>
      <c r="F3224" s="48">
        <v>0.20659722222222221</v>
      </c>
      <c r="G3224" s="44">
        <v>6.3</v>
      </c>
      <c r="H3224" s="43" t="s">
        <v>1364</v>
      </c>
      <c r="I3224" s="40" t="s">
        <v>1361</v>
      </c>
    </row>
    <row r="3225" spans="1:9" x14ac:dyDescent="0.25">
      <c r="A3225" s="40" t="s">
        <v>390</v>
      </c>
      <c r="B3225" s="28">
        <v>3568</v>
      </c>
      <c r="C3225" s="28" t="s">
        <v>977</v>
      </c>
      <c r="D3225" s="28"/>
      <c r="E3225" s="41">
        <v>46154</v>
      </c>
      <c r="F3225" s="47">
        <v>0.90126157407407403</v>
      </c>
      <c r="G3225" s="44">
        <v>6.3</v>
      </c>
      <c r="H3225" s="43" t="s">
        <v>1360</v>
      </c>
      <c r="I3225" s="40" t="s">
        <v>1361</v>
      </c>
    </row>
    <row r="3226" spans="1:9" x14ac:dyDescent="0.25">
      <c r="A3226" s="40" t="s">
        <v>390</v>
      </c>
      <c r="B3226" s="28">
        <v>3568</v>
      </c>
      <c r="C3226" s="28" t="s">
        <v>977</v>
      </c>
      <c r="D3226" s="28"/>
      <c r="E3226" s="41">
        <v>46154</v>
      </c>
      <c r="F3226" s="47">
        <v>0.90798611111111116</v>
      </c>
      <c r="G3226" s="44">
        <v>6.3</v>
      </c>
      <c r="H3226" s="43" t="s">
        <v>1362</v>
      </c>
      <c r="I3226" s="40" t="s">
        <v>1361</v>
      </c>
    </row>
    <row r="3227" spans="1:9" x14ac:dyDescent="0.25">
      <c r="A3227" s="40" t="s">
        <v>390</v>
      </c>
      <c r="B3227" s="28">
        <v>3568</v>
      </c>
      <c r="C3227" s="28" t="s">
        <v>978</v>
      </c>
      <c r="D3227" s="28"/>
      <c r="E3227" s="41">
        <v>46157</v>
      </c>
      <c r="F3227" s="47">
        <v>3.0046296296296297E-2</v>
      </c>
      <c r="G3227" s="44">
        <v>6.3</v>
      </c>
      <c r="H3227" s="43" t="s">
        <v>1360</v>
      </c>
      <c r="I3227" s="40" t="s">
        <v>1361</v>
      </c>
    </row>
    <row r="3228" spans="1:9" x14ac:dyDescent="0.25">
      <c r="A3228" s="40" t="s">
        <v>390</v>
      </c>
      <c r="B3228" s="28">
        <v>3568</v>
      </c>
      <c r="C3228" s="28" t="s">
        <v>978</v>
      </c>
      <c r="D3228" s="28"/>
      <c r="E3228" s="41">
        <v>46157</v>
      </c>
      <c r="F3228" s="47">
        <v>3.6041666666666666E-2</v>
      </c>
      <c r="G3228" s="44">
        <v>6.3</v>
      </c>
      <c r="H3228" s="43" t="s">
        <v>1368</v>
      </c>
      <c r="I3228" s="40" t="s">
        <v>1361</v>
      </c>
    </row>
    <row r="3229" spans="1:9" x14ac:dyDescent="0.25">
      <c r="A3229" s="40" t="s">
        <v>390</v>
      </c>
      <c r="B3229" s="28">
        <v>3568</v>
      </c>
      <c r="C3229" s="28">
        <v>5668993</v>
      </c>
      <c r="D3229" s="28"/>
      <c r="E3229" s="41">
        <v>46157</v>
      </c>
      <c r="F3229" s="47">
        <v>0.12295138888888889</v>
      </c>
      <c r="G3229" s="44">
        <v>6.3</v>
      </c>
      <c r="H3229" s="43" t="s">
        <v>1363</v>
      </c>
      <c r="I3229" s="40" t="s">
        <v>1361</v>
      </c>
    </row>
    <row r="3230" spans="1:9" x14ac:dyDescent="0.25">
      <c r="A3230" s="40" t="s">
        <v>390</v>
      </c>
      <c r="B3230" s="28">
        <v>3568</v>
      </c>
      <c r="C3230" s="28">
        <v>5668993</v>
      </c>
      <c r="D3230" s="28"/>
      <c r="E3230" s="41">
        <v>46157</v>
      </c>
      <c r="F3230" s="47">
        <v>0.12782407407407406</v>
      </c>
      <c r="G3230" s="44">
        <v>6.3</v>
      </c>
      <c r="H3230" s="43" t="s">
        <v>1364</v>
      </c>
      <c r="I3230" s="40" t="s">
        <v>1361</v>
      </c>
    </row>
    <row r="3231" spans="1:9" x14ac:dyDescent="0.25">
      <c r="A3231" s="40" t="s">
        <v>390</v>
      </c>
      <c r="B3231" s="28">
        <v>3568</v>
      </c>
      <c r="C3231" s="28" t="s">
        <v>979</v>
      </c>
      <c r="D3231" s="28"/>
      <c r="E3231" s="41">
        <v>46158</v>
      </c>
      <c r="F3231" s="47">
        <v>0.90006944444444448</v>
      </c>
      <c r="G3231" s="44">
        <v>6.3</v>
      </c>
      <c r="H3231" s="43" t="s">
        <v>1360</v>
      </c>
      <c r="I3231" s="40" t="s">
        <v>1365</v>
      </c>
    </row>
    <row r="3232" spans="1:9" x14ac:dyDescent="0.25">
      <c r="A3232" s="40" t="s">
        <v>390</v>
      </c>
      <c r="B3232" s="28">
        <v>3568</v>
      </c>
      <c r="C3232" s="28" t="s">
        <v>979</v>
      </c>
      <c r="D3232" s="28"/>
      <c r="E3232" s="41">
        <v>46158</v>
      </c>
      <c r="F3232" s="47">
        <v>0.90722222222222226</v>
      </c>
      <c r="G3232" s="44">
        <v>6.3</v>
      </c>
      <c r="H3232" s="43" t="s">
        <v>1362</v>
      </c>
      <c r="I3232" s="40" t="s">
        <v>1365</v>
      </c>
    </row>
    <row r="3233" spans="1:9" x14ac:dyDescent="0.25">
      <c r="A3233" s="40" t="s">
        <v>390</v>
      </c>
      <c r="B3233" s="28">
        <v>3568</v>
      </c>
      <c r="C3233" s="28" t="s">
        <v>35</v>
      </c>
      <c r="D3233" s="28" t="s">
        <v>38</v>
      </c>
      <c r="E3233" s="41">
        <v>46158</v>
      </c>
      <c r="F3233" s="47">
        <v>0.9350694444444444</v>
      </c>
      <c r="G3233" s="44">
        <v>6.3</v>
      </c>
      <c r="H3233" s="43" t="s">
        <v>1363</v>
      </c>
      <c r="I3233" s="40" t="s">
        <v>1365</v>
      </c>
    </row>
    <row r="3234" spans="1:9" x14ac:dyDescent="0.25">
      <c r="A3234" s="40" t="s">
        <v>435</v>
      </c>
      <c r="B3234" s="28">
        <v>3572</v>
      </c>
      <c r="C3234" s="28">
        <v>5666602</v>
      </c>
      <c r="D3234" s="28"/>
      <c r="E3234" s="41">
        <v>46157</v>
      </c>
      <c r="F3234" s="47">
        <v>2.3807870370370372E-2</v>
      </c>
      <c r="G3234" s="44">
        <v>6.3</v>
      </c>
      <c r="H3234" s="43" t="s">
        <v>1360</v>
      </c>
      <c r="I3234" s="40" t="s">
        <v>1361</v>
      </c>
    </row>
    <row r="3235" spans="1:9" x14ac:dyDescent="0.25">
      <c r="A3235" s="40" t="s">
        <v>435</v>
      </c>
      <c r="B3235" s="28">
        <v>3572</v>
      </c>
      <c r="C3235" s="28">
        <v>5666602</v>
      </c>
      <c r="D3235" s="28"/>
      <c r="E3235" s="45">
        <v>46157</v>
      </c>
      <c r="F3235" s="48">
        <v>3.107638888888889E-2</v>
      </c>
      <c r="G3235" s="44">
        <v>6.3</v>
      </c>
      <c r="H3235" s="43" t="s">
        <v>1362</v>
      </c>
      <c r="I3235" s="40" t="s">
        <v>1361</v>
      </c>
    </row>
    <row r="3236" spans="1:9" x14ac:dyDescent="0.25">
      <c r="A3236" s="40" t="s">
        <v>435</v>
      </c>
      <c r="B3236" s="28">
        <v>3572</v>
      </c>
      <c r="C3236" s="28">
        <v>5668608</v>
      </c>
      <c r="D3236" s="28" t="s">
        <v>37</v>
      </c>
      <c r="E3236" s="41">
        <v>46157</v>
      </c>
      <c r="F3236" s="47">
        <v>0.15076388888888889</v>
      </c>
      <c r="G3236" s="42">
        <v>6.3</v>
      </c>
      <c r="H3236" s="40" t="s">
        <v>1363</v>
      </c>
      <c r="I3236" s="40" t="s">
        <v>1361</v>
      </c>
    </row>
    <row r="3237" spans="1:9" x14ac:dyDescent="0.25">
      <c r="A3237" s="40" t="s">
        <v>435</v>
      </c>
      <c r="B3237" s="28">
        <v>3572</v>
      </c>
      <c r="C3237" s="28">
        <v>5668608</v>
      </c>
      <c r="D3237" s="28" t="s">
        <v>37</v>
      </c>
      <c r="E3237" s="41">
        <v>46157</v>
      </c>
      <c r="F3237" s="47">
        <v>0.15567129629629631</v>
      </c>
      <c r="G3237" s="42">
        <v>6.3</v>
      </c>
      <c r="H3237" s="40" t="s">
        <v>1364</v>
      </c>
      <c r="I3237" s="40" t="s">
        <v>1361</v>
      </c>
    </row>
    <row r="3238" spans="1:9" x14ac:dyDescent="0.25">
      <c r="A3238" s="40" t="s">
        <v>435</v>
      </c>
      <c r="B3238" s="28">
        <v>3572</v>
      </c>
      <c r="C3238" s="28">
        <v>5670552</v>
      </c>
      <c r="D3238" s="28"/>
      <c r="E3238" s="41">
        <v>46157</v>
      </c>
      <c r="F3238" s="47">
        <v>0.89222222222222225</v>
      </c>
      <c r="G3238" s="44">
        <v>6.3</v>
      </c>
      <c r="H3238" s="43" t="s">
        <v>1363</v>
      </c>
      <c r="I3238" s="40" t="s">
        <v>1361</v>
      </c>
    </row>
    <row r="3239" spans="1:9" x14ac:dyDescent="0.25">
      <c r="A3239" s="40" t="s">
        <v>258</v>
      </c>
      <c r="B3239" s="28">
        <v>3575</v>
      </c>
      <c r="C3239" s="28" t="s">
        <v>35</v>
      </c>
      <c r="D3239" s="28" t="s">
        <v>38</v>
      </c>
      <c r="E3239" s="41">
        <v>46154</v>
      </c>
      <c r="F3239" s="47">
        <v>0.39482638888888888</v>
      </c>
      <c r="G3239" s="44">
        <v>6.3</v>
      </c>
      <c r="H3239" s="43" t="s">
        <v>1363</v>
      </c>
      <c r="I3239" s="40" t="s">
        <v>1361</v>
      </c>
    </row>
    <row r="3240" spans="1:9" x14ac:dyDescent="0.25">
      <c r="A3240" s="40" t="s">
        <v>258</v>
      </c>
      <c r="B3240" s="28">
        <v>3575</v>
      </c>
      <c r="C3240" s="28" t="s">
        <v>35</v>
      </c>
      <c r="D3240" s="28" t="s">
        <v>38</v>
      </c>
      <c r="E3240" s="41">
        <v>46155</v>
      </c>
      <c r="F3240" s="47">
        <v>0.5100810185185185</v>
      </c>
      <c r="G3240" s="44">
        <v>6.3</v>
      </c>
      <c r="H3240" s="43" t="s">
        <v>1363</v>
      </c>
      <c r="I3240" s="40" t="s">
        <v>1361</v>
      </c>
    </row>
    <row r="3241" spans="1:9" x14ac:dyDescent="0.25">
      <c r="A3241" s="40" t="s">
        <v>258</v>
      </c>
      <c r="B3241" s="28">
        <v>3575</v>
      </c>
      <c r="C3241" s="28">
        <v>5666651</v>
      </c>
      <c r="D3241" s="28"/>
      <c r="E3241" s="45">
        <v>46155</v>
      </c>
      <c r="F3241" s="48">
        <v>0.64859953703703699</v>
      </c>
      <c r="G3241" s="44">
        <v>6.3</v>
      </c>
      <c r="H3241" s="43" t="s">
        <v>1360</v>
      </c>
      <c r="I3241" s="40" t="s">
        <v>1361</v>
      </c>
    </row>
    <row r="3242" spans="1:9" x14ac:dyDescent="0.25">
      <c r="A3242" s="40" t="s">
        <v>258</v>
      </c>
      <c r="B3242" s="28">
        <v>3575</v>
      </c>
      <c r="C3242" s="28">
        <v>5666651</v>
      </c>
      <c r="D3242" s="28"/>
      <c r="E3242" s="41">
        <v>46155</v>
      </c>
      <c r="F3242" s="47">
        <v>0.65714120370370366</v>
      </c>
      <c r="G3242" s="44">
        <v>6.3</v>
      </c>
      <c r="H3242" s="43" t="s">
        <v>1362</v>
      </c>
      <c r="I3242" s="40" t="s">
        <v>1361</v>
      </c>
    </row>
    <row r="3243" spans="1:9" x14ac:dyDescent="0.25">
      <c r="A3243" s="40" t="s">
        <v>258</v>
      </c>
      <c r="B3243" s="28">
        <v>3575</v>
      </c>
      <c r="C3243" s="28" t="s">
        <v>35</v>
      </c>
      <c r="D3243" s="28" t="s">
        <v>38</v>
      </c>
      <c r="E3243" s="45">
        <v>46156</v>
      </c>
      <c r="F3243" s="48">
        <v>0.416875</v>
      </c>
      <c r="G3243" s="44">
        <v>6.3</v>
      </c>
      <c r="H3243" s="43" t="s">
        <v>1363</v>
      </c>
      <c r="I3243" s="40" t="s">
        <v>1361</v>
      </c>
    </row>
    <row r="3244" spans="1:9" x14ac:dyDescent="0.25">
      <c r="A3244" s="40" t="s">
        <v>258</v>
      </c>
      <c r="B3244" s="28">
        <v>3575</v>
      </c>
      <c r="C3244" s="28" t="s">
        <v>35</v>
      </c>
      <c r="D3244" s="28" t="s">
        <v>38</v>
      </c>
      <c r="E3244" s="41">
        <v>46156</v>
      </c>
      <c r="F3244" s="47">
        <v>0.42363425925925924</v>
      </c>
      <c r="G3244" s="44">
        <v>6.3</v>
      </c>
      <c r="H3244" s="43" t="s">
        <v>1364</v>
      </c>
      <c r="I3244" s="40" t="s">
        <v>1361</v>
      </c>
    </row>
    <row r="3245" spans="1:9" x14ac:dyDescent="0.25">
      <c r="A3245" s="40" t="s">
        <v>297</v>
      </c>
      <c r="B3245" s="28">
        <v>3594</v>
      </c>
      <c r="C3245" s="28" t="s">
        <v>980</v>
      </c>
      <c r="D3245" s="28"/>
      <c r="E3245" s="41">
        <v>46153</v>
      </c>
      <c r="F3245" s="47">
        <v>0.22775462962962964</v>
      </c>
      <c r="G3245" s="44">
        <v>6.3</v>
      </c>
      <c r="H3245" s="43" t="s">
        <v>1363</v>
      </c>
      <c r="I3245" s="40" t="s">
        <v>1361</v>
      </c>
    </row>
    <row r="3246" spans="1:9" x14ac:dyDescent="0.25">
      <c r="A3246" s="40" t="s">
        <v>297</v>
      </c>
      <c r="B3246" s="28">
        <v>3594</v>
      </c>
      <c r="C3246" s="28" t="s">
        <v>980</v>
      </c>
      <c r="D3246" s="28"/>
      <c r="E3246" s="41">
        <v>46153</v>
      </c>
      <c r="F3246" s="47">
        <v>0.23376157407407408</v>
      </c>
      <c r="G3246" s="44">
        <v>6.3</v>
      </c>
      <c r="H3246" s="43" t="s">
        <v>1364</v>
      </c>
      <c r="I3246" s="40" t="s">
        <v>1361</v>
      </c>
    </row>
    <row r="3247" spans="1:9" x14ac:dyDescent="0.25">
      <c r="A3247" s="40" t="s">
        <v>297</v>
      </c>
      <c r="B3247" s="28">
        <v>3594</v>
      </c>
      <c r="C3247" s="28" t="s">
        <v>981</v>
      </c>
      <c r="D3247" s="28"/>
      <c r="E3247" s="41">
        <v>46155</v>
      </c>
      <c r="F3247" s="47">
        <v>0.2547800925925926</v>
      </c>
      <c r="G3247" s="42">
        <v>6.3</v>
      </c>
      <c r="H3247" s="40" t="s">
        <v>1363</v>
      </c>
      <c r="I3247" s="40" t="s">
        <v>1361</v>
      </c>
    </row>
    <row r="3248" spans="1:9" x14ac:dyDescent="0.25">
      <c r="A3248" s="40" t="s">
        <v>297</v>
      </c>
      <c r="B3248" s="28">
        <v>3594</v>
      </c>
      <c r="C3248" s="28" t="s">
        <v>981</v>
      </c>
      <c r="D3248" s="28"/>
      <c r="E3248" s="41">
        <v>46155</v>
      </c>
      <c r="F3248" s="47">
        <v>0.26641203703703703</v>
      </c>
      <c r="G3248" s="42">
        <v>6.3</v>
      </c>
      <c r="H3248" s="40" t="s">
        <v>1364</v>
      </c>
      <c r="I3248" s="40" t="s">
        <v>1361</v>
      </c>
    </row>
    <row r="3249" spans="1:9" x14ac:dyDescent="0.25">
      <c r="A3249" s="40" t="s">
        <v>297</v>
      </c>
      <c r="B3249" s="28">
        <v>3594</v>
      </c>
      <c r="C3249" s="28" t="s">
        <v>982</v>
      </c>
      <c r="D3249" s="28"/>
      <c r="E3249" s="45">
        <v>46157</v>
      </c>
      <c r="F3249" s="48">
        <v>0.19092592592592592</v>
      </c>
      <c r="G3249" s="44">
        <v>6.3</v>
      </c>
      <c r="H3249" s="43" t="s">
        <v>1363</v>
      </c>
      <c r="I3249" s="40" t="s">
        <v>1361</v>
      </c>
    </row>
    <row r="3250" spans="1:9" x14ac:dyDescent="0.25">
      <c r="A3250" s="40" t="s">
        <v>297</v>
      </c>
      <c r="B3250" s="28">
        <v>3594</v>
      </c>
      <c r="C3250" s="28" t="s">
        <v>982</v>
      </c>
      <c r="D3250" s="28"/>
      <c r="E3250" s="45">
        <v>46157</v>
      </c>
      <c r="F3250" s="48">
        <v>0.19649305555555555</v>
      </c>
      <c r="G3250" s="44">
        <v>6.3</v>
      </c>
      <c r="H3250" s="43" t="s">
        <v>1364</v>
      </c>
      <c r="I3250" s="40" t="s">
        <v>1361</v>
      </c>
    </row>
    <row r="3251" spans="1:9" x14ac:dyDescent="0.25">
      <c r="A3251" s="40" t="s">
        <v>297</v>
      </c>
      <c r="B3251" s="28">
        <v>3594</v>
      </c>
      <c r="C3251" s="28" t="s">
        <v>983</v>
      </c>
      <c r="D3251" s="28"/>
      <c r="E3251" s="41">
        <v>46157</v>
      </c>
      <c r="F3251" s="47">
        <v>0.29570601851851852</v>
      </c>
      <c r="G3251" s="44">
        <v>6.3</v>
      </c>
      <c r="H3251" s="43" t="s">
        <v>1363</v>
      </c>
      <c r="I3251" s="40" t="s">
        <v>1361</v>
      </c>
    </row>
    <row r="3252" spans="1:9" x14ac:dyDescent="0.25">
      <c r="A3252" s="40" t="s">
        <v>297</v>
      </c>
      <c r="B3252" s="28">
        <v>3594</v>
      </c>
      <c r="C3252" s="28" t="s">
        <v>983</v>
      </c>
      <c r="D3252" s="28"/>
      <c r="E3252" s="45">
        <v>46157</v>
      </c>
      <c r="F3252" s="48">
        <v>0.30363425925925924</v>
      </c>
      <c r="G3252" s="44">
        <v>6.3</v>
      </c>
      <c r="H3252" s="43" t="s">
        <v>1364</v>
      </c>
      <c r="I3252" s="40" t="s">
        <v>1361</v>
      </c>
    </row>
    <row r="3253" spans="1:9" x14ac:dyDescent="0.25">
      <c r="A3253" s="40" t="s">
        <v>297</v>
      </c>
      <c r="B3253" s="28">
        <v>3594</v>
      </c>
      <c r="C3253" s="28" t="s">
        <v>35</v>
      </c>
      <c r="D3253" s="28" t="s">
        <v>38</v>
      </c>
      <c r="E3253" s="45">
        <v>46157</v>
      </c>
      <c r="F3253" s="48">
        <v>0.38026620370370373</v>
      </c>
      <c r="G3253" s="44">
        <v>6.3</v>
      </c>
      <c r="H3253" s="43" t="s">
        <v>1360</v>
      </c>
      <c r="I3253" s="40" t="s">
        <v>1361</v>
      </c>
    </row>
    <row r="3254" spans="1:9" x14ac:dyDescent="0.25">
      <c r="A3254" s="40" t="s">
        <v>297</v>
      </c>
      <c r="B3254" s="28">
        <v>3594</v>
      </c>
      <c r="C3254" s="28" t="s">
        <v>35</v>
      </c>
      <c r="D3254" s="28" t="s">
        <v>38</v>
      </c>
      <c r="E3254" s="45">
        <v>46157</v>
      </c>
      <c r="F3254" s="48">
        <v>0.39238425925925924</v>
      </c>
      <c r="G3254" s="44">
        <v>6.3</v>
      </c>
      <c r="H3254" s="43" t="s">
        <v>1362</v>
      </c>
      <c r="I3254" s="40" t="s">
        <v>1361</v>
      </c>
    </row>
    <row r="3255" spans="1:9" x14ac:dyDescent="0.25">
      <c r="A3255" s="40" t="s">
        <v>297</v>
      </c>
      <c r="B3255" s="28">
        <v>3594</v>
      </c>
      <c r="C3255" s="28" t="s">
        <v>984</v>
      </c>
      <c r="D3255" s="28"/>
      <c r="E3255" s="41">
        <v>46158</v>
      </c>
      <c r="F3255" s="47">
        <v>0.2643287037037037</v>
      </c>
      <c r="G3255" s="44">
        <v>6.3</v>
      </c>
      <c r="H3255" s="43" t="s">
        <v>1363</v>
      </c>
      <c r="I3255" s="40" t="s">
        <v>1365</v>
      </c>
    </row>
    <row r="3256" spans="1:9" x14ac:dyDescent="0.25">
      <c r="A3256" s="40" t="s">
        <v>297</v>
      </c>
      <c r="B3256" s="28">
        <v>3594</v>
      </c>
      <c r="C3256" s="28" t="s">
        <v>984</v>
      </c>
      <c r="D3256" s="28"/>
      <c r="E3256" s="41">
        <v>46158</v>
      </c>
      <c r="F3256" s="47">
        <v>0.27208333333333334</v>
      </c>
      <c r="G3256" s="42">
        <v>6.3</v>
      </c>
      <c r="H3256" s="40" t="s">
        <v>1364</v>
      </c>
      <c r="I3256" s="40" t="s">
        <v>1365</v>
      </c>
    </row>
    <row r="3257" spans="1:9" x14ac:dyDescent="0.25">
      <c r="A3257" s="40" t="s">
        <v>297</v>
      </c>
      <c r="B3257" s="28">
        <v>3594</v>
      </c>
      <c r="C3257" s="28" t="s">
        <v>985</v>
      </c>
      <c r="D3257" s="28"/>
      <c r="E3257" s="41">
        <v>46159</v>
      </c>
      <c r="F3257" s="47">
        <v>0.19487268518518519</v>
      </c>
      <c r="G3257" s="42">
        <v>6.3</v>
      </c>
      <c r="H3257" s="40" t="s">
        <v>1369</v>
      </c>
      <c r="I3257" s="40" t="s">
        <v>1365</v>
      </c>
    </row>
    <row r="3258" spans="1:9" x14ac:dyDescent="0.25">
      <c r="A3258" s="40" t="s">
        <v>297</v>
      </c>
      <c r="B3258" s="28">
        <v>3594</v>
      </c>
      <c r="C3258" s="28" t="s">
        <v>985</v>
      </c>
      <c r="D3258" s="28"/>
      <c r="E3258" s="41">
        <v>46159</v>
      </c>
      <c r="F3258" s="47">
        <v>0.20028935185185184</v>
      </c>
      <c r="G3258" s="42">
        <v>6.3</v>
      </c>
      <c r="H3258" s="40" t="s">
        <v>1364</v>
      </c>
      <c r="I3258" s="40" t="s">
        <v>1365</v>
      </c>
    </row>
    <row r="3259" spans="1:9" x14ac:dyDescent="0.25">
      <c r="A3259" s="40" t="s">
        <v>196</v>
      </c>
      <c r="B3259" s="28">
        <v>3607</v>
      </c>
      <c r="C3259" s="28">
        <v>5664021</v>
      </c>
      <c r="D3259" s="28"/>
      <c r="E3259" s="41">
        <v>46154</v>
      </c>
      <c r="F3259" s="47">
        <v>0.20015046296296296</v>
      </c>
      <c r="G3259" s="42">
        <v>6.3</v>
      </c>
      <c r="H3259" s="40" t="s">
        <v>1363</v>
      </c>
      <c r="I3259" s="40" t="s">
        <v>1361</v>
      </c>
    </row>
    <row r="3260" spans="1:9" x14ac:dyDescent="0.25">
      <c r="A3260" s="40" t="s">
        <v>196</v>
      </c>
      <c r="B3260" s="28">
        <v>3607</v>
      </c>
      <c r="C3260" s="28">
        <v>5664021</v>
      </c>
      <c r="D3260" s="28"/>
      <c r="E3260" s="41">
        <v>46154</v>
      </c>
      <c r="F3260" s="47">
        <v>0.2054050925925926</v>
      </c>
      <c r="G3260" s="44">
        <v>6.3</v>
      </c>
      <c r="H3260" s="43" t="s">
        <v>1364</v>
      </c>
      <c r="I3260" s="40" t="s">
        <v>1361</v>
      </c>
    </row>
    <row r="3261" spans="1:9" x14ac:dyDescent="0.25">
      <c r="A3261" s="40" t="s">
        <v>237</v>
      </c>
      <c r="B3261" s="28">
        <v>3613</v>
      </c>
      <c r="C3261" s="28" t="s">
        <v>35</v>
      </c>
      <c r="D3261" s="28" t="s">
        <v>38</v>
      </c>
      <c r="E3261" s="45">
        <v>46156</v>
      </c>
      <c r="F3261" s="48">
        <v>0.5809375</v>
      </c>
      <c r="G3261" s="44">
        <v>6.3</v>
      </c>
      <c r="H3261" s="43" t="s">
        <v>1360</v>
      </c>
      <c r="I3261" s="40" t="s">
        <v>1361</v>
      </c>
    </row>
    <row r="3262" spans="1:9" x14ac:dyDescent="0.25">
      <c r="A3262" s="40" t="s">
        <v>159</v>
      </c>
      <c r="B3262" s="28">
        <v>3621</v>
      </c>
      <c r="C3262" s="28" t="s">
        <v>986</v>
      </c>
      <c r="D3262" s="28"/>
      <c r="E3262" s="41">
        <v>46153</v>
      </c>
      <c r="F3262" s="47">
        <v>0.33059027777777777</v>
      </c>
      <c r="G3262" s="42">
        <v>6.3</v>
      </c>
      <c r="H3262" s="40" t="s">
        <v>1364</v>
      </c>
      <c r="I3262" s="40" t="s">
        <v>1361</v>
      </c>
    </row>
    <row r="3263" spans="1:9" x14ac:dyDescent="0.25">
      <c r="A3263" s="40" t="s">
        <v>159</v>
      </c>
      <c r="B3263" s="28">
        <v>3621</v>
      </c>
      <c r="C3263" s="28">
        <v>5662696</v>
      </c>
      <c r="D3263" s="28" t="s">
        <v>36</v>
      </c>
      <c r="E3263" s="41">
        <v>46153</v>
      </c>
      <c r="F3263" s="47">
        <v>0.49442129629629628</v>
      </c>
      <c r="G3263" s="42">
        <v>6.3</v>
      </c>
      <c r="H3263" s="40" t="s">
        <v>1363</v>
      </c>
      <c r="I3263" s="40" t="s">
        <v>1361</v>
      </c>
    </row>
    <row r="3264" spans="1:9" x14ac:dyDescent="0.25">
      <c r="A3264" s="40" t="s">
        <v>159</v>
      </c>
      <c r="B3264" s="28">
        <v>3621</v>
      </c>
      <c r="C3264" s="28" t="s">
        <v>35</v>
      </c>
      <c r="D3264" s="28" t="s">
        <v>38</v>
      </c>
      <c r="E3264" s="41">
        <v>46153</v>
      </c>
      <c r="F3264" s="47">
        <v>0.59369212962962958</v>
      </c>
      <c r="G3264" s="44">
        <v>6.3</v>
      </c>
      <c r="H3264" s="43" t="s">
        <v>1367</v>
      </c>
      <c r="I3264" s="40" t="s">
        <v>1361</v>
      </c>
    </row>
    <row r="3265" spans="1:9" x14ac:dyDescent="0.25">
      <c r="A3265" s="40" t="s">
        <v>159</v>
      </c>
      <c r="B3265" s="28">
        <v>3621</v>
      </c>
      <c r="C3265" s="28" t="s">
        <v>987</v>
      </c>
      <c r="D3265" s="28"/>
      <c r="E3265" s="41">
        <v>46157</v>
      </c>
      <c r="F3265" s="47">
        <v>0.30476851851851849</v>
      </c>
      <c r="G3265" s="44">
        <v>6.3</v>
      </c>
      <c r="H3265" s="43" t="s">
        <v>1360</v>
      </c>
      <c r="I3265" s="40" t="s">
        <v>1361</v>
      </c>
    </row>
    <row r="3266" spans="1:9" x14ac:dyDescent="0.25">
      <c r="A3266" s="40" t="s">
        <v>159</v>
      </c>
      <c r="B3266" s="28">
        <v>3621</v>
      </c>
      <c r="C3266" s="28" t="s">
        <v>987</v>
      </c>
      <c r="D3266" s="28"/>
      <c r="E3266" s="41">
        <v>46157</v>
      </c>
      <c r="F3266" s="47">
        <v>0.31871527777777775</v>
      </c>
      <c r="G3266" s="44">
        <v>6.3</v>
      </c>
      <c r="H3266" s="43" t="s">
        <v>1362</v>
      </c>
      <c r="I3266" s="40" t="s">
        <v>1361</v>
      </c>
    </row>
    <row r="3267" spans="1:9" x14ac:dyDescent="0.25">
      <c r="A3267" s="40" t="s">
        <v>159</v>
      </c>
      <c r="B3267" s="28">
        <v>3621</v>
      </c>
      <c r="C3267" s="28" t="s">
        <v>988</v>
      </c>
      <c r="D3267" s="28"/>
      <c r="E3267" s="41">
        <v>46157</v>
      </c>
      <c r="F3267" s="47">
        <v>0.39890046296296294</v>
      </c>
      <c r="G3267" s="44">
        <v>6.3</v>
      </c>
      <c r="H3267" s="43" t="s">
        <v>1369</v>
      </c>
      <c r="I3267" s="40" t="s">
        <v>1361</v>
      </c>
    </row>
    <row r="3268" spans="1:9" x14ac:dyDescent="0.25">
      <c r="A3268" s="40" t="s">
        <v>159</v>
      </c>
      <c r="B3268" s="28">
        <v>3621</v>
      </c>
      <c r="C3268" s="28" t="s">
        <v>988</v>
      </c>
      <c r="D3268" s="28"/>
      <c r="E3268" s="45">
        <v>46157</v>
      </c>
      <c r="F3268" s="48">
        <v>0.40443287037037035</v>
      </c>
      <c r="G3268" s="44">
        <v>6.3</v>
      </c>
      <c r="H3268" s="43" t="s">
        <v>1364</v>
      </c>
      <c r="I3268" s="40" t="s">
        <v>1361</v>
      </c>
    </row>
    <row r="3269" spans="1:9" x14ac:dyDescent="0.25">
      <c r="A3269" s="40" t="s">
        <v>159</v>
      </c>
      <c r="B3269" s="28">
        <v>3621</v>
      </c>
      <c r="C3269" s="28" t="s">
        <v>35</v>
      </c>
      <c r="D3269" s="28" t="s">
        <v>38</v>
      </c>
      <c r="E3269" s="41">
        <v>46157</v>
      </c>
      <c r="F3269" s="47">
        <v>0.94833333333333336</v>
      </c>
      <c r="G3269" s="44">
        <v>6.3</v>
      </c>
      <c r="H3269" s="43" t="s">
        <v>1363</v>
      </c>
      <c r="I3269" s="40" t="s">
        <v>1361</v>
      </c>
    </row>
    <row r="3270" spans="1:9" x14ac:dyDescent="0.25">
      <c r="A3270" s="40" t="s">
        <v>159</v>
      </c>
      <c r="B3270" s="28">
        <v>3621</v>
      </c>
      <c r="C3270" s="28" t="s">
        <v>35</v>
      </c>
      <c r="D3270" s="28" t="s">
        <v>38</v>
      </c>
      <c r="E3270" s="41">
        <v>46157</v>
      </c>
      <c r="F3270" s="47">
        <v>0.9541087962962963</v>
      </c>
      <c r="G3270" s="42">
        <v>6.3</v>
      </c>
      <c r="H3270" s="40" t="s">
        <v>1364</v>
      </c>
      <c r="I3270" s="40" t="s">
        <v>1361</v>
      </c>
    </row>
    <row r="3271" spans="1:9" x14ac:dyDescent="0.25">
      <c r="A3271" s="40" t="s">
        <v>159</v>
      </c>
      <c r="B3271" s="28">
        <v>3621</v>
      </c>
      <c r="C3271" s="28" t="s">
        <v>35</v>
      </c>
      <c r="D3271" s="28" t="s">
        <v>38</v>
      </c>
      <c r="E3271" s="45">
        <v>46158</v>
      </c>
      <c r="F3271" s="48">
        <v>0.63395833333333329</v>
      </c>
      <c r="G3271" s="42">
        <v>6.3</v>
      </c>
      <c r="H3271" s="40" t="s">
        <v>1360</v>
      </c>
      <c r="I3271" s="40" t="s">
        <v>1365</v>
      </c>
    </row>
    <row r="3272" spans="1:9" x14ac:dyDescent="0.25">
      <c r="A3272" s="40" t="s">
        <v>159</v>
      </c>
      <c r="B3272" s="28">
        <v>3621</v>
      </c>
      <c r="C3272" s="28" t="s">
        <v>35</v>
      </c>
      <c r="D3272" s="28" t="s">
        <v>38</v>
      </c>
      <c r="E3272" s="41">
        <v>46158</v>
      </c>
      <c r="F3272" s="47">
        <v>0.64268518518518514</v>
      </c>
      <c r="G3272" s="44">
        <v>6.3</v>
      </c>
      <c r="H3272" s="43" t="s">
        <v>1362</v>
      </c>
      <c r="I3272" s="40" t="s">
        <v>1365</v>
      </c>
    </row>
    <row r="3273" spans="1:9" x14ac:dyDescent="0.25">
      <c r="A3273" s="40" t="s">
        <v>159</v>
      </c>
      <c r="B3273" s="28">
        <v>3621</v>
      </c>
      <c r="C3273" s="28" t="s">
        <v>35</v>
      </c>
      <c r="D3273" s="28" t="s">
        <v>38</v>
      </c>
      <c r="E3273" s="41">
        <v>46158</v>
      </c>
      <c r="F3273" s="47">
        <v>0.76807870370370368</v>
      </c>
      <c r="G3273" s="44">
        <v>6.3</v>
      </c>
      <c r="H3273" s="43" t="s">
        <v>1363</v>
      </c>
      <c r="I3273" s="40" t="s">
        <v>1365</v>
      </c>
    </row>
    <row r="3274" spans="1:9" x14ac:dyDescent="0.25">
      <c r="A3274" s="40" t="s">
        <v>159</v>
      </c>
      <c r="B3274" s="28">
        <v>3621</v>
      </c>
      <c r="C3274" s="28" t="s">
        <v>35</v>
      </c>
      <c r="D3274" s="28" t="s">
        <v>38</v>
      </c>
      <c r="E3274" s="41">
        <v>46158</v>
      </c>
      <c r="F3274" s="47">
        <v>0.77819444444444441</v>
      </c>
      <c r="G3274" s="44">
        <v>6.3</v>
      </c>
      <c r="H3274" s="43" t="s">
        <v>1364</v>
      </c>
      <c r="I3274" s="40" t="s">
        <v>1365</v>
      </c>
    </row>
    <row r="3275" spans="1:9" x14ac:dyDescent="0.25">
      <c r="A3275" s="40" t="s">
        <v>377</v>
      </c>
      <c r="B3275" s="28">
        <v>3638</v>
      </c>
      <c r="C3275" s="28">
        <v>5664873</v>
      </c>
      <c r="D3275" s="28"/>
      <c r="E3275" s="41">
        <v>46156</v>
      </c>
      <c r="F3275" s="47">
        <v>0.39582175925925928</v>
      </c>
      <c r="G3275" s="44">
        <v>6.3</v>
      </c>
      <c r="H3275" s="43" t="s">
        <v>1360</v>
      </c>
      <c r="I3275" s="40" t="s">
        <v>1361</v>
      </c>
    </row>
    <row r="3276" spans="1:9" x14ac:dyDescent="0.25">
      <c r="A3276" s="40" t="s">
        <v>377</v>
      </c>
      <c r="B3276" s="28">
        <v>3638</v>
      </c>
      <c r="C3276" s="28">
        <v>5664873</v>
      </c>
      <c r="D3276" s="28"/>
      <c r="E3276" s="41">
        <v>46156</v>
      </c>
      <c r="F3276" s="47">
        <v>0.40699074074074076</v>
      </c>
      <c r="G3276" s="44">
        <v>6.3</v>
      </c>
      <c r="H3276" s="43" t="s">
        <v>1362</v>
      </c>
      <c r="I3276" s="40" t="s">
        <v>1361</v>
      </c>
    </row>
    <row r="3277" spans="1:9" x14ac:dyDescent="0.25">
      <c r="A3277" s="40" t="s">
        <v>267</v>
      </c>
      <c r="B3277" s="28">
        <v>3643</v>
      </c>
      <c r="C3277" s="28">
        <v>5663807</v>
      </c>
      <c r="D3277" s="28"/>
      <c r="E3277" s="41">
        <v>46153</v>
      </c>
      <c r="F3277" s="47">
        <v>0.9001851851851852</v>
      </c>
      <c r="G3277" s="42">
        <v>6.3</v>
      </c>
      <c r="H3277" s="40" t="s">
        <v>1360</v>
      </c>
      <c r="I3277" s="40" t="s">
        <v>1361</v>
      </c>
    </row>
    <row r="3278" spans="1:9" x14ac:dyDescent="0.25">
      <c r="A3278" s="40" t="s">
        <v>267</v>
      </c>
      <c r="B3278" s="28">
        <v>3643</v>
      </c>
      <c r="C3278" s="28">
        <v>5663807</v>
      </c>
      <c r="D3278" s="28"/>
      <c r="E3278" s="45">
        <v>46153</v>
      </c>
      <c r="F3278" s="48">
        <v>0.90858796296296296</v>
      </c>
      <c r="G3278" s="42">
        <v>6.3</v>
      </c>
      <c r="H3278" s="40" t="s">
        <v>1362</v>
      </c>
      <c r="I3278" s="40" t="s">
        <v>1361</v>
      </c>
    </row>
    <row r="3279" spans="1:9" x14ac:dyDescent="0.25">
      <c r="A3279" s="40" t="s">
        <v>267</v>
      </c>
      <c r="B3279" s="28">
        <v>3643</v>
      </c>
      <c r="C3279" s="28" t="s">
        <v>35</v>
      </c>
      <c r="D3279" s="28" t="s">
        <v>38</v>
      </c>
      <c r="E3279" s="45">
        <v>46157</v>
      </c>
      <c r="F3279" s="48">
        <v>0.45777777777777778</v>
      </c>
      <c r="G3279" s="42">
        <v>6.3</v>
      </c>
      <c r="H3279" s="40" t="s">
        <v>1364</v>
      </c>
      <c r="I3279" s="40" t="s">
        <v>1361</v>
      </c>
    </row>
    <row r="3280" spans="1:9" x14ac:dyDescent="0.25">
      <c r="A3280" s="40" t="s">
        <v>266</v>
      </c>
      <c r="B3280" s="28">
        <v>3661</v>
      </c>
      <c r="C3280" s="28">
        <v>5665234</v>
      </c>
      <c r="D3280" s="28"/>
      <c r="E3280" s="41">
        <v>46154</v>
      </c>
      <c r="F3280" s="47">
        <v>0.79737268518518523</v>
      </c>
      <c r="G3280" s="42">
        <v>6.3</v>
      </c>
      <c r="H3280" s="40" t="s">
        <v>1360</v>
      </c>
      <c r="I3280" s="40" t="s">
        <v>1361</v>
      </c>
    </row>
    <row r="3281" spans="1:9" x14ac:dyDescent="0.25">
      <c r="A3281" s="40" t="s">
        <v>266</v>
      </c>
      <c r="B3281" s="28">
        <v>3661</v>
      </c>
      <c r="C3281" s="28">
        <v>5665234</v>
      </c>
      <c r="D3281" s="28"/>
      <c r="E3281" s="41">
        <v>46154</v>
      </c>
      <c r="F3281" s="47">
        <v>0.81467592592592597</v>
      </c>
      <c r="G3281" s="44">
        <v>6.3</v>
      </c>
      <c r="H3281" s="43" t="s">
        <v>1362</v>
      </c>
      <c r="I3281" s="40" t="s">
        <v>1361</v>
      </c>
    </row>
    <row r="3282" spans="1:9" x14ac:dyDescent="0.25">
      <c r="A3282" s="40" t="s">
        <v>266</v>
      </c>
      <c r="B3282" s="28">
        <v>3661</v>
      </c>
      <c r="C3282" s="28" t="s">
        <v>35</v>
      </c>
      <c r="D3282" s="28" t="s">
        <v>38</v>
      </c>
      <c r="E3282" s="41">
        <v>46154</v>
      </c>
      <c r="F3282" s="47">
        <v>0.83881944444444445</v>
      </c>
      <c r="G3282" s="44">
        <v>6.3</v>
      </c>
      <c r="H3282" s="43" t="s">
        <v>1370</v>
      </c>
      <c r="I3282" s="40" t="s">
        <v>1361</v>
      </c>
    </row>
    <row r="3283" spans="1:9" x14ac:dyDescent="0.25">
      <c r="A3283" s="40" t="s">
        <v>266</v>
      </c>
      <c r="B3283" s="28">
        <v>3661</v>
      </c>
      <c r="C3283" s="28" t="s">
        <v>35</v>
      </c>
      <c r="D3283" s="28" t="s">
        <v>38</v>
      </c>
      <c r="E3283" s="41">
        <v>46154</v>
      </c>
      <c r="F3283" s="47">
        <v>0.85495370370370372</v>
      </c>
      <c r="G3283" s="44">
        <v>6.3</v>
      </c>
      <c r="H3283" s="43" t="s">
        <v>1364</v>
      </c>
      <c r="I3283" s="40" t="s">
        <v>1361</v>
      </c>
    </row>
    <row r="3284" spans="1:9" x14ac:dyDescent="0.25">
      <c r="A3284" s="40" t="s">
        <v>266</v>
      </c>
      <c r="B3284" s="28">
        <v>3661</v>
      </c>
      <c r="C3284" s="28">
        <v>5667563</v>
      </c>
      <c r="D3284" s="28"/>
      <c r="E3284" s="45">
        <v>46155</v>
      </c>
      <c r="F3284" s="48">
        <v>0.94460648148148152</v>
      </c>
      <c r="G3284" s="44">
        <v>6.3</v>
      </c>
      <c r="H3284" s="43" t="s">
        <v>1360</v>
      </c>
      <c r="I3284" s="40" t="s">
        <v>1361</v>
      </c>
    </row>
    <row r="3285" spans="1:9" x14ac:dyDescent="0.25">
      <c r="A3285" s="40" t="s">
        <v>266</v>
      </c>
      <c r="B3285" s="28">
        <v>3661</v>
      </c>
      <c r="C3285" s="28">
        <v>5667563</v>
      </c>
      <c r="D3285" s="28"/>
      <c r="E3285" s="41">
        <v>46155</v>
      </c>
      <c r="F3285" s="47">
        <v>0.9513194444444445</v>
      </c>
      <c r="G3285" s="44">
        <v>6.3</v>
      </c>
      <c r="H3285" s="43" t="s">
        <v>1362</v>
      </c>
      <c r="I3285" s="40" t="s">
        <v>1361</v>
      </c>
    </row>
    <row r="3286" spans="1:9" x14ac:dyDescent="0.25">
      <c r="A3286" s="40" t="s">
        <v>266</v>
      </c>
      <c r="B3286" s="28">
        <v>3661</v>
      </c>
      <c r="C3286" s="28" t="s">
        <v>989</v>
      </c>
      <c r="D3286" s="28"/>
      <c r="E3286" s="41">
        <v>46156</v>
      </c>
      <c r="F3286" s="47">
        <v>8.5069444444444437E-3</v>
      </c>
      <c r="G3286" s="44">
        <v>6.3</v>
      </c>
      <c r="H3286" s="43" t="s">
        <v>1360</v>
      </c>
      <c r="I3286" s="40" t="s">
        <v>1361</v>
      </c>
    </row>
    <row r="3287" spans="1:9" x14ac:dyDescent="0.25">
      <c r="A3287" s="40" t="s">
        <v>266</v>
      </c>
      <c r="B3287" s="28">
        <v>3661</v>
      </c>
      <c r="C3287" s="28" t="s">
        <v>989</v>
      </c>
      <c r="D3287" s="28"/>
      <c r="E3287" s="45">
        <v>46156</v>
      </c>
      <c r="F3287" s="48">
        <v>1.3831018518518519E-2</v>
      </c>
      <c r="G3287" s="44">
        <v>6.3</v>
      </c>
      <c r="H3287" s="43" t="s">
        <v>1368</v>
      </c>
      <c r="I3287" s="40" t="s">
        <v>1361</v>
      </c>
    </row>
    <row r="3288" spans="1:9" x14ac:dyDescent="0.25">
      <c r="A3288" s="40" t="s">
        <v>266</v>
      </c>
      <c r="B3288" s="28">
        <v>3661</v>
      </c>
      <c r="C3288" s="28" t="s">
        <v>35</v>
      </c>
      <c r="D3288" s="28" t="s">
        <v>38</v>
      </c>
      <c r="E3288" s="41">
        <v>46156</v>
      </c>
      <c r="F3288" s="47">
        <v>2.4907407407407406E-2</v>
      </c>
      <c r="G3288" s="44">
        <v>6.3</v>
      </c>
      <c r="H3288" s="43" t="s">
        <v>1370</v>
      </c>
      <c r="I3288" s="40" t="s">
        <v>1361</v>
      </c>
    </row>
    <row r="3289" spans="1:9" x14ac:dyDescent="0.25">
      <c r="A3289" s="40" t="s">
        <v>266</v>
      </c>
      <c r="B3289" s="28">
        <v>3661</v>
      </c>
      <c r="C3289" s="28" t="s">
        <v>35</v>
      </c>
      <c r="D3289" s="28" t="s">
        <v>38</v>
      </c>
      <c r="E3289" s="41">
        <v>46156</v>
      </c>
      <c r="F3289" s="47">
        <v>2.883101851851852E-2</v>
      </c>
      <c r="G3289" s="44">
        <v>6.3</v>
      </c>
      <c r="H3289" s="43" t="s">
        <v>1364</v>
      </c>
      <c r="I3289" s="40" t="s">
        <v>1361</v>
      </c>
    </row>
    <row r="3290" spans="1:9" x14ac:dyDescent="0.25">
      <c r="A3290" s="40" t="s">
        <v>266</v>
      </c>
      <c r="B3290" s="28">
        <v>3661</v>
      </c>
      <c r="C3290" s="28" t="s">
        <v>35</v>
      </c>
      <c r="D3290" s="28" t="s">
        <v>38</v>
      </c>
      <c r="E3290" s="41">
        <v>46156</v>
      </c>
      <c r="F3290" s="47">
        <v>0.85835648148148147</v>
      </c>
      <c r="G3290" s="44">
        <v>6.3</v>
      </c>
      <c r="H3290" s="43" t="s">
        <v>1363</v>
      </c>
      <c r="I3290" s="40" t="s">
        <v>1361</v>
      </c>
    </row>
    <row r="3291" spans="1:9" x14ac:dyDescent="0.25">
      <c r="A3291" s="40" t="s">
        <v>266</v>
      </c>
      <c r="B3291" s="28">
        <v>3661</v>
      </c>
      <c r="C3291" s="28" t="s">
        <v>35</v>
      </c>
      <c r="D3291" s="28" t="s">
        <v>38</v>
      </c>
      <c r="E3291" s="41">
        <v>46156</v>
      </c>
      <c r="F3291" s="47">
        <v>0.87221064814814819</v>
      </c>
      <c r="G3291" s="44">
        <v>6.3</v>
      </c>
      <c r="H3291" s="43" t="s">
        <v>1364</v>
      </c>
      <c r="I3291" s="40" t="s">
        <v>1361</v>
      </c>
    </row>
    <row r="3292" spans="1:9" x14ac:dyDescent="0.25">
      <c r="A3292" s="40" t="s">
        <v>266</v>
      </c>
      <c r="B3292" s="28">
        <v>3661</v>
      </c>
      <c r="C3292" s="28" t="s">
        <v>990</v>
      </c>
      <c r="D3292" s="28"/>
      <c r="E3292" s="41">
        <v>46157</v>
      </c>
      <c r="F3292" s="47">
        <v>8.6018518518518522E-2</v>
      </c>
      <c r="G3292" s="44">
        <v>6.3</v>
      </c>
      <c r="H3292" s="43" t="s">
        <v>1360</v>
      </c>
      <c r="I3292" s="40" t="s">
        <v>1361</v>
      </c>
    </row>
    <row r="3293" spans="1:9" x14ac:dyDescent="0.25">
      <c r="A3293" s="40" t="s">
        <v>266</v>
      </c>
      <c r="B3293" s="28">
        <v>3661</v>
      </c>
      <c r="C3293" s="28" t="s">
        <v>990</v>
      </c>
      <c r="D3293" s="28"/>
      <c r="E3293" s="41">
        <v>46157</v>
      </c>
      <c r="F3293" s="47">
        <v>9.3043981481481478E-2</v>
      </c>
      <c r="G3293" s="42">
        <v>6.3</v>
      </c>
      <c r="H3293" s="40" t="s">
        <v>1362</v>
      </c>
      <c r="I3293" s="40" t="s">
        <v>1361</v>
      </c>
    </row>
    <row r="3294" spans="1:9" x14ac:dyDescent="0.25">
      <c r="A3294" s="40" t="s">
        <v>266</v>
      </c>
      <c r="B3294" s="28">
        <v>3661</v>
      </c>
      <c r="C3294" s="28">
        <v>5669332</v>
      </c>
      <c r="D3294" s="28" t="s">
        <v>36</v>
      </c>
      <c r="E3294" s="41">
        <v>46157</v>
      </c>
      <c r="F3294" s="47">
        <v>0.9428819444444444</v>
      </c>
      <c r="G3294" s="42">
        <v>6.3</v>
      </c>
      <c r="H3294" s="40" t="s">
        <v>1362</v>
      </c>
      <c r="I3294" s="40" t="s">
        <v>1361</v>
      </c>
    </row>
    <row r="3295" spans="1:9" x14ac:dyDescent="0.25">
      <c r="A3295" s="40" t="s">
        <v>266</v>
      </c>
      <c r="B3295" s="28">
        <v>3661</v>
      </c>
      <c r="C3295" s="28" t="s">
        <v>35</v>
      </c>
      <c r="D3295" s="28" t="s">
        <v>38</v>
      </c>
      <c r="E3295" s="41">
        <v>46158</v>
      </c>
      <c r="F3295" s="47">
        <v>1.3912037037037037E-2</v>
      </c>
      <c r="G3295" s="42">
        <v>6.3</v>
      </c>
      <c r="H3295" s="40" t="s">
        <v>1369</v>
      </c>
      <c r="I3295" s="40" t="s">
        <v>1365</v>
      </c>
    </row>
    <row r="3296" spans="1:9" x14ac:dyDescent="0.25">
      <c r="A3296" s="40" t="s">
        <v>266</v>
      </c>
      <c r="B3296" s="28">
        <v>3661</v>
      </c>
      <c r="C3296" s="28" t="s">
        <v>35</v>
      </c>
      <c r="D3296" s="28" t="s">
        <v>38</v>
      </c>
      <c r="E3296" s="41">
        <v>46158</v>
      </c>
      <c r="F3296" s="47">
        <v>1.9131944444444444E-2</v>
      </c>
      <c r="G3296" s="42">
        <v>6.3</v>
      </c>
      <c r="H3296" s="40" t="s">
        <v>1364</v>
      </c>
      <c r="I3296" s="40" t="s">
        <v>1365</v>
      </c>
    </row>
    <row r="3297" spans="1:9" x14ac:dyDescent="0.25">
      <c r="A3297" s="40" t="s">
        <v>265</v>
      </c>
      <c r="B3297" s="28">
        <v>3662</v>
      </c>
      <c r="C3297" s="28">
        <v>5662798</v>
      </c>
      <c r="D3297" s="28"/>
      <c r="E3297" s="41">
        <v>46153</v>
      </c>
      <c r="F3297" s="47">
        <v>0.66249999999999998</v>
      </c>
      <c r="G3297" s="42">
        <v>6.3</v>
      </c>
      <c r="H3297" s="40" t="s">
        <v>1360</v>
      </c>
      <c r="I3297" s="40" t="s">
        <v>1361</v>
      </c>
    </row>
    <row r="3298" spans="1:9" x14ac:dyDescent="0.25">
      <c r="A3298" s="40" t="s">
        <v>265</v>
      </c>
      <c r="B3298" s="28">
        <v>3662</v>
      </c>
      <c r="C3298" s="28">
        <v>5662827</v>
      </c>
      <c r="D3298" s="28"/>
      <c r="E3298" s="41">
        <v>46153</v>
      </c>
      <c r="F3298" s="47">
        <v>0.71362268518518523</v>
      </c>
      <c r="G3298" s="42">
        <v>6.3</v>
      </c>
      <c r="H3298" s="40" t="s">
        <v>1364</v>
      </c>
      <c r="I3298" s="40" t="s">
        <v>1361</v>
      </c>
    </row>
    <row r="3299" spans="1:9" x14ac:dyDescent="0.25">
      <c r="A3299" s="40" t="s">
        <v>265</v>
      </c>
      <c r="B3299" s="28">
        <v>3662</v>
      </c>
      <c r="C3299" s="28" t="s">
        <v>991</v>
      </c>
      <c r="D3299" s="28"/>
      <c r="E3299" s="41">
        <v>46153</v>
      </c>
      <c r="F3299" s="47">
        <v>0.80143518518518519</v>
      </c>
      <c r="G3299" s="42">
        <v>6.3</v>
      </c>
      <c r="H3299" s="40" t="s">
        <v>1360</v>
      </c>
      <c r="I3299" s="40" t="s">
        <v>1361</v>
      </c>
    </row>
    <row r="3300" spans="1:9" x14ac:dyDescent="0.25">
      <c r="A3300" s="40" t="s">
        <v>265</v>
      </c>
      <c r="B3300" s="28">
        <v>3662</v>
      </c>
      <c r="C3300" s="28" t="s">
        <v>991</v>
      </c>
      <c r="D3300" s="28"/>
      <c r="E3300" s="45">
        <v>46153</v>
      </c>
      <c r="F3300" s="48">
        <v>0.81165509259259261</v>
      </c>
      <c r="G3300" s="42">
        <v>6.3</v>
      </c>
      <c r="H3300" s="40" t="s">
        <v>1362</v>
      </c>
      <c r="I3300" s="40" t="s">
        <v>1361</v>
      </c>
    </row>
    <row r="3301" spans="1:9" x14ac:dyDescent="0.25">
      <c r="A3301" s="40" t="s">
        <v>265</v>
      </c>
      <c r="B3301" s="28">
        <v>3662</v>
      </c>
      <c r="C3301" s="28">
        <v>5668151</v>
      </c>
      <c r="D3301" s="28"/>
      <c r="E3301" s="41">
        <v>46156</v>
      </c>
      <c r="F3301" s="47">
        <v>0.7134490740740741</v>
      </c>
      <c r="G3301" s="44">
        <v>6.3</v>
      </c>
      <c r="H3301" s="43" t="s">
        <v>1360</v>
      </c>
      <c r="I3301" s="40" t="s">
        <v>1361</v>
      </c>
    </row>
    <row r="3302" spans="1:9" x14ac:dyDescent="0.25">
      <c r="A3302" s="40" t="s">
        <v>265</v>
      </c>
      <c r="B3302" s="28">
        <v>3662</v>
      </c>
      <c r="C3302" s="28">
        <v>5668151</v>
      </c>
      <c r="D3302" s="28"/>
      <c r="E3302" s="41">
        <v>46156</v>
      </c>
      <c r="F3302" s="47">
        <v>0.73160879629629627</v>
      </c>
      <c r="G3302" s="44">
        <v>6.3</v>
      </c>
      <c r="H3302" s="43" t="s">
        <v>1362</v>
      </c>
      <c r="I3302" s="40" t="s">
        <v>1361</v>
      </c>
    </row>
    <row r="3303" spans="1:9" x14ac:dyDescent="0.25">
      <c r="A3303" s="40" t="s">
        <v>265</v>
      </c>
      <c r="B3303" s="28">
        <v>3662</v>
      </c>
      <c r="C3303" s="28">
        <v>5670596</v>
      </c>
      <c r="D3303" s="28"/>
      <c r="E3303" s="45">
        <v>46158</v>
      </c>
      <c r="F3303" s="48">
        <v>0.1108912037037037</v>
      </c>
      <c r="G3303" s="44">
        <v>6.3</v>
      </c>
      <c r="H3303" s="43" t="s">
        <v>1360</v>
      </c>
      <c r="I3303" s="40" t="s">
        <v>1365</v>
      </c>
    </row>
    <row r="3304" spans="1:9" x14ac:dyDescent="0.25">
      <c r="A3304" s="40" t="s">
        <v>265</v>
      </c>
      <c r="B3304" s="28">
        <v>3662</v>
      </c>
      <c r="C3304" s="28">
        <v>5670596</v>
      </c>
      <c r="D3304" s="28"/>
      <c r="E3304" s="41">
        <v>46158</v>
      </c>
      <c r="F3304" s="47">
        <v>0.11784722222222223</v>
      </c>
      <c r="G3304" s="44">
        <v>6.3</v>
      </c>
      <c r="H3304" s="43" t="s">
        <v>1362</v>
      </c>
      <c r="I3304" s="40" t="s">
        <v>1365</v>
      </c>
    </row>
    <row r="3305" spans="1:9" x14ac:dyDescent="0.25">
      <c r="A3305" s="40" t="s">
        <v>265</v>
      </c>
      <c r="B3305" s="28">
        <v>3662</v>
      </c>
      <c r="C3305" s="28" t="s">
        <v>35</v>
      </c>
      <c r="D3305" s="28" t="s">
        <v>38</v>
      </c>
      <c r="E3305" s="45">
        <v>46158</v>
      </c>
      <c r="F3305" s="48">
        <v>0.12998842592592594</v>
      </c>
      <c r="G3305" s="44">
        <v>6.3</v>
      </c>
      <c r="H3305" s="43" t="s">
        <v>1363</v>
      </c>
      <c r="I3305" s="40" t="s">
        <v>1365</v>
      </c>
    </row>
    <row r="3306" spans="1:9" x14ac:dyDescent="0.25">
      <c r="A3306" s="40" t="s">
        <v>265</v>
      </c>
      <c r="B3306" s="28">
        <v>3662</v>
      </c>
      <c r="C3306" s="28">
        <v>5673038</v>
      </c>
      <c r="D3306" s="28" t="s">
        <v>36</v>
      </c>
      <c r="E3306" s="41">
        <v>46159</v>
      </c>
      <c r="F3306" s="47">
        <v>0.66552083333333334</v>
      </c>
      <c r="G3306" s="44">
        <v>6.3</v>
      </c>
      <c r="H3306" s="43" t="s">
        <v>1360</v>
      </c>
      <c r="I3306" s="40" t="s">
        <v>1365</v>
      </c>
    </row>
    <row r="3307" spans="1:9" x14ac:dyDescent="0.25">
      <c r="A3307" s="40" t="s">
        <v>265</v>
      </c>
      <c r="B3307" s="28">
        <v>3662</v>
      </c>
      <c r="C3307" s="28">
        <v>5673038</v>
      </c>
      <c r="D3307" s="28" t="s">
        <v>36</v>
      </c>
      <c r="E3307" s="45">
        <v>46159</v>
      </c>
      <c r="F3307" s="48">
        <v>0.6723958333333333</v>
      </c>
      <c r="G3307" s="44">
        <v>6.3</v>
      </c>
      <c r="H3307" s="43" t="s">
        <v>1362</v>
      </c>
      <c r="I3307" s="40" t="s">
        <v>1365</v>
      </c>
    </row>
    <row r="3308" spans="1:9" x14ac:dyDescent="0.25">
      <c r="A3308" s="40" t="s">
        <v>269</v>
      </c>
      <c r="B3308" s="28">
        <v>3663</v>
      </c>
      <c r="C3308" s="28" t="s">
        <v>992</v>
      </c>
      <c r="D3308" s="28"/>
      <c r="E3308" s="41">
        <v>46154</v>
      </c>
      <c r="F3308" s="47">
        <v>0.39143518518518516</v>
      </c>
      <c r="G3308" s="44">
        <v>6.3</v>
      </c>
      <c r="H3308" s="43" t="s">
        <v>1360</v>
      </c>
      <c r="I3308" s="40" t="s">
        <v>1361</v>
      </c>
    </row>
    <row r="3309" spans="1:9" x14ac:dyDescent="0.25">
      <c r="A3309" s="40" t="s">
        <v>269</v>
      </c>
      <c r="B3309" s="28">
        <v>3663</v>
      </c>
      <c r="C3309" s="28" t="s">
        <v>992</v>
      </c>
      <c r="D3309" s="28"/>
      <c r="E3309" s="45">
        <v>46154</v>
      </c>
      <c r="F3309" s="48">
        <v>0.40260416666666665</v>
      </c>
      <c r="G3309" s="44">
        <v>6.3</v>
      </c>
      <c r="H3309" s="43" t="s">
        <v>1368</v>
      </c>
      <c r="I3309" s="40" t="s">
        <v>1361</v>
      </c>
    </row>
    <row r="3310" spans="1:9" x14ac:dyDescent="0.25">
      <c r="A3310" s="40" t="s">
        <v>269</v>
      </c>
      <c r="B3310" s="28">
        <v>3663</v>
      </c>
      <c r="C3310" s="28" t="s">
        <v>35</v>
      </c>
      <c r="D3310" s="28" t="s">
        <v>38</v>
      </c>
      <c r="E3310" s="41">
        <v>46154</v>
      </c>
      <c r="F3310" s="47">
        <v>0.43283564814814812</v>
      </c>
      <c r="G3310" s="44">
        <v>6.3</v>
      </c>
      <c r="H3310" s="43" t="s">
        <v>1369</v>
      </c>
      <c r="I3310" s="40" t="s">
        <v>1361</v>
      </c>
    </row>
    <row r="3311" spans="1:9" x14ac:dyDescent="0.25">
      <c r="A3311" s="40" t="s">
        <v>269</v>
      </c>
      <c r="B3311" s="28">
        <v>3663</v>
      </c>
      <c r="C3311" s="28" t="s">
        <v>35</v>
      </c>
      <c r="D3311" s="28" t="s">
        <v>38</v>
      </c>
      <c r="E3311" s="41">
        <v>46154</v>
      </c>
      <c r="F3311" s="47">
        <v>0.4382523148148148</v>
      </c>
      <c r="G3311" s="44">
        <v>6.3</v>
      </c>
      <c r="H3311" s="43" t="s">
        <v>1364</v>
      </c>
      <c r="I3311" s="40" t="s">
        <v>1361</v>
      </c>
    </row>
    <row r="3312" spans="1:9" x14ac:dyDescent="0.25">
      <c r="A3312" s="40" t="s">
        <v>269</v>
      </c>
      <c r="B3312" s="28">
        <v>3663</v>
      </c>
      <c r="C3312" s="28" t="s">
        <v>993</v>
      </c>
      <c r="D3312" s="28"/>
      <c r="E3312" s="41">
        <v>46156</v>
      </c>
      <c r="F3312" s="47">
        <v>2.0393518518518519E-2</v>
      </c>
      <c r="G3312" s="44">
        <v>6.3</v>
      </c>
      <c r="H3312" s="43" t="s">
        <v>1360</v>
      </c>
      <c r="I3312" s="40" t="s">
        <v>1361</v>
      </c>
    </row>
    <row r="3313" spans="1:9" x14ac:dyDescent="0.25">
      <c r="A3313" s="40" t="s">
        <v>269</v>
      </c>
      <c r="B3313" s="28">
        <v>3663</v>
      </c>
      <c r="C3313" s="28" t="s">
        <v>993</v>
      </c>
      <c r="D3313" s="28"/>
      <c r="E3313" s="41">
        <v>46156</v>
      </c>
      <c r="F3313" s="47">
        <v>2.8402777777777777E-2</v>
      </c>
      <c r="G3313" s="44">
        <v>6.3</v>
      </c>
      <c r="H3313" s="43" t="s">
        <v>1362</v>
      </c>
      <c r="I3313" s="40" t="s">
        <v>1361</v>
      </c>
    </row>
    <row r="3314" spans="1:9" x14ac:dyDescent="0.25">
      <c r="A3314" s="40" t="s">
        <v>269</v>
      </c>
      <c r="B3314" s="28">
        <v>3663</v>
      </c>
      <c r="C3314" s="28" t="s">
        <v>994</v>
      </c>
      <c r="D3314" s="28"/>
      <c r="E3314" s="41">
        <v>46156</v>
      </c>
      <c r="F3314" s="47">
        <v>0.44057870370370372</v>
      </c>
      <c r="G3314" s="44">
        <v>6.3</v>
      </c>
      <c r="H3314" s="43" t="s">
        <v>1360</v>
      </c>
      <c r="I3314" s="40" t="s">
        <v>1361</v>
      </c>
    </row>
    <row r="3315" spans="1:9" x14ac:dyDescent="0.25">
      <c r="A3315" s="40" t="s">
        <v>269</v>
      </c>
      <c r="B3315" s="28">
        <v>3663</v>
      </c>
      <c r="C3315" s="28" t="s">
        <v>994</v>
      </c>
      <c r="D3315" s="28"/>
      <c r="E3315" s="41">
        <v>46156</v>
      </c>
      <c r="F3315" s="47">
        <v>0.45064814814814813</v>
      </c>
      <c r="G3315" s="44">
        <v>6.3</v>
      </c>
      <c r="H3315" s="43" t="s">
        <v>1362</v>
      </c>
      <c r="I3315" s="40" t="s">
        <v>1361</v>
      </c>
    </row>
    <row r="3316" spans="1:9" x14ac:dyDescent="0.25">
      <c r="A3316" s="40" t="s">
        <v>269</v>
      </c>
      <c r="B3316" s="28">
        <v>3663</v>
      </c>
      <c r="C3316" s="28">
        <v>5668374</v>
      </c>
      <c r="D3316" s="28"/>
      <c r="E3316" s="41">
        <v>46156</v>
      </c>
      <c r="F3316" s="47">
        <v>0.56841435185185185</v>
      </c>
      <c r="G3316" s="42">
        <v>6.3</v>
      </c>
      <c r="H3316" s="40" t="s">
        <v>1360</v>
      </c>
      <c r="I3316" s="40" t="s">
        <v>1361</v>
      </c>
    </row>
    <row r="3317" spans="1:9" x14ac:dyDescent="0.25">
      <c r="A3317" s="40" t="s">
        <v>269</v>
      </c>
      <c r="B3317" s="28">
        <v>3663</v>
      </c>
      <c r="C3317" s="28">
        <v>5668374</v>
      </c>
      <c r="D3317" s="28"/>
      <c r="E3317" s="41">
        <v>46156</v>
      </c>
      <c r="F3317" s="47">
        <v>0.57738425925925929</v>
      </c>
      <c r="G3317" s="42">
        <v>6.3</v>
      </c>
      <c r="H3317" s="40" t="s">
        <v>1362</v>
      </c>
      <c r="I3317" s="40" t="s">
        <v>1361</v>
      </c>
    </row>
    <row r="3318" spans="1:9" x14ac:dyDescent="0.25">
      <c r="A3318" s="40" t="s">
        <v>269</v>
      </c>
      <c r="B3318" s="28">
        <v>3663</v>
      </c>
      <c r="C3318" s="28">
        <v>5668752</v>
      </c>
      <c r="D3318" s="28"/>
      <c r="E3318" s="41">
        <v>46156</v>
      </c>
      <c r="F3318" s="47">
        <v>0.71273148148148147</v>
      </c>
      <c r="G3318" s="44">
        <v>6.3</v>
      </c>
      <c r="H3318" s="43" t="s">
        <v>1360</v>
      </c>
      <c r="I3318" s="40" t="s">
        <v>1361</v>
      </c>
    </row>
    <row r="3319" spans="1:9" x14ac:dyDescent="0.25">
      <c r="A3319" s="40" t="s">
        <v>269</v>
      </c>
      <c r="B3319" s="28">
        <v>3663</v>
      </c>
      <c r="C3319" s="28">
        <v>5668752</v>
      </c>
      <c r="D3319" s="28"/>
      <c r="E3319" s="41">
        <v>46156</v>
      </c>
      <c r="F3319" s="47">
        <v>0.7315625</v>
      </c>
      <c r="G3319" s="44">
        <v>6.3</v>
      </c>
      <c r="H3319" s="43" t="s">
        <v>1362</v>
      </c>
      <c r="I3319" s="40" t="s">
        <v>1361</v>
      </c>
    </row>
    <row r="3320" spans="1:9" x14ac:dyDescent="0.25">
      <c r="A3320" s="40" t="s">
        <v>269</v>
      </c>
      <c r="B3320" s="28">
        <v>3663</v>
      </c>
      <c r="C3320" s="28">
        <v>5670323</v>
      </c>
      <c r="D3320" s="28"/>
      <c r="E3320" s="41">
        <v>46157</v>
      </c>
      <c r="F3320" s="47">
        <v>0.68328703703703708</v>
      </c>
      <c r="G3320" s="44">
        <v>6.3</v>
      </c>
      <c r="H3320" s="43" t="s">
        <v>1360</v>
      </c>
      <c r="I3320" s="40" t="s">
        <v>1361</v>
      </c>
    </row>
    <row r="3321" spans="1:9" x14ac:dyDescent="0.25">
      <c r="A3321" s="40" t="s">
        <v>269</v>
      </c>
      <c r="B3321" s="28">
        <v>3663</v>
      </c>
      <c r="C3321" s="28">
        <v>5670323</v>
      </c>
      <c r="D3321" s="28"/>
      <c r="E3321" s="41">
        <v>46157</v>
      </c>
      <c r="F3321" s="47">
        <v>0.69518518518518524</v>
      </c>
      <c r="G3321" s="44">
        <v>6.3</v>
      </c>
      <c r="H3321" s="43" t="s">
        <v>1362</v>
      </c>
      <c r="I3321" s="40" t="s">
        <v>1361</v>
      </c>
    </row>
    <row r="3322" spans="1:9" x14ac:dyDescent="0.25">
      <c r="A3322" s="40" t="s">
        <v>269</v>
      </c>
      <c r="B3322" s="28">
        <v>3663</v>
      </c>
      <c r="C3322" s="28" t="s">
        <v>35</v>
      </c>
      <c r="D3322" s="28" t="s">
        <v>38</v>
      </c>
      <c r="E3322" s="45">
        <v>46157</v>
      </c>
      <c r="F3322" s="48">
        <v>0.71412037037037035</v>
      </c>
      <c r="G3322" s="44">
        <v>6.3</v>
      </c>
      <c r="H3322" s="43" t="s">
        <v>1363</v>
      </c>
      <c r="I3322" s="40" t="s">
        <v>1361</v>
      </c>
    </row>
    <row r="3323" spans="1:9" x14ac:dyDescent="0.25">
      <c r="A3323" s="40" t="s">
        <v>269</v>
      </c>
      <c r="B3323" s="28">
        <v>3663</v>
      </c>
      <c r="C3323" s="28" t="s">
        <v>35</v>
      </c>
      <c r="D3323" s="28" t="s">
        <v>38</v>
      </c>
      <c r="E3323" s="41">
        <v>46157</v>
      </c>
      <c r="F3323" s="47">
        <v>0.7305787037037037</v>
      </c>
      <c r="G3323" s="44">
        <v>6.3</v>
      </c>
      <c r="H3323" s="43" t="s">
        <v>1364</v>
      </c>
      <c r="I3323" s="40" t="s">
        <v>1361</v>
      </c>
    </row>
    <row r="3324" spans="1:9" x14ac:dyDescent="0.25">
      <c r="A3324" s="40" t="s">
        <v>269</v>
      </c>
      <c r="B3324" s="28">
        <v>3663</v>
      </c>
      <c r="C3324" s="28">
        <v>5670567</v>
      </c>
      <c r="D3324" s="28" t="s">
        <v>37</v>
      </c>
      <c r="E3324" s="45">
        <v>46157</v>
      </c>
      <c r="F3324" s="48">
        <v>0.77151620370370366</v>
      </c>
      <c r="G3324" s="44">
        <v>6.3</v>
      </c>
      <c r="H3324" s="43" t="s">
        <v>1360</v>
      </c>
      <c r="I3324" s="40" t="s">
        <v>1361</v>
      </c>
    </row>
    <row r="3325" spans="1:9" x14ac:dyDescent="0.25">
      <c r="A3325" s="40" t="s">
        <v>269</v>
      </c>
      <c r="B3325" s="28">
        <v>3663</v>
      </c>
      <c r="C3325" s="28">
        <v>5670709</v>
      </c>
      <c r="D3325" s="28"/>
      <c r="E3325" s="41">
        <v>46157</v>
      </c>
      <c r="F3325" s="47">
        <v>0.8969907407407407</v>
      </c>
      <c r="G3325" s="44">
        <v>6.3</v>
      </c>
      <c r="H3325" s="43" t="s">
        <v>1360</v>
      </c>
      <c r="I3325" s="40" t="s">
        <v>1361</v>
      </c>
    </row>
    <row r="3326" spans="1:9" x14ac:dyDescent="0.25">
      <c r="A3326" s="40" t="s">
        <v>269</v>
      </c>
      <c r="B3326" s="28">
        <v>3663</v>
      </c>
      <c r="C3326" s="28">
        <v>5670709</v>
      </c>
      <c r="D3326" s="28"/>
      <c r="E3326" s="45">
        <v>46157</v>
      </c>
      <c r="F3326" s="48">
        <v>0.90461805555555552</v>
      </c>
      <c r="G3326" s="44">
        <v>6.3</v>
      </c>
      <c r="H3326" s="43" t="s">
        <v>1362</v>
      </c>
      <c r="I3326" s="40" t="s">
        <v>1361</v>
      </c>
    </row>
    <row r="3327" spans="1:9" x14ac:dyDescent="0.25">
      <c r="A3327" s="40" t="s">
        <v>269</v>
      </c>
      <c r="B3327" s="28">
        <v>3663</v>
      </c>
      <c r="C3327" s="28" t="s">
        <v>35</v>
      </c>
      <c r="D3327" s="28" t="s">
        <v>38</v>
      </c>
      <c r="E3327" s="41">
        <v>46158</v>
      </c>
      <c r="F3327" s="47">
        <v>0.44847222222222222</v>
      </c>
      <c r="G3327" s="44">
        <v>6.3</v>
      </c>
      <c r="H3327" s="43" t="s">
        <v>1360</v>
      </c>
      <c r="I3327" s="40" t="s">
        <v>1365</v>
      </c>
    </row>
    <row r="3328" spans="1:9" x14ac:dyDescent="0.25">
      <c r="A3328" s="40" t="s">
        <v>269</v>
      </c>
      <c r="B3328" s="28">
        <v>3663</v>
      </c>
      <c r="C3328" s="28" t="s">
        <v>35</v>
      </c>
      <c r="D3328" s="28" t="s">
        <v>38</v>
      </c>
      <c r="E3328" s="41">
        <v>46158</v>
      </c>
      <c r="F3328" s="47">
        <v>0.46121527777777777</v>
      </c>
      <c r="G3328" s="44">
        <v>6.3</v>
      </c>
      <c r="H3328" s="43" t="s">
        <v>1362</v>
      </c>
      <c r="I3328" s="40" t="s">
        <v>1365</v>
      </c>
    </row>
    <row r="3329" spans="1:9" x14ac:dyDescent="0.25">
      <c r="A3329" s="40" t="s">
        <v>273</v>
      </c>
      <c r="B3329" s="28">
        <v>3664</v>
      </c>
      <c r="C3329" s="28">
        <v>5662179</v>
      </c>
      <c r="D3329" s="28"/>
      <c r="E3329" s="45">
        <v>46153</v>
      </c>
      <c r="F3329" s="48">
        <v>3.9953703703703707E-2</v>
      </c>
      <c r="G3329" s="44">
        <v>6.3</v>
      </c>
      <c r="H3329" s="43" t="s">
        <v>1360</v>
      </c>
      <c r="I3329" s="40" t="s">
        <v>1361</v>
      </c>
    </row>
    <row r="3330" spans="1:9" x14ac:dyDescent="0.25">
      <c r="A3330" s="40" t="s">
        <v>273</v>
      </c>
      <c r="B3330" s="28">
        <v>3664</v>
      </c>
      <c r="C3330" s="28">
        <v>5662179</v>
      </c>
      <c r="D3330" s="28"/>
      <c r="E3330" s="41">
        <v>46153</v>
      </c>
      <c r="F3330" s="47">
        <v>4.6608796296296294E-2</v>
      </c>
      <c r="G3330" s="44">
        <v>6.3</v>
      </c>
      <c r="H3330" s="43" t="s">
        <v>1362</v>
      </c>
      <c r="I3330" s="40" t="s">
        <v>1361</v>
      </c>
    </row>
    <row r="3331" spans="1:9" x14ac:dyDescent="0.25">
      <c r="A3331" s="40" t="s">
        <v>273</v>
      </c>
      <c r="B3331" s="28">
        <v>3664</v>
      </c>
      <c r="C3331" s="28">
        <v>5661489</v>
      </c>
      <c r="D3331" s="28"/>
      <c r="E3331" s="45">
        <v>46154</v>
      </c>
      <c r="F3331" s="48">
        <v>0.94380787037037039</v>
      </c>
      <c r="G3331" s="44">
        <v>6.3</v>
      </c>
      <c r="H3331" s="43" t="s">
        <v>1360</v>
      </c>
      <c r="I3331" s="40" t="s">
        <v>1361</v>
      </c>
    </row>
    <row r="3332" spans="1:9" x14ac:dyDescent="0.25">
      <c r="A3332" s="40" t="s">
        <v>273</v>
      </c>
      <c r="B3332" s="28">
        <v>3664</v>
      </c>
      <c r="C3332" s="28">
        <v>5661489</v>
      </c>
      <c r="D3332" s="28"/>
      <c r="E3332" s="41">
        <v>46154</v>
      </c>
      <c r="F3332" s="47">
        <v>0.9506944444444444</v>
      </c>
      <c r="G3332" s="44">
        <v>6.3</v>
      </c>
      <c r="H3332" s="43" t="s">
        <v>1362</v>
      </c>
      <c r="I3332" s="40" t="s">
        <v>1361</v>
      </c>
    </row>
    <row r="3333" spans="1:9" x14ac:dyDescent="0.25">
      <c r="A3333" s="40" t="s">
        <v>273</v>
      </c>
      <c r="B3333" s="28">
        <v>3664</v>
      </c>
      <c r="C3333" s="28" t="s">
        <v>995</v>
      </c>
      <c r="D3333" s="28"/>
      <c r="E3333" s="41">
        <v>46156</v>
      </c>
      <c r="F3333" s="47">
        <v>0.67302083333333329</v>
      </c>
      <c r="G3333" s="44">
        <v>6.3</v>
      </c>
      <c r="H3333" s="43" t="s">
        <v>1360</v>
      </c>
      <c r="I3333" s="40" t="s">
        <v>1361</v>
      </c>
    </row>
    <row r="3334" spans="1:9" x14ac:dyDescent="0.25">
      <c r="A3334" s="40" t="s">
        <v>273</v>
      </c>
      <c r="B3334" s="28">
        <v>3664</v>
      </c>
      <c r="C3334" s="28" t="s">
        <v>995</v>
      </c>
      <c r="D3334" s="28"/>
      <c r="E3334" s="41">
        <v>46156</v>
      </c>
      <c r="F3334" s="47">
        <v>0.68763888888888891</v>
      </c>
      <c r="G3334" s="44">
        <v>6.3</v>
      </c>
      <c r="H3334" s="43" t="s">
        <v>1362</v>
      </c>
      <c r="I3334" s="40" t="s">
        <v>1361</v>
      </c>
    </row>
    <row r="3335" spans="1:9" x14ac:dyDescent="0.25">
      <c r="A3335" s="40" t="s">
        <v>273</v>
      </c>
      <c r="B3335" s="28">
        <v>3664</v>
      </c>
      <c r="C3335" s="28">
        <v>5669328</v>
      </c>
      <c r="D3335" s="28"/>
      <c r="E3335" s="41">
        <v>46156</v>
      </c>
      <c r="F3335" s="47">
        <v>0.9544097222222222</v>
      </c>
      <c r="G3335" s="44">
        <v>6.3</v>
      </c>
      <c r="H3335" s="43" t="s">
        <v>1360</v>
      </c>
      <c r="I3335" s="40" t="s">
        <v>1361</v>
      </c>
    </row>
    <row r="3336" spans="1:9" x14ac:dyDescent="0.25">
      <c r="A3336" s="40" t="s">
        <v>273</v>
      </c>
      <c r="B3336" s="28">
        <v>3664</v>
      </c>
      <c r="C3336" s="28">
        <v>5669328</v>
      </c>
      <c r="D3336" s="28"/>
      <c r="E3336" s="41">
        <v>46156</v>
      </c>
      <c r="F3336" s="47">
        <v>0.96136574074074077</v>
      </c>
      <c r="G3336" s="44">
        <v>6.3</v>
      </c>
      <c r="H3336" s="43" t="s">
        <v>1362</v>
      </c>
      <c r="I3336" s="40" t="s">
        <v>1361</v>
      </c>
    </row>
    <row r="3337" spans="1:9" x14ac:dyDescent="0.25">
      <c r="A3337" s="40" t="s">
        <v>273</v>
      </c>
      <c r="B3337" s="28">
        <v>3664</v>
      </c>
      <c r="C3337" s="28" t="s">
        <v>996</v>
      </c>
      <c r="D3337" s="28"/>
      <c r="E3337" s="45">
        <v>46159</v>
      </c>
      <c r="F3337" s="48">
        <v>3.3888888888888892E-2</v>
      </c>
      <c r="G3337" s="44">
        <v>6.3</v>
      </c>
      <c r="H3337" s="43" t="s">
        <v>1360</v>
      </c>
      <c r="I3337" s="40" t="s">
        <v>1365</v>
      </c>
    </row>
    <row r="3338" spans="1:9" x14ac:dyDescent="0.25">
      <c r="A3338" s="40" t="s">
        <v>273</v>
      </c>
      <c r="B3338" s="28">
        <v>3664</v>
      </c>
      <c r="C3338" s="28" t="s">
        <v>996</v>
      </c>
      <c r="D3338" s="28"/>
      <c r="E3338" s="41">
        <v>46159</v>
      </c>
      <c r="F3338" s="47">
        <v>4.0833333333333333E-2</v>
      </c>
      <c r="G3338" s="44">
        <v>6.3</v>
      </c>
      <c r="H3338" s="43" t="s">
        <v>1362</v>
      </c>
      <c r="I3338" s="40" t="s">
        <v>1365</v>
      </c>
    </row>
    <row r="3339" spans="1:9" x14ac:dyDescent="0.25">
      <c r="A3339" s="40" t="s">
        <v>436</v>
      </c>
      <c r="B3339" s="28">
        <v>3666</v>
      </c>
      <c r="C3339" s="28" t="s">
        <v>997</v>
      </c>
      <c r="D3339" s="28"/>
      <c r="E3339" s="41">
        <v>46159</v>
      </c>
      <c r="F3339" s="47">
        <v>0.89831018518518524</v>
      </c>
      <c r="G3339" s="44">
        <v>6.3</v>
      </c>
      <c r="H3339" s="43" t="s">
        <v>1360</v>
      </c>
      <c r="I3339" s="40" t="s">
        <v>1365</v>
      </c>
    </row>
    <row r="3340" spans="1:9" x14ac:dyDescent="0.25">
      <c r="A3340" s="40" t="s">
        <v>436</v>
      </c>
      <c r="B3340" s="28">
        <v>3666</v>
      </c>
      <c r="C3340" s="28" t="s">
        <v>997</v>
      </c>
      <c r="D3340" s="28"/>
      <c r="E3340" s="41">
        <v>46159</v>
      </c>
      <c r="F3340" s="47">
        <v>0.90531249999999996</v>
      </c>
      <c r="G3340" s="44">
        <v>6.3</v>
      </c>
      <c r="H3340" s="43" t="s">
        <v>1362</v>
      </c>
      <c r="I3340" s="40" t="s">
        <v>1365</v>
      </c>
    </row>
    <row r="3341" spans="1:9" x14ac:dyDescent="0.25">
      <c r="A3341" s="40" t="s">
        <v>436</v>
      </c>
      <c r="B3341" s="28">
        <v>3666</v>
      </c>
      <c r="C3341" s="28" t="s">
        <v>35</v>
      </c>
      <c r="D3341" s="28" t="s">
        <v>38</v>
      </c>
      <c r="E3341" s="41">
        <v>46159</v>
      </c>
      <c r="F3341" s="47">
        <v>0.9337847222222222</v>
      </c>
      <c r="G3341" s="44">
        <v>6.3</v>
      </c>
      <c r="H3341" s="43" t="s">
        <v>1363</v>
      </c>
      <c r="I3341" s="40" t="s">
        <v>1365</v>
      </c>
    </row>
    <row r="3342" spans="1:9" x14ac:dyDescent="0.25">
      <c r="A3342" s="40" t="s">
        <v>436</v>
      </c>
      <c r="B3342" s="28">
        <v>3666</v>
      </c>
      <c r="C3342" s="28" t="s">
        <v>35</v>
      </c>
      <c r="D3342" s="28" t="s">
        <v>38</v>
      </c>
      <c r="E3342" s="41">
        <v>46159</v>
      </c>
      <c r="F3342" s="47">
        <v>0.93887731481481485</v>
      </c>
      <c r="G3342" s="44">
        <v>6.3</v>
      </c>
      <c r="H3342" s="43" t="s">
        <v>1364</v>
      </c>
      <c r="I3342" s="40" t="s">
        <v>1365</v>
      </c>
    </row>
    <row r="3343" spans="1:9" x14ac:dyDescent="0.25">
      <c r="A3343" s="40" t="s">
        <v>318</v>
      </c>
      <c r="B3343" s="28">
        <v>3685</v>
      </c>
      <c r="C3343" s="28">
        <v>10632213</v>
      </c>
      <c r="D3343" s="28" t="s">
        <v>36</v>
      </c>
      <c r="E3343" s="41">
        <v>46153</v>
      </c>
      <c r="F3343" s="47">
        <v>7.7314814814814815E-3</v>
      </c>
      <c r="G3343" s="44">
        <v>6.3</v>
      </c>
      <c r="H3343" s="43" t="s">
        <v>1360</v>
      </c>
      <c r="I3343" s="40" t="s">
        <v>1361</v>
      </c>
    </row>
    <row r="3344" spans="1:9" x14ac:dyDescent="0.25">
      <c r="A3344" s="40" t="s">
        <v>318</v>
      </c>
      <c r="B3344" s="28">
        <v>3685</v>
      </c>
      <c r="C3344" s="28" t="s">
        <v>35</v>
      </c>
      <c r="D3344" s="28" t="s">
        <v>38</v>
      </c>
      <c r="E3344" s="41">
        <v>46153</v>
      </c>
      <c r="F3344" s="47">
        <v>0.6816550925925926</v>
      </c>
      <c r="G3344" s="44">
        <v>6.3</v>
      </c>
      <c r="H3344" s="43" t="s">
        <v>1364</v>
      </c>
      <c r="I3344" s="40" t="s">
        <v>1361</v>
      </c>
    </row>
    <row r="3345" spans="1:9" x14ac:dyDescent="0.25">
      <c r="A3345" s="40" t="s">
        <v>318</v>
      </c>
      <c r="B3345" s="28">
        <v>3685</v>
      </c>
      <c r="C3345" s="28" t="s">
        <v>998</v>
      </c>
      <c r="D3345" s="28"/>
      <c r="E3345" s="41">
        <v>46153</v>
      </c>
      <c r="F3345" s="47">
        <v>0.80622685185185183</v>
      </c>
      <c r="G3345" s="44">
        <v>6.3</v>
      </c>
      <c r="H3345" s="43" t="s">
        <v>1360</v>
      </c>
      <c r="I3345" s="40" t="s">
        <v>1361</v>
      </c>
    </row>
    <row r="3346" spans="1:9" x14ac:dyDescent="0.25">
      <c r="A3346" s="40" t="s">
        <v>318</v>
      </c>
      <c r="B3346" s="28">
        <v>3685</v>
      </c>
      <c r="C3346" s="28" t="s">
        <v>998</v>
      </c>
      <c r="D3346" s="28"/>
      <c r="E3346" s="41">
        <v>46153</v>
      </c>
      <c r="F3346" s="47">
        <v>0.81640046296296298</v>
      </c>
      <c r="G3346" s="44">
        <v>6.3</v>
      </c>
      <c r="H3346" s="43" t="s">
        <v>1362</v>
      </c>
      <c r="I3346" s="40" t="s">
        <v>1361</v>
      </c>
    </row>
    <row r="3347" spans="1:9" x14ac:dyDescent="0.25">
      <c r="A3347" s="40" t="s">
        <v>318</v>
      </c>
      <c r="B3347" s="28">
        <v>3685</v>
      </c>
      <c r="C3347" s="28" t="s">
        <v>999</v>
      </c>
      <c r="D3347" s="28"/>
      <c r="E3347" s="45">
        <v>46153</v>
      </c>
      <c r="F3347" s="48">
        <v>0.93188657407407405</v>
      </c>
      <c r="G3347" s="44">
        <v>6.3</v>
      </c>
      <c r="H3347" s="43" t="s">
        <v>1360</v>
      </c>
      <c r="I3347" s="40" t="s">
        <v>1361</v>
      </c>
    </row>
    <row r="3348" spans="1:9" x14ac:dyDescent="0.25">
      <c r="A3348" s="40" t="s">
        <v>318</v>
      </c>
      <c r="B3348" s="28">
        <v>3685</v>
      </c>
      <c r="C3348" s="28" t="s">
        <v>999</v>
      </c>
      <c r="D3348" s="28"/>
      <c r="E3348" s="45">
        <v>46153</v>
      </c>
      <c r="F3348" s="48">
        <v>0.93890046296296292</v>
      </c>
      <c r="G3348" s="44">
        <v>6.3</v>
      </c>
      <c r="H3348" s="43" t="s">
        <v>1362</v>
      </c>
      <c r="I3348" s="40" t="s">
        <v>1361</v>
      </c>
    </row>
    <row r="3349" spans="1:9" x14ac:dyDescent="0.25">
      <c r="A3349" s="40" t="s">
        <v>318</v>
      </c>
      <c r="B3349" s="28">
        <v>3685</v>
      </c>
      <c r="C3349" s="28" t="s">
        <v>1000</v>
      </c>
      <c r="D3349" s="28"/>
      <c r="E3349" s="45">
        <v>46153</v>
      </c>
      <c r="F3349" s="48">
        <v>0.99854166666666666</v>
      </c>
      <c r="G3349" s="44">
        <v>6.3</v>
      </c>
      <c r="H3349" s="43" t="s">
        <v>1363</v>
      </c>
      <c r="I3349" s="40" t="s">
        <v>1361</v>
      </c>
    </row>
    <row r="3350" spans="1:9" x14ac:dyDescent="0.25">
      <c r="A3350" s="40" t="s">
        <v>318</v>
      </c>
      <c r="B3350" s="28">
        <v>3685</v>
      </c>
      <c r="C3350" s="28" t="s">
        <v>1000</v>
      </c>
      <c r="D3350" s="28"/>
      <c r="E3350" s="41">
        <v>46154</v>
      </c>
      <c r="F3350" s="47">
        <v>3.7268518518518519E-3</v>
      </c>
      <c r="G3350" s="44">
        <v>6.3</v>
      </c>
      <c r="H3350" s="43" t="s">
        <v>1364</v>
      </c>
      <c r="I3350" s="40" t="s">
        <v>1361</v>
      </c>
    </row>
    <row r="3351" spans="1:9" x14ac:dyDescent="0.25">
      <c r="A3351" s="40" t="s">
        <v>318</v>
      </c>
      <c r="B3351" s="28">
        <v>3685</v>
      </c>
      <c r="C3351" s="28" t="s">
        <v>1001</v>
      </c>
      <c r="D3351" s="28"/>
      <c r="E3351" s="41">
        <v>46154</v>
      </c>
      <c r="F3351" s="47">
        <v>0.14298611111111112</v>
      </c>
      <c r="G3351" s="44">
        <v>6.3</v>
      </c>
      <c r="H3351" s="43" t="s">
        <v>1363</v>
      </c>
      <c r="I3351" s="40" t="s">
        <v>1361</v>
      </c>
    </row>
    <row r="3352" spans="1:9" x14ac:dyDescent="0.25">
      <c r="A3352" s="40" t="s">
        <v>318</v>
      </c>
      <c r="B3352" s="28">
        <v>3685</v>
      </c>
      <c r="C3352" s="28" t="s">
        <v>1001</v>
      </c>
      <c r="D3352" s="28"/>
      <c r="E3352" s="41">
        <v>46154</v>
      </c>
      <c r="F3352" s="47">
        <v>0.1479050925925926</v>
      </c>
      <c r="G3352" s="44">
        <v>6.3</v>
      </c>
      <c r="H3352" s="43" t="s">
        <v>1364</v>
      </c>
      <c r="I3352" s="40" t="s">
        <v>1361</v>
      </c>
    </row>
    <row r="3353" spans="1:9" x14ac:dyDescent="0.25">
      <c r="A3353" s="40" t="s">
        <v>318</v>
      </c>
      <c r="B3353" s="28">
        <v>3685</v>
      </c>
      <c r="C3353" s="28" t="s">
        <v>1002</v>
      </c>
      <c r="D3353" s="28"/>
      <c r="E3353" s="41">
        <v>46154</v>
      </c>
      <c r="F3353" s="47">
        <v>0.2396875</v>
      </c>
      <c r="G3353" s="44">
        <v>6.3</v>
      </c>
      <c r="H3353" s="43" t="s">
        <v>1360</v>
      </c>
      <c r="I3353" s="40" t="s">
        <v>1361</v>
      </c>
    </row>
    <row r="3354" spans="1:9" x14ac:dyDescent="0.25">
      <c r="A3354" s="40" t="s">
        <v>318</v>
      </c>
      <c r="B3354" s="28">
        <v>3685</v>
      </c>
      <c r="C3354" s="28" t="s">
        <v>1003</v>
      </c>
      <c r="D3354" s="28"/>
      <c r="E3354" s="41">
        <v>46154</v>
      </c>
      <c r="F3354" s="47">
        <v>0.24744212962962964</v>
      </c>
      <c r="G3354" s="44">
        <v>6.3</v>
      </c>
      <c r="H3354" s="43" t="s">
        <v>1368</v>
      </c>
      <c r="I3354" s="40" t="s">
        <v>1361</v>
      </c>
    </row>
    <row r="3355" spans="1:9" x14ac:dyDescent="0.25">
      <c r="A3355" s="40" t="s">
        <v>318</v>
      </c>
      <c r="B3355" s="28">
        <v>3685</v>
      </c>
      <c r="C3355" s="28" t="s">
        <v>1003</v>
      </c>
      <c r="D3355" s="28"/>
      <c r="E3355" s="45">
        <v>46154</v>
      </c>
      <c r="F3355" s="48">
        <v>0.28243055555555557</v>
      </c>
      <c r="G3355" s="44">
        <v>6.3</v>
      </c>
      <c r="H3355" s="43" t="s">
        <v>1363</v>
      </c>
      <c r="I3355" s="40" t="s">
        <v>1361</v>
      </c>
    </row>
    <row r="3356" spans="1:9" x14ac:dyDescent="0.25">
      <c r="A3356" s="40" t="s">
        <v>318</v>
      </c>
      <c r="B3356" s="28">
        <v>3685</v>
      </c>
      <c r="C3356" s="28" t="s">
        <v>1003</v>
      </c>
      <c r="D3356" s="28"/>
      <c r="E3356" s="41">
        <v>46154</v>
      </c>
      <c r="F3356" s="47">
        <v>0.29358796296296297</v>
      </c>
      <c r="G3356" s="44">
        <v>6.3</v>
      </c>
      <c r="H3356" s="43" t="s">
        <v>1364</v>
      </c>
      <c r="I3356" s="40" t="s">
        <v>1361</v>
      </c>
    </row>
    <row r="3357" spans="1:9" x14ac:dyDescent="0.25">
      <c r="A3357" s="40" t="s">
        <v>318</v>
      </c>
      <c r="B3357" s="28">
        <v>3685</v>
      </c>
      <c r="C3357" s="28" t="s">
        <v>1004</v>
      </c>
      <c r="D3357" s="28"/>
      <c r="E3357" s="45">
        <v>46154</v>
      </c>
      <c r="F3357" s="48">
        <v>0.34934027777777776</v>
      </c>
      <c r="G3357" s="44">
        <v>6.3</v>
      </c>
      <c r="H3357" s="43" t="s">
        <v>1360</v>
      </c>
      <c r="I3357" s="40" t="s">
        <v>1361</v>
      </c>
    </row>
    <row r="3358" spans="1:9" x14ac:dyDescent="0.25">
      <c r="A3358" s="40" t="s">
        <v>318</v>
      </c>
      <c r="B3358" s="28">
        <v>3685</v>
      </c>
      <c r="C3358" s="28" t="s">
        <v>1004</v>
      </c>
      <c r="D3358" s="28"/>
      <c r="E3358" s="45">
        <v>46154</v>
      </c>
      <c r="F3358" s="48">
        <v>0.36464120370370373</v>
      </c>
      <c r="G3358" s="44">
        <v>6.3</v>
      </c>
      <c r="H3358" s="43" t="s">
        <v>1362</v>
      </c>
      <c r="I3358" s="40" t="s">
        <v>1361</v>
      </c>
    </row>
    <row r="3359" spans="1:9" x14ac:dyDescent="0.25">
      <c r="A3359" s="40" t="s">
        <v>318</v>
      </c>
      <c r="B3359" s="28">
        <v>3685</v>
      </c>
      <c r="C3359" s="28" t="s">
        <v>1005</v>
      </c>
      <c r="D3359" s="28"/>
      <c r="E3359" s="41">
        <v>46155</v>
      </c>
      <c r="F3359" s="47">
        <v>0.99164351851851851</v>
      </c>
      <c r="G3359" s="44">
        <v>6.3</v>
      </c>
      <c r="H3359" s="43" t="s">
        <v>1360</v>
      </c>
      <c r="I3359" s="40" t="s">
        <v>1361</v>
      </c>
    </row>
    <row r="3360" spans="1:9" x14ac:dyDescent="0.25">
      <c r="A3360" s="40" t="s">
        <v>318</v>
      </c>
      <c r="B3360" s="28">
        <v>3685</v>
      </c>
      <c r="C3360" s="28" t="s">
        <v>1005</v>
      </c>
      <c r="D3360" s="28"/>
      <c r="E3360" s="41">
        <v>46156</v>
      </c>
      <c r="F3360" s="47">
        <v>1.6550925925925926E-3</v>
      </c>
      <c r="G3360" s="44">
        <v>6.3</v>
      </c>
      <c r="H3360" s="43" t="s">
        <v>1362</v>
      </c>
      <c r="I3360" s="40" t="s">
        <v>1361</v>
      </c>
    </row>
    <row r="3361" spans="1:9" x14ac:dyDescent="0.25">
      <c r="A3361" s="40" t="s">
        <v>318</v>
      </c>
      <c r="B3361" s="28">
        <v>3685</v>
      </c>
      <c r="C3361" s="28" t="s">
        <v>1006</v>
      </c>
      <c r="D3361" s="28"/>
      <c r="E3361" s="41">
        <v>46156</v>
      </c>
      <c r="F3361" s="47">
        <v>0.69975694444444447</v>
      </c>
      <c r="G3361" s="44">
        <v>6.3</v>
      </c>
      <c r="H3361" s="43" t="s">
        <v>1364</v>
      </c>
      <c r="I3361" s="40" t="s">
        <v>1361</v>
      </c>
    </row>
    <row r="3362" spans="1:9" x14ac:dyDescent="0.25">
      <c r="A3362" s="40" t="s">
        <v>318</v>
      </c>
      <c r="B3362" s="28">
        <v>3685</v>
      </c>
      <c r="C3362" s="28" t="s">
        <v>1007</v>
      </c>
      <c r="D3362" s="28"/>
      <c r="E3362" s="45">
        <v>46156</v>
      </c>
      <c r="F3362" s="48">
        <v>0.86905092592592592</v>
      </c>
      <c r="G3362" s="44">
        <v>6.3</v>
      </c>
      <c r="H3362" s="43" t="s">
        <v>1360</v>
      </c>
      <c r="I3362" s="40" t="s">
        <v>1361</v>
      </c>
    </row>
    <row r="3363" spans="1:9" x14ac:dyDescent="0.25">
      <c r="A3363" s="40" t="s">
        <v>318</v>
      </c>
      <c r="B3363" s="28">
        <v>3685</v>
      </c>
      <c r="C3363" s="28" t="s">
        <v>1007</v>
      </c>
      <c r="D3363" s="28"/>
      <c r="E3363" s="41">
        <v>46156</v>
      </c>
      <c r="F3363" s="47">
        <v>0.87637731481481485</v>
      </c>
      <c r="G3363" s="44">
        <v>6.3</v>
      </c>
      <c r="H3363" s="43" t="s">
        <v>1362</v>
      </c>
      <c r="I3363" s="40" t="s">
        <v>1361</v>
      </c>
    </row>
    <row r="3364" spans="1:9" x14ac:dyDescent="0.25">
      <c r="A3364" s="40" t="s">
        <v>318</v>
      </c>
      <c r="B3364" s="28">
        <v>3685</v>
      </c>
      <c r="C3364" s="28" t="s">
        <v>1008</v>
      </c>
      <c r="D3364" s="28"/>
      <c r="E3364" s="45">
        <v>46156</v>
      </c>
      <c r="F3364" s="48">
        <v>0.94480324074074074</v>
      </c>
      <c r="G3364" s="44">
        <v>6.3</v>
      </c>
      <c r="H3364" s="43" t="s">
        <v>1363</v>
      </c>
      <c r="I3364" s="40" t="s">
        <v>1361</v>
      </c>
    </row>
    <row r="3365" spans="1:9" x14ac:dyDescent="0.25">
      <c r="A3365" s="40" t="s">
        <v>318</v>
      </c>
      <c r="B3365" s="28">
        <v>3685</v>
      </c>
      <c r="C3365" s="28" t="s">
        <v>1008</v>
      </c>
      <c r="D3365" s="28"/>
      <c r="E3365" s="41">
        <v>46156</v>
      </c>
      <c r="F3365" s="47">
        <v>0.95056712962962964</v>
      </c>
      <c r="G3365" s="44">
        <v>6.3</v>
      </c>
      <c r="H3365" s="43" t="s">
        <v>1364</v>
      </c>
      <c r="I3365" s="40" t="s">
        <v>1361</v>
      </c>
    </row>
    <row r="3366" spans="1:9" x14ac:dyDescent="0.25">
      <c r="A3366" s="40" t="s">
        <v>318</v>
      </c>
      <c r="B3366" s="28">
        <v>3685</v>
      </c>
      <c r="C3366" s="28" t="s">
        <v>1009</v>
      </c>
      <c r="D3366" s="28"/>
      <c r="E3366" s="45">
        <v>46156</v>
      </c>
      <c r="F3366" s="48">
        <v>0.99190972222222218</v>
      </c>
      <c r="G3366" s="44">
        <v>6.3</v>
      </c>
      <c r="H3366" s="43" t="s">
        <v>1360</v>
      </c>
      <c r="I3366" s="40" t="s">
        <v>1361</v>
      </c>
    </row>
    <row r="3367" spans="1:9" x14ac:dyDescent="0.25">
      <c r="A3367" s="40" t="s">
        <v>318</v>
      </c>
      <c r="B3367" s="28">
        <v>3685</v>
      </c>
      <c r="C3367" s="28" t="s">
        <v>1009</v>
      </c>
      <c r="D3367" s="28"/>
      <c r="E3367" s="41">
        <v>46156</v>
      </c>
      <c r="F3367" s="47">
        <v>0.99879629629629629</v>
      </c>
      <c r="G3367" s="44">
        <v>6.3</v>
      </c>
      <c r="H3367" s="43" t="s">
        <v>1368</v>
      </c>
      <c r="I3367" s="40" t="s">
        <v>1361</v>
      </c>
    </row>
    <row r="3368" spans="1:9" x14ac:dyDescent="0.25">
      <c r="A3368" s="40" t="s">
        <v>318</v>
      </c>
      <c r="B3368" s="28">
        <v>3685</v>
      </c>
      <c r="C3368" s="28" t="s">
        <v>1010</v>
      </c>
      <c r="D3368" s="28"/>
      <c r="E3368" s="41">
        <v>46157</v>
      </c>
      <c r="F3368" s="47">
        <v>0.82393518518518516</v>
      </c>
      <c r="G3368" s="44">
        <v>6.3</v>
      </c>
      <c r="H3368" s="43" t="s">
        <v>1370</v>
      </c>
      <c r="I3368" s="40" t="s">
        <v>1361</v>
      </c>
    </row>
    <row r="3369" spans="1:9" x14ac:dyDescent="0.25">
      <c r="A3369" s="40" t="s">
        <v>318</v>
      </c>
      <c r="B3369" s="28">
        <v>3685</v>
      </c>
      <c r="C3369" s="28" t="s">
        <v>1010</v>
      </c>
      <c r="D3369" s="28"/>
      <c r="E3369" s="41">
        <v>46157</v>
      </c>
      <c r="F3369" s="47">
        <v>0.83983796296296298</v>
      </c>
      <c r="G3369" s="44">
        <v>6.3</v>
      </c>
      <c r="H3369" s="43" t="s">
        <v>1364</v>
      </c>
      <c r="I3369" s="40" t="s">
        <v>1361</v>
      </c>
    </row>
    <row r="3370" spans="1:9" x14ac:dyDescent="0.25">
      <c r="A3370" s="40" t="s">
        <v>318</v>
      </c>
      <c r="B3370" s="28">
        <v>3685</v>
      </c>
      <c r="C3370" s="28" t="s">
        <v>35</v>
      </c>
      <c r="D3370" s="28" t="s">
        <v>38</v>
      </c>
      <c r="E3370" s="41">
        <v>46158</v>
      </c>
      <c r="F3370" s="47">
        <v>0.23760416666666667</v>
      </c>
      <c r="G3370" s="44">
        <v>6.3</v>
      </c>
      <c r="H3370" s="43" t="s">
        <v>1360</v>
      </c>
      <c r="I3370" s="40" t="s">
        <v>1365</v>
      </c>
    </row>
    <row r="3371" spans="1:9" x14ac:dyDescent="0.25">
      <c r="A3371" s="40" t="s">
        <v>388</v>
      </c>
      <c r="B3371" s="28">
        <v>3691</v>
      </c>
      <c r="C3371" s="28" t="s">
        <v>35</v>
      </c>
      <c r="D3371" s="28" t="s">
        <v>38</v>
      </c>
      <c r="E3371" s="41">
        <v>46154</v>
      </c>
      <c r="F3371" s="47">
        <v>0.70209490740740743</v>
      </c>
      <c r="G3371" s="44">
        <v>6.3</v>
      </c>
      <c r="H3371" s="43" t="s">
        <v>1364</v>
      </c>
      <c r="I3371" s="40" t="s">
        <v>1361</v>
      </c>
    </row>
    <row r="3372" spans="1:9" x14ac:dyDescent="0.25">
      <c r="A3372" s="40" t="s">
        <v>388</v>
      </c>
      <c r="B3372" s="28">
        <v>3691</v>
      </c>
      <c r="C3372" s="28" t="s">
        <v>1011</v>
      </c>
      <c r="D3372" s="28"/>
      <c r="E3372" s="41">
        <v>46155</v>
      </c>
      <c r="F3372" s="47">
        <v>0.85395833333333337</v>
      </c>
      <c r="G3372" s="44">
        <v>6.3</v>
      </c>
      <c r="H3372" s="43" t="s">
        <v>1360</v>
      </c>
      <c r="I3372" s="40" t="s">
        <v>1361</v>
      </c>
    </row>
    <row r="3373" spans="1:9" x14ac:dyDescent="0.25">
      <c r="A3373" s="40" t="s">
        <v>388</v>
      </c>
      <c r="B3373" s="28">
        <v>3691</v>
      </c>
      <c r="C3373" s="28" t="s">
        <v>35</v>
      </c>
      <c r="D3373" s="28" t="s">
        <v>38</v>
      </c>
      <c r="E3373" s="41">
        <v>46156</v>
      </c>
      <c r="F3373" s="47">
        <v>0.79031249999999997</v>
      </c>
      <c r="G3373" s="44">
        <v>6.3</v>
      </c>
      <c r="H3373" s="43" t="s">
        <v>1364</v>
      </c>
      <c r="I3373" s="40" t="s">
        <v>1361</v>
      </c>
    </row>
    <row r="3374" spans="1:9" x14ac:dyDescent="0.25">
      <c r="A3374" s="40" t="s">
        <v>388</v>
      </c>
      <c r="B3374" s="28">
        <v>3691</v>
      </c>
      <c r="C3374" s="28" t="s">
        <v>1012</v>
      </c>
      <c r="D3374" s="28"/>
      <c r="E3374" s="41">
        <v>46156</v>
      </c>
      <c r="F3374" s="47">
        <v>0.8346527777777778</v>
      </c>
      <c r="G3374" s="42">
        <v>6.3</v>
      </c>
      <c r="H3374" s="40" t="s">
        <v>1360</v>
      </c>
      <c r="I3374" s="40" t="s">
        <v>1361</v>
      </c>
    </row>
    <row r="3375" spans="1:9" x14ac:dyDescent="0.25">
      <c r="A3375" s="40" t="s">
        <v>388</v>
      </c>
      <c r="B3375" s="28">
        <v>3691</v>
      </c>
      <c r="C3375" s="28" t="s">
        <v>1012</v>
      </c>
      <c r="D3375" s="28"/>
      <c r="E3375" s="45">
        <v>46156</v>
      </c>
      <c r="F3375" s="48">
        <v>0.84203703703703703</v>
      </c>
      <c r="G3375" s="42">
        <v>6.3</v>
      </c>
      <c r="H3375" s="40" t="s">
        <v>1362</v>
      </c>
      <c r="I3375" s="40" t="s">
        <v>1361</v>
      </c>
    </row>
    <row r="3376" spans="1:9" x14ac:dyDescent="0.25">
      <c r="A3376" s="40" t="s">
        <v>388</v>
      </c>
      <c r="B3376" s="28">
        <v>3691</v>
      </c>
      <c r="C3376" s="28" t="s">
        <v>35</v>
      </c>
      <c r="D3376" s="28" t="s">
        <v>38</v>
      </c>
      <c r="E3376" s="41">
        <v>46157</v>
      </c>
      <c r="F3376" s="47">
        <v>0.71262731481481478</v>
      </c>
      <c r="G3376" s="44">
        <v>6.3</v>
      </c>
      <c r="H3376" s="43" t="s">
        <v>1364</v>
      </c>
      <c r="I3376" s="40" t="s">
        <v>1361</v>
      </c>
    </row>
    <row r="3377" spans="1:9" x14ac:dyDescent="0.25">
      <c r="A3377" s="40" t="s">
        <v>388</v>
      </c>
      <c r="B3377" s="28">
        <v>3691</v>
      </c>
      <c r="C3377" s="28">
        <v>5668255</v>
      </c>
      <c r="D3377" s="28"/>
      <c r="E3377" s="41">
        <v>46157</v>
      </c>
      <c r="F3377" s="47">
        <v>0.76324074074074078</v>
      </c>
      <c r="G3377" s="44">
        <v>6.3</v>
      </c>
      <c r="H3377" s="43" t="s">
        <v>1360</v>
      </c>
      <c r="I3377" s="40" t="s">
        <v>1361</v>
      </c>
    </row>
    <row r="3378" spans="1:9" x14ac:dyDescent="0.25">
      <c r="A3378" s="40" t="s">
        <v>388</v>
      </c>
      <c r="B3378" s="28">
        <v>3691</v>
      </c>
      <c r="C3378" s="28">
        <v>5668255</v>
      </c>
      <c r="D3378" s="28"/>
      <c r="E3378" s="41">
        <v>46157</v>
      </c>
      <c r="F3378" s="47">
        <v>0.77606481481481482</v>
      </c>
      <c r="G3378" s="44">
        <v>6.3</v>
      </c>
      <c r="H3378" s="43" t="s">
        <v>1362</v>
      </c>
      <c r="I3378" s="40" t="s">
        <v>1361</v>
      </c>
    </row>
    <row r="3379" spans="1:9" x14ac:dyDescent="0.25">
      <c r="A3379" s="40" t="s">
        <v>388</v>
      </c>
      <c r="B3379" s="28">
        <v>3691</v>
      </c>
      <c r="C3379" s="28">
        <v>5670939</v>
      </c>
      <c r="D3379" s="28"/>
      <c r="E3379" s="41">
        <v>46157</v>
      </c>
      <c r="F3379" s="47">
        <v>0.89406249999999998</v>
      </c>
      <c r="G3379" s="44">
        <v>6.3</v>
      </c>
      <c r="H3379" s="43" t="s">
        <v>1360</v>
      </c>
      <c r="I3379" s="40" t="s">
        <v>1361</v>
      </c>
    </row>
    <row r="3380" spans="1:9" x14ac:dyDescent="0.25">
      <c r="A3380" s="40" t="s">
        <v>388</v>
      </c>
      <c r="B3380" s="28">
        <v>3691</v>
      </c>
      <c r="C3380" s="28">
        <v>5670939</v>
      </c>
      <c r="D3380" s="28"/>
      <c r="E3380" s="41">
        <v>46157</v>
      </c>
      <c r="F3380" s="47">
        <v>0.90247685185185189</v>
      </c>
      <c r="G3380" s="44">
        <v>6.3</v>
      </c>
      <c r="H3380" s="43" t="s">
        <v>1362</v>
      </c>
      <c r="I3380" s="40" t="s">
        <v>1361</v>
      </c>
    </row>
    <row r="3381" spans="1:9" x14ac:dyDescent="0.25">
      <c r="A3381" s="40" t="s">
        <v>388</v>
      </c>
      <c r="B3381" s="28">
        <v>3691</v>
      </c>
      <c r="C3381" s="28" t="s">
        <v>1013</v>
      </c>
      <c r="D3381" s="28"/>
      <c r="E3381" s="41">
        <v>46159</v>
      </c>
      <c r="F3381" s="47">
        <v>0.77474537037037039</v>
      </c>
      <c r="G3381" s="44">
        <v>6.3</v>
      </c>
      <c r="H3381" s="43" t="s">
        <v>1360</v>
      </c>
      <c r="I3381" s="40" t="s">
        <v>1365</v>
      </c>
    </row>
    <row r="3382" spans="1:9" x14ac:dyDescent="0.25">
      <c r="A3382" s="40" t="s">
        <v>388</v>
      </c>
      <c r="B3382" s="28">
        <v>3691</v>
      </c>
      <c r="C3382" s="28" t="s">
        <v>1013</v>
      </c>
      <c r="D3382" s="28"/>
      <c r="E3382" s="41">
        <v>46159</v>
      </c>
      <c r="F3382" s="47">
        <v>0.78354166666666669</v>
      </c>
      <c r="G3382" s="44">
        <v>6.3</v>
      </c>
      <c r="H3382" s="43" t="s">
        <v>1362</v>
      </c>
      <c r="I3382" s="40" t="s">
        <v>1365</v>
      </c>
    </row>
    <row r="3383" spans="1:9" x14ac:dyDescent="0.25">
      <c r="A3383" s="40" t="s">
        <v>278</v>
      </c>
      <c r="B3383" s="28">
        <v>3695</v>
      </c>
      <c r="C3383" s="28" t="s">
        <v>1014</v>
      </c>
      <c r="D3383" s="28"/>
      <c r="E3383" s="45">
        <v>46153</v>
      </c>
      <c r="F3383" s="48">
        <v>0.69857638888888884</v>
      </c>
      <c r="G3383" s="44">
        <v>6.3</v>
      </c>
      <c r="H3383" s="43" t="s">
        <v>1360</v>
      </c>
      <c r="I3383" s="40" t="s">
        <v>1361</v>
      </c>
    </row>
    <row r="3384" spans="1:9" x14ac:dyDescent="0.25">
      <c r="A3384" s="40" t="s">
        <v>278</v>
      </c>
      <c r="B3384" s="28">
        <v>3695</v>
      </c>
      <c r="C3384" s="28" t="s">
        <v>1014</v>
      </c>
      <c r="D3384" s="28"/>
      <c r="E3384" s="41">
        <v>46153</v>
      </c>
      <c r="F3384" s="47">
        <v>0.70814814814814819</v>
      </c>
      <c r="G3384" s="44">
        <v>6.3</v>
      </c>
      <c r="H3384" s="43" t="s">
        <v>1368</v>
      </c>
      <c r="I3384" s="40" t="s">
        <v>1361</v>
      </c>
    </row>
    <row r="3385" spans="1:9" x14ac:dyDescent="0.25">
      <c r="A3385" s="40" t="s">
        <v>278</v>
      </c>
      <c r="B3385" s="28">
        <v>3695</v>
      </c>
      <c r="C3385" s="28" t="s">
        <v>35</v>
      </c>
      <c r="D3385" s="28" t="s">
        <v>38</v>
      </c>
      <c r="E3385" s="41">
        <v>46153</v>
      </c>
      <c r="F3385" s="47">
        <v>0.89145833333333335</v>
      </c>
      <c r="G3385" s="44">
        <v>6.3</v>
      </c>
      <c r="H3385" s="43" t="s">
        <v>1364</v>
      </c>
      <c r="I3385" s="40" t="s">
        <v>1361</v>
      </c>
    </row>
    <row r="3386" spans="1:9" x14ac:dyDescent="0.25">
      <c r="A3386" s="40" t="s">
        <v>278</v>
      </c>
      <c r="B3386" s="28">
        <v>3695</v>
      </c>
      <c r="C3386" s="28">
        <v>5665688</v>
      </c>
      <c r="D3386" s="28"/>
      <c r="E3386" s="41">
        <v>46154</v>
      </c>
      <c r="F3386" s="47">
        <v>0.88813657407407409</v>
      </c>
      <c r="G3386" s="44">
        <v>6.3</v>
      </c>
      <c r="H3386" s="43" t="s">
        <v>1360</v>
      </c>
      <c r="I3386" s="40" t="s">
        <v>1361</v>
      </c>
    </row>
    <row r="3387" spans="1:9" x14ac:dyDescent="0.25">
      <c r="A3387" s="40" t="s">
        <v>278</v>
      </c>
      <c r="B3387" s="28">
        <v>3695</v>
      </c>
      <c r="C3387" s="28">
        <v>5665688</v>
      </c>
      <c r="D3387" s="28"/>
      <c r="E3387" s="41">
        <v>46154</v>
      </c>
      <c r="F3387" s="47">
        <v>0.89511574074074074</v>
      </c>
      <c r="G3387" s="44">
        <v>6.3</v>
      </c>
      <c r="H3387" s="43" t="s">
        <v>1362</v>
      </c>
      <c r="I3387" s="40" t="s">
        <v>1361</v>
      </c>
    </row>
    <row r="3388" spans="1:9" x14ac:dyDescent="0.25">
      <c r="A3388" s="40" t="s">
        <v>278</v>
      </c>
      <c r="B3388" s="28">
        <v>3695</v>
      </c>
      <c r="C3388" s="28">
        <v>5665261</v>
      </c>
      <c r="D3388" s="28" t="s">
        <v>37</v>
      </c>
      <c r="E3388" s="41">
        <v>46155</v>
      </c>
      <c r="F3388" s="47">
        <v>0.33527777777777779</v>
      </c>
      <c r="G3388" s="44">
        <v>6.3</v>
      </c>
      <c r="H3388" s="43" t="s">
        <v>1363</v>
      </c>
      <c r="I3388" s="40" t="s">
        <v>1361</v>
      </c>
    </row>
    <row r="3389" spans="1:9" x14ac:dyDescent="0.25">
      <c r="A3389" s="40" t="s">
        <v>278</v>
      </c>
      <c r="B3389" s="28">
        <v>3695</v>
      </c>
      <c r="C3389" s="28">
        <v>5665261</v>
      </c>
      <c r="D3389" s="28" t="s">
        <v>37</v>
      </c>
      <c r="E3389" s="41">
        <v>46155</v>
      </c>
      <c r="F3389" s="47">
        <v>0.3591550925925926</v>
      </c>
      <c r="G3389" s="44">
        <v>6.3</v>
      </c>
      <c r="H3389" s="43" t="s">
        <v>1364</v>
      </c>
      <c r="I3389" s="40" t="s">
        <v>1361</v>
      </c>
    </row>
    <row r="3390" spans="1:9" x14ac:dyDescent="0.25">
      <c r="A3390" s="40" t="s">
        <v>278</v>
      </c>
      <c r="B3390" s="28">
        <v>3695</v>
      </c>
      <c r="C3390" s="28" t="s">
        <v>35</v>
      </c>
      <c r="D3390" s="28" t="s">
        <v>38</v>
      </c>
      <c r="E3390" s="41">
        <v>46157</v>
      </c>
      <c r="F3390" s="47">
        <v>8.9398148148148143E-2</v>
      </c>
      <c r="G3390" s="44">
        <v>6.3</v>
      </c>
      <c r="H3390" s="43" t="s">
        <v>1369</v>
      </c>
      <c r="I3390" s="40" t="s">
        <v>1361</v>
      </c>
    </row>
    <row r="3391" spans="1:9" x14ac:dyDescent="0.25">
      <c r="A3391" s="40" t="s">
        <v>278</v>
      </c>
      <c r="B3391" s="28">
        <v>3695</v>
      </c>
      <c r="C3391" s="28">
        <v>5671862</v>
      </c>
      <c r="D3391" s="28"/>
      <c r="E3391" s="41">
        <v>46158</v>
      </c>
      <c r="F3391" s="47">
        <v>0.96390046296296295</v>
      </c>
      <c r="G3391" s="42">
        <v>6.3</v>
      </c>
      <c r="H3391" s="40" t="s">
        <v>1360</v>
      </c>
      <c r="I3391" s="40" t="s">
        <v>1365</v>
      </c>
    </row>
    <row r="3392" spans="1:9" x14ac:dyDescent="0.25">
      <c r="A3392" s="40" t="s">
        <v>278</v>
      </c>
      <c r="B3392" s="28">
        <v>3695</v>
      </c>
      <c r="C3392" s="28">
        <v>5671862</v>
      </c>
      <c r="D3392" s="28"/>
      <c r="E3392" s="41">
        <v>46158</v>
      </c>
      <c r="F3392" s="47">
        <v>0.97133101851851855</v>
      </c>
      <c r="G3392" s="42">
        <v>6.3</v>
      </c>
      <c r="H3392" s="40" t="s">
        <v>1362</v>
      </c>
      <c r="I3392" s="40" t="s">
        <v>1365</v>
      </c>
    </row>
    <row r="3393" spans="1:9" x14ac:dyDescent="0.25">
      <c r="A3393" s="40" t="s">
        <v>278</v>
      </c>
      <c r="B3393" s="28">
        <v>3695</v>
      </c>
      <c r="C3393" s="28">
        <v>5672140</v>
      </c>
      <c r="D3393" s="28"/>
      <c r="E3393" s="45">
        <v>46159</v>
      </c>
      <c r="F3393" s="48">
        <v>0.12783564814814816</v>
      </c>
      <c r="G3393" s="42">
        <v>6.3</v>
      </c>
      <c r="H3393" s="40" t="s">
        <v>1360</v>
      </c>
      <c r="I3393" s="40" t="s">
        <v>1365</v>
      </c>
    </row>
    <row r="3394" spans="1:9" x14ac:dyDescent="0.25">
      <c r="A3394" s="40" t="s">
        <v>278</v>
      </c>
      <c r="B3394" s="28">
        <v>3695</v>
      </c>
      <c r="C3394" s="28">
        <v>5672140</v>
      </c>
      <c r="D3394" s="28"/>
      <c r="E3394" s="41">
        <v>46159</v>
      </c>
      <c r="F3394" s="47">
        <v>0.13521990740740741</v>
      </c>
      <c r="G3394" s="42">
        <v>6.3</v>
      </c>
      <c r="H3394" s="40" t="s">
        <v>1362</v>
      </c>
      <c r="I3394" s="40" t="s">
        <v>1365</v>
      </c>
    </row>
    <row r="3395" spans="1:9" x14ac:dyDescent="0.25">
      <c r="A3395" s="40" t="s">
        <v>278</v>
      </c>
      <c r="B3395" s="28">
        <v>3695</v>
      </c>
      <c r="C3395" s="28">
        <v>5672186</v>
      </c>
      <c r="D3395" s="28"/>
      <c r="E3395" s="45">
        <v>46159</v>
      </c>
      <c r="F3395" s="48">
        <v>0.23803240740740741</v>
      </c>
      <c r="G3395" s="42">
        <v>6.3</v>
      </c>
      <c r="H3395" s="40" t="s">
        <v>1363</v>
      </c>
      <c r="I3395" s="40" t="s">
        <v>1365</v>
      </c>
    </row>
    <row r="3396" spans="1:9" x14ac:dyDescent="0.25">
      <c r="A3396" s="40" t="s">
        <v>278</v>
      </c>
      <c r="B3396" s="28">
        <v>3695</v>
      </c>
      <c r="C3396" s="28">
        <v>5672186</v>
      </c>
      <c r="D3396" s="28"/>
      <c r="E3396" s="41">
        <v>46159</v>
      </c>
      <c r="F3396" s="47">
        <v>0.24325231481481482</v>
      </c>
      <c r="G3396" s="42">
        <v>6.3</v>
      </c>
      <c r="H3396" s="40" t="s">
        <v>1364</v>
      </c>
      <c r="I3396" s="40" t="s">
        <v>1365</v>
      </c>
    </row>
    <row r="3397" spans="1:9" x14ac:dyDescent="0.25">
      <c r="A3397" s="40" t="s">
        <v>278</v>
      </c>
      <c r="B3397" s="28">
        <v>3695</v>
      </c>
      <c r="C3397" s="28" t="s">
        <v>1015</v>
      </c>
      <c r="D3397" s="28"/>
      <c r="E3397" s="41">
        <v>46159</v>
      </c>
      <c r="F3397" s="47">
        <v>0.77337962962962958</v>
      </c>
      <c r="G3397" s="44">
        <v>6.3</v>
      </c>
      <c r="H3397" s="43" t="s">
        <v>1360</v>
      </c>
      <c r="I3397" s="40" t="s">
        <v>1365</v>
      </c>
    </row>
    <row r="3398" spans="1:9" x14ac:dyDescent="0.25">
      <c r="A3398" s="40" t="s">
        <v>278</v>
      </c>
      <c r="B3398" s="28">
        <v>3695</v>
      </c>
      <c r="C3398" s="28" t="s">
        <v>1015</v>
      </c>
      <c r="D3398" s="28"/>
      <c r="E3398" s="41">
        <v>46159</v>
      </c>
      <c r="F3398" s="47">
        <v>0.78331018518518514</v>
      </c>
      <c r="G3398" s="44">
        <v>6.3</v>
      </c>
      <c r="H3398" s="43" t="s">
        <v>1362</v>
      </c>
      <c r="I3398" s="40" t="s">
        <v>1365</v>
      </c>
    </row>
    <row r="3399" spans="1:9" x14ac:dyDescent="0.25">
      <c r="A3399" s="40" t="s">
        <v>191</v>
      </c>
      <c r="B3399" s="28">
        <v>3703</v>
      </c>
      <c r="C3399" s="28" t="s">
        <v>1016</v>
      </c>
      <c r="D3399" s="28"/>
      <c r="E3399" s="45">
        <v>46155</v>
      </c>
      <c r="F3399" s="48">
        <v>8.6446759259259265E-2</v>
      </c>
      <c r="G3399" s="44">
        <v>6.3</v>
      </c>
      <c r="H3399" s="43" t="s">
        <v>1360</v>
      </c>
      <c r="I3399" s="40" t="s">
        <v>1361</v>
      </c>
    </row>
    <row r="3400" spans="1:9" x14ac:dyDescent="0.25">
      <c r="A3400" s="40" t="s">
        <v>191</v>
      </c>
      <c r="B3400" s="28">
        <v>3703</v>
      </c>
      <c r="C3400" s="28" t="s">
        <v>1016</v>
      </c>
      <c r="D3400" s="28"/>
      <c r="E3400" s="41">
        <v>46155</v>
      </c>
      <c r="F3400" s="47">
        <v>9.331018518518519E-2</v>
      </c>
      <c r="G3400" s="44">
        <v>6.3</v>
      </c>
      <c r="H3400" s="43" t="s">
        <v>1362</v>
      </c>
      <c r="I3400" s="40" t="s">
        <v>1361</v>
      </c>
    </row>
    <row r="3401" spans="1:9" x14ac:dyDescent="0.25">
      <c r="A3401" s="40" t="s">
        <v>191</v>
      </c>
      <c r="B3401" s="28">
        <v>3703</v>
      </c>
      <c r="C3401" s="28">
        <v>5669107</v>
      </c>
      <c r="D3401" s="28"/>
      <c r="E3401" s="41">
        <v>46157</v>
      </c>
      <c r="F3401" s="47">
        <v>0.11653935185185185</v>
      </c>
      <c r="G3401" s="44">
        <v>6.3</v>
      </c>
      <c r="H3401" s="43" t="s">
        <v>1370</v>
      </c>
      <c r="I3401" s="40" t="s">
        <v>1361</v>
      </c>
    </row>
    <row r="3402" spans="1:9" x14ac:dyDescent="0.25">
      <c r="A3402" s="40" t="s">
        <v>191</v>
      </c>
      <c r="B3402" s="28">
        <v>3703</v>
      </c>
      <c r="C3402" s="28">
        <v>5669107</v>
      </c>
      <c r="D3402" s="28"/>
      <c r="E3402" s="41">
        <v>46157</v>
      </c>
      <c r="F3402" s="47">
        <v>0.12072916666666667</v>
      </c>
      <c r="G3402" s="44">
        <v>6.3</v>
      </c>
      <c r="H3402" s="43" t="s">
        <v>1364</v>
      </c>
      <c r="I3402" s="40" t="s">
        <v>1361</v>
      </c>
    </row>
    <row r="3403" spans="1:9" x14ac:dyDescent="0.25">
      <c r="A3403" s="40" t="s">
        <v>191</v>
      </c>
      <c r="B3403" s="28">
        <v>3703</v>
      </c>
      <c r="C3403" s="28" t="s">
        <v>35</v>
      </c>
      <c r="D3403" s="28" t="s">
        <v>38</v>
      </c>
      <c r="E3403" s="41">
        <v>46158</v>
      </c>
      <c r="F3403" s="47">
        <v>8.4953703703703701E-3</v>
      </c>
      <c r="G3403" s="44">
        <v>6.3</v>
      </c>
      <c r="H3403" s="43" t="s">
        <v>1360</v>
      </c>
      <c r="I3403" s="40" t="s">
        <v>1365</v>
      </c>
    </row>
    <row r="3404" spans="1:9" x14ac:dyDescent="0.25">
      <c r="A3404" s="40" t="s">
        <v>191</v>
      </c>
      <c r="B3404" s="28">
        <v>3703</v>
      </c>
      <c r="C3404" s="28" t="s">
        <v>35</v>
      </c>
      <c r="D3404" s="28" t="s">
        <v>38</v>
      </c>
      <c r="E3404" s="41">
        <v>46158</v>
      </c>
      <c r="F3404" s="47">
        <v>1.5011574074074075E-2</v>
      </c>
      <c r="G3404" s="44">
        <v>6.3</v>
      </c>
      <c r="H3404" s="43" t="s">
        <v>1368</v>
      </c>
      <c r="I3404" s="40" t="s">
        <v>1365</v>
      </c>
    </row>
    <row r="3405" spans="1:9" x14ac:dyDescent="0.25">
      <c r="A3405" s="40" t="s">
        <v>191</v>
      </c>
      <c r="B3405" s="28">
        <v>3703</v>
      </c>
      <c r="C3405" s="28" t="s">
        <v>35</v>
      </c>
      <c r="D3405" s="28" t="s">
        <v>38</v>
      </c>
      <c r="E3405" s="41">
        <v>46159</v>
      </c>
      <c r="F3405" s="47">
        <v>0.48054398148148147</v>
      </c>
      <c r="G3405" s="44">
        <v>6.3</v>
      </c>
      <c r="H3405" s="43" t="s">
        <v>1364</v>
      </c>
      <c r="I3405" s="40" t="s">
        <v>1365</v>
      </c>
    </row>
    <row r="3406" spans="1:9" x14ac:dyDescent="0.25">
      <c r="A3406" s="40" t="s">
        <v>183</v>
      </c>
      <c r="B3406" s="28">
        <v>3708</v>
      </c>
      <c r="C3406" s="28" t="s">
        <v>1017</v>
      </c>
      <c r="D3406" s="28"/>
      <c r="E3406" s="41">
        <v>46155</v>
      </c>
      <c r="F3406" s="47">
        <v>3.726851851851852E-2</v>
      </c>
      <c r="G3406" s="44">
        <v>6.3</v>
      </c>
      <c r="H3406" s="43" t="s">
        <v>1360</v>
      </c>
      <c r="I3406" s="40" t="s">
        <v>1361</v>
      </c>
    </row>
    <row r="3407" spans="1:9" x14ac:dyDescent="0.25">
      <c r="A3407" s="40" t="s">
        <v>183</v>
      </c>
      <c r="B3407" s="28">
        <v>3708</v>
      </c>
      <c r="C3407" s="28" t="s">
        <v>1017</v>
      </c>
      <c r="D3407" s="28"/>
      <c r="E3407" s="41">
        <v>46155</v>
      </c>
      <c r="F3407" s="47">
        <v>4.4548611111111108E-2</v>
      </c>
      <c r="G3407" s="42">
        <v>6.3</v>
      </c>
      <c r="H3407" s="40" t="s">
        <v>1362</v>
      </c>
      <c r="I3407" s="40" t="s">
        <v>1361</v>
      </c>
    </row>
    <row r="3408" spans="1:9" x14ac:dyDescent="0.25">
      <c r="A3408" s="40" t="s">
        <v>183</v>
      </c>
      <c r="B3408" s="28">
        <v>3708</v>
      </c>
      <c r="C3408" s="28">
        <v>10652671</v>
      </c>
      <c r="D3408" s="28" t="s">
        <v>36</v>
      </c>
      <c r="E3408" s="41">
        <v>46155</v>
      </c>
      <c r="F3408" s="47">
        <v>0.84520833333333334</v>
      </c>
      <c r="G3408" s="42">
        <v>6.3</v>
      </c>
      <c r="H3408" s="40" t="s">
        <v>1360</v>
      </c>
      <c r="I3408" s="40" t="s">
        <v>1361</v>
      </c>
    </row>
    <row r="3409" spans="1:9" x14ac:dyDescent="0.25">
      <c r="A3409" s="40" t="s">
        <v>183</v>
      </c>
      <c r="B3409" s="28">
        <v>3708</v>
      </c>
      <c r="C3409" s="28">
        <v>10652671</v>
      </c>
      <c r="D3409" s="28" t="s">
        <v>36</v>
      </c>
      <c r="E3409" s="41">
        <v>46155</v>
      </c>
      <c r="F3409" s="47">
        <v>0.85260416666666672</v>
      </c>
      <c r="G3409" s="44">
        <v>6.3</v>
      </c>
      <c r="H3409" s="43" t="s">
        <v>1362</v>
      </c>
      <c r="I3409" s="40" t="s">
        <v>1361</v>
      </c>
    </row>
    <row r="3410" spans="1:9" x14ac:dyDescent="0.25">
      <c r="A3410" s="40" t="s">
        <v>183</v>
      </c>
      <c r="B3410" s="28">
        <v>3708</v>
      </c>
      <c r="C3410" s="28">
        <v>10658851</v>
      </c>
      <c r="D3410" s="28"/>
      <c r="E3410" s="41">
        <v>46155</v>
      </c>
      <c r="F3410" s="47">
        <v>0.99091435185185184</v>
      </c>
      <c r="G3410" s="44">
        <v>6.3</v>
      </c>
      <c r="H3410" s="43" t="s">
        <v>1363</v>
      </c>
      <c r="I3410" s="40" t="s">
        <v>1361</v>
      </c>
    </row>
    <row r="3411" spans="1:9" x14ac:dyDescent="0.25">
      <c r="A3411" s="40" t="s">
        <v>183</v>
      </c>
      <c r="B3411" s="28">
        <v>3708</v>
      </c>
      <c r="C3411" s="28">
        <v>10658851</v>
      </c>
      <c r="D3411" s="28"/>
      <c r="E3411" s="41">
        <v>46155</v>
      </c>
      <c r="F3411" s="47">
        <v>0.99585648148148154</v>
      </c>
      <c r="G3411" s="44">
        <v>6.3</v>
      </c>
      <c r="H3411" s="43" t="s">
        <v>1364</v>
      </c>
      <c r="I3411" s="40" t="s">
        <v>1361</v>
      </c>
    </row>
    <row r="3412" spans="1:9" x14ac:dyDescent="0.25">
      <c r="A3412" s="40" t="s">
        <v>183</v>
      </c>
      <c r="B3412" s="28">
        <v>3708</v>
      </c>
      <c r="C3412" s="28">
        <v>10675266</v>
      </c>
      <c r="D3412" s="28" t="s">
        <v>36</v>
      </c>
      <c r="E3412" s="45">
        <v>46158</v>
      </c>
      <c r="F3412" s="48">
        <v>0.96233796296296292</v>
      </c>
      <c r="G3412" s="44">
        <v>6.3</v>
      </c>
      <c r="H3412" s="43" t="s">
        <v>1360</v>
      </c>
      <c r="I3412" s="40" t="s">
        <v>1365</v>
      </c>
    </row>
    <row r="3413" spans="1:9" x14ac:dyDescent="0.25">
      <c r="A3413" s="40" t="s">
        <v>183</v>
      </c>
      <c r="B3413" s="28">
        <v>3708</v>
      </c>
      <c r="C3413" s="28">
        <v>10675266</v>
      </c>
      <c r="D3413" s="28" t="s">
        <v>36</v>
      </c>
      <c r="E3413" s="41">
        <v>46158</v>
      </c>
      <c r="F3413" s="47">
        <v>0.96900462962962963</v>
      </c>
      <c r="G3413" s="44">
        <v>6.3</v>
      </c>
      <c r="H3413" s="43" t="s">
        <v>1368</v>
      </c>
      <c r="I3413" s="40" t="s">
        <v>1365</v>
      </c>
    </row>
    <row r="3414" spans="1:9" x14ac:dyDescent="0.25">
      <c r="A3414" s="40" t="s">
        <v>437</v>
      </c>
      <c r="B3414" s="28">
        <v>3719</v>
      </c>
      <c r="C3414" s="28" t="s">
        <v>1018</v>
      </c>
      <c r="D3414" s="28"/>
      <c r="E3414" s="41">
        <v>46154</v>
      </c>
      <c r="F3414" s="47">
        <v>0.70518518518518514</v>
      </c>
      <c r="G3414" s="44">
        <v>6.3</v>
      </c>
      <c r="H3414" s="43" t="s">
        <v>1360</v>
      </c>
      <c r="I3414" s="40" t="s">
        <v>1361</v>
      </c>
    </row>
    <row r="3415" spans="1:9" x14ac:dyDescent="0.25">
      <c r="A3415" s="40" t="s">
        <v>437</v>
      </c>
      <c r="B3415" s="28">
        <v>3719</v>
      </c>
      <c r="C3415" s="28" t="s">
        <v>1018</v>
      </c>
      <c r="D3415" s="28"/>
      <c r="E3415" s="41">
        <v>46154</v>
      </c>
      <c r="F3415" s="47">
        <v>0.7211805555555556</v>
      </c>
      <c r="G3415" s="44">
        <v>6.3</v>
      </c>
      <c r="H3415" s="43" t="s">
        <v>1362</v>
      </c>
      <c r="I3415" s="40" t="s">
        <v>1361</v>
      </c>
    </row>
    <row r="3416" spans="1:9" x14ac:dyDescent="0.25">
      <c r="A3416" s="40" t="s">
        <v>437</v>
      </c>
      <c r="B3416" s="28">
        <v>3719</v>
      </c>
      <c r="C3416" s="28" t="s">
        <v>35</v>
      </c>
      <c r="D3416" s="28" t="s">
        <v>38</v>
      </c>
      <c r="E3416" s="41">
        <v>46155</v>
      </c>
      <c r="F3416" s="47">
        <v>0.65082175925925922</v>
      </c>
      <c r="G3416" s="44">
        <v>6.3</v>
      </c>
      <c r="H3416" s="43" t="s">
        <v>1360</v>
      </c>
      <c r="I3416" s="40" t="s">
        <v>1361</v>
      </c>
    </row>
    <row r="3417" spans="1:9" x14ac:dyDescent="0.25">
      <c r="A3417" s="40" t="s">
        <v>294</v>
      </c>
      <c r="B3417" s="28">
        <v>3730</v>
      </c>
      <c r="C3417" s="28" t="s">
        <v>35</v>
      </c>
      <c r="D3417" s="28" t="s">
        <v>38</v>
      </c>
      <c r="E3417" s="41">
        <v>46153</v>
      </c>
      <c r="F3417" s="47">
        <v>0.94247685185185182</v>
      </c>
      <c r="G3417" s="44">
        <v>6.3</v>
      </c>
      <c r="H3417" s="43" t="s">
        <v>1364</v>
      </c>
      <c r="I3417" s="40" t="s">
        <v>1361</v>
      </c>
    </row>
    <row r="3418" spans="1:9" x14ac:dyDescent="0.25">
      <c r="A3418" s="40" t="s">
        <v>294</v>
      </c>
      <c r="B3418" s="28">
        <v>3730</v>
      </c>
      <c r="C3418" s="28">
        <v>5663978</v>
      </c>
      <c r="D3418" s="28"/>
      <c r="E3418" s="45">
        <v>46153</v>
      </c>
      <c r="F3418" s="48">
        <v>0.97460648148148143</v>
      </c>
      <c r="G3418" s="44">
        <v>6.3</v>
      </c>
      <c r="H3418" s="43" t="s">
        <v>1360</v>
      </c>
      <c r="I3418" s="40" t="s">
        <v>1361</v>
      </c>
    </row>
    <row r="3419" spans="1:9" x14ac:dyDescent="0.25">
      <c r="A3419" s="40" t="s">
        <v>294</v>
      </c>
      <c r="B3419" s="28">
        <v>3730</v>
      </c>
      <c r="C3419" s="28">
        <v>5663978</v>
      </c>
      <c r="D3419" s="28"/>
      <c r="E3419" s="41">
        <v>46153</v>
      </c>
      <c r="F3419" s="47">
        <v>0.98151620370370374</v>
      </c>
      <c r="G3419" s="44">
        <v>6.3</v>
      </c>
      <c r="H3419" s="43" t="s">
        <v>1362</v>
      </c>
      <c r="I3419" s="40" t="s">
        <v>1361</v>
      </c>
    </row>
    <row r="3420" spans="1:9" x14ac:dyDescent="0.25">
      <c r="A3420" s="40" t="s">
        <v>294</v>
      </c>
      <c r="B3420" s="28">
        <v>3730</v>
      </c>
      <c r="C3420" s="28">
        <v>10658766</v>
      </c>
      <c r="D3420" s="28"/>
      <c r="E3420" s="41">
        <v>46157</v>
      </c>
      <c r="F3420" s="47">
        <v>1.3831018518518519E-2</v>
      </c>
      <c r="G3420" s="44">
        <v>6.3</v>
      </c>
      <c r="H3420" s="43" t="s">
        <v>1360</v>
      </c>
      <c r="I3420" s="40" t="s">
        <v>1361</v>
      </c>
    </row>
    <row r="3421" spans="1:9" x14ac:dyDescent="0.25">
      <c r="A3421" s="40" t="s">
        <v>294</v>
      </c>
      <c r="B3421" s="28">
        <v>3730</v>
      </c>
      <c r="C3421" s="28">
        <v>10658766</v>
      </c>
      <c r="D3421" s="28"/>
      <c r="E3421" s="41">
        <v>46157</v>
      </c>
      <c r="F3421" s="47">
        <v>2.4710648148148148E-2</v>
      </c>
      <c r="G3421" s="44">
        <v>6.3</v>
      </c>
      <c r="H3421" s="43" t="s">
        <v>1362</v>
      </c>
      <c r="I3421" s="40" t="s">
        <v>1361</v>
      </c>
    </row>
    <row r="3422" spans="1:9" x14ac:dyDescent="0.25">
      <c r="A3422" s="40" t="s">
        <v>294</v>
      </c>
      <c r="B3422" s="28">
        <v>3730</v>
      </c>
      <c r="C3422" s="28">
        <v>5668306</v>
      </c>
      <c r="D3422" s="28"/>
      <c r="E3422" s="41">
        <v>46157</v>
      </c>
      <c r="F3422" s="47">
        <v>0.89091435185185186</v>
      </c>
      <c r="G3422" s="44">
        <v>6.3</v>
      </c>
      <c r="H3422" s="43" t="s">
        <v>1360</v>
      </c>
      <c r="I3422" s="40" t="s">
        <v>1361</v>
      </c>
    </row>
    <row r="3423" spans="1:9" x14ac:dyDescent="0.25">
      <c r="A3423" s="40" t="s">
        <v>294</v>
      </c>
      <c r="B3423" s="28">
        <v>3730</v>
      </c>
      <c r="C3423" s="28">
        <v>5668306</v>
      </c>
      <c r="D3423" s="28"/>
      <c r="E3423" s="41">
        <v>46157</v>
      </c>
      <c r="F3423" s="47">
        <v>0.89853009259259264</v>
      </c>
      <c r="G3423" s="44">
        <v>6.3</v>
      </c>
      <c r="H3423" s="43" t="s">
        <v>1362</v>
      </c>
      <c r="I3423" s="40" t="s">
        <v>1361</v>
      </c>
    </row>
    <row r="3424" spans="1:9" x14ac:dyDescent="0.25">
      <c r="A3424" s="40" t="s">
        <v>311</v>
      </c>
      <c r="B3424" s="28">
        <v>3740</v>
      </c>
      <c r="C3424" s="28">
        <v>5665676</v>
      </c>
      <c r="D3424" s="28"/>
      <c r="E3424" s="41">
        <v>46154</v>
      </c>
      <c r="F3424" s="47">
        <v>0.89197916666666666</v>
      </c>
      <c r="G3424" s="42">
        <v>6.3</v>
      </c>
      <c r="H3424" s="40" t="s">
        <v>1360</v>
      </c>
      <c r="I3424" s="40" t="s">
        <v>1361</v>
      </c>
    </row>
    <row r="3425" spans="1:9" x14ac:dyDescent="0.25">
      <c r="A3425" s="40" t="s">
        <v>311</v>
      </c>
      <c r="B3425" s="28">
        <v>3740</v>
      </c>
      <c r="C3425" s="28">
        <v>5665676</v>
      </c>
      <c r="D3425" s="28"/>
      <c r="E3425" s="41">
        <v>46154</v>
      </c>
      <c r="F3425" s="47">
        <v>0.89996527777777779</v>
      </c>
      <c r="G3425" s="42">
        <v>6.3</v>
      </c>
      <c r="H3425" s="40" t="s">
        <v>1362</v>
      </c>
      <c r="I3425" s="40" t="s">
        <v>1361</v>
      </c>
    </row>
    <row r="3426" spans="1:9" x14ac:dyDescent="0.25">
      <c r="A3426" s="40" t="s">
        <v>311</v>
      </c>
      <c r="B3426" s="28">
        <v>3740</v>
      </c>
      <c r="C3426" s="28">
        <v>5669075</v>
      </c>
      <c r="D3426" s="28"/>
      <c r="E3426" s="41">
        <v>46156</v>
      </c>
      <c r="F3426" s="47">
        <v>0.83924768518518522</v>
      </c>
      <c r="G3426" s="42">
        <v>6.3</v>
      </c>
      <c r="H3426" s="40" t="s">
        <v>1360</v>
      </c>
      <c r="I3426" s="40" t="s">
        <v>1361</v>
      </c>
    </row>
    <row r="3427" spans="1:9" x14ac:dyDescent="0.25">
      <c r="A3427" s="40" t="s">
        <v>438</v>
      </c>
      <c r="B3427" s="28">
        <v>3744</v>
      </c>
      <c r="C3427" s="28" t="s">
        <v>1019</v>
      </c>
      <c r="D3427" s="28"/>
      <c r="E3427" s="41">
        <v>46155</v>
      </c>
      <c r="F3427" s="47">
        <v>0.9857407407407407</v>
      </c>
      <c r="G3427" s="44">
        <v>6.3</v>
      </c>
      <c r="H3427" s="43" t="s">
        <v>1360</v>
      </c>
      <c r="I3427" s="40" t="s">
        <v>1361</v>
      </c>
    </row>
    <row r="3428" spans="1:9" x14ac:dyDescent="0.25">
      <c r="A3428" s="40" t="s">
        <v>438</v>
      </c>
      <c r="B3428" s="28">
        <v>3744</v>
      </c>
      <c r="C3428" s="28" t="s">
        <v>1019</v>
      </c>
      <c r="D3428" s="28"/>
      <c r="E3428" s="41">
        <v>46155</v>
      </c>
      <c r="F3428" s="47">
        <v>0.99527777777777782</v>
      </c>
      <c r="G3428" s="44">
        <v>6.3</v>
      </c>
      <c r="H3428" s="43" t="s">
        <v>1362</v>
      </c>
      <c r="I3428" s="40" t="s">
        <v>1361</v>
      </c>
    </row>
    <row r="3429" spans="1:9" x14ac:dyDescent="0.25">
      <c r="A3429" s="40" t="s">
        <v>438</v>
      </c>
      <c r="B3429" s="28">
        <v>3744</v>
      </c>
      <c r="C3429" s="28" t="s">
        <v>35</v>
      </c>
      <c r="D3429" s="28" t="s">
        <v>38</v>
      </c>
      <c r="E3429" s="41">
        <v>46156</v>
      </c>
      <c r="F3429" s="47">
        <v>5.2418981481481483E-2</v>
      </c>
      <c r="G3429" s="44">
        <v>6.3</v>
      </c>
      <c r="H3429" s="43" t="s">
        <v>1363</v>
      </c>
      <c r="I3429" s="40" t="s">
        <v>1361</v>
      </c>
    </row>
    <row r="3430" spans="1:9" x14ac:dyDescent="0.25">
      <c r="A3430" s="40" t="s">
        <v>438</v>
      </c>
      <c r="B3430" s="28">
        <v>3744</v>
      </c>
      <c r="C3430" s="28" t="s">
        <v>35</v>
      </c>
      <c r="D3430" s="28" t="s">
        <v>38</v>
      </c>
      <c r="E3430" s="45">
        <v>46156</v>
      </c>
      <c r="F3430" s="48">
        <v>5.8437500000000003E-2</v>
      </c>
      <c r="G3430" s="44">
        <v>6.3</v>
      </c>
      <c r="H3430" s="43" t="s">
        <v>1364</v>
      </c>
      <c r="I3430" s="40" t="s">
        <v>1361</v>
      </c>
    </row>
    <row r="3431" spans="1:9" x14ac:dyDescent="0.25">
      <c r="A3431" s="40" t="s">
        <v>438</v>
      </c>
      <c r="B3431" s="28">
        <v>3744</v>
      </c>
      <c r="C3431" s="28">
        <v>5669094</v>
      </c>
      <c r="D3431" s="28"/>
      <c r="E3431" s="41">
        <v>46156</v>
      </c>
      <c r="F3431" s="47">
        <v>0.84890046296296295</v>
      </c>
      <c r="G3431" s="44">
        <v>6.3</v>
      </c>
      <c r="H3431" s="43" t="s">
        <v>1360</v>
      </c>
      <c r="I3431" s="40" t="s">
        <v>1361</v>
      </c>
    </row>
    <row r="3432" spans="1:9" x14ac:dyDescent="0.25">
      <c r="A3432" s="40" t="s">
        <v>438</v>
      </c>
      <c r="B3432" s="28">
        <v>3744</v>
      </c>
      <c r="C3432" s="28">
        <v>5669094</v>
      </c>
      <c r="D3432" s="28"/>
      <c r="E3432" s="41">
        <v>46156</v>
      </c>
      <c r="F3432" s="47">
        <v>0.8577893518518519</v>
      </c>
      <c r="G3432" s="44">
        <v>6.3</v>
      </c>
      <c r="H3432" s="43" t="s">
        <v>1362</v>
      </c>
      <c r="I3432" s="40" t="s">
        <v>1361</v>
      </c>
    </row>
    <row r="3433" spans="1:9" x14ac:dyDescent="0.25">
      <c r="A3433" s="40" t="s">
        <v>438</v>
      </c>
      <c r="B3433" s="28">
        <v>3744</v>
      </c>
      <c r="C3433" s="28" t="s">
        <v>35</v>
      </c>
      <c r="D3433" s="28" t="s">
        <v>38</v>
      </c>
      <c r="E3433" s="41">
        <v>46156</v>
      </c>
      <c r="F3433" s="47">
        <v>0.91578703703703701</v>
      </c>
      <c r="G3433" s="44">
        <v>6.3</v>
      </c>
      <c r="H3433" s="43" t="s">
        <v>1363</v>
      </c>
      <c r="I3433" s="40" t="s">
        <v>1361</v>
      </c>
    </row>
    <row r="3434" spans="1:9" x14ac:dyDescent="0.25">
      <c r="A3434" s="40" t="s">
        <v>438</v>
      </c>
      <c r="B3434" s="28">
        <v>3744</v>
      </c>
      <c r="C3434" s="28" t="s">
        <v>35</v>
      </c>
      <c r="D3434" s="28" t="s">
        <v>38</v>
      </c>
      <c r="E3434" s="41">
        <v>46156</v>
      </c>
      <c r="F3434" s="47">
        <v>0.92241898148148149</v>
      </c>
      <c r="G3434" s="44">
        <v>6.3</v>
      </c>
      <c r="H3434" s="43" t="s">
        <v>1364</v>
      </c>
      <c r="I3434" s="40" t="s">
        <v>1361</v>
      </c>
    </row>
    <row r="3435" spans="1:9" x14ac:dyDescent="0.25">
      <c r="A3435" s="40" t="s">
        <v>438</v>
      </c>
      <c r="B3435" s="28">
        <v>3744</v>
      </c>
      <c r="C3435" s="28" t="s">
        <v>1020</v>
      </c>
      <c r="D3435" s="28"/>
      <c r="E3435" s="41">
        <v>46157</v>
      </c>
      <c r="F3435" s="47">
        <v>0.71701388888888884</v>
      </c>
      <c r="G3435" s="44">
        <v>6.3</v>
      </c>
      <c r="H3435" s="43" t="s">
        <v>1360</v>
      </c>
      <c r="I3435" s="40" t="s">
        <v>1361</v>
      </c>
    </row>
    <row r="3436" spans="1:9" x14ac:dyDescent="0.25">
      <c r="A3436" s="40" t="s">
        <v>438</v>
      </c>
      <c r="B3436" s="28">
        <v>3744</v>
      </c>
      <c r="C3436" s="28" t="s">
        <v>1020</v>
      </c>
      <c r="D3436" s="28"/>
      <c r="E3436" s="45">
        <v>46157</v>
      </c>
      <c r="F3436" s="48">
        <v>0.73293981481481485</v>
      </c>
      <c r="G3436" s="44">
        <v>6.3</v>
      </c>
      <c r="H3436" s="43" t="s">
        <v>1362</v>
      </c>
      <c r="I3436" s="40" t="s">
        <v>1361</v>
      </c>
    </row>
    <row r="3437" spans="1:9" x14ac:dyDescent="0.25">
      <c r="A3437" s="40" t="s">
        <v>438</v>
      </c>
      <c r="B3437" s="28">
        <v>3744</v>
      </c>
      <c r="C3437" s="28">
        <v>5670618</v>
      </c>
      <c r="D3437" s="28"/>
      <c r="E3437" s="41">
        <v>46157</v>
      </c>
      <c r="F3437" s="47">
        <v>0.82803240740740736</v>
      </c>
      <c r="G3437" s="44">
        <v>6.3</v>
      </c>
      <c r="H3437" s="43" t="s">
        <v>1369</v>
      </c>
      <c r="I3437" s="40" t="s">
        <v>1361</v>
      </c>
    </row>
    <row r="3438" spans="1:9" x14ac:dyDescent="0.25">
      <c r="A3438" s="40" t="s">
        <v>438</v>
      </c>
      <c r="B3438" s="28">
        <v>3744</v>
      </c>
      <c r="C3438" s="28">
        <v>5670618</v>
      </c>
      <c r="D3438" s="28"/>
      <c r="E3438" s="41">
        <v>46157</v>
      </c>
      <c r="F3438" s="47">
        <v>0.84556712962962965</v>
      </c>
      <c r="G3438" s="44">
        <v>6.3</v>
      </c>
      <c r="H3438" s="43" t="s">
        <v>1364</v>
      </c>
      <c r="I3438" s="40" t="s">
        <v>1361</v>
      </c>
    </row>
    <row r="3439" spans="1:9" x14ac:dyDescent="0.25">
      <c r="A3439" s="40" t="s">
        <v>438</v>
      </c>
      <c r="B3439" s="28">
        <v>3744</v>
      </c>
      <c r="C3439" s="28" t="s">
        <v>1021</v>
      </c>
      <c r="D3439" s="28"/>
      <c r="E3439" s="41">
        <v>46159</v>
      </c>
      <c r="F3439" s="47">
        <v>0.18635416666666665</v>
      </c>
      <c r="G3439" s="44">
        <v>6.3</v>
      </c>
      <c r="H3439" s="43" t="s">
        <v>1360</v>
      </c>
      <c r="I3439" s="40" t="s">
        <v>1365</v>
      </c>
    </row>
    <row r="3440" spans="1:9" x14ac:dyDescent="0.25">
      <c r="A3440" s="40" t="s">
        <v>438</v>
      </c>
      <c r="B3440" s="28">
        <v>3744</v>
      </c>
      <c r="C3440" s="28" t="s">
        <v>1021</v>
      </c>
      <c r="D3440" s="28"/>
      <c r="E3440" s="41">
        <v>46159</v>
      </c>
      <c r="F3440" s="47">
        <v>0.1942824074074074</v>
      </c>
      <c r="G3440" s="42">
        <v>6.3</v>
      </c>
      <c r="H3440" s="40" t="s">
        <v>1362</v>
      </c>
      <c r="I3440" s="40" t="s">
        <v>1365</v>
      </c>
    </row>
    <row r="3441" spans="1:9" x14ac:dyDescent="0.25">
      <c r="A3441" s="40" t="s">
        <v>281</v>
      </c>
      <c r="B3441" s="28">
        <v>3768</v>
      </c>
      <c r="C3441" s="28" t="s">
        <v>35</v>
      </c>
      <c r="D3441" s="28" t="s">
        <v>38</v>
      </c>
      <c r="E3441" s="41">
        <v>46153</v>
      </c>
      <c r="F3441" s="47">
        <v>0.24993055555555554</v>
      </c>
      <c r="G3441" s="42">
        <v>6.3</v>
      </c>
      <c r="H3441" s="40" t="s">
        <v>1360</v>
      </c>
      <c r="I3441" s="40" t="s">
        <v>1361</v>
      </c>
    </row>
    <row r="3442" spans="1:9" x14ac:dyDescent="0.25">
      <c r="A3442" s="40" t="s">
        <v>281</v>
      </c>
      <c r="B3442" s="28">
        <v>3768</v>
      </c>
      <c r="C3442" s="28" t="s">
        <v>35</v>
      </c>
      <c r="D3442" s="28" t="s">
        <v>38</v>
      </c>
      <c r="E3442" s="41">
        <v>46153</v>
      </c>
      <c r="F3442" s="47">
        <v>0.2623611111111111</v>
      </c>
      <c r="G3442" s="44">
        <v>6.3</v>
      </c>
      <c r="H3442" s="43" t="s">
        <v>1362</v>
      </c>
      <c r="I3442" s="40" t="s">
        <v>1361</v>
      </c>
    </row>
    <row r="3443" spans="1:9" x14ac:dyDescent="0.25">
      <c r="A3443" s="40" t="s">
        <v>281</v>
      </c>
      <c r="B3443" s="28">
        <v>3768</v>
      </c>
      <c r="C3443" s="28">
        <v>5662979</v>
      </c>
      <c r="D3443" s="28"/>
      <c r="E3443" s="41">
        <v>46153</v>
      </c>
      <c r="F3443" s="47">
        <v>0.59172453703703709</v>
      </c>
      <c r="G3443" s="44">
        <v>6.3</v>
      </c>
      <c r="H3443" s="43" t="s">
        <v>1363</v>
      </c>
      <c r="I3443" s="40" t="s">
        <v>1361</v>
      </c>
    </row>
    <row r="3444" spans="1:9" x14ac:dyDescent="0.25">
      <c r="A3444" s="40" t="s">
        <v>281</v>
      </c>
      <c r="B3444" s="28">
        <v>3768</v>
      </c>
      <c r="C3444" s="28">
        <v>5662979</v>
      </c>
      <c r="D3444" s="28"/>
      <c r="E3444" s="41">
        <v>46153</v>
      </c>
      <c r="F3444" s="47">
        <v>0.59930555555555554</v>
      </c>
      <c r="G3444" s="44">
        <v>6.3</v>
      </c>
      <c r="H3444" s="43" t="s">
        <v>1364</v>
      </c>
      <c r="I3444" s="40" t="s">
        <v>1361</v>
      </c>
    </row>
    <row r="3445" spans="1:9" x14ac:dyDescent="0.25">
      <c r="A3445" s="40" t="s">
        <v>281</v>
      </c>
      <c r="B3445" s="28">
        <v>3768</v>
      </c>
      <c r="C3445" s="28">
        <v>5663114</v>
      </c>
      <c r="D3445" s="28"/>
      <c r="E3445" s="41">
        <v>46153</v>
      </c>
      <c r="F3445" s="47">
        <v>0.64702546296296293</v>
      </c>
      <c r="G3445" s="44">
        <v>6.3</v>
      </c>
      <c r="H3445" s="43" t="s">
        <v>1360</v>
      </c>
      <c r="I3445" s="40" t="s">
        <v>1361</v>
      </c>
    </row>
    <row r="3446" spans="1:9" x14ac:dyDescent="0.25">
      <c r="A3446" s="40" t="s">
        <v>281</v>
      </c>
      <c r="B3446" s="28">
        <v>3768</v>
      </c>
      <c r="C3446" s="28">
        <v>5663114</v>
      </c>
      <c r="D3446" s="28"/>
      <c r="E3446" s="41">
        <v>46153</v>
      </c>
      <c r="F3446" s="47">
        <v>0.65513888888888894</v>
      </c>
      <c r="G3446" s="44">
        <v>6.3</v>
      </c>
      <c r="H3446" s="43" t="s">
        <v>1362</v>
      </c>
      <c r="I3446" s="40" t="s">
        <v>1361</v>
      </c>
    </row>
    <row r="3447" spans="1:9" x14ac:dyDescent="0.25">
      <c r="A3447" s="40" t="s">
        <v>281</v>
      </c>
      <c r="B3447" s="28">
        <v>3768</v>
      </c>
      <c r="C3447" s="28">
        <v>5664754</v>
      </c>
      <c r="D3447" s="28"/>
      <c r="E3447" s="41">
        <v>46154</v>
      </c>
      <c r="F3447" s="47">
        <v>0.63885416666666661</v>
      </c>
      <c r="G3447" s="44">
        <v>6.3</v>
      </c>
      <c r="H3447" s="43" t="s">
        <v>1360</v>
      </c>
      <c r="I3447" s="40" t="s">
        <v>1361</v>
      </c>
    </row>
    <row r="3448" spans="1:9" x14ac:dyDescent="0.25">
      <c r="A3448" s="40" t="s">
        <v>281</v>
      </c>
      <c r="B3448" s="28">
        <v>3768</v>
      </c>
      <c r="C3448" s="28" t="s">
        <v>35</v>
      </c>
      <c r="D3448" s="28" t="s">
        <v>38</v>
      </c>
      <c r="E3448" s="45">
        <v>46154</v>
      </c>
      <c r="F3448" s="48">
        <v>0.6950115740740741</v>
      </c>
      <c r="G3448" s="44">
        <v>6.3</v>
      </c>
      <c r="H3448" s="43" t="s">
        <v>1364</v>
      </c>
      <c r="I3448" s="40" t="s">
        <v>1361</v>
      </c>
    </row>
    <row r="3449" spans="1:9" x14ac:dyDescent="0.25">
      <c r="A3449" s="40" t="s">
        <v>281</v>
      </c>
      <c r="B3449" s="28">
        <v>3768</v>
      </c>
      <c r="C3449" s="28">
        <v>5664467</v>
      </c>
      <c r="D3449" s="28"/>
      <c r="E3449" s="45">
        <v>46154</v>
      </c>
      <c r="F3449" s="48">
        <v>0.91701388888888891</v>
      </c>
      <c r="G3449" s="44">
        <v>6.3</v>
      </c>
      <c r="H3449" s="43" t="s">
        <v>1360</v>
      </c>
      <c r="I3449" s="40" t="s">
        <v>1361</v>
      </c>
    </row>
    <row r="3450" spans="1:9" x14ac:dyDescent="0.25">
      <c r="A3450" s="40" t="s">
        <v>281</v>
      </c>
      <c r="B3450" s="28">
        <v>3768</v>
      </c>
      <c r="C3450" s="28">
        <v>5664467</v>
      </c>
      <c r="D3450" s="28"/>
      <c r="E3450" s="41">
        <v>46154</v>
      </c>
      <c r="F3450" s="47">
        <v>0.92465277777777777</v>
      </c>
      <c r="G3450" s="42">
        <v>6.3</v>
      </c>
      <c r="H3450" s="40" t="s">
        <v>1362</v>
      </c>
      <c r="I3450" s="40" t="s">
        <v>1361</v>
      </c>
    </row>
    <row r="3451" spans="1:9" x14ac:dyDescent="0.25">
      <c r="A3451" s="40" t="s">
        <v>281</v>
      </c>
      <c r="B3451" s="28">
        <v>3768</v>
      </c>
      <c r="C3451" s="28" t="s">
        <v>1022</v>
      </c>
      <c r="D3451" s="28"/>
      <c r="E3451" s="45">
        <v>46155</v>
      </c>
      <c r="F3451" s="48">
        <v>0.89640046296296294</v>
      </c>
      <c r="G3451" s="42">
        <v>6.3</v>
      </c>
      <c r="H3451" s="40" t="s">
        <v>1360</v>
      </c>
      <c r="I3451" s="40" t="s">
        <v>1361</v>
      </c>
    </row>
    <row r="3452" spans="1:9" x14ac:dyDescent="0.25">
      <c r="A3452" s="40" t="s">
        <v>281</v>
      </c>
      <c r="B3452" s="28">
        <v>3768</v>
      </c>
      <c r="C3452" s="28" t="s">
        <v>1022</v>
      </c>
      <c r="D3452" s="28"/>
      <c r="E3452" s="41">
        <v>46155</v>
      </c>
      <c r="F3452" s="47">
        <v>0.90376157407407409</v>
      </c>
      <c r="G3452" s="42">
        <v>6.3</v>
      </c>
      <c r="H3452" s="40" t="s">
        <v>1362</v>
      </c>
      <c r="I3452" s="40" t="s">
        <v>1361</v>
      </c>
    </row>
    <row r="3453" spans="1:9" x14ac:dyDescent="0.25">
      <c r="A3453" s="40" t="s">
        <v>281</v>
      </c>
      <c r="B3453" s="28">
        <v>3768</v>
      </c>
      <c r="C3453" s="28">
        <v>5666166</v>
      </c>
      <c r="D3453" s="28"/>
      <c r="E3453" s="41">
        <v>46156</v>
      </c>
      <c r="F3453" s="47">
        <v>0.42106481481481484</v>
      </c>
      <c r="G3453" s="42">
        <v>6.3</v>
      </c>
      <c r="H3453" s="40" t="s">
        <v>1360</v>
      </c>
      <c r="I3453" s="40" t="s">
        <v>1361</v>
      </c>
    </row>
    <row r="3454" spans="1:9" x14ac:dyDescent="0.25">
      <c r="A3454" s="40" t="s">
        <v>281</v>
      </c>
      <c r="B3454" s="28">
        <v>3768</v>
      </c>
      <c r="C3454" s="28">
        <v>5666166</v>
      </c>
      <c r="D3454" s="28"/>
      <c r="E3454" s="41">
        <v>46156</v>
      </c>
      <c r="F3454" s="47">
        <v>0.43258101851851855</v>
      </c>
      <c r="G3454" s="42">
        <v>6.3</v>
      </c>
      <c r="H3454" s="40" t="s">
        <v>1362</v>
      </c>
      <c r="I3454" s="40" t="s">
        <v>1361</v>
      </c>
    </row>
    <row r="3455" spans="1:9" x14ac:dyDescent="0.25">
      <c r="A3455" s="40" t="s">
        <v>281</v>
      </c>
      <c r="B3455" s="28">
        <v>3768</v>
      </c>
      <c r="C3455" s="28">
        <v>5669402</v>
      </c>
      <c r="D3455" s="28" t="s">
        <v>37</v>
      </c>
      <c r="E3455" s="41">
        <v>46157</v>
      </c>
      <c r="F3455" s="47">
        <v>1.7905092592592594E-2</v>
      </c>
      <c r="G3455" s="42">
        <v>6.3</v>
      </c>
      <c r="H3455" s="40" t="s">
        <v>1360</v>
      </c>
      <c r="I3455" s="40" t="s">
        <v>1361</v>
      </c>
    </row>
    <row r="3456" spans="1:9" x14ac:dyDescent="0.25">
      <c r="A3456" s="40" t="s">
        <v>281</v>
      </c>
      <c r="B3456" s="28">
        <v>3768</v>
      </c>
      <c r="C3456" s="28">
        <v>5671048</v>
      </c>
      <c r="D3456" s="28"/>
      <c r="E3456" s="41">
        <v>46157</v>
      </c>
      <c r="F3456" s="47">
        <v>0.95265046296296296</v>
      </c>
      <c r="G3456" s="44">
        <v>6.3</v>
      </c>
      <c r="H3456" s="43" t="s">
        <v>1360</v>
      </c>
      <c r="I3456" s="40" t="s">
        <v>1361</v>
      </c>
    </row>
    <row r="3457" spans="1:9" x14ac:dyDescent="0.25">
      <c r="A3457" s="40" t="s">
        <v>281</v>
      </c>
      <c r="B3457" s="28">
        <v>3768</v>
      </c>
      <c r="C3457" s="28">
        <v>5671048</v>
      </c>
      <c r="D3457" s="28"/>
      <c r="E3457" s="45">
        <v>46157</v>
      </c>
      <c r="F3457" s="48">
        <v>0.96130787037037035</v>
      </c>
      <c r="G3457" s="44">
        <v>6.3</v>
      </c>
      <c r="H3457" s="43" t="s">
        <v>1362</v>
      </c>
      <c r="I3457" s="40" t="s">
        <v>1361</v>
      </c>
    </row>
    <row r="3458" spans="1:9" x14ac:dyDescent="0.25">
      <c r="A3458" s="40" t="s">
        <v>281</v>
      </c>
      <c r="B3458" s="28">
        <v>3768</v>
      </c>
      <c r="C3458" s="28" t="s">
        <v>35</v>
      </c>
      <c r="D3458" s="28" t="s">
        <v>38</v>
      </c>
      <c r="E3458" s="41">
        <v>46157</v>
      </c>
      <c r="F3458" s="47">
        <v>0.97936342592592596</v>
      </c>
      <c r="G3458" s="44">
        <v>6.3</v>
      </c>
      <c r="H3458" s="43" t="s">
        <v>1369</v>
      </c>
      <c r="I3458" s="40" t="s">
        <v>1361</v>
      </c>
    </row>
    <row r="3459" spans="1:9" x14ac:dyDescent="0.25">
      <c r="A3459" s="40" t="s">
        <v>281</v>
      </c>
      <c r="B3459" s="28">
        <v>3768</v>
      </c>
      <c r="C3459" s="28" t="s">
        <v>35</v>
      </c>
      <c r="D3459" s="28" t="s">
        <v>38</v>
      </c>
      <c r="E3459" s="41">
        <v>46157</v>
      </c>
      <c r="F3459" s="47">
        <v>0.98519675925925931</v>
      </c>
      <c r="G3459" s="44">
        <v>6.3</v>
      </c>
      <c r="H3459" s="43" t="s">
        <v>1364</v>
      </c>
      <c r="I3459" s="40" t="s">
        <v>1365</v>
      </c>
    </row>
    <row r="3460" spans="1:9" x14ac:dyDescent="0.25">
      <c r="A3460" s="40" t="s">
        <v>281</v>
      </c>
      <c r="B3460" s="28">
        <v>3768</v>
      </c>
      <c r="C3460" s="28">
        <v>5672539</v>
      </c>
      <c r="D3460" s="28"/>
      <c r="E3460" s="41">
        <v>46159</v>
      </c>
      <c r="F3460" s="47">
        <v>0.57619212962962962</v>
      </c>
      <c r="G3460" s="44">
        <v>6.3</v>
      </c>
      <c r="H3460" s="43" t="s">
        <v>1360</v>
      </c>
      <c r="I3460" s="40" t="s">
        <v>1365</v>
      </c>
    </row>
    <row r="3461" spans="1:9" x14ac:dyDescent="0.25">
      <c r="A3461" s="40" t="s">
        <v>284</v>
      </c>
      <c r="B3461" s="28">
        <v>3775</v>
      </c>
      <c r="C3461" s="28">
        <v>5665719</v>
      </c>
      <c r="D3461" s="28"/>
      <c r="E3461" s="45">
        <v>46155</v>
      </c>
      <c r="F3461" s="48">
        <v>0.35243055555555558</v>
      </c>
      <c r="G3461" s="44">
        <v>6.3</v>
      </c>
      <c r="H3461" s="43" t="s">
        <v>1363</v>
      </c>
      <c r="I3461" s="40" t="s">
        <v>1361</v>
      </c>
    </row>
    <row r="3462" spans="1:9" x14ac:dyDescent="0.25">
      <c r="A3462" s="40" t="s">
        <v>439</v>
      </c>
      <c r="B3462" s="28">
        <v>3786</v>
      </c>
      <c r="C3462" s="28" t="s">
        <v>35</v>
      </c>
      <c r="D3462" s="28" t="s">
        <v>38</v>
      </c>
      <c r="E3462" s="41">
        <v>46154</v>
      </c>
      <c r="F3462" s="47">
        <v>0.74170138888888892</v>
      </c>
      <c r="G3462" s="44">
        <v>6.3</v>
      </c>
      <c r="H3462" s="43" t="s">
        <v>1368</v>
      </c>
      <c r="I3462" s="40" t="s">
        <v>1361</v>
      </c>
    </row>
    <row r="3463" spans="1:9" x14ac:dyDescent="0.25">
      <c r="A3463" s="40" t="s">
        <v>439</v>
      </c>
      <c r="B3463" s="28">
        <v>3786</v>
      </c>
      <c r="C3463" s="28" t="s">
        <v>35</v>
      </c>
      <c r="D3463" s="28" t="s">
        <v>38</v>
      </c>
      <c r="E3463" s="41">
        <v>46155</v>
      </c>
      <c r="F3463" s="47">
        <v>0.58182870370370365</v>
      </c>
      <c r="G3463" s="44">
        <v>6.3</v>
      </c>
      <c r="H3463" s="43" t="s">
        <v>1362</v>
      </c>
      <c r="I3463" s="40" t="s">
        <v>1361</v>
      </c>
    </row>
    <row r="3464" spans="1:9" x14ac:dyDescent="0.25">
      <c r="A3464" s="40" t="s">
        <v>439</v>
      </c>
      <c r="B3464" s="28">
        <v>3786</v>
      </c>
      <c r="C3464" s="28" t="s">
        <v>35</v>
      </c>
      <c r="D3464" s="28" t="s">
        <v>38</v>
      </c>
      <c r="E3464" s="45">
        <v>46155</v>
      </c>
      <c r="F3464" s="48">
        <v>0.59978009259259257</v>
      </c>
      <c r="G3464" s="44">
        <v>6.3</v>
      </c>
      <c r="H3464" s="43" t="s">
        <v>1363</v>
      </c>
      <c r="I3464" s="40" t="s">
        <v>1361</v>
      </c>
    </row>
    <row r="3465" spans="1:9" x14ac:dyDescent="0.25">
      <c r="A3465" s="40" t="s">
        <v>439</v>
      </c>
      <c r="B3465" s="28">
        <v>3786</v>
      </c>
      <c r="C3465" s="28" t="s">
        <v>35</v>
      </c>
      <c r="D3465" s="28" t="s">
        <v>38</v>
      </c>
      <c r="E3465" s="45">
        <v>46159</v>
      </c>
      <c r="F3465" s="48">
        <v>0.91312499999999996</v>
      </c>
      <c r="G3465" s="44">
        <v>6.3</v>
      </c>
      <c r="H3465" s="43" t="s">
        <v>1362</v>
      </c>
      <c r="I3465" s="40" t="s">
        <v>1365</v>
      </c>
    </row>
    <row r="3466" spans="1:9" x14ac:dyDescent="0.25">
      <c r="A3466" s="40" t="s">
        <v>363</v>
      </c>
      <c r="B3466" s="28">
        <v>3787</v>
      </c>
      <c r="C3466" s="28">
        <v>5659894</v>
      </c>
      <c r="D3466" s="28"/>
      <c r="E3466" s="41">
        <v>46153</v>
      </c>
      <c r="F3466" s="47">
        <v>4.4421296296296299E-2</v>
      </c>
      <c r="G3466" s="44">
        <v>6.3</v>
      </c>
      <c r="H3466" s="43" t="s">
        <v>1360</v>
      </c>
      <c r="I3466" s="40" t="s">
        <v>1361</v>
      </c>
    </row>
    <row r="3467" spans="1:9" x14ac:dyDescent="0.25">
      <c r="A3467" s="40" t="s">
        <v>363</v>
      </c>
      <c r="B3467" s="28">
        <v>3787</v>
      </c>
      <c r="C3467" s="28">
        <v>5659894</v>
      </c>
      <c r="D3467" s="28"/>
      <c r="E3467" s="41">
        <v>46153</v>
      </c>
      <c r="F3467" s="47">
        <v>5.1342592592592592E-2</v>
      </c>
      <c r="G3467" s="44">
        <v>6.3</v>
      </c>
      <c r="H3467" s="43" t="s">
        <v>1362</v>
      </c>
      <c r="I3467" s="40" t="s">
        <v>1361</v>
      </c>
    </row>
    <row r="3468" spans="1:9" x14ac:dyDescent="0.25">
      <c r="A3468" s="40" t="s">
        <v>363</v>
      </c>
      <c r="B3468" s="28">
        <v>3787</v>
      </c>
      <c r="C3468" s="28">
        <v>5661119</v>
      </c>
      <c r="D3468" s="28"/>
      <c r="E3468" s="45">
        <v>46153</v>
      </c>
      <c r="F3468" s="48">
        <v>0.33405092592592595</v>
      </c>
      <c r="G3468" s="44">
        <v>6.3</v>
      </c>
      <c r="H3468" s="43" t="s">
        <v>1363</v>
      </c>
      <c r="I3468" s="40" t="s">
        <v>1361</v>
      </c>
    </row>
    <row r="3469" spans="1:9" x14ac:dyDescent="0.25">
      <c r="A3469" s="40" t="s">
        <v>363</v>
      </c>
      <c r="B3469" s="28">
        <v>3787</v>
      </c>
      <c r="C3469" s="28">
        <v>5661119</v>
      </c>
      <c r="D3469" s="28"/>
      <c r="E3469" s="41">
        <v>46153</v>
      </c>
      <c r="F3469" s="47">
        <v>0.34765046296296298</v>
      </c>
      <c r="G3469" s="44">
        <v>6.3</v>
      </c>
      <c r="H3469" s="43" t="s">
        <v>1364</v>
      </c>
      <c r="I3469" s="40" t="s">
        <v>1361</v>
      </c>
    </row>
    <row r="3470" spans="1:9" x14ac:dyDescent="0.25">
      <c r="A3470" s="40" t="s">
        <v>363</v>
      </c>
      <c r="B3470" s="28">
        <v>3787</v>
      </c>
      <c r="C3470" s="28">
        <v>5659921</v>
      </c>
      <c r="D3470" s="28"/>
      <c r="E3470" s="41">
        <v>46153</v>
      </c>
      <c r="F3470" s="47">
        <v>0.39078703703703704</v>
      </c>
      <c r="G3470" s="44">
        <v>6.3</v>
      </c>
      <c r="H3470" s="43" t="s">
        <v>1360</v>
      </c>
      <c r="I3470" s="40" t="s">
        <v>1361</v>
      </c>
    </row>
    <row r="3471" spans="1:9" x14ac:dyDescent="0.25">
      <c r="A3471" s="40" t="s">
        <v>363</v>
      </c>
      <c r="B3471" s="28">
        <v>3787</v>
      </c>
      <c r="C3471" s="28">
        <v>5661145</v>
      </c>
      <c r="D3471" s="28"/>
      <c r="E3471" s="41">
        <v>46153</v>
      </c>
      <c r="F3471" s="47">
        <v>0.5095601851851852</v>
      </c>
      <c r="G3471" s="44">
        <v>6.3</v>
      </c>
      <c r="H3471" s="43" t="s">
        <v>1370</v>
      </c>
      <c r="I3471" s="40" t="s">
        <v>1361</v>
      </c>
    </row>
    <row r="3472" spans="1:9" x14ac:dyDescent="0.25">
      <c r="A3472" s="40" t="s">
        <v>363</v>
      </c>
      <c r="B3472" s="28">
        <v>3787</v>
      </c>
      <c r="C3472" s="28">
        <v>5661145</v>
      </c>
      <c r="D3472" s="28"/>
      <c r="E3472" s="41">
        <v>46153</v>
      </c>
      <c r="F3472" s="47">
        <v>0.51431712962962961</v>
      </c>
      <c r="G3472" s="44">
        <v>6.3</v>
      </c>
      <c r="H3472" s="43" t="s">
        <v>1364</v>
      </c>
      <c r="I3472" s="40" t="s">
        <v>1361</v>
      </c>
    </row>
    <row r="3473" spans="1:9" x14ac:dyDescent="0.25">
      <c r="A3473" s="40" t="s">
        <v>363</v>
      </c>
      <c r="B3473" s="28">
        <v>3787</v>
      </c>
      <c r="C3473" s="28">
        <v>5661117</v>
      </c>
      <c r="D3473" s="28"/>
      <c r="E3473" s="41">
        <v>46153</v>
      </c>
      <c r="F3473" s="47">
        <v>0.55564814814814811</v>
      </c>
      <c r="G3473" s="44">
        <v>6.3</v>
      </c>
      <c r="H3473" s="43" t="s">
        <v>1360</v>
      </c>
      <c r="I3473" s="40" t="s">
        <v>1361</v>
      </c>
    </row>
    <row r="3474" spans="1:9" x14ac:dyDescent="0.25">
      <c r="A3474" s="40" t="s">
        <v>363</v>
      </c>
      <c r="B3474" s="28">
        <v>3787</v>
      </c>
      <c r="C3474" s="28">
        <v>5661117</v>
      </c>
      <c r="D3474" s="28"/>
      <c r="E3474" s="41">
        <v>46153</v>
      </c>
      <c r="F3474" s="47">
        <v>0.56293981481481481</v>
      </c>
      <c r="G3474" s="44">
        <v>6.3</v>
      </c>
      <c r="H3474" s="43" t="s">
        <v>1362</v>
      </c>
      <c r="I3474" s="40" t="s">
        <v>1361</v>
      </c>
    </row>
    <row r="3475" spans="1:9" x14ac:dyDescent="0.25">
      <c r="A3475" s="40" t="s">
        <v>363</v>
      </c>
      <c r="B3475" s="28">
        <v>3787</v>
      </c>
      <c r="C3475" s="28">
        <v>5662624</v>
      </c>
      <c r="D3475" s="28"/>
      <c r="E3475" s="41">
        <v>46153</v>
      </c>
      <c r="F3475" s="47">
        <v>0.8727314814814815</v>
      </c>
      <c r="G3475" s="44">
        <v>6.3</v>
      </c>
      <c r="H3475" s="43" t="s">
        <v>1369</v>
      </c>
      <c r="I3475" s="40" t="s">
        <v>1361</v>
      </c>
    </row>
    <row r="3476" spans="1:9" x14ac:dyDescent="0.25">
      <c r="A3476" s="40" t="s">
        <v>363</v>
      </c>
      <c r="B3476" s="28">
        <v>3787</v>
      </c>
      <c r="C3476" s="28">
        <v>5662624</v>
      </c>
      <c r="D3476" s="28"/>
      <c r="E3476" s="41">
        <v>46153</v>
      </c>
      <c r="F3476" s="47">
        <v>0.87789351851851849</v>
      </c>
      <c r="G3476" s="44">
        <v>6.3</v>
      </c>
      <c r="H3476" s="43" t="s">
        <v>1364</v>
      </c>
      <c r="I3476" s="40" t="s">
        <v>1361</v>
      </c>
    </row>
    <row r="3477" spans="1:9" x14ac:dyDescent="0.25">
      <c r="A3477" s="40" t="s">
        <v>363</v>
      </c>
      <c r="B3477" s="28">
        <v>3787</v>
      </c>
      <c r="C3477" s="28">
        <v>5661148</v>
      </c>
      <c r="D3477" s="28"/>
      <c r="E3477" s="41">
        <v>46154</v>
      </c>
      <c r="F3477" s="47">
        <v>1.0613425925925925E-2</v>
      </c>
      <c r="G3477" s="44">
        <v>6.3</v>
      </c>
      <c r="H3477" s="43" t="s">
        <v>1360</v>
      </c>
      <c r="I3477" s="40" t="s">
        <v>1361</v>
      </c>
    </row>
    <row r="3478" spans="1:9" x14ac:dyDescent="0.25">
      <c r="A3478" s="40" t="s">
        <v>363</v>
      </c>
      <c r="B3478" s="28">
        <v>3787</v>
      </c>
      <c r="C3478" s="28">
        <v>5661148</v>
      </c>
      <c r="D3478" s="28"/>
      <c r="E3478" s="41">
        <v>46154</v>
      </c>
      <c r="F3478" s="47">
        <v>1.7118055555555556E-2</v>
      </c>
      <c r="G3478" s="42">
        <v>6.3</v>
      </c>
      <c r="H3478" s="40" t="s">
        <v>1368</v>
      </c>
      <c r="I3478" s="40" t="s">
        <v>1361</v>
      </c>
    </row>
    <row r="3479" spans="1:9" x14ac:dyDescent="0.25">
      <c r="A3479" s="40" t="s">
        <v>363</v>
      </c>
      <c r="B3479" s="28">
        <v>3787</v>
      </c>
      <c r="C3479" s="28">
        <v>5664786</v>
      </c>
      <c r="D3479" s="28"/>
      <c r="E3479" s="41">
        <v>46155</v>
      </c>
      <c r="F3479" s="47">
        <v>0.21034722222222221</v>
      </c>
      <c r="G3479" s="42">
        <v>6.3</v>
      </c>
      <c r="H3479" s="40" t="s">
        <v>1367</v>
      </c>
      <c r="I3479" s="40" t="s">
        <v>1361</v>
      </c>
    </row>
    <row r="3480" spans="1:9" x14ac:dyDescent="0.25">
      <c r="A3480" s="40" t="s">
        <v>363</v>
      </c>
      <c r="B3480" s="28">
        <v>3787</v>
      </c>
      <c r="C3480" s="28">
        <v>5664786</v>
      </c>
      <c r="D3480" s="28"/>
      <c r="E3480" s="41">
        <v>46155</v>
      </c>
      <c r="F3480" s="47">
        <v>0.21292824074074074</v>
      </c>
      <c r="G3480" s="42">
        <v>6.3</v>
      </c>
      <c r="H3480" s="40" t="s">
        <v>1364</v>
      </c>
      <c r="I3480" s="40" t="s">
        <v>1361</v>
      </c>
    </row>
    <row r="3481" spans="1:9" x14ac:dyDescent="0.25">
      <c r="A3481" s="40" t="s">
        <v>363</v>
      </c>
      <c r="B3481" s="28">
        <v>3787</v>
      </c>
      <c r="C3481" s="28" t="s">
        <v>35</v>
      </c>
      <c r="D3481" s="28" t="s">
        <v>38</v>
      </c>
      <c r="E3481" s="45">
        <v>46155</v>
      </c>
      <c r="F3481" s="48">
        <v>0.24755787037037036</v>
      </c>
      <c r="G3481" s="42">
        <v>6.3</v>
      </c>
      <c r="H3481" s="40" t="s">
        <v>1360</v>
      </c>
      <c r="I3481" s="40" t="s">
        <v>1361</v>
      </c>
    </row>
    <row r="3482" spans="1:9" x14ac:dyDescent="0.25">
      <c r="A3482" s="40" t="s">
        <v>363</v>
      </c>
      <c r="B3482" s="28">
        <v>3787</v>
      </c>
      <c r="C3482" s="28" t="s">
        <v>35</v>
      </c>
      <c r="D3482" s="28" t="s">
        <v>38</v>
      </c>
      <c r="E3482" s="41">
        <v>46155</v>
      </c>
      <c r="F3482" s="47">
        <v>0.77008101851851851</v>
      </c>
      <c r="G3482" s="44">
        <v>6.3</v>
      </c>
      <c r="H3482" s="43" t="s">
        <v>1363</v>
      </c>
      <c r="I3482" s="40" t="s">
        <v>1361</v>
      </c>
    </row>
    <row r="3483" spans="1:9" x14ac:dyDescent="0.25">
      <c r="A3483" s="40" t="s">
        <v>363</v>
      </c>
      <c r="B3483" s="28">
        <v>3787</v>
      </c>
      <c r="C3483" s="28">
        <v>5666731</v>
      </c>
      <c r="D3483" s="28"/>
      <c r="E3483" s="45">
        <v>46156</v>
      </c>
      <c r="F3483" s="48">
        <v>0.32853009259259258</v>
      </c>
      <c r="G3483" s="44">
        <v>6.3</v>
      </c>
      <c r="H3483" s="43" t="s">
        <v>1370</v>
      </c>
      <c r="I3483" s="40" t="s">
        <v>1361</v>
      </c>
    </row>
    <row r="3484" spans="1:9" x14ac:dyDescent="0.25">
      <c r="A3484" s="40" t="s">
        <v>363</v>
      </c>
      <c r="B3484" s="28">
        <v>3787</v>
      </c>
      <c r="C3484" s="28">
        <v>5666731</v>
      </c>
      <c r="D3484" s="28"/>
      <c r="E3484" s="41">
        <v>46156</v>
      </c>
      <c r="F3484" s="47">
        <v>0.33479166666666665</v>
      </c>
      <c r="G3484" s="44">
        <v>6.3</v>
      </c>
      <c r="H3484" s="43" t="s">
        <v>1364</v>
      </c>
      <c r="I3484" s="40" t="s">
        <v>1361</v>
      </c>
    </row>
    <row r="3485" spans="1:9" x14ac:dyDescent="0.25">
      <c r="A3485" s="40" t="s">
        <v>363</v>
      </c>
      <c r="B3485" s="28">
        <v>3787</v>
      </c>
      <c r="C3485" s="28">
        <v>5668988</v>
      </c>
      <c r="D3485" s="28"/>
      <c r="E3485" s="41">
        <v>46157</v>
      </c>
      <c r="F3485" s="47">
        <v>0.1575</v>
      </c>
      <c r="G3485" s="44">
        <v>6.3</v>
      </c>
      <c r="H3485" s="43" t="s">
        <v>1363</v>
      </c>
      <c r="I3485" s="40" t="s">
        <v>1361</v>
      </c>
    </row>
    <row r="3486" spans="1:9" x14ac:dyDescent="0.25">
      <c r="A3486" s="40" t="s">
        <v>363</v>
      </c>
      <c r="B3486" s="28">
        <v>3787</v>
      </c>
      <c r="C3486" s="28">
        <v>5668988</v>
      </c>
      <c r="D3486" s="28"/>
      <c r="E3486" s="41">
        <v>46157</v>
      </c>
      <c r="F3486" s="47">
        <v>0.16259259259259259</v>
      </c>
      <c r="G3486" s="44">
        <v>6.3</v>
      </c>
      <c r="H3486" s="43" t="s">
        <v>1364</v>
      </c>
      <c r="I3486" s="40" t="s">
        <v>1361</v>
      </c>
    </row>
    <row r="3487" spans="1:9" x14ac:dyDescent="0.25">
      <c r="A3487" s="40" t="s">
        <v>363</v>
      </c>
      <c r="B3487" s="28">
        <v>3787</v>
      </c>
      <c r="C3487" s="28" t="s">
        <v>35</v>
      </c>
      <c r="D3487" s="28" t="s">
        <v>38</v>
      </c>
      <c r="E3487" s="45">
        <v>46157</v>
      </c>
      <c r="F3487" s="48">
        <v>0.22587962962962962</v>
      </c>
      <c r="G3487" s="44">
        <v>6.3</v>
      </c>
      <c r="H3487" s="43" t="s">
        <v>1360</v>
      </c>
      <c r="I3487" s="40" t="s">
        <v>1361</v>
      </c>
    </row>
    <row r="3488" spans="1:9" x14ac:dyDescent="0.25">
      <c r="A3488" s="40" t="s">
        <v>363</v>
      </c>
      <c r="B3488" s="28">
        <v>3787</v>
      </c>
      <c r="C3488" s="28" t="s">
        <v>35</v>
      </c>
      <c r="D3488" s="28" t="s">
        <v>38</v>
      </c>
      <c r="E3488" s="45">
        <v>46157</v>
      </c>
      <c r="F3488" s="48">
        <v>0.23136574074074073</v>
      </c>
      <c r="G3488" s="44">
        <v>6.3</v>
      </c>
      <c r="H3488" s="43" t="s">
        <v>1366</v>
      </c>
      <c r="I3488" s="40" t="s">
        <v>1361</v>
      </c>
    </row>
    <row r="3489" spans="1:9" x14ac:dyDescent="0.25">
      <c r="A3489" s="40" t="s">
        <v>363</v>
      </c>
      <c r="B3489" s="28">
        <v>3787</v>
      </c>
      <c r="C3489" s="28" t="s">
        <v>35</v>
      </c>
      <c r="D3489" s="28" t="s">
        <v>38</v>
      </c>
      <c r="E3489" s="41">
        <v>46157</v>
      </c>
      <c r="F3489" s="47">
        <v>0.42826388888888889</v>
      </c>
      <c r="G3489" s="44">
        <v>6.3</v>
      </c>
      <c r="H3489" s="43" t="s">
        <v>1363</v>
      </c>
      <c r="I3489" s="40" t="s">
        <v>1361</v>
      </c>
    </row>
    <row r="3490" spans="1:9" x14ac:dyDescent="0.25">
      <c r="A3490" s="40" t="s">
        <v>363</v>
      </c>
      <c r="B3490" s="28">
        <v>3787</v>
      </c>
      <c r="C3490" s="28" t="s">
        <v>35</v>
      </c>
      <c r="D3490" s="28" t="s">
        <v>38</v>
      </c>
      <c r="E3490" s="41">
        <v>46157</v>
      </c>
      <c r="F3490" s="47">
        <v>0.43356481481481479</v>
      </c>
      <c r="G3490" s="44">
        <v>6.3</v>
      </c>
      <c r="H3490" s="43" t="s">
        <v>1364</v>
      </c>
      <c r="I3490" s="40" t="s">
        <v>1361</v>
      </c>
    </row>
    <row r="3491" spans="1:9" x14ac:dyDescent="0.25">
      <c r="A3491" s="40" t="s">
        <v>363</v>
      </c>
      <c r="B3491" s="28">
        <v>3787</v>
      </c>
      <c r="C3491" s="28">
        <v>5668337</v>
      </c>
      <c r="D3491" s="28"/>
      <c r="E3491" s="41">
        <v>46157</v>
      </c>
      <c r="F3491" s="47">
        <v>0.82793981481481482</v>
      </c>
      <c r="G3491" s="44">
        <v>6.3</v>
      </c>
      <c r="H3491" s="43" t="s">
        <v>1370</v>
      </c>
      <c r="I3491" s="40" t="s">
        <v>1361</v>
      </c>
    </row>
    <row r="3492" spans="1:9" x14ac:dyDescent="0.25">
      <c r="A3492" s="40" t="s">
        <v>363</v>
      </c>
      <c r="B3492" s="28">
        <v>3787</v>
      </c>
      <c r="C3492" s="28">
        <v>5668337</v>
      </c>
      <c r="D3492" s="28"/>
      <c r="E3492" s="41">
        <v>46157</v>
      </c>
      <c r="F3492" s="47">
        <v>0.84416666666666662</v>
      </c>
      <c r="G3492" s="44">
        <v>6.3</v>
      </c>
      <c r="H3492" s="43" t="s">
        <v>1364</v>
      </c>
      <c r="I3492" s="40" t="s">
        <v>1361</v>
      </c>
    </row>
    <row r="3493" spans="1:9" x14ac:dyDescent="0.25">
      <c r="A3493" s="40" t="s">
        <v>363</v>
      </c>
      <c r="B3493" s="28">
        <v>3787</v>
      </c>
      <c r="C3493" s="28">
        <v>5668336</v>
      </c>
      <c r="D3493" s="28"/>
      <c r="E3493" s="41">
        <v>46158</v>
      </c>
      <c r="F3493" s="47">
        <v>4.9178240740740738E-2</v>
      </c>
      <c r="G3493" s="44">
        <v>6.3</v>
      </c>
      <c r="H3493" s="43" t="s">
        <v>1360</v>
      </c>
      <c r="I3493" s="40" t="s">
        <v>1365</v>
      </c>
    </row>
    <row r="3494" spans="1:9" x14ac:dyDescent="0.25">
      <c r="A3494" s="40" t="s">
        <v>363</v>
      </c>
      <c r="B3494" s="28">
        <v>3787</v>
      </c>
      <c r="C3494" s="28">
        <v>5668336</v>
      </c>
      <c r="D3494" s="28"/>
      <c r="E3494" s="41">
        <v>46158</v>
      </c>
      <c r="F3494" s="47">
        <v>5.603009259259259E-2</v>
      </c>
      <c r="G3494" s="44">
        <v>6.3</v>
      </c>
      <c r="H3494" s="43" t="s">
        <v>1362</v>
      </c>
      <c r="I3494" s="40" t="s">
        <v>1365</v>
      </c>
    </row>
    <row r="3495" spans="1:9" x14ac:dyDescent="0.25">
      <c r="A3495" s="40" t="s">
        <v>363</v>
      </c>
      <c r="B3495" s="28">
        <v>3787</v>
      </c>
      <c r="C3495" s="28">
        <v>5670435</v>
      </c>
      <c r="D3495" s="28"/>
      <c r="E3495" s="41">
        <v>46158</v>
      </c>
      <c r="F3495" s="47">
        <v>0.12763888888888889</v>
      </c>
      <c r="G3495" s="44">
        <v>6.3</v>
      </c>
      <c r="H3495" s="43" t="s">
        <v>1370</v>
      </c>
      <c r="I3495" s="40" t="s">
        <v>1365</v>
      </c>
    </row>
    <row r="3496" spans="1:9" x14ac:dyDescent="0.25">
      <c r="A3496" s="40" t="s">
        <v>363</v>
      </c>
      <c r="B3496" s="28">
        <v>3787</v>
      </c>
      <c r="C3496" s="28">
        <v>5670435</v>
      </c>
      <c r="D3496" s="28"/>
      <c r="E3496" s="41">
        <v>46158</v>
      </c>
      <c r="F3496" s="47">
        <v>0.13164351851851852</v>
      </c>
      <c r="G3496" s="44">
        <v>6.3</v>
      </c>
      <c r="H3496" s="43" t="s">
        <v>1364</v>
      </c>
      <c r="I3496" s="40" t="s">
        <v>1365</v>
      </c>
    </row>
    <row r="3497" spans="1:9" x14ac:dyDescent="0.25">
      <c r="A3497" s="40" t="s">
        <v>363</v>
      </c>
      <c r="B3497" s="28">
        <v>3787</v>
      </c>
      <c r="C3497" s="28" t="s">
        <v>35</v>
      </c>
      <c r="D3497" s="28" t="s">
        <v>38</v>
      </c>
      <c r="E3497" s="41">
        <v>46158</v>
      </c>
      <c r="F3497" s="47">
        <v>0.16637731481481483</v>
      </c>
      <c r="G3497" s="44">
        <v>6.3</v>
      </c>
      <c r="H3497" s="43" t="s">
        <v>1360</v>
      </c>
      <c r="I3497" s="40" t="s">
        <v>1365</v>
      </c>
    </row>
    <row r="3498" spans="1:9" x14ac:dyDescent="0.25">
      <c r="A3498" s="40" t="s">
        <v>363</v>
      </c>
      <c r="B3498" s="28">
        <v>3787</v>
      </c>
      <c r="C3498" s="28" t="s">
        <v>35</v>
      </c>
      <c r="D3498" s="28" t="s">
        <v>38</v>
      </c>
      <c r="E3498" s="41">
        <v>46158</v>
      </c>
      <c r="F3498" s="47">
        <v>0.19875000000000001</v>
      </c>
      <c r="G3498" s="44">
        <v>6.3</v>
      </c>
      <c r="H3498" s="43" t="s">
        <v>1368</v>
      </c>
      <c r="I3498" s="40" t="s">
        <v>1365</v>
      </c>
    </row>
    <row r="3499" spans="1:9" x14ac:dyDescent="0.25">
      <c r="A3499" s="40" t="s">
        <v>363</v>
      </c>
      <c r="B3499" s="28">
        <v>3787</v>
      </c>
      <c r="C3499" s="28">
        <v>5671472</v>
      </c>
      <c r="D3499" s="28"/>
      <c r="E3499" s="45">
        <v>46159</v>
      </c>
      <c r="F3499" s="48">
        <v>0.1350925925925926</v>
      </c>
      <c r="G3499" s="44">
        <v>6.3</v>
      </c>
      <c r="H3499" s="43" t="s">
        <v>1370</v>
      </c>
      <c r="I3499" s="40" t="s">
        <v>1365</v>
      </c>
    </row>
    <row r="3500" spans="1:9" x14ac:dyDescent="0.25">
      <c r="A3500" s="40" t="s">
        <v>363</v>
      </c>
      <c r="B3500" s="28">
        <v>3787</v>
      </c>
      <c r="C3500" s="28">
        <v>5671472</v>
      </c>
      <c r="D3500" s="28"/>
      <c r="E3500" s="41">
        <v>46159</v>
      </c>
      <c r="F3500" s="47">
        <v>0.13853009259259258</v>
      </c>
      <c r="G3500" s="44">
        <v>6.3</v>
      </c>
      <c r="H3500" s="43" t="s">
        <v>1364</v>
      </c>
      <c r="I3500" s="40" t="s">
        <v>1365</v>
      </c>
    </row>
    <row r="3501" spans="1:9" x14ac:dyDescent="0.25">
      <c r="A3501" s="40" t="s">
        <v>363</v>
      </c>
      <c r="B3501" s="28">
        <v>3787</v>
      </c>
      <c r="C3501" s="28">
        <v>5670523</v>
      </c>
      <c r="D3501" s="28"/>
      <c r="E3501" s="41">
        <v>46159</v>
      </c>
      <c r="F3501" s="47">
        <v>0.35366898148148146</v>
      </c>
      <c r="G3501" s="44">
        <v>6.3</v>
      </c>
      <c r="H3501" s="43" t="s">
        <v>1360</v>
      </c>
      <c r="I3501" s="40" t="s">
        <v>1365</v>
      </c>
    </row>
    <row r="3502" spans="1:9" x14ac:dyDescent="0.25">
      <c r="A3502" s="40" t="s">
        <v>363</v>
      </c>
      <c r="B3502" s="28">
        <v>3787</v>
      </c>
      <c r="C3502" s="28">
        <v>5670523</v>
      </c>
      <c r="D3502" s="28"/>
      <c r="E3502" s="41">
        <v>46159</v>
      </c>
      <c r="F3502" s="47">
        <v>0.36333333333333334</v>
      </c>
      <c r="G3502" s="44">
        <v>6.3</v>
      </c>
      <c r="H3502" s="43" t="s">
        <v>1362</v>
      </c>
      <c r="I3502" s="40" t="s">
        <v>1365</v>
      </c>
    </row>
    <row r="3503" spans="1:9" x14ac:dyDescent="0.25">
      <c r="A3503" s="40" t="s">
        <v>363</v>
      </c>
      <c r="B3503" s="28">
        <v>3787</v>
      </c>
      <c r="C3503" s="28">
        <v>5671475</v>
      </c>
      <c r="D3503" s="28"/>
      <c r="E3503" s="41">
        <v>46159</v>
      </c>
      <c r="F3503" s="47">
        <v>0.5587847222222222</v>
      </c>
      <c r="G3503" s="42">
        <v>6.3</v>
      </c>
      <c r="H3503" s="40" t="s">
        <v>1360</v>
      </c>
      <c r="I3503" s="40" t="s">
        <v>1365</v>
      </c>
    </row>
    <row r="3504" spans="1:9" x14ac:dyDescent="0.25">
      <c r="A3504" s="40" t="s">
        <v>363</v>
      </c>
      <c r="B3504" s="28">
        <v>3787</v>
      </c>
      <c r="C3504" s="28" t="s">
        <v>35</v>
      </c>
      <c r="D3504" s="28" t="s">
        <v>38</v>
      </c>
      <c r="E3504" s="41">
        <v>46159</v>
      </c>
      <c r="F3504" s="47">
        <v>0.82017361111111109</v>
      </c>
      <c r="G3504" s="42">
        <v>6.3</v>
      </c>
      <c r="H3504" s="40" t="s">
        <v>1366</v>
      </c>
      <c r="I3504" s="40" t="s">
        <v>1365</v>
      </c>
    </row>
    <row r="3505" spans="1:9" x14ac:dyDescent="0.25">
      <c r="A3505" s="40" t="s">
        <v>301</v>
      </c>
      <c r="B3505" s="28">
        <v>3799</v>
      </c>
      <c r="C3505" s="28" t="s">
        <v>1023</v>
      </c>
      <c r="D3505" s="28"/>
      <c r="E3505" s="41">
        <v>46156</v>
      </c>
      <c r="F3505" s="47">
        <v>0.68906250000000002</v>
      </c>
      <c r="G3505" s="44">
        <v>6.3</v>
      </c>
      <c r="H3505" s="43" t="s">
        <v>1360</v>
      </c>
      <c r="I3505" s="40" t="s">
        <v>1361</v>
      </c>
    </row>
    <row r="3506" spans="1:9" x14ac:dyDescent="0.25">
      <c r="A3506" s="40" t="s">
        <v>301</v>
      </c>
      <c r="B3506" s="28">
        <v>3799</v>
      </c>
      <c r="C3506" s="28" t="s">
        <v>1023</v>
      </c>
      <c r="D3506" s="28"/>
      <c r="E3506" s="41">
        <v>46156</v>
      </c>
      <c r="F3506" s="47">
        <v>0.70461805555555557</v>
      </c>
      <c r="G3506" s="44">
        <v>6.3</v>
      </c>
      <c r="H3506" s="43" t="s">
        <v>1362</v>
      </c>
      <c r="I3506" s="40" t="s">
        <v>1361</v>
      </c>
    </row>
    <row r="3507" spans="1:9" x14ac:dyDescent="0.25">
      <c r="A3507" s="40" t="s">
        <v>301</v>
      </c>
      <c r="B3507" s="28">
        <v>3799</v>
      </c>
      <c r="C3507" s="28">
        <v>5668106</v>
      </c>
      <c r="D3507" s="28"/>
      <c r="E3507" s="41">
        <v>46156</v>
      </c>
      <c r="F3507" s="47">
        <v>0.75946759259259256</v>
      </c>
      <c r="G3507" s="44">
        <v>6.3</v>
      </c>
      <c r="H3507" s="43" t="s">
        <v>1363</v>
      </c>
      <c r="I3507" s="40" t="s">
        <v>1361</v>
      </c>
    </row>
    <row r="3508" spans="1:9" x14ac:dyDescent="0.25">
      <c r="A3508" s="40" t="s">
        <v>301</v>
      </c>
      <c r="B3508" s="28">
        <v>3799</v>
      </c>
      <c r="C3508" s="28">
        <v>5668106</v>
      </c>
      <c r="D3508" s="28"/>
      <c r="E3508" s="45">
        <v>46156</v>
      </c>
      <c r="F3508" s="48">
        <v>0.77489583333333334</v>
      </c>
      <c r="G3508" s="44">
        <v>6.3</v>
      </c>
      <c r="H3508" s="43" t="s">
        <v>1364</v>
      </c>
      <c r="I3508" s="40" t="s">
        <v>1361</v>
      </c>
    </row>
    <row r="3509" spans="1:9" x14ac:dyDescent="0.25">
      <c r="A3509" s="40" t="s">
        <v>301</v>
      </c>
      <c r="B3509" s="28">
        <v>3799</v>
      </c>
      <c r="C3509" s="28" t="s">
        <v>35</v>
      </c>
      <c r="D3509" s="28" t="s">
        <v>38</v>
      </c>
      <c r="E3509" s="41">
        <v>46158</v>
      </c>
      <c r="F3509" s="47">
        <v>0.76180555555555551</v>
      </c>
      <c r="G3509" s="44">
        <v>6.3</v>
      </c>
      <c r="H3509" s="43" t="s">
        <v>1363</v>
      </c>
      <c r="I3509" s="40" t="s">
        <v>1365</v>
      </c>
    </row>
    <row r="3510" spans="1:9" x14ac:dyDescent="0.25">
      <c r="A3510" s="40" t="s">
        <v>301</v>
      </c>
      <c r="B3510" s="28">
        <v>3799</v>
      </c>
      <c r="C3510" s="28" t="s">
        <v>35</v>
      </c>
      <c r="D3510" s="28" t="s">
        <v>38</v>
      </c>
      <c r="E3510" s="41">
        <v>46158</v>
      </c>
      <c r="F3510" s="47">
        <v>0.77197916666666666</v>
      </c>
      <c r="G3510" s="44">
        <v>6.3</v>
      </c>
      <c r="H3510" s="43" t="s">
        <v>1364</v>
      </c>
      <c r="I3510" s="40" t="s">
        <v>1365</v>
      </c>
    </row>
    <row r="3511" spans="1:9" x14ac:dyDescent="0.25">
      <c r="A3511" s="40" t="s">
        <v>295</v>
      </c>
      <c r="B3511" s="28">
        <v>3806</v>
      </c>
      <c r="C3511" s="28" t="s">
        <v>1024</v>
      </c>
      <c r="D3511" s="28"/>
      <c r="E3511" s="45">
        <v>46157</v>
      </c>
      <c r="F3511" s="48">
        <v>0.24054398148148148</v>
      </c>
      <c r="G3511" s="44">
        <v>6.3</v>
      </c>
      <c r="H3511" s="43" t="s">
        <v>1360</v>
      </c>
      <c r="I3511" s="40" t="s">
        <v>1361</v>
      </c>
    </row>
    <row r="3512" spans="1:9" x14ac:dyDescent="0.25">
      <c r="A3512" s="40" t="s">
        <v>295</v>
      </c>
      <c r="B3512" s="28">
        <v>3806</v>
      </c>
      <c r="C3512" s="28" t="s">
        <v>1025</v>
      </c>
      <c r="D3512" s="28"/>
      <c r="E3512" s="45">
        <v>46157</v>
      </c>
      <c r="F3512" s="48">
        <v>0.31047453703703703</v>
      </c>
      <c r="G3512" s="44">
        <v>6.3</v>
      </c>
      <c r="H3512" s="43" t="s">
        <v>1364</v>
      </c>
      <c r="I3512" s="40" t="s">
        <v>1361</v>
      </c>
    </row>
    <row r="3513" spans="1:9" x14ac:dyDescent="0.25">
      <c r="A3513" s="40" t="s">
        <v>295</v>
      </c>
      <c r="B3513" s="28">
        <v>3806</v>
      </c>
      <c r="C3513" s="28" t="s">
        <v>1026</v>
      </c>
      <c r="D3513" s="28"/>
      <c r="E3513" s="41">
        <v>46157</v>
      </c>
      <c r="F3513" s="47">
        <v>0.5814583333333333</v>
      </c>
      <c r="G3513" s="44">
        <v>6.3</v>
      </c>
      <c r="H3513" s="43" t="s">
        <v>1360</v>
      </c>
      <c r="I3513" s="40" t="s">
        <v>1361</v>
      </c>
    </row>
    <row r="3514" spans="1:9" x14ac:dyDescent="0.25">
      <c r="A3514" s="40" t="s">
        <v>286</v>
      </c>
      <c r="B3514" s="28">
        <v>3809</v>
      </c>
      <c r="C3514" s="28">
        <v>5662282</v>
      </c>
      <c r="D3514" s="28"/>
      <c r="E3514" s="41">
        <v>46153</v>
      </c>
      <c r="F3514" s="47">
        <v>0.37832175925925926</v>
      </c>
      <c r="G3514" s="44">
        <v>6.3</v>
      </c>
      <c r="H3514" s="43" t="s">
        <v>1360</v>
      </c>
      <c r="I3514" s="40" t="s">
        <v>1361</v>
      </c>
    </row>
    <row r="3515" spans="1:9" x14ac:dyDescent="0.25">
      <c r="A3515" s="40" t="s">
        <v>286</v>
      </c>
      <c r="B3515" s="28">
        <v>3809</v>
      </c>
      <c r="C3515" s="28">
        <v>5661663</v>
      </c>
      <c r="D3515" s="28" t="s">
        <v>37</v>
      </c>
      <c r="E3515" s="41">
        <v>46153</v>
      </c>
      <c r="F3515" s="47">
        <v>0.44839120370370372</v>
      </c>
      <c r="G3515" s="44">
        <v>6.3</v>
      </c>
      <c r="H3515" s="43" t="s">
        <v>1370</v>
      </c>
      <c r="I3515" s="40" t="s">
        <v>1361</v>
      </c>
    </row>
    <row r="3516" spans="1:9" x14ac:dyDescent="0.25">
      <c r="A3516" s="40" t="s">
        <v>286</v>
      </c>
      <c r="B3516" s="28">
        <v>3809</v>
      </c>
      <c r="C3516" s="28">
        <v>5661663</v>
      </c>
      <c r="D3516" s="28" t="s">
        <v>37</v>
      </c>
      <c r="E3516" s="41">
        <v>46153</v>
      </c>
      <c r="F3516" s="47">
        <v>0.45369212962962963</v>
      </c>
      <c r="G3516" s="44">
        <v>6.3</v>
      </c>
      <c r="H3516" s="43" t="s">
        <v>1364</v>
      </c>
      <c r="I3516" s="40" t="s">
        <v>1361</v>
      </c>
    </row>
    <row r="3517" spans="1:9" x14ac:dyDescent="0.25">
      <c r="A3517" s="40" t="s">
        <v>286</v>
      </c>
      <c r="B3517" s="28">
        <v>3809</v>
      </c>
      <c r="C3517" s="28" t="s">
        <v>1027</v>
      </c>
      <c r="D3517" s="28"/>
      <c r="E3517" s="41">
        <v>46154</v>
      </c>
      <c r="F3517" s="47">
        <v>0.35981481481481481</v>
      </c>
      <c r="G3517" s="44">
        <v>6.3</v>
      </c>
      <c r="H3517" s="43" t="s">
        <v>1360</v>
      </c>
      <c r="I3517" s="40" t="s">
        <v>1361</v>
      </c>
    </row>
    <row r="3518" spans="1:9" x14ac:dyDescent="0.25">
      <c r="A3518" s="40" t="s">
        <v>286</v>
      </c>
      <c r="B3518" s="28">
        <v>3809</v>
      </c>
      <c r="C3518" s="28" t="s">
        <v>1027</v>
      </c>
      <c r="D3518" s="28"/>
      <c r="E3518" s="45">
        <v>46154</v>
      </c>
      <c r="F3518" s="48">
        <v>0.37938657407407406</v>
      </c>
      <c r="G3518" s="44">
        <v>6.3</v>
      </c>
      <c r="H3518" s="43" t="s">
        <v>1362</v>
      </c>
      <c r="I3518" s="40" t="s">
        <v>1361</v>
      </c>
    </row>
    <row r="3519" spans="1:9" x14ac:dyDescent="0.25">
      <c r="A3519" s="40" t="s">
        <v>286</v>
      </c>
      <c r="B3519" s="28">
        <v>3809</v>
      </c>
      <c r="C3519" s="28">
        <v>5669361</v>
      </c>
      <c r="D3519" s="28"/>
      <c r="E3519" s="41">
        <v>46156</v>
      </c>
      <c r="F3519" s="47">
        <v>0.99873842592592588</v>
      </c>
      <c r="G3519" s="44">
        <v>6.3</v>
      </c>
      <c r="H3519" s="43" t="s">
        <v>1360</v>
      </c>
      <c r="I3519" s="40" t="s">
        <v>1361</v>
      </c>
    </row>
    <row r="3520" spans="1:9" x14ac:dyDescent="0.25">
      <c r="A3520" s="40" t="s">
        <v>286</v>
      </c>
      <c r="B3520" s="28">
        <v>3809</v>
      </c>
      <c r="C3520" s="28">
        <v>5669361</v>
      </c>
      <c r="D3520" s="28"/>
      <c r="E3520" s="41">
        <v>46157</v>
      </c>
      <c r="F3520" s="47">
        <v>6.4004629629629628E-3</v>
      </c>
      <c r="G3520" s="44">
        <v>6.3</v>
      </c>
      <c r="H3520" s="43" t="s">
        <v>1362</v>
      </c>
      <c r="I3520" s="40" t="s">
        <v>1361</v>
      </c>
    </row>
    <row r="3521" spans="1:9" x14ac:dyDescent="0.25">
      <c r="A3521" s="40" t="s">
        <v>286</v>
      </c>
      <c r="B3521" s="28">
        <v>3809</v>
      </c>
      <c r="C3521" s="28">
        <v>5668224</v>
      </c>
      <c r="D3521" s="28"/>
      <c r="E3521" s="45">
        <v>46157</v>
      </c>
      <c r="F3521" s="48">
        <v>0.17260416666666667</v>
      </c>
      <c r="G3521" s="44">
        <v>6.3</v>
      </c>
      <c r="H3521" s="43" t="s">
        <v>1363</v>
      </c>
      <c r="I3521" s="40" t="s">
        <v>1361</v>
      </c>
    </row>
    <row r="3522" spans="1:9" x14ac:dyDescent="0.25">
      <c r="A3522" s="40" t="s">
        <v>286</v>
      </c>
      <c r="B3522" s="28">
        <v>3809</v>
      </c>
      <c r="C3522" s="28">
        <v>5668224</v>
      </c>
      <c r="D3522" s="28"/>
      <c r="E3522" s="45">
        <v>46157</v>
      </c>
      <c r="F3522" s="48">
        <v>0.1776388888888889</v>
      </c>
      <c r="G3522" s="44">
        <v>6.3</v>
      </c>
      <c r="H3522" s="43" t="s">
        <v>1364</v>
      </c>
      <c r="I3522" s="40" t="s">
        <v>1361</v>
      </c>
    </row>
    <row r="3523" spans="1:9" x14ac:dyDescent="0.25">
      <c r="A3523" s="40" t="s">
        <v>286</v>
      </c>
      <c r="B3523" s="28">
        <v>3809</v>
      </c>
      <c r="C3523" s="28">
        <v>5669684</v>
      </c>
      <c r="D3523" s="28"/>
      <c r="E3523" s="41">
        <v>46157</v>
      </c>
      <c r="F3523" s="47">
        <v>0.45371527777777776</v>
      </c>
      <c r="G3523" s="44">
        <v>6.3</v>
      </c>
      <c r="H3523" s="43" t="s">
        <v>1360</v>
      </c>
      <c r="I3523" s="40" t="s">
        <v>1361</v>
      </c>
    </row>
    <row r="3524" spans="1:9" x14ac:dyDescent="0.25">
      <c r="A3524" s="40" t="s">
        <v>286</v>
      </c>
      <c r="B3524" s="28">
        <v>3809</v>
      </c>
      <c r="C3524" s="28">
        <v>5669684</v>
      </c>
      <c r="D3524" s="28"/>
      <c r="E3524" s="41">
        <v>46157</v>
      </c>
      <c r="F3524" s="47">
        <v>0.4632175925925926</v>
      </c>
      <c r="G3524" s="44">
        <v>6.3</v>
      </c>
      <c r="H3524" s="43" t="s">
        <v>1362</v>
      </c>
      <c r="I3524" s="40" t="s">
        <v>1361</v>
      </c>
    </row>
    <row r="3525" spans="1:9" x14ac:dyDescent="0.25">
      <c r="A3525" s="40" t="s">
        <v>291</v>
      </c>
      <c r="B3525" s="28">
        <v>3810</v>
      </c>
      <c r="C3525" s="28" t="s">
        <v>1028</v>
      </c>
      <c r="D3525" s="28"/>
      <c r="E3525" s="41">
        <v>46153</v>
      </c>
      <c r="F3525" s="47">
        <v>0.45505787037037038</v>
      </c>
      <c r="G3525" s="44">
        <v>6.3</v>
      </c>
      <c r="H3525" s="43" t="s">
        <v>1360</v>
      </c>
      <c r="I3525" s="40" t="s">
        <v>1361</v>
      </c>
    </row>
    <row r="3526" spans="1:9" x14ac:dyDescent="0.25">
      <c r="A3526" s="40" t="s">
        <v>291</v>
      </c>
      <c r="B3526" s="28">
        <v>3810</v>
      </c>
      <c r="C3526" s="28" t="s">
        <v>1028</v>
      </c>
      <c r="D3526" s="28"/>
      <c r="E3526" s="41">
        <v>46153</v>
      </c>
      <c r="F3526" s="47">
        <v>0.46531250000000002</v>
      </c>
      <c r="G3526" s="44">
        <v>6.3</v>
      </c>
      <c r="H3526" s="43" t="s">
        <v>1362</v>
      </c>
      <c r="I3526" s="40" t="s">
        <v>1361</v>
      </c>
    </row>
    <row r="3527" spans="1:9" x14ac:dyDescent="0.25">
      <c r="A3527" s="40" t="s">
        <v>291</v>
      </c>
      <c r="B3527" s="28">
        <v>3810</v>
      </c>
      <c r="C3527" s="28">
        <v>5669115</v>
      </c>
      <c r="D3527" s="28"/>
      <c r="E3527" s="41">
        <v>46156</v>
      </c>
      <c r="F3527" s="47">
        <v>0.87392361111111116</v>
      </c>
      <c r="G3527" s="44">
        <v>6.3</v>
      </c>
      <c r="H3527" s="43" t="s">
        <v>1360</v>
      </c>
      <c r="I3527" s="40" t="s">
        <v>1361</v>
      </c>
    </row>
    <row r="3528" spans="1:9" x14ac:dyDescent="0.25">
      <c r="A3528" s="40" t="s">
        <v>291</v>
      </c>
      <c r="B3528" s="28">
        <v>3810</v>
      </c>
      <c r="C3528" s="28">
        <v>5669115</v>
      </c>
      <c r="D3528" s="28"/>
      <c r="E3528" s="41">
        <v>46156</v>
      </c>
      <c r="F3528" s="47">
        <v>0.88078703703703709</v>
      </c>
      <c r="G3528" s="44">
        <v>6.3</v>
      </c>
      <c r="H3528" s="43" t="s">
        <v>1362</v>
      </c>
      <c r="I3528" s="40" t="s">
        <v>1361</v>
      </c>
    </row>
    <row r="3529" spans="1:9" x14ac:dyDescent="0.25">
      <c r="A3529" s="40" t="s">
        <v>291</v>
      </c>
      <c r="B3529" s="28">
        <v>3810</v>
      </c>
      <c r="C3529" s="28" t="s">
        <v>35</v>
      </c>
      <c r="D3529" s="28" t="s">
        <v>38</v>
      </c>
      <c r="E3529" s="41">
        <v>46156</v>
      </c>
      <c r="F3529" s="47">
        <v>0.91414351851851849</v>
      </c>
      <c r="G3529" s="44">
        <v>6.3</v>
      </c>
      <c r="H3529" s="43" t="s">
        <v>1363</v>
      </c>
      <c r="I3529" s="40" t="s">
        <v>1361</v>
      </c>
    </row>
    <row r="3530" spans="1:9" x14ac:dyDescent="0.25">
      <c r="A3530" s="40" t="s">
        <v>291</v>
      </c>
      <c r="B3530" s="28">
        <v>3810</v>
      </c>
      <c r="C3530" s="28">
        <v>5671221</v>
      </c>
      <c r="D3530" s="28"/>
      <c r="E3530" s="41">
        <v>46158</v>
      </c>
      <c r="F3530" s="47">
        <v>0.4020023148148148</v>
      </c>
      <c r="G3530" s="44">
        <v>6.3</v>
      </c>
      <c r="H3530" s="43" t="s">
        <v>1360</v>
      </c>
      <c r="I3530" s="40" t="s">
        <v>1365</v>
      </c>
    </row>
    <row r="3531" spans="1:9" x14ac:dyDescent="0.25">
      <c r="A3531" s="40" t="s">
        <v>291</v>
      </c>
      <c r="B3531" s="28">
        <v>3810</v>
      </c>
      <c r="C3531" s="28">
        <v>5671221</v>
      </c>
      <c r="D3531" s="28"/>
      <c r="E3531" s="41">
        <v>46158</v>
      </c>
      <c r="F3531" s="47">
        <v>0.41187499999999999</v>
      </c>
      <c r="G3531" s="42">
        <v>6.3</v>
      </c>
      <c r="H3531" s="40" t="s">
        <v>1362</v>
      </c>
      <c r="I3531" s="40" t="s">
        <v>1365</v>
      </c>
    </row>
    <row r="3532" spans="1:9" x14ac:dyDescent="0.25">
      <c r="A3532" s="40" t="s">
        <v>291</v>
      </c>
      <c r="B3532" s="28">
        <v>3810</v>
      </c>
      <c r="C3532" s="28" t="s">
        <v>35</v>
      </c>
      <c r="D3532" s="28" t="s">
        <v>38</v>
      </c>
      <c r="E3532" s="41">
        <v>46158</v>
      </c>
      <c r="F3532" s="47">
        <v>0.42527777777777775</v>
      </c>
      <c r="G3532" s="44">
        <v>6.3</v>
      </c>
      <c r="H3532" s="43" t="s">
        <v>1363</v>
      </c>
      <c r="I3532" s="40" t="s">
        <v>1365</v>
      </c>
    </row>
    <row r="3533" spans="1:9" x14ac:dyDescent="0.25">
      <c r="A3533" s="40" t="s">
        <v>291</v>
      </c>
      <c r="B3533" s="28">
        <v>3810</v>
      </c>
      <c r="C3533" s="28" t="s">
        <v>35</v>
      </c>
      <c r="D3533" s="28" t="s">
        <v>38</v>
      </c>
      <c r="E3533" s="41">
        <v>46158</v>
      </c>
      <c r="F3533" s="47">
        <v>0.4319560185185185</v>
      </c>
      <c r="G3533" s="44">
        <v>6.3</v>
      </c>
      <c r="H3533" s="43" t="s">
        <v>1364</v>
      </c>
      <c r="I3533" s="40" t="s">
        <v>1365</v>
      </c>
    </row>
    <row r="3534" spans="1:9" x14ac:dyDescent="0.25">
      <c r="A3534" s="40" t="s">
        <v>291</v>
      </c>
      <c r="B3534" s="28">
        <v>3810</v>
      </c>
      <c r="C3534" s="28" t="s">
        <v>1029</v>
      </c>
      <c r="D3534" s="28"/>
      <c r="E3534" s="41">
        <v>46158</v>
      </c>
      <c r="F3534" s="47">
        <v>0.49799768518518517</v>
      </c>
      <c r="G3534" s="44">
        <v>6.3</v>
      </c>
      <c r="H3534" s="43" t="s">
        <v>1360</v>
      </c>
      <c r="I3534" s="40" t="s">
        <v>1365</v>
      </c>
    </row>
    <row r="3535" spans="1:9" x14ac:dyDescent="0.25">
      <c r="A3535" s="40" t="s">
        <v>291</v>
      </c>
      <c r="B3535" s="28">
        <v>3810</v>
      </c>
      <c r="C3535" s="28" t="s">
        <v>35</v>
      </c>
      <c r="D3535" s="28" t="s">
        <v>38</v>
      </c>
      <c r="E3535" s="41">
        <v>46158</v>
      </c>
      <c r="F3535" s="47">
        <v>0.53605324074074079</v>
      </c>
      <c r="G3535" s="44">
        <v>6.3</v>
      </c>
      <c r="H3535" s="43" t="s">
        <v>1364</v>
      </c>
      <c r="I3535" s="40" t="s">
        <v>1365</v>
      </c>
    </row>
    <row r="3536" spans="1:9" x14ac:dyDescent="0.25">
      <c r="A3536" s="40" t="s">
        <v>291</v>
      </c>
      <c r="B3536" s="28">
        <v>3810</v>
      </c>
      <c r="C3536" s="28" t="s">
        <v>1030</v>
      </c>
      <c r="D3536" s="28"/>
      <c r="E3536" s="41">
        <v>46158</v>
      </c>
      <c r="F3536" s="47">
        <v>0.60341435185185188</v>
      </c>
      <c r="G3536" s="44">
        <v>6.3</v>
      </c>
      <c r="H3536" s="43" t="s">
        <v>1360</v>
      </c>
      <c r="I3536" s="40" t="s">
        <v>1365</v>
      </c>
    </row>
    <row r="3537" spans="1:9" x14ac:dyDescent="0.25">
      <c r="A3537" s="40" t="s">
        <v>291</v>
      </c>
      <c r="B3537" s="28">
        <v>3810</v>
      </c>
      <c r="C3537" s="28" t="s">
        <v>1030</v>
      </c>
      <c r="D3537" s="28"/>
      <c r="E3537" s="41">
        <v>46158</v>
      </c>
      <c r="F3537" s="47">
        <v>0.61613425925925924</v>
      </c>
      <c r="G3537" s="44">
        <v>6.3</v>
      </c>
      <c r="H3537" s="43" t="s">
        <v>1362</v>
      </c>
      <c r="I3537" s="40" t="s">
        <v>1365</v>
      </c>
    </row>
    <row r="3538" spans="1:9" x14ac:dyDescent="0.25">
      <c r="A3538" s="40" t="s">
        <v>291</v>
      </c>
      <c r="B3538" s="28">
        <v>3810</v>
      </c>
      <c r="C3538" s="28" t="s">
        <v>1031</v>
      </c>
      <c r="D3538" s="28"/>
      <c r="E3538" s="41">
        <v>46158</v>
      </c>
      <c r="F3538" s="47">
        <v>0.71902777777777782</v>
      </c>
      <c r="G3538" s="44">
        <v>6.3</v>
      </c>
      <c r="H3538" s="43" t="s">
        <v>1360</v>
      </c>
      <c r="I3538" s="40" t="s">
        <v>1365</v>
      </c>
    </row>
    <row r="3539" spans="1:9" x14ac:dyDescent="0.25">
      <c r="A3539" s="40" t="s">
        <v>291</v>
      </c>
      <c r="B3539" s="28">
        <v>3810</v>
      </c>
      <c r="C3539" s="28" t="s">
        <v>1031</v>
      </c>
      <c r="D3539" s="28"/>
      <c r="E3539" s="41">
        <v>46158</v>
      </c>
      <c r="F3539" s="47">
        <v>0.72607638888888892</v>
      </c>
      <c r="G3539" s="44">
        <v>6.3</v>
      </c>
      <c r="H3539" s="43" t="s">
        <v>1368</v>
      </c>
      <c r="I3539" s="40" t="s">
        <v>1365</v>
      </c>
    </row>
    <row r="3540" spans="1:9" x14ac:dyDescent="0.25">
      <c r="A3540" s="40" t="s">
        <v>291</v>
      </c>
      <c r="B3540" s="28">
        <v>3810</v>
      </c>
      <c r="C3540" s="28" t="s">
        <v>35</v>
      </c>
      <c r="D3540" s="28" t="s">
        <v>38</v>
      </c>
      <c r="E3540" s="41">
        <v>46158</v>
      </c>
      <c r="F3540" s="47">
        <v>0.74787037037037041</v>
      </c>
      <c r="G3540" s="44">
        <v>6.3</v>
      </c>
      <c r="H3540" s="43" t="s">
        <v>1364</v>
      </c>
      <c r="I3540" s="40" t="s">
        <v>1365</v>
      </c>
    </row>
    <row r="3541" spans="1:9" x14ac:dyDescent="0.25">
      <c r="A3541" s="40" t="s">
        <v>291</v>
      </c>
      <c r="B3541" s="28">
        <v>3810</v>
      </c>
      <c r="C3541" s="28">
        <v>5672334</v>
      </c>
      <c r="D3541" s="28" t="s">
        <v>36</v>
      </c>
      <c r="E3541" s="45">
        <v>46159</v>
      </c>
      <c r="F3541" s="48">
        <v>0.39456018518518521</v>
      </c>
      <c r="G3541" s="44">
        <v>6.3</v>
      </c>
      <c r="H3541" s="43" t="s">
        <v>1360</v>
      </c>
      <c r="I3541" s="40" t="s">
        <v>1365</v>
      </c>
    </row>
    <row r="3542" spans="1:9" x14ac:dyDescent="0.25">
      <c r="A3542" s="40" t="s">
        <v>291</v>
      </c>
      <c r="B3542" s="28">
        <v>3810</v>
      </c>
      <c r="C3542" s="28">
        <v>5672334</v>
      </c>
      <c r="D3542" s="28" t="s">
        <v>36</v>
      </c>
      <c r="E3542" s="41">
        <v>46159</v>
      </c>
      <c r="F3542" s="47">
        <v>0.4011689814814815</v>
      </c>
      <c r="G3542" s="44">
        <v>6.3</v>
      </c>
      <c r="H3542" s="43" t="s">
        <v>1362</v>
      </c>
      <c r="I3542" s="40" t="s">
        <v>1365</v>
      </c>
    </row>
    <row r="3543" spans="1:9" x14ac:dyDescent="0.25">
      <c r="A3543" s="40" t="s">
        <v>291</v>
      </c>
      <c r="B3543" s="28">
        <v>3810</v>
      </c>
      <c r="C3543" s="28">
        <v>5672608</v>
      </c>
      <c r="D3543" s="28" t="s">
        <v>37</v>
      </c>
      <c r="E3543" s="41">
        <v>46159</v>
      </c>
      <c r="F3543" s="47">
        <v>0.60122685185185187</v>
      </c>
      <c r="G3543" s="44">
        <v>6.3</v>
      </c>
      <c r="H3543" s="43" t="s">
        <v>1360</v>
      </c>
      <c r="I3543" s="40" t="s">
        <v>1365</v>
      </c>
    </row>
    <row r="3544" spans="1:9" x14ac:dyDescent="0.25">
      <c r="A3544" s="40" t="s">
        <v>260</v>
      </c>
      <c r="B3544" s="28">
        <v>3812</v>
      </c>
      <c r="C3544" s="28">
        <v>5662130</v>
      </c>
      <c r="D3544" s="28"/>
      <c r="E3544" s="41">
        <v>46153</v>
      </c>
      <c r="F3544" s="47">
        <v>1.0405092592592593E-2</v>
      </c>
      <c r="G3544" s="44">
        <v>6.3</v>
      </c>
      <c r="H3544" s="43" t="s">
        <v>1364</v>
      </c>
      <c r="I3544" s="40" t="s">
        <v>1361</v>
      </c>
    </row>
    <row r="3545" spans="1:9" x14ac:dyDescent="0.25">
      <c r="A3545" s="40" t="s">
        <v>260</v>
      </c>
      <c r="B3545" s="28">
        <v>3812</v>
      </c>
      <c r="C3545" s="28">
        <v>5668091</v>
      </c>
      <c r="D3545" s="28"/>
      <c r="E3545" s="41">
        <v>46156</v>
      </c>
      <c r="F3545" s="47">
        <v>0.45655092592592594</v>
      </c>
      <c r="G3545" s="44">
        <v>6.3</v>
      </c>
      <c r="H3545" s="43" t="s">
        <v>1360</v>
      </c>
      <c r="I3545" s="40" t="s">
        <v>1361</v>
      </c>
    </row>
    <row r="3546" spans="1:9" x14ac:dyDescent="0.25">
      <c r="A3546" s="40" t="s">
        <v>260</v>
      </c>
      <c r="B3546" s="28">
        <v>3812</v>
      </c>
      <c r="C3546" s="28">
        <v>5668091</v>
      </c>
      <c r="D3546" s="28"/>
      <c r="E3546" s="41">
        <v>46156</v>
      </c>
      <c r="F3546" s="47">
        <v>0.46709490740740739</v>
      </c>
      <c r="G3546" s="44">
        <v>6.3</v>
      </c>
      <c r="H3546" s="43" t="s">
        <v>1362</v>
      </c>
      <c r="I3546" s="40" t="s">
        <v>1361</v>
      </c>
    </row>
    <row r="3547" spans="1:9" x14ac:dyDescent="0.25">
      <c r="A3547" s="40" t="s">
        <v>260</v>
      </c>
      <c r="B3547" s="28">
        <v>3812</v>
      </c>
      <c r="C3547" s="28">
        <v>5669558</v>
      </c>
      <c r="D3547" s="28"/>
      <c r="E3547" s="41">
        <v>46157</v>
      </c>
      <c r="F3547" s="47">
        <v>0.26204861111111111</v>
      </c>
      <c r="G3547" s="44">
        <v>6.3</v>
      </c>
      <c r="H3547" s="43" t="s">
        <v>1360</v>
      </c>
      <c r="I3547" s="40" t="s">
        <v>1361</v>
      </c>
    </row>
    <row r="3548" spans="1:9" x14ac:dyDescent="0.25">
      <c r="A3548" s="40" t="s">
        <v>260</v>
      </c>
      <c r="B3548" s="28">
        <v>3812</v>
      </c>
      <c r="C3548" s="28">
        <v>5669558</v>
      </c>
      <c r="D3548" s="28"/>
      <c r="E3548" s="41">
        <v>46157</v>
      </c>
      <c r="F3548" s="47">
        <v>0.27305555555555555</v>
      </c>
      <c r="G3548" s="44">
        <v>6.3</v>
      </c>
      <c r="H3548" s="43" t="s">
        <v>1362</v>
      </c>
      <c r="I3548" s="40" t="s">
        <v>1361</v>
      </c>
    </row>
    <row r="3549" spans="1:9" x14ac:dyDescent="0.25">
      <c r="A3549" s="40" t="s">
        <v>260</v>
      </c>
      <c r="B3549" s="28">
        <v>3812</v>
      </c>
      <c r="C3549" s="28">
        <v>5669499</v>
      </c>
      <c r="D3549" s="28"/>
      <c r="E3549" s="41">
        <v>46157</v>
      </c>
      <c r="F3549" s="47">
        <v>0.39189814814814816</v>
      </c>
      <c r="G3549" s="44">
        <v>6.3</v>
      </c>
      <c r="H3549" s="43" t="s">
        <v>1363</v>
      </c>
      <c r="I3549" s="40" t="s">
        <v>1361</v>
      </c>
    </row>
    <row r="3550" spans="1:9" x14ac:dyDescent="0.25">
      <c r="A3550" s="40" t="s">
        <v>260</v>
      </c>
      <c r="B3550" s="28">
        <v>3812</v>
      </c>
      <c r="C3550" s="28">
        <v>5669499</v>
      </c>
      <c r="D3550" s="28"/>
      <c r="E3550" s="41">
        <v>46157</v>
      </c>
      <c r="F3550" s="47">
        <v>0.39940972222222221</v>
      </c>
      <c r="G3550" s="44">
        <v>6.3</v>
      </c>
      <c r="H3550" s="43" t="s">
        <v>1364</v>
      </c>
      <c r="I3550" s="40" t="s">
        <v>1361</v>
      </c>
    </row>
    <row r="3551" spans="1:9" x14ac:dyDescent="0.25">
      <c r="A3551" s="40" t="s">
        <v>260</v>
      </c>
      <c r="B3551" s="28">
        <v>3812</v>
      </c>
      <c r="C3551" s="28" t="s">
        <v>1032</v>
      </c>
      <c r="D3551" s="28"/>
      <c r="E3551" s="41">
        <v>46157</v>
      </c>
      <c r="F3551" s="47">
        <v>0.97081018518518514</v>
      </c>
      <c r="G3551" s="44">
        <v>6.3</v>
      </c>
      <c r="H3551" s="43" t="s">
        <v>1360</v>
      </c>
      <c r="I3551" s="40" t="s">
        <v>1361</v>
      </c>
    </row>
    <row r="3552" spans="1:9" x14ac:dyDescent="0.25">
      <c r="A3552" s="40" t="s">
        <v>260</v>
      </c>
      <c r="B3552" s="28">
        <v>3812</v>
      </c>
      <c r="C3552" s="28" t="s">
        <v>1032</v>
      </c>
      <c r="D3552" s="28"/>
      <c r="E3552" s="45">
        <v>46157</v>
      </c>
      <c r="F3552" s="48">
        <v>0.97972222222222227</v>
      </c>
      <c r="G3552" s="44">
        <v>6.3</v>
      </c>
      <c r="H3552" s="43" t="s">
        <v>1362</v>
      </c>
      <c r="I3552" s="40" t="s">
        <v>1361</v>
      </c>
    </row>
    <row r="3553" spans="1:9" x14ac:dyDescent="0.25">
      <c r="A3553" s="40" t="s">
        <v>260</v>
      </c>
      <c r="B3553" s="28">
        <v>3812</v>
      </c>
      <c r="C3553" s="28">
        <v>5671753</v>
      </c>
      <c r="D3553" s="28"/>
      <c r="E3553" s="41">
        <v>46158</v>
      </c>
      <c r="F3553" s="47">
        <v>0.86662037037037032</v>
      </c>
      <c r="G3553" s="44">
        <v>6.3</v>
      </c>
      <c r="H3553" s="43" t="s">
        <v>1360</v>
      </c>
      <c r="I3553" s="40" t="s">
        <v>1365</v>
      </c>
    </row>
    <row r="3554" spans="1:9" x14ac:dyDescent="0.25">
      <c r="A3554" s="40" t="s">
        <v>260</v>
      </c>
      <c r="B3554" s="28">
        <v>3812</v>
      </c>
      <c r="C3554" s="28">
        <v>5671753</v>
      </c>
      <c r="D3554" s="28"/>
      <c r="E3554" s="41">
        <v>46158</v>
      </c>
      <c r="F3554" s="47">
        <v>0.87459490740740742</v>
      </c>
      <c r="G3554" s="44">
        <v>6.3</v>
      </c>
      <c r="H3554" s="43" t="s">
        <v>1362</v>
      </c>
      <c r="I3554" s="40" t="s">
        <v>1365</v>
      </c>
    </row>
    <row r="3555" spans="1:9" x14ac:dyDescent="0.25">
      <c r="A3555" s="40" t="s">
        <v>292</v>
      </c>
      <c r="B3555" s="28">
        <v>3815</v>
      </c>
      <c r="C3555" s="28">
        <v>5661093</v>
      </c>
      <c r="D3555" s="28"/>
      <c r="E3555" s="41">
        <v>46153</v>
      </c>
      <c r="F3555" s="47">
        <v>0.59787037037037039</v>
      </c>
      <c r="G3555" s="44">
        <v>6.3</v>
      </c>
      <c r="H3555" s="43" t="s">
        <v>1360</v>
      </c>
      <c r="I3555" s="40" t="s">
        <v>1361</v>
      </c>
    </row>
    <row r="3556" spans="1:9" x14ac:dyDescent="0.25">
      <c r="A3556" s="40" t="s">
        <v>292</v>
      </c>
      <c r="B3556" s="28">
        <v>3815</v>
      </c>
      <c r="C3556" s="28">
        <v>5665416</v>
      </c>
      <c r="D3556" s="28"/>
      <c r="E3556" s="41">
        <v>46154</v>
      </c>
      <c r="F3556" s="47">
        <v>0.7896643518518518</v>
      </c>
      <c r="G3556" s="44">
        <v>6.3</v>
      </c>
      <c r="H3556" s="43" t="s">
        <v>1360</v>
      </c>
      <c r="I3556" s="40" t="s">
        <v>1361</v>
      </c>
    </row>
    <row r="3557" spans="1:9" x14ac:dyDescent="0.25">
      <c r="A3557" s="40" t="s">
        <v>292</v>
      </c>
      <c r="B3557" s="28">
        <v>3815</v>
      </c>
      <c r="C3557" s="28">
        <v>5665416</v>
      </c>
      <c r="D3557" s="28"/>
      <c r="E3557" s="41">
        <v>46154</v>
      </c>
      <c r="F3557" s="47">
        <v>0.80592592592592593</v>
      </c>
      <c r="G3557" s="44">
        <v>6.3</v>
      </c>
      <c r="H3557" s="43" t="s">
        <v>1362</v>
      </c>
      <c r="I3557" s="40" t="s">
        <v>1361</v>
      </c>
    </row>
    <row r="3558" spans="1:9" x14ac:dyDescent="0.25">
      <c r="A3558" s="40" t="s">
        <v>292</v>
      </c>
      <c r="B3558" s="28">
        <v>3815</v>
      </c>
      <c r="C3558" s="28" t="s">
        <v>35</v>
      </c>
      <c r="D3558" s="28" t="s">
        <v>38</v>
      </c>
      <c r="E3558" s="41">
        <v>46154</v>
      </c>
      <c r="F3558" s="47">
        <v>0.8245717592592593</v>
      </c>
      <c r="G3558" s="44">
        <v>6.3</v>
      </c>
      <c r="H3558" s="43" t="s">
        <v>1363</v>
      </c>
      <c r="I3558" s="40" t="s">
        <v>1361</v>
      </c>
    </row>
    <row r="3559" spans="1:9" x14ac:dyDescent="0.25">
      <c r="A3559" s="40" t="s">
        <v>292</v>
      </c>
      <c r="B3559" s="28">
        <v>3815</v>
      </c>
      <c r="C3559" s="28" t="s">
        <v>1033</v>
      </c>
      <c r="D3559" s="28"/>
      <c r="E3559" s="41">
        <v>46154</v>
      </c>
      <c r="F3559" s="47">
        <v>0.92319444444444443</v>
      </c>
      <c r="G3559" s="44">
        <v>6.3</v>
      </c>
      <c r="H3559" s="43" t="s">
        <v>1360</v>
      </c>
      <c r="I3559" s="40" t="s">
        <v>1361</v>
      </c>
    </row>
    <row r="3560" spans="1:9" x14ac:dyDescent="0.25">
      <c r="A3560" s="40" t="s">
        <v>292</v>
      </c>
      <c r="B3560" s="28">
        <v>3815</v>
      </c>
      <c r="C3560" s="28" t="s">
        <v>1033</v>
      </c>
      <c r="D3560" s="28"/>
      <c r="E3560" s="45">
        <v>46154</v>
      </c>
      <c r="F3560" s="48">
        <v>0.92994212962962963</v>
      </c>
      <c r="G3560" s="44">
        <v>6.3</v>
      </c>
      <c r="H3560" s="43" t="s">
        <v>1362</v>
      </c>
      <c r="I3560" s="40" t="s">
        <v>1361</v>
      </c>
    </row>
    <row r="3561" spans="1:9" x14ac:dyDescent="0.25">
      <c r="A3561" s="40" t="s">
        <v>292</v>
      </c>
      <c r="B3561" s="28">
        <v>3815</v>
      </c>
      <c r="C3561" s="28" t="s">
        <v>35</v>
      </c>
      <c r="D3561" s="28" t="s">
        <v>38</v>
      </c>
      <c r="E3561" s="41">
        <v>46154</v>
      </c>
      <c r="F3561" s="47">
        <v>0.95010416666666664</v>
      </c>
      <c r="G3561" s="44">
        <v>6.3</v>
      </c>
      <c r="H3561" s="43" t="s">
        <v>1363</v>
      </c>
      <c r="I3561" s="40" t="s">
        <v>1361</v>
      </c>
    </row>
    <row r="3562" spans="1:9" x14ac:dyDescent="0.25">
      <c r="A3562" s="40" t="s">
        <v>292</v>
      </c>
      <c r="B3562" s="28">
        <v>3815</v>
      </c>
      <c r="C3562" s="28" t="s">
        <v>1034</v>
      </c>
      <c r="D3562" s="28"/>
      <c r="E3562" s="45">
        <v>46155</v>
      </c>
      <c r="F3562" s="48">
        <v>1.6967592592592593E-2</v>
      </c>
      <c r="G3562" s="44">
        <v>6.3</v>
      </c>
      <c r="H3562" s="43" t="s">
        <v>1360</v>
      </c>
      <c r="I3562" s="40" t="s">
        <v>1361</v>
      </c>
    </row>
    <row r="3563" spans="1:9" x14ac:dyDescent="0.25">
      <c r="A3563" s="40" t="s">
        <v>292</v>
      </c>
      <c r="B3563" s="28">
        <v>3815</v>
      </c>
      <c r="C3563" s="28" t="s">
        <v>1034</v>
      </c>
      <c r="D3563" s="28"/>
      <c r="E3563" s="41">
        <v>46155</v>
      </c>
      <c r="F3563" s="47">
        <v>2.4432870370370369E-2</v>
      </c>
      <c r="G3563" s="44">
        <v>6.3</v>
      </c>
      <c r="H3563" s="43" t="s">
        <v>1362</v>
      </c>
      <c r="I3563" s="40" t="s">
        <v>1361</v>
      </c>
    </row>
    <row r="3564" spans="1:9" x14ac:dyDescent="0.25">
      <c r="A3564" s="40" t="s">
        <v>292</v>
      </c>
      <c r="B3564" s="28">
        <v>3815</v>
      </c>
      <c r="C3564" s="28" t="s">
        <v>1035</v>
      </c>
      <c r="D3564" s="28"/>
      <c r="E3564" s="41">
        <v>46156</v>
      </c>
      <c r="F3564" s="47">
        <v>0.56674768518518515</v>
      </c>
      <c r="G3564" s="44">
        <v>6.3</v>
      </c>
      <c r="H3564" s="43" t="s">
        <v>1360</v>
      </c>
      <c r="I3564" s="40" t="s">
        <v>1361</v>
      </c>
    </row>
    <row r="3565" spans="1:9" x14ac:dyDescent="0.25">
      <c r="A3565" s="40" t="s">
        <v>292</v>
      </c>
      <c r="B3565" s="28">
        <v>3815</v>
      </c>
      <c r="C3565" s="28" t="s">
        <v>1035</v>
      </c>
      <c r="D3565" s="28"/>
      <c r="E3565" s="41">
        <v>46156</v>
      </c>
      <c r="F3565" s="47">
        <v>0.575775462962963</v>
      </c>
      <c r="G3565" s="44">
        <v>6.3</v>
      </c>
      <c r="H3565" s="43" t="s">
        <v>1362</v>
      </c>
      <c r="I3565" s="40" t="s">
        <v>1361</v>
      </c>
    </row>
    <row r="3566" spans="1:9" x14ac:dyDescent="0.25">
      <c r="A3566" s="40" t="s">
        <v>292</v>
      </c>
      <c r="B3566" s="28">
        <v>3815</v>
      </c>
      <c r="C3566" s="28" t="s">
        <v>1036</v>
      </c>
      <c r="D3566" s="28"/>
      <c r="E3566" s="41">
        <v>46157</v>
      </c>
      <c r="F3566" s="47">
        <v>0.6074074074074074</v>
      </c>
      <c r="G3566" s="44">
        <v>6.3</v>
      </c>
      <c r="H3566" s="43" t="s">
        <v>1360</v>
      </c>
      <c r="I3566" s="40" t="s">
        <v>1361</v>
      </c>
    </row>
    <row r="3567" spans="1:9" x14ac:dyDescent="0.25">
      <c r="A3567" s="40" t="s">
        <v>292</v>
      </c>
      <c r="B3567" s="28">
        <v>3815</v>
      </c>
      <c r="C3567" s="28" t="s">
        <v>1036</v>
      </c>
      <c r="D3567" s="28"/>
      <c r="E3567" s="41">
        <v>46157</v>
      </c>
      <c r="F3567" s="47">
        <v>0.61934027777777778</v>
      </c>
      <c r="G3567" s="44">
        <v>6.3</v>
      </c>
      <c r="H3567" s="43" t="s">
        <v>1368</v>
      </c>
      <c r="I3567" s="40" t="s">
        <v>1361</v>
      </c>
    </row>
    <row r="3568" spans="1:9" x14ac:dyDescent="0.25">
      <c r="A3568" s="40" t="s">
        <v>292</v>
      </c>
      <c r="B3568" s="28">
        <v>3815</v>
      </c>
      <c r="C3568" s="28" t="s">
        <v>35</v>
      </c>
      <c r="D3568" s="28" t="s">
        <v>38</v>
      </c>
      <c r="E3568" s="41">
        <v>46157</v>
      </c>
      <c r="F3568" s="47">
        <v>0.64923611111111112</v>
      </c>
      <c r="G3568" s="44">
        <v>6.3</v>
      </c>
      <c r="H3568" s="43" t="s">
        <v>1369</v>
      </c>
      <c r="I3568" s="40" t="s">
        <v>1361</v>
      </c>
    </row>
    <row r="3569" spans="1:9" x14ac:dyDescent="0.25">
      <c r="A3569" s="40" t="s">
        <v>292</v>
      </c>
      <c r="B3569" s="28">
        <v>3815</v>
      </c>
      <c r="C3569" s="28" t="s">
        <v>1037</v>
      </c>
      <c r="D3569" s="28"/>
      <c r="E3569" s="41">
        <v>46157</v>
      </c>
      <c r="F3569" s="47">
        <v>0.79374999999999996</v>
      </c>
      <c r="G3569" s="42">
        <v>6.3</v>
      </c>
      <c r="H3569" s="40" t="s">
        <v>1360</v>
      </c>
      <c r="I3569" s="40" t="s">
        <v>1361</v>
      </c>
    </row>
    <row r="3570" spans="1:9" x14ac:dyDescent="0.25">
      <c r="A3570" s="40" t="s">
        <v>292</v>
      </c>
      <c r="B3570" s="28">
        <v>3815</v>
      </c>
      <c r="C3570" s="28" t="s">
        <v>1037</v>
      </c>
      <c r="D3570" s="28"/>
      <c r="E3570" s="41">
        <v>46157</v>
      </c>
      <c r="F3570" s="47">
        <v>0.81295138888888885</v>
      </c>
      <c r="G3570" s="42">
        <v>6.3</v>
      </c>
      <c r="H3570" s="40" t="s">
        <v>1362</v>
      </c>
      <c r="I3570" s="40" t="s">
        <v>1361</v>
      </c>
    </row>
    <row r="3571" spans="1:9" x14ac:dyDescent="0.25">
      <c r="A3571" s="40" t="s">
        <v>292</v>
      </c>
      <c r="B3571" s="28">
        <v>3815</v>
      </c>
      <c r="C3571" s="28">
        <v>5671112</v>
      </c>
      <c r="D3571" s="28"/>
      <c r="E3571" s="41">
        <v>46157</v>
      </c>
      <c r="F3571" s="47">
        <v>0.9981944444444445</v>
      </c>
      <c r="G3571" s="42">
        <v>6.3</v>
      </c>
      <c r="H3571" s="40" t="s">
        <v>1360</v>
      </c>
      <c r="I3571" s="40" t="s">
        <v>1365</v>
      </c>
    </row>
    <row r="3572" spans="1:9" x14ac:dyDescent="0.25">
      <c r="A3572" s="40" t="s">
        <v>292</v>
      </c>
      <c r="B3572" s="28">
        <v>3815</v>
      </c>
      <c r="C3572" s="28">
        <v>5671112</v>
      </c>
      <c r="D3572" s="28"/>
      <c r="E3572" s="41">
        <v>46158</v>
      </c>
      <c r="F3572" s="47">
        <v>3.9467592592592592E-3</v>
      </c>
      <c r="G3572" s="44">
        <v>6.3</v>
      </c>
      <c r="H3572" s="43" t="s">
        <v>1368</v>
      </c>
      <c r="I3572" s="40" t="s">
        <v>1365</v>
      </c>
    </row>
    <row r="3573" spans="1:9" x14ac:dyDescent="0.25">
      <c r="A3573" s="40" t="s">
        <v>292</v>
      </c>
      <c r="B3573" s="28">
        <v>3815</v>
      </c>
      <c r="C3573" s="28" t="s">
        <v>35</v>
      </c>
      <c r="D3573" s="28" t="s">
        <v>38</v>
      </c>
      <c r="E3573" s="41">
        <v>46158</v>
      </c>
      <c r="F3573" s="47">
        <v>2.2442129629629631E-2</v>
      </c>
      <c r="G3573" s="44">
        <v>6.3</v>
      </c>
      <c r="H3573" s="43" t="s">
        <v>1369</v>
      </c>
      <c r="I3573" s="40" t="s">
        <v>1365</v>
      </c>
    </row>
    <row r="3574" spans="1:9" x14ac:dyDescent="0.25">
      <c r="A3574" s="40" t="s">
        <v>303</v>
      </c>
      <c r="B3574" s="28">
        <v>3816</v>
      </c>
      <c r="C3574" s="28">
        <v>5666351</v>
      </c>
      <c r="D3574" s="28"/>
      <c r="E3574" s="41">
        <v>46156</v>
      </c>
      <c r="F3574" s="47">
        <v>8.6689814814814806E-3</v>
      </c>
      <c r="G3574" s="44">
        <v>6.3</v>
      </c>
      <c r="H3574" s="43" t="s">
        <v>1360</v>
      </c>
      <c r="I3574" s="40" t="s">
        <v>1361</v>
      </c>
    </row>
    <row r="3575" spans="1:9" x14ac:dyDescent="0.25">
      <c r="A3575" s="40" t="s">
        <v>303</v>
      </c>
      <c r="B3575" s="28">
        <v>3816</v>
      </c>
      <c r="C3575" s="28">
        <v>5666351</v>
      </c>
      <c r="D3575" s="28"/>
      <c r="E3575" s="41">
        <v>46156</v>
      </c>
      <c r="F3575" s="47">
        <v>1.5914351851851853E-2</v>
      </c>
      <c r="G3575" s="44">
        <v>6.3</v>
      </c>
      <c r="H3575" s="43" t="s">
        <v>1362</v>
      </c>
      <c r="I3575" s="40" t="s">
        <v>1361</v>
      </c>
    </row>
    <row r="3576" spans="1:9" x14ac:dyDescent="0.25">
      <c r="A3576" s="40" t="s">
        <v>303</v>
      </c>
      <c r="B3576" s="28">
        <v>3816</v>
      </c>
      <c r="C3576" s="28" t="s">
        <v>35</v>
      </c>
      <c r="D3576" s="28" t="s">
        <v>38</v>
      </c>
      <c r="E3576" s="41">
        <v>46156</v>
      </c>
      <c r="F3576" s="47">
        <v>2.9780092592592594E-2</v>
      </c>
      <c r="G3576" s="44">
        <v>6.3</v>
      </c>
      <c r="H3576" s="43" t="s">
        <v>1363</v>
      </c>
      <c r="I3576" s="40" t="s">
        <v>1361</v>
      </c>
    </row>
    <row r="3577" spans="1:9" x14ac:dyDescent="0.25">
      <c r="A3577" s="40" t="s">
        <v>303</v>
      </c>
      <c r="B3577" s="28">
        <v>3816</v>
      </c>
      <c r="C3577" s="28" t="s">
        <v>35</v>
      </c>
      <c r="D3577" s="28" t="s">
        <v>38</v>
      </c>
      <c r="E3577" s="41">
        <v>46156</v>
      </c>
      <c r="F3577" s="47">
        <v>3.4675925925925923E-2</v>
      </c>
      <c r="G3577" s="44">
        <v>6.3</v>
      </c>
      <c r="H3577" s="43" t="s">
        <v>1364</v>
      </c>
      <c r="I3577" s="40" t="s">
        <v>1361</v>
      </c>
    </row>
    <row r="3578" spans="1:9" x14ac:dyDescent="0.25">
      <c r="A3578" s="40" t="s">
        <v>303</v>
      </c>
      <c r="B3578" s="28">
        <v>3816</v>
      </c>
      <c r="C3578" s="28">
        <v>5672446</v>
      </c>
      <c r="D3578" s="28" t="s">
        <v>37</v>
      </c>
      <c r="E3578" s="41">
        <v>46159</v>
      </c>
      <c r="F3578" s="47">
        <v>0.67636574074074074</v>
      </c>
      <c r="G3578" s="44">
        <v>6.3</v>
      </c>
      <c r="H3578" s="43" t="s">
        <v>1360</v>
      </c>
      <c r="I3578" s="40" t="s">
        <v>1365</v>
      </c>
    </row>
    <row r="3579" spans="1:9" x14ac:dyDescent="0.25">
      <c r="A3579" s="40" t="s">
        <v>303</v>
      </c>
      <c r="B3579" s="28">
        <v>3816</v>
      </c>
      <c r="C3579" s="28">
        <v>5672446</v>
      </c>
      <c r="D3579" s="28" t="s">
        <v>37</v>
      </c>
      <c r="E3579" s="41">
        <v>46159</v>
      </c>
      <c r="F3579" s="47">
        <v>0.68311342592592594</v>
      </c>
      <c r="G3579" s="44">
        <v>6.3</v>
      </c>
      <c r="H3579" s="43" t="s">
        <v>1362</v>
      </c>
      <c r="I3579" s="40" t="s">
        <v>1365</v>
      </c>
    </row>
    <row r="3580" spans="1:9" x14ac:dyDescent="0.25">
      <c r="A3580" s="40" t="s">
        <v>303</v>
      </c>
      <c r="B3580" s="28">
        <v>3816</v>
      </c>
      <c r="C3580" s="28" t="s">
        <v>35</v>
      </c>
      <c r="D3580" s="28" t="s">
        <v>38</v>
      </c>
      <c r="E3580" s="41">
        <v>46159</v>
      </c>
      <c r="F3580" s="47">
        <v>0.70370370370370372</v>
      </c>
      <c r="G3580" s="44">
        <v>6.3</v>
      </c>
      <c r="H3580" s="43" t="s">
        <v>1363</v>
      </c>
      <c r="I3580" s="40" t="s">
        <v>1365</v>
      </c>
    </row>
    <row r="3581" spans="1:9" x14ac:dyDescent="0.25">
      <c r="A3581" s="40" t="s">
        <v>303</v>
      </c>
      <c r="B3581" s="28">
        <v>3816</v>
      </c>
      <c r="C3581" s="28" t="s">
        <v>35</v>
      </c>
      <c r="D3581" s="28" t="s">
        <v>38</v>
      </c>
      <c r="E3581" s="41">
        <v>46159</v>
      </c>
      <c r="F3581" s="47">
        <v>0.7091319444444445</v>
      </c>
      <c r="G3581" s="44">
        <v>6.3</v>
      </c>
      <c r="H3581" s="43" t="s">
        <v>1364</v>
      </c>
      <c r="I3581" s="40" t="s">
        <v>1365</v>
      </c>
    </row>
    <row r="3582" spans="1:9" x14ac:dyDescent="0.25">
      <c r="A3582" s="40" t="s">
        <v>312</v>
      </c>
      <c r="B3582" s="28">
        <v>3818</v>
      </c>
      <c r="C3582" s="28">
        <v>5666633</v>
      </c>
      <c r="D3582" s="28"/>
      <c r="E3582" s="41">
        <v>46155</v>
      </c>
      <c r="F3582" s="47">
        <v>0.77550925925925929</v>
      </c>
      <c r="G3582" s="44">
        <v>6.3</v>
      </c>
      <c r="H3582" s="43" t="s">
        <v>1360</v>
      </c>
      <c r="I3582" s="40" t="s">
        <v>1361</v>
      </c>
    </row>
    <row r="3583" spans="1:9" x14ac:dyDescent="0.25">
      <c r="A3583" s="40" t="s">
        <v>312</v>
      </c>
      <c r="B3583" s="28">
        <v>3818</v>
      </c>
      <c r="C3583" s="28">
        <v>5668783</v>
      </c>
      <c r="D3583" s="28"/>
      <c r="E3583" s="41">
        <v>46156</v>
      </c>
      <c r="F3583" s="47">
        <v>0.73611111111111116</v>
      </c>
      <c r="G3583" s="44">
        <v>6.3</v>
      </c>
      <c r="H3583" s="43" t="s">
        <v>1360</v>
      </c>
      <c r="I3583" s="40" t="s">
        <v>1361</v>
      </c>
    </row>
    <row r="3584" spans="1:9" x14ac:dyDescent="0.25">
      <c r="A3584" s="40" t="s">
        <v>312</v>
      </c>
      <c r="B3584" s="28">
        <v>3818</v>
      </c>
      <c r="C3584" s="28">
        <v>5668783</v>
      </c>
      <c r="D3584" s="28"/>
      <c r="E3584" s="41">
        <v>46156</v>
      </c>
      <c r="F3584" s="47">
        <v>0.7557638888888889</v>
      </c>
      <c r="G3584" s="44">
        <v>6.3</v>
      </c>
      <c r="H3584" s="43" t="s">
        <v>1362</v>
      </c>
      <c r="I3584" s="40" t="s">
        <v>1361</v>
      </c>
    </row>
    <row r="3585" spans="1:9" x14ac:dyDescent="0.25">
      <c r="A3585" s="40" t="s">
        <v>312</v>
      </c>
      <c r="B3585" s="28">
        <v>3818</v>
      </c>
      <c r="C3585" s="28">
        <v>5671183</v>
      </c>
      <c r="D3585" s="28"/>
      <c r="E3585" s="41">
        <v>46159</v>
      </c>
      <c r="F3585" s="47">
        <v>0.55193287037037042</v>
      </c>
      <c r="G3585" s="44">
        <v>6.3</v>
      </c>
      <c r="H3585" s="43" t="s">
        <v>1360</v>
      </c>
      <c r="I3585" s="40" t="s">
        <v>1365</v>
      </c>
    </row>
    <row r="3586" spans="1:9" x14ac:dyDescent="0.25">
      <c r="A3586" s="40" t="s">
        <v>312</v>
      </c>
      <c r="B3586" s="28">
        <v>3818</v>
      </c>
      <c r="C3586" s="28">
        <v>5671183</v>
      </c>
      <c r="D3586" s="28"/>
      <c r="E3586" s="41">
        <v>46159</v>
      </c>
      <c r="F3586" s="47">
        <v>0.56016203703703704</v>
      </c>
      <c r="G3586" s="44">
        <v>6.3</v>
      </c>
      <c r="H3586" s="43" t="s">
        <v>1362</v>
      </c>
      <c r="I3586" s="40" t="s">
        <v>1365</v>
      </c>
    </row>
    <row r="3587" spans="1:9" x14ac:dyDescent="0.25">
      <c r="A3587" s="40" t="s">
        <v>312</v>
      </c>
      <c r="B3587" s="28">
        <v>3818</v>
      </c>
      <c r="C3587" s="28">
        <v>5673055</v>
      </c>
      <c r="D3587" s="28"/>
      <c r="E3587" s="41">
        <v>46159</v>
      </c>
      <c r="F3587" s="47">
        <v>0.68282407407407408</v>
      </c>
      <c r="G3587" s="44">
        <v>6.3</v>
      </c>
      <c r="H3587" s="43" t="s">
        <v>1360</v>
      </c>
      <c r="I3587" s="40" t="s">
        <v>1365</v>
      </c>
    </row>
    <row r="3588" spans="1:9" x14ac:dyDescent="0.25">
      <c r="A3588" s="40" t="s">
        <v>312</v>
      </c>
      <c r="B3588" s="28">
        <v>3818</v>
      </c>
      <c r="C3588" s="28">
        <v>5673055</v>
      </c>
      <c r="D3588" s="28"/>
      <c r="E3588" s="41">
        <v>46159</v>
      </c>
      <c r="F3588" s="47">
        <v>0.68982638888888892</v>
      </c>
      <c r="G3588" s="44">
        <v>6.3</v>
      </c>
      <c r="H3588" s="43" t="s">
        <v>1368</v>
      </c>
      <c r="I3588" s="40" t="s">
        <v>1365</v>
      </c>
    </row>
    <row r="3589" spans="1:9" x14ac:dyDescent="0.25">
      <c r="A3589" s="40" t="s">
        <v>312</v>
      </c>
      <c r="B3589" s="28">
        <v>3818</v>
      </c>
      <c r="C3589" s="28" t="s">
        <v>35</v>
      </c>
      <c r="D3589" s="28" t="s">
        <v>38</v>
      </c>
      <c r="E3589" s="41">
        <v>46159</v>
      </c>
      <c r="F3589" s="47">
        <v>0.7427893518518518</v>
      </c>
      <c r="G3589" s="44">
        <v>6.3</v>
      </c>
      <c r="H3589" s="43" t="s">
        <v>1370</v>
      </c>
      <c r="I3589" s="40" t="s">
        <v>1365</v>
      </c>
    </row>
    <row r="3590" spans="1:9" x14ac:dyDescent="0.25">
      <c r="A3590" s="40" t="s">
        <v>312</v>
      </c>
      <c r="B3590" s="28">
        <v>3818</v>
      </c>
      <c r="C3590" s="28">
        <v>5673167</v>
      </c>
      <c r="D3590" s="28" t="s">
        <v>36</v>
      </c>
      <c r="E3590" s="41">
        <v>46159</v>
      </c>
      <c r="F3590" s="47">
        <v>0.77496527777777779</v>
      </c>
      <c r="G3590" s="44">
        <v>6.3</v>
      </c>
      <c r="H3590" s="43" t="s">
        <v>1364</v>
      </c>
      <c r="I3590" s="40" t="s">
        <v>1365</v>
      </c>
    </row>
    <row r="3591" spans="1:9" x14ac:dyDescent="0.25">
      <c r="A3591" s="40" t="s">
        <v>316</v>
      </c>
      <c r="B3591" s="28">
        <v>3829</v>
      </c>
      <c r="C3591" s="28" t="s">
        <v>1038</v>
      </c>
      <c r="D3591" s="28"/>
      <c r="E3591" s="41">
        <v>46153</v>
      </c>
      <c r="F3591" s="47">
        <v>0.9193634259259259</v>
      </c>
      <c r="G3591" s="44">
        <v>6.3</v>
      </c>
      <c r="H3591" s="43" t="s">
        <v>1360</v>
      </c>
      <c r="I3591" s="40" t="s">
        <v>1361</v>
      </c>
    </row>
    <row r="3592" spans="1:9" x14ac:dyDescent="0.25">
      <c r="A3592" s="40" t="s">
        <v>316</v>
      </c>
      <c r="B3592" s="28">
        <v>3829</v>
      </c>
      <c r="C3592" s="28" t="s">
        <v>1038</v>
      </c>
      <c r="D3592" s="28"/>
      <c r="E3592" s="41">
        <v>46153</v>
      </c>
      <c r="F3592" s="47">
        <v>0.92612268518518515</v>
      </c>
      <c r="G3592" s="44">
        <v>6.3</v>
      </c>
      <c r="H3592" s="43" t="s">
        <v>1362</v>
      </c>
      <c r="I3592" s="40" t="s">
        <v>1361</v>
      </c>
    </row>
    <row r="3593" spans="1:9" x14ac:dyDescent="0.25">
      <c r="A3593" s="40" t="s">
        <v>316</v>
      </c>
      <c r="B3593" s="28">
        <v>3829</v>
      </c>
      <c r="C3593" s="28" t="s">
        <v>1039</v>
      </c>
      <c r="D3593" s="28"/>
      <c r="E3593" s="41">
        <v>46154</v>
      </c>
      <c r="F3593" s="47">
        <v>0.6525347222222222</v>
      </c>
      <c r="G3593" s="44">
        <v>6.3</v>
      </c>
      <c r="H3593" s="43" t="s">
        <v>1360</v>
      </c>
      <c r="I3593" s="40" t="s">
        <v>1361</v>
      </c>
    </row>
    <row r="3594" spans="1:9" x14ac:dyDescent="0.25">
      <c r="A3594" s="40" t="s">
        <v>316</v>
      </c>
      <c r="B3594" s="28">
        <v>3829</v>
      </c>
      <c r="C3594" s="28" t="s">
        <v>1039</v>
      </c>
      <c r="D3594" s="28"/>
      <c r="E3594" s="41">
        <v>46154</v>
      </c>
      <c r="F3594" s="47">
        <v>0.66711805555555559</v>
      </c>
      <c r="G3594" s="44">
        <v>6.3</v>
      </c>
      <c r="H3594" s="43" t="s">
        <v>1362</v>
      </c>
      <c r="I3594" s="40" t="s">
        <v>1361</v>
      </c>
    </row>
    <row r="3595" spans="1:9" x14ac:dyDescent="0.25">
      <c r="A3595" s="40" t="s">
        <v>316</v>
      </c>
      <c r="B3595" s="28">
        <v>3829</v>
      </c>
      <c r="C3595" s="28" t="s">
        <v>1040</v>
      </c>
      <c r="D3595" s="28"/>
      <c r="E3595" s="41">
        <v>46154</v>
      </c>
      <c r="F3595" s="47">
        <v>0.94362268518518522</v>
      </c>
      <c r="G3595" s="44">
        <v>6.3</v>
      </c>
      <c r="H3595" s="43" t="s">
        <v>1360</v>
      </c>
      <c r="I3595" s="40" t="s">
        <v>1361</v>
      </c>
    </row>
    <row r="3596" spans="1:9" x14ac:dyDescent="0.25">
      <c r="A3596" s="40" t="s">
        <v>316</v>
      </c>
      <c r="B3596" s="28">
        <v>3829</v>
      </c>
      <c r="C3596" s="28" t="s">
        <v>1040</v>
      </c>
      <c r="D3596" s="28"/>
      <c r="E3596" s="41">
        <v>46154</v>
      </c>
      <c r="F3596" s="47">
        <v>0.95028935185185182</v>
      </c>
      <c r="G3596" s="44">
        <v>6.3</v>
      </c>
      <c r="H3596" s="43" t="s">
        <v>1362</v>
      </c>
      <c r="I3596" s="40" t="s">
        <v>1361</v>
      </c>
    </row>
    <row r="3597" spans="1:9" x14ac:dyDescent="0.25">
      <c r="A3597" s="40" t="s">
        <v>316</v>
      </c>
      <c r="B3597" s="28">
        <v>3829</v>
      </c>
      <c r="C3597" s="28" t="s">
        <v>1041</v>
      </c>
      <c r="D3597" s="28"/>
      <c r="E3597" s="41">
        <v>46155</v>
      </c>
      <c r="F3597" s="47">
        <v>0.86296296296296293</v>
      </c>
      <c r="G3597" s="44">
        <v>6.3</v>
      </c>
      <c r="H3597" s="43" t="s">
        <v>1363</v>
      </c>
      <c r="I3597" s="40" t="s">
        <v>1361</v>
      </c>
    </row>
    <row r="3598" spans="1:9" x14ac:dyDescent="0.25">
      <c r="A3598" s="40" t="s">
        <v>316</v>
      </c>
      <c r="B3598" s="28">
        <v>3829</v>
      </c>
      <c r="C3598" s="28" t="s">
        <v>1041</v>
      </c>
      <c r="D3598" s="28"/>
      <c r="E3598" s="41">
        <v>46155</v>
      </c>
      <c r="F3598" s="47">
        <v>0.87327546296296299</v>
      </c>
      <c r="G3598" s="44">
        <v>6.3</v>
      </c>
      <c r="H3598" s="43" t="s">
        <v>1364</v>
      </c>
      <c r="I3598" s="40" t="s">
        <v>1361</v>
      </c>
    </row>
    <row r="3599" spans="1:9" x14ac:dyDescent="0.25">
      <c r="A3599" s="40" t="s">
        <v>316</v>
      </c>
      <c r="B3599" s="28">
        <v>3829</v>
      </c>
      <c r="C3599" s="28" t="s">
        <v>1042</v>
      </c>
      <c r="D3599" s="28"/>
      <c r="E3599" s="41">
        <v>46156</v>
      </c>
      <c r="F3599" s="47">
        <v>0.71042824074074074</v>
      </c>
      <c r="G3599" s="44">
        <v>6.3</v>
      </c>
      <c r="H3599" s="43" t="s">
        <v>1360</v>
      </c>
      <c r="I3599" s="40" t="s">
        <v>1361</v>
      </c>
    </row>
    <row r="3600" spans="1:9" x14ac:dyDescent="0.25">
      <c r="A3600" s="40" t="s">
        <v>316</v>
      </c>
      <c r="B3600" s="28">
        <v>3829</v>
      </c>
      <c r="C3600" s="28" t="s">
        <v>1042</v>
      </c>
      <c r="D3600" s="28"/>
      <c r="E3600" s="41">
        <v>46156</v>
      </c>
      <c r="F3600" s="47">
        <v>0.72843749999999996</v>
      </c>
      <c r="G3600" s="44">
        <v>6.3</v>
      </c>
      <c r="H3600" s="43" t="s">
        <v>1362</v>
      </c>
      <c r="I3600" s="40" t="s">
        <v>1361</v>
      </c>
    </row>
    <row r="3601" spans="1:9" x14ac:dyDescent="0.25">
      <c r="A3601" s="40" t="s">
        <v>316</v>
      </c>
      <c r="B3601" s="28">
        <v>3829</v>
      </c>
      <c r="C3601" s="28" t="s">
        <v>1043</v>
      </c>
      <c r="D3601" s="28"/>
      <c r="E3601" s="41">
        <v>46156</v>
      </c>
      <c r="F3601" s="47">
        <v>0.90241898148148147</v>
      </c>
      <c r="G3601" s="44">
        <v>6.3</v>
      </c>
      <c r="H3601" s="43" t="s">
        <v>1362</v>
      </c>
      <c r="I3601" s="40" t="s">
        <v>1361</v>
      </c>
    </row>
    <row r="3602" spans="1:9" x14ac:dyDescent="0.25">
      <c r="A3602" s="40" t="s">
        <v>299</v>
      </c>
      <c r="B3602" s="28">
        <v>3833</v>
      </c>
      <c r="C3602" s="28">
        <v>5664209</v>
      </c>
      <c r="D3602" s="28" t="s">
        <v>37</v>
      </c>
      <c r="E3602" s="41">
        <v>46154</v>
      </c>
      <c r="F3602" s="47">
        <v>0.67533564814814817</v>
      </c>
      <c r="G3602" s="44">
        <v>6.3</v>
      </c>
      <c r="H3602" s="43" t="s">
        <v>1360</v>
      </c>
      <c r="I3602" s="40" t="s">
        <v>1361</v>
      </c>
    </row>
    <row r="3603" spans="1:9" x14ac:dyDescent="0.25">
      <c r="A3603" s="40" t="s">
        <v>299</v>
      </c>
      <c r="B3603" s="28">
        <v>3833</v>
      </c>
      <c r="C3603" s="28">
        <v>5664209</v>
      </c>
      <c r="D3603" s="28" t="s">
        <v>37</v>
      </c>
      <c r="E3603" s="41">
        <v>46154</v>
      </c>
      <c r="F3603" s="47">
        <v>0.68714120370370368</v>
      </c>
      <c r="G3603" s="44">
        <v>6.3</v>
      </c>
      <c r="H3603" s="43" t="s">
        <v>1362</v>
      </c>
      <c r="I3603" s="40" t="s">
        <v>1361</v>
      </c>
    </row>
    <row r="3604" spans="1:9" x14ac:dyDescent="0.25">
      <c r="A3604" s="40" t="s">
        <v>299</v>
      </c>
      <c r="B3604" s="28">
        <v>3833</v>
      </c>
      <c r="C3604" s="28">
        <v>5665221</v>
      </c>
      <c r="D3604" s="28"/>
      <c r="E3604" s="41">
        <v>46154</v>
      </c>
      <c r="F3604" s="47">
        <v>0.73697916666666663</v>
      </c>
      <c r="G3604" s="44">
        <v>6.3</v>
      </c>
      <c r="H3604" s="43" t="s">
        <v>1363</v>
      </c>
      <c r="I3604" s="40" t="s">
        <v>1361</v>
      </c>
    </row>
    <row r="3605" spans="1:9" x14ac:dyDescent="0.25">
      <c r="A3605" s="40" t="s">
        <v>299</v>
      </c>
      <c r="B3605" s="28">
        <v>3833</v>
      </c>
      <c r="C3605" s="28" t="s">
        <v>1044</v>
      </c>
      <c r="D3605" s="28"/>
      <c r="E3605" s="41">
        <v>46155</v>
      </c>
      <c r="F3605" s="47">
        <v>0.39224537037037038</v>
      </c>
      <c r="G3605" s="44">
        <v>6.3</v>
      </c>
      <c r="H3605" s="43" t="s">
        <v>1360</v>
      </c>
      <c r="I3605" s="40" t="s">
        <v>1361</v>
      </c>
    </row>
    <row r="3606" spans="1:9" x14ac:dyDescent="0.25">
      <c r="A3606" s="40" t="s">
        <v>299</v>
      </c>
      <c r="B3606" s="28">
        <v>3833</v>
      </c>
      <c r="C3606" s="28" t="s">
        <v>35</v>
      </c>
      <c r="D3606" s="28" t="s">
        <v>38</v>
      </c>
      <c r="E3606" s="41">
        <v>46155</v>
      </c>
      <c r="F3606" s="47">
        <v>0.41604166666666664</v>
      </c>
      <c r="G3606" s="44">
        <v>6.3</v>
      </c>
      <c r="H3606" s="43" t="s">
        <v>1362</v>
      </c>
      <c r="I3606" s="40" t="s">
        <v>1361</v>
      </c>
    </row>
    <row r="3607" spans="1:9" x14ac:dyDescent="0.25">
      <c r="A3607" s="40" t="s">
        <v>299</v>
      </c>
      <c r="B3607" s="28">
        <v>3833</v>
      </c>
      <c r="C3607" s="28">
        <v>5669016</v>
      </c>
      <c r="D3607" s="28"/>
      <c r="E3607" s="41">
        <v>46156</v>
      </c>
      <c r="F3607" s="47">
        <v>0.89766203703703706</v>
      </c>
      <c r="G3607" s="44">
        <v>6.3</v>
      </c>
      <c r="H3607" s="43" t="s">
        <v>1360</v>
      </c>
      <c r="I3607" s="40" t="s">
        <v>1361</v>
      </c>
    </row>
    <row r="3608" spans="1:9" x14ac:dyDescent="0.25">
      <c r="A3608" s="40" t="s">
        <v>299</v>
      </c>
      <c r="B3608" s="28">
        <v>3833</v>
      </c>
      <c r="C3608" s="28">
        <v>5669016</v>
      </c>
      <c r="D3608" s="28"/>
      <c r="E3608" s="41">
        <v>46156</v>
      </c>
      <c r="F3608" s="47">
        <v>0.90464120370370371</v>
      </c>
      <c r="G3608" s="44">
        <v>6.3</v>
      </c>
      <c r="H3608" s="43" t="s">
        <v>1362</v>
      </c>
      <c r="I3608" s="40" t="s">
        <v>1361</v>
      </c>
    </row>
    <row r="3609" spans="1:9" x14ac:dyDescent="0.25">
      <c r="A3609" s="40" t="s">
        <v>299</v>
      </c>
      <c r="B3609" s="28">
        <v>3833</v>
      </c>
      <c r="C3609" s="28">
        <v>5670638</v>
      </c>
      <c r="D3609" s="28"/>
      <c r="E3609" s="41">
        <v>46157</v>
      </c>
      <c r="F3609" s="47">
        <v>0.7991435185185185</v>
      </c>
      <c r="G3609" s="44">
        <v>6.3</v>
      </c>
      <c r="H3609" s="43" t="s">
        <v>1360</v>
      </c>
      <c r="I3609" s="40" t="s">
        <v>1361</v>
      </c>
    </row>
    <row r="3610" spans="1:9" x14ac:dyDescent="0.25">
      <c r="A3610" s="40" t="s">
        <v>299</v>
      </c>
      <c r="B3610" s="28">
        <v>3833</v>
      </c>
      <c r="C3610" s="28">
        <v>5670638</v>
      </c>
      <c r="D3610" s="28"/>
      <c r="E3610" s="41">
        <v>46157</v>
      </c>
      <c r="F3610" s="47">
        <v>0.81784722222222217</v>
      </c>
      <c r="G3610" s="44">
        <v>6.3</v>
      </c>
      <c r="H3610" s="43" t="s">
        <v>1362</v>
      </c>
      <c r="I3610" s="40" t="s">
        <v>1361</v>
      </c>
    </row>
    <row r="3611" spans="1:9" x14ac:dyDescent="0.25">
      <c r="A3611" s="40" t="s">
        <v>299</v>
      </c>
      <c r="B3611" s="28">
        <v>3833</v>
      </c>
      <c r="C3611" s="28">
        <v>5670949</v>
      </c>
      <c r="D3611" s="28"/>
      <c r="E3611" s="45">
        <v>46158</v>
      </c>
      <c r="F3611" s="48">
        <v>0.19065972222222222</v>
      </c>
      <c r="G3611" s="44">
        <v>6.3</v>
      </c>
      <c r="H3611" s="43" t="s">
        <v>1363</v>
      </c>
      <c r="I3611" s="40" t="s">
        <v>1365</v>
      </c>
    </row>
    <row r="3612" spans="1:9" x14ac:dyDescent="0.25">
      <c r="A3612" s="40" t="s">
        <v>299</v>
      </c>
      <c r="B3612" s="28">
        <v>3833</v>
      </c>
      <c r="C3612" s="28">
        <v>5670949</v>
      </c>
      <c r="D3612" s="28"/>
      <c r="E3612" s="41">
        <v>46158</v>
      </c>
      <c r="F3612" s="47">
        <v>0.19589120370370369</v>
      </c>
      <c r="G3612" s="44">
        <v>6.3</v>
      </c>
      <c r="H3612" s="43" t="s">
        <v>1364</v>
      </c>
      <c r="I3612" s="40" t="s">
        <v>1365</v>
      </c>
    </row>
    <row r="3613" spans="1:9" x14ac:dyDescent="0.25">
      <c r="A3613" s="40" t="s">
        <v>299</v>
      </c>
      <c r="B3613" s="28">
        <v>3833</v>
      </c>
      <c r="C3613" s="28" t="s">
        <v>1045</v>
      </c>
      <c r="D3613" s="28"/>
      <c r="E3613" s="41">
        <v>46158</v>
      </c>
      <c r="F3613" s="47">
        <v>0.26087962962962963</v>
      </c>
      <c r="G3613" s="44">
        <v>6.3</v>
      </c>
      <c r="H3613" s="43" t="s">
        <v>1360</v>
      </c>
      <c r="I3613" s="40" t="s">
        <v>1365</v>
      </c>
    </row>
    <row r="3614" spans="1:9" x14ac:dyDescent="0.25">
      <c r="A3614" s="40" t="s">
        <v>299</v>
      </c>
      <c r="B3614" s="28">
        <v>3833</v>
      </c>
      <c r="C3614" s="28" t="s">
        <v>1045</v>
      </c>
      <c r="D3614" s="28"/>
      <c r="E3614" s="41">
        <v>46158</v>
      </c>
      <c r="F3614" s="47">
        <v>0.27510416666666665</v>
      </c>
      <c r="G3614" s="44">
        <v>6.3</v>
      </c>
      <c r="H3614" s="43" t="s">
        <v>1362</v>
      </c>
      <c r="I3614" s="40" t="s">
        <v>1365</v>
      </c>
    </row>
    <row r="3615" spans="1:9" x14ac:dyDescent="0.25">
      <c r="A3615" s="40" t="s">
        <v>440</v>
      </c>
      <c r="B3615" s="28">
        <v>3838</v>
      </c>
      <c r="C3615" s="28" t="s">
        <v>35</v>
      </c>
      <c r="D3615" s="28" t="s">
        <v>38</v>
      </c>
      <c r="E3615" s="41">
        <v>46154</v>
      </c>
      <c r="F3615" s="47">
        <v>0.96456018518518516</v>
      </c>
      <c r="G3615" s="44">
        <v>6.3</v>
      </c>
      <c r="H3615" s="43" t="s">
        <v>1360</v>
      </c>
      <c r="I3615" s="40" t="s">
        <v>1361</v>
      </c>
    </row>
    <row r="3616" spans="1:9" x14ac:dyDescent="0.25">
      <c r="A3616" s="40" t="s">
        <v>440</v>
      </c>
      <c r="B3616" s="28">
        <v>3838</v>
      </c>
      <c r="C3616" s="28" t="s">
        <v>35</v>
      </c>
      <c r="D3616" s="28" t="s">
        <v>38</v>
      </c>
      <c r="E3616" s="41">
        <v>46154</v>
      </c>
      <c r="F3616" s="47">
        <v>0.9713194444444444</v>
      </c>
      <c r="G3616" s="44">
        <v>6.3</v>
      </c>
      <c r="H3616" s="43" t="s">
        <v>1368</v>
      </c>
      <c r="I3616" s="40" t="s">
        <v>1361</v>
      </c>
    </row>
    <row r="3617" spans="1:9" x14ac:dyDescent="0.25">
      <c r="A3617" s="40" t="s">
        <v>440</v>
      </c>
      <c r="B3617" s="28">
        <v>3838</v>
      </c>
      <c r="C3617" s="28" t="s">
        <v>35</v>
      </c>
      <c r="D3617" s="28" t="s">
        <v>38</v>
      </c>
      <c r="E3617" s="41">
        <v>46155</v>
      </c>
      <c r="F3617" s="47">
        <v>1.9791666666666668E-3</v>
      </c>
      <c r="G3617" s="44">
        <v>6.3</v>
      </c>
      <c r="H3617" s="43" t="s">
        <v>1363</v>
      </c>
      <c r="I3617" s="40" t="s">
        <v>1361</v>
      </c>
    </row>
    <row r="3618" spans="1:9" x14ac:dyDescent="0.25">
      <c r="A3618" s="40" t="s">
        <v>440</v>
      </c>
      <c r="B3618" s="28">
        <v>3838</v>
      </c>
      <c r="C3618" s="28" t="s">
        <v>35</v>
      </c>
      <c r="D3618" s="28" t="s">
        <v>38</v>
      </c>
      <c r="E3618" s="41">
        <v>46157</v>
      </c>
      <c r="F3618" s="47">
        <v>0.81518518518518523</v>
      </c>
      <c r="G3618" s="44">
        <v>6.3</v>
      </c>
      <c r="H3618" s="43" t="s">
        <v>1363</v>
      </c>
      <c r="I3618" s="40" t="s">
        <v>1361</v>
      </c>
    </row>
    <row r="3619" spans="1:9" x14ac:dyDescent="0.25">
      <c r="A3619" s="40" t="s">
        <v>392</v>
      </c>
      <c r="B3619" s="28">
        <v>3840</v>
      </c>
      <c r="C3619" s="28">
        <v>5662270</v>
      </c>
      <c r="D3619" s="28"/>
      <c r="E3619" s="45">
        <v>46153</v>
      </c>
      <c r="F3619" s="48">
        <v>0.23975694444444445</v>
      </c>
      <c r="G3619" s="42">
        <v>6.3</v>
      </c>
      <c r="H3619" s="40" t="s">
        <v>1360</v>
      </c>
      <c r="I3619" s="40" t="s">
        <v>1361</v>
      </c>
    </row>
    <row r="3620" spans="1:9" x14ac:dyDescent="0.25">
      <c r="A3620" s="40" t="s">
        <v>392</v>
      </c>
      <c r="B3620" s="28">
        <v>3840</v>
      </c>
      <c r="C3620" s="28">
        <v>5662270</v>
      </c>
      <c r="D3620" s="28"/>
      <c r="E3620" s="41">
        <v>46153</v>
      </c>
      <c r="F3620" s="47">
        <v>0.25261574074074072</v>
      </c>
      <c r="G3620" s="42">
        <v>6.3</v>
      </c>
      <c r="H3620" s="40" t="s">
        <v>1362</v>
      </c>
      <c r="I3620" s="40" t="s">
        <v>1361</v>
      </c>
    </row>
    <row r="3621" spans="1:9" x14ac:dyDescent="0.25">
      <c r="A3621" s="40" t="s">
        <v>392</v>
      </c>
      <c r="B3621" s="28">
        <v>3840</v>
      </c>
      <c r="C3621" s="28">
        <v>5659692</v>
      </c>
      <c r="D3621" s="28"/>
      <c r="E3621" s="41">
        <v>46153</v>
      </c>
      <c r="F3621" s="47">
        <v>0.30918981481481483</v>
      </c>
      <c r="G3621" s="44">
        <v>6.3</v>
      </c>
      <c r="H3621" s="43" t="s">
        <v>1363</v>
      </c>
      <c r="I3621" s="40" t="s">
        <v>1361</v>
      </c>
    </row>
    <row r="3622" spans="1:9" x14ac:dyDescent="0.25">
      <c r="A3622" s="40" t="s">
        <v>392</v>
      </c>
      <c r="B3622" s="28">
        <v>3840</v>
      </c>
      <c r="C3622" s="28">
        <v>5659692</v>
      </c>
      <c r="D3622" s="28"/>
      <c r="E3622" s="45">
        <v>46153</v>
      </c>
      <c r="F3622" s="48">
        <v>0.32265046296296296</v>
      </c>
      <c r="G3622" s="44">
        <v>6.3</v>
      </c>
      <c r="H3622" s="43" t="s">
        <v>1364</v>
      </c>
      <c r="I3622" s="40" t="s">
        <v>1361</v>
      </c>
    </row>
    <row r="3623" spans="1:9" x14ac:dyDescent="0.25">
      <c r="A3623" s="40" t="s">
        <v>392</v>
      </c>
      <c r="B3623" s="28">
        <v>3840</v>
      </c>
      <c r="C3623" s="28">
        <v>5664096</v>
      </c>
      <c r="D3623" s="28"/>
      <c r="E3623" s="45">
        <v>46154</v>
      </c>
      <c r="F3623" s="48">
        <v>6.6087962962962966E-3</v>
      </c>
      <c r="G3623" s="44">
        <v>6.3</v>
      </c>
      <c r="H3623" s="43" t="s">
        <v>1360</v>
      </c>
      <c r="I3623" s="40" t="s">
        <v>1361</v>
      </c>
    </row>
    <row r="3624" spans="1:9" x14ac:dyDescent="0.25">
      <c r="A3624" s="40" t="s">
        <v>392</v>
      </c>
      <c r="B3624" s="28">
        <v>3840</v>
      </c>
      <c r="C3624" s="28">
        <v>5634752</v>
      </c>
      <c r="D3624" s="28"/>
      <c r="E3624" s="41">
        <v>46154</v>
      </c>
      <c r="F3624" s="47">
        <v>0.35280092592592593</v>
      </c>
      <c r="G3624" s="44">
        <v>6.3</v>
      </c>
      <c r="H3624" s="43" t="s">
        <v>1363</v>
      </c>
      <c r="I3624" s="40" t="s">
        <v>1361</v>
      </c>
    </row>
    <row r="3625" spans="1:9" x14ac:dyDescent="0.25">
      <c r="A3625" s="40" t="s">
        <v>392</v>
      </c>
      <c r="B3625" s="28">
        <v>3840</v>
      </c>
      <c r="C3625" s="28">
        <v>5634752</v>
      </c>
      <c r="D3625" s="28"/>
      <c r="E3625" s="41">
        <v>46154</v>
      </c>
      <c r="F3625" s="47">
        <v>0.35829861111111111</v>
      </c>
      <c r="G3625" s="44">
        <v>6.3</v>
      </c>
      <c r="H3625" s="43" t="s">
        <v>1364</v>
      </c>
      <c r="I3625" s="40" t="s">
        <v>1361</v>
      </c>
    </row>
    <row r="3626" spans="1:9" x14ac:dyDescent="0.25">
      <c r="A3626" s="40" t="s">
        <v>392</v>
      </c>
      <c r="B3626" s="28">
        <v>3840</v>
      </c>
      <c r="C3626" s="28">
        <v>5668902</v>
      </c>
      <c r="D3626" s="28"/>
      <c r="E3626" s="41">
        <v>46156</v>
      </c>
      <c r="F3626" s="47">
        <v>0.88098379629629631</v>
      </c>
      <c r="G3626" s="44">
        <v>6.3</v>
      </c>
      <c r="H3626" s="43" t="s">
        <v>1360</v>
      </c>
      <c r="I3626" s="40" t="s">
        <v>1361</v>
      </c>
    </row>
    <row r="3627" spans="1:9" x14ac:dyDescent="0.25">
      <c r="A3627" s="40" t="s">
        <v>392</v>
      </c>
      <c r="B3627" s="28">
        <v>3840</v>
      </c>
      <c r="C3627" s="28" t="s">
        <v>35</v>
      </c>
      <c r="D3627" s="28" t="s">
        <v>38</v>
      </c>
      <c r="E3627" s="41">
        <v>46156</v>
      </c>
      <c r="F3627" s="47">
        <v>0.89729166666666671</v>
      </c>
      <c r="G3627" s="44">
        <v>6.3</v>
      </c>
      <c r="H3627" s="43" t="s">
        <v>1364</v>
      </c>
      <c r="I3627" s="40" t="s">
        <v>1361</v>
      </c>
    </row>
    <row r="3628" spans="1:9" x14ac:dyDescent="0.25">
      <c r="A3628" s="40" t="s">
        <v>392</v>
      </c>
      <c r="B3628" s="28">
        <v>3840</v>
      </c>
      <c r="C3628" s="28" t="s">
        <v>1046</v>
      </c>
      <c r="D3628" s="28"/>
      <c r="E3628" s="41">
        <v>46158</v>
      </c>
      <c r="F3628" s="47">
        <v>0.1240162037037037</v>
      </c>
      <c r="G3628" s="44">
        <v>6.3</v>
      </c>
      <c r="H3628" s="43" t="s">
        <v>1360</v>
      </c>
      <c r="I3628" s="40" t="s">
        <v>1365</v>
      </c>
    </row>
    <row r="3629" spans="1:9" x14ac:dyDescent="0.25">
      <c r="A3629" s="40" t="s">
        <v>392</v>
      </c>
      <c r="B3629" s="28">
        <v>3840</v>
      </c>
      <c r="C3629" s="28" t="s">
        <v>1046</v>
      </c>
      <c r="D3629" s="28"/>
      <c r="E3629" s="45">
        <v>46158</v>
      </c>
      <c r="F3629" s="48">
        <v>0.13027777777777777</v>
      </c>
      <c r="G3629" s="44">
        <v>6.3</v>
      </c>
      <c r="H3629" s="43" t="s">
        <v>1362</v>
      </c>
      <c r="I3629" s="40" t="s">
        <v>1365</v>
      </c>
    </row>
    <row r="3630" spans="1:9" x14ac:dyDescent="0.25">
      <c r="A3630" s="40" t="s">
        <v>392</v>
      </c>
      <c r="B3630" s="28">
        <v>3840</v>
      </c>
      <c r="C3630" s="28">
        <v>5672239</v>
      </c>
      <c r="D3630" s="28"/>
      <c r="E3630" s="41">
        <v>46159</v>
      </c>
      <c r="F3630" s="47">
        <v>0.29395833333333332</v>
      </c>
      <c r="G3630" s="44">
        <v>6.3</v>
      </c>
      <c r="H3630" s="43" t="s">
        <v>1360</v>
      </c>
      <c r="I3630" s="40" t="s">
        <v>1365</v>
      </c>
    </row>
    <row r="3631" spans="1:9" x14ac:dyDescent="0.25">
      <c r="A3631" s="40" t="s">
        <v>392</v>
      </c>
      <c r="B3631" s="28">
        <v>3840</v>
      </c>
      <c r="C3631" s="28">
        <v>5672239</v>
      </c>
      <c r="D3631" s="28"/>
      <c r="E3631" s="41">
        <v>46159</v>
      </c>
      <c r="F3631" s="47">
        <v>0.30042824074074076</v>
      </c>
      <c r="G3631" s="44">
        <v>6.3</v>
      </c>
      <c r="H3631" s="43" t="s">
        <v>1362</v>
      </c>
      <c r="I3631" s="40" t="s">
        <v>1365</v>
      </c>
    </row>
    <row r="3632" spans="1:9" x14ac:dyDescent="0.25">
      <c r="A3632" s="40" t="s">
        <v>392</v>
      </c>
      <c r="B3632" s="28">
        <v>3840</v>
      </c>
      <c r="C3632" s="28" t="s">
        <v>35</v>
      </c>
      <c r="D3632" s="28" t="s">
        <v>38</v>
      </c>
      <c r="E3632" s="41">
        <v>46159</v>
      </c>
      <c r="F3632" s="47">
        <v>0.31341435185185185</v>
      </c>
      <c r="G3632" s="44">
        <v>6.3</v>
      </c>
      <c r="H3632" s="43" t="s">
        <v>1363</v>
      </c>
      <c r="I3632" s="40" t="s">
        <v>1365</v>
      </c>
    </row>
    <row r="3633" spans="1:9" x14ac:dyDescent="0.25">
      <c r="A3633" s="40" t="s">
        <v>392</v>
      </c>
      <c r="B3633" s="28">
        <v>3840</v>
      </c>
      <c r="C3633" s="28">
        <v>5673104</v>
      </c>
      <c r="D3633" s="28"/>
      <c r="E3633" s="45">
        <v>46159</v>
      </c>
      <c r="F3633" s="48">
        <v>0.72041666666666671</v>
      </c>
      <c r="G3633" s="44">
        <v>6.3</v>
      </c>
      <c r="H3633" s="43" t="s">
        <v>1360</v>
      </c>
      <c r="I3633" s="40" t="s">
        <v>1365</v>
      </c>
    </row>
    <row r="3634" spans="1:9" x14ac:dyDescent="0.25">
      <c r="A3634" s="40" t="s">
        <v>392</v>
      </c>
      <c r="B3634" s="28">
        <v>3840</v>
      </c>
      <c r="C3634" s="28">
        <v>5673104</v>
      </c>
      <c r="D3634" s="28"/>
      <c r="E3634" s="41">
        <v>46159</v>
      </c>
      <c r="F3634" s="47">
        <v>0.72768518518518521</v>
      </c>
      <c r="G3634" s="44">
        <v>6.3</v>
      </c>
      <c r="H3634" s="43" t="s">
        <v>1362</v>
      </c>
      <c r="I3634" s="40" t="s">
        <v>1365</v>
      </c>
    </row>
    <row r="3635" spans="1:9" x14ac:dyDescent="0.25">
      <c r="A3635" s="40" t="s">
        <v>392</v>
      </c>
      <c r="B3635" s="28">
        <v>3840</v>
      </c>
      <c r="C3635" s="28" t="s">
        <v>35</v>
      </c>
      <c r="D3635" s="28" t="s">
        <v>38</v>
      </c>
      <c r="E3635" s="41">
        <v>46159</v>
      </c>
      <c r="F3635" s="47">
        <v>0.74601851851851853</v>
      </c>
      <c r="G3635" s="42">
        <v>6.3</v>
      </c>
      <c r="H3635" s="40" t="s">
        <v>1363</v>
      </c>
      <c r="I3635" s="40" t="s">
        <v>1365</v>
      </c>
    </row>
    <row r="3636" spans="1:9" x14ac:dyDescent="0.25">
      <c r="A3636" s="40" t="s">
        <v>392</v>
      </c>
      <c r="B3636" s="28">
        <v>3840</v>
      </c>
      <c r="C3636" s="28" t="s">
        <v>35</v>
      </c>
      <c r="D3636" s="28" t="s">
        <v>38</v>
      </c>
      <c r="E3636" s="41">
        <v>46159</v>
      </c>
      <c r="F3636" s="47">
        <v>0.75153935185185183</v>
      </c>
      <c r="G3636" s="42">
        <v>6.3</v>
      </c>
      <c r="H3636" s="40" t="s">
        <v>1364</v>
      </c>
      <c r="I3636" s="40" t="s">
        <v>1365</v>
      </c>
    </row>
    <row r="3637" spans="1:9" x14ac:dyDescent="0.25">
      <c r="A3637" s="40" t="s">
        <v>392</v>
      </c>
      <c r="B3637" s="28">
        <v>3840</v>
      </c>
      <c r="C3637" s="28">
        <v>5673280</v>
      </c>
      <c r="D3637" s="28"/>
      <c r="E3637" s="41">
        <v>46159</v>
      </c>
      <c r="F3637" s="47">
        <v>0.84004629629629635</v>
      </c>
      <c r="G3637" s="42">
        <v>6.3</v>
      </c>
      <c r="H3637" s="40" t="s">
        <v>1360</v>
      </c>
      <c r="I3637" s="40" t="s">
        <v>1365</v>
      </c>
    </row>
    <row r="3638" spans="1:9" x14ac:dyDescent="0.25">
      <c r="A3638" s="40" t="s">
        <v>392</v>
      </c>
      <c r="B3638" s="28">
        <v>3840</v>
      </c>
      <c r="C3638" s="28">
        <v>5673280</v>
      </c>
      <c r="D3638" s="28"/>
      <c r="E3638" s="41">
        <v>46159</v>
      </c>
      <c r="F3638" s="47">
        <v>0.84662037037037041</v>
      </c>
      <c r="G3638" s="42">
        <v>6.3</v>
      </c>
      <c r="H3638" s="40" t="s">
        <v>1362</v>
      </c>
      <c r="I3638" s="40" t="s">
        <v>1365</v>
      </c>
    </row>
    <row r="3639" spans="1:9" x14ac:dyDescent="0.25">
      <c r="A3639" s="40" t="s">
        <v>304</v>
      </c>
      <c r="B3639" s="28">
        <v>3842</v>
      </c>
      <c r="C3639" s="28">
        <v>5668376</v>
      </c>
      <c r="D3639" s="28" t="s">
        <v>37</v>
      </c>
      <c r="E3639" s="45">
        <v>46156</v>
      </c>
      <c r="F3639" s="48">
        <v>0.55285879629629631</v>
      </c>
      <c r="G3639" s="44">
        <v>6.3</v>
      </c>
      <c r="H3639" s="43" t="s">
        <v>1360</v>
      </c>
      <c r="I3639" s="40" t="s">
        <v>1361</v>
      </c>
    </row>
    <row r="3640" spans="1:9" x14ac:dyDescent="0.25">
      <c r="A3640" s="40" t="s">
        <v>304</v>
      </c>
      <c r="B3640" s="28">
        <v>3842</v>
      </c>
      <c r="C3640" s="28">
        <v>5668376</v>
      </c>
      <c r="D3640" s="28" t="s">
        <v>37</v>
      </c>
      <c r="E3640" s="41">
        <v>46156</v>
      </c>
      <c r="F3640" s="47">
        <v>0.56236111111111109</v>
      </c>
      <c r="G3640" s="44">
        <v>6.3</v>
      </c>
      <c r="H3640" s="43" t="s">
        <v>1368</v>
      </c>
      <c r="I3640" s="40" t="s">
        <v>1361</v>
      </c>
    </row>
    <row r="3641" spans="1:9" x14ac:dyDescent="0.25">
      <c r="A3641" s="40" t="s">
        <v>304</v>
      </c>
      <c r="B3641" s="28">
        <v>3842</v>
      </c>
      <c r="C3641" s="28" t="s">
        <v>35</v>
      </c>
      <c r="D3641" s="28" t="s">
        <v>38</v>
      </c>
      <c r="E3641" s="41">
        <v>46156</v>
      </c>
      <c r="F3641" s="47">
        <v>0.90792824074074074</v>
      </c>
      <c r="G3641" s="44">
        <v>6.3</v>
      </c>
      <c r="H3641" s="43" t="s">
        <v>1364</v>
      </c>
      <c r="I3641" s="40" t="s">
        <v>1361</v>
      </c>
    </row>
    <row r="3642" spans="1:9" x14ac:dyDescent="0.25">
      <c r="A3642" s="40" t="s">
        <v>304</v>
      </c>
      <c r="B3642" s="28">
        <v>3842</v>
      </c>
      <c r="C3642" s="28" t="s">
        <v>1047</v>
      </c>
      <c r="D3642" s="28"/>
      <c r="E3642" s="41">
        <v>46157</v>
      </c>
      <c r="F3642" s="47">
        <v>0.91055555555555556</v>
      </c>
      <c r="G3642" s="44">
        <v>6.3</v>
      </c>
      <c r="H3642" s="43" t="s">
        <v>1360</v>
      </c>
      <c r="I3642" s="40" t="s">
        <v>1361</v>
      </c>
    </row>
    <row r="3643" spans="1:9" x14ac:dyDescent="0.25">
      <c r="A3643" s="40" t="s">
        <v>304</v>
      </c>
      <c r="B3643" s="28">
        <v>3842</v>
      </c>
      <c r="C3643" s="28" t="s">
        <v>1047</v>
      </c>
      <c r="D3643" s="28"/>
      <c r="E3643" s="41">
        <v>46157</v>
      </c>
      <c r="F3643" s="47">
        <v>0.91883101851851856</v>
      </c>
      <c r="G3643" s="44">
        <v>6.3</v>
      </c>
      <c r="H3643" s="43" t="s">
        <v>1362</v>
      </c>
      <c r="I3643" s="40" t="s">
        <v>1361</v>
      </c>
    </row>
    <row r="3644" spans="1:9" x14ac:dyDescent="0.25">
      <c r="A3644" s="40" t="s">
        <v>304</v>
      </c>
      <c r="B3644" s="28">
        <v>3842</v>
      </c>
      <c r="C3644" s="28" t="s">
        <v>1048</v>
      </c>
      <c r="D3644" s="28"/>
      <c r="E3644" s="41">
        <v>46157</v>
      </c>
      <c r="F3644" s="47">
        <v>0.98518518518518516</v>
      </c>
      <c r="G3644" s="44">
        <v>6.3</v>
      </c>
      <c r="H3644" s="43" t="s">
        <v>1360</v>
      </c>
      <c r="I3644" s="40" t="s">
        <v>1361</v>
      </c>
    </row>
    <row r="3645" spans="1:9" x14ac:dyDescent="0.25">
      <c r="A3645" s="40" t="s">
        <v>304</v>
      </c>
      <c r="B3645" s="28">
        <v>3842</v>
      </c>
      <c r="C3645" s="28" t="s">
        <v>1048</v>
      </c>
      <c r="D3645" s="28"/>
      <c r="E3645" s="41">
        <v>46157</v>
      </c>
      <c r="F3645" s="47">
        <v>0.99490740740740746</v>
      </c>
      <c r="G3645" s="44">
        <v>6.3</v>
      </c>
      <c r="H3645" s="43" t="s">
        <v>1362</v>
      </c>
      <c r="I3645" s="40" t="s">
        <v>1365</v>
      </c>
    </row>
    <row r="3646" spans="1:9" x14ac:dyDescent="0.25">
      <c r="A3646" s="40" t="s">
        <v>304</v>
      </c>
      <c r="B3646" s="28">
        <v>3842</v>
      </c>
      <c r="C3646" s="28" t="s">
        <v>1049</v>
      </c>
      <c r="D3646" s="28"/>
      <c r="E3646" s="41">
        <v>46158</v>
      </c>
      <c r="F3646" s="47">
        <v>0.53505787037037034</v>
      </c>
      <c r="G3646" s="44">
        <v>6.3</v>
      </c>
      <c r="H3646" s="43" t="s">
        <v>1360</v>
      </c>
      <c r="I3646" s="40" t="s">
        <v>1365</v>
      </c>
    </row>
    <row r="3647" spans="1:9" x14ac:dyDescent="0.25">
      <c r="A3647" s="40" t="s">
        <v>304</v>
      </c>
      <c r="B3647" s="28">
        <v>3842</v>
      </c>
      <c r="C3647" s="28" t="s">
        <v>1049</v>
      </c>
      <c r="D3647" s="28"/>
      <c r="E3647" s="41">
        <v>46158</v>
      </c>
      <c r="F3647" s="47">
        <v>0.54864583333333339</v>
      </c>
      <c r="G3647" s="44">
        <v>6.3</v>
      </c>
      <c r="H3647" s="43" t="s">
        <v>1362</v>
      </c>
      <c r="I3647" s="40" t="s">
        <v>1365</v>
      </c>
    </row>
    <row r="3648" spans="1:9" x14ac:dyDescent="0.25">
      <c r="A3648" s="40" t="s">
        <v>304</v>
      </c>
      <c r="B3648" s="28">
        <v>3842</v>
      </c>
      <c r="C3648" s="28" t="s">
        <v>1050</v>
      </c>
      <c r="D3648" s="28"/>
      <c r="E3648" s="41">
        <v>46159</v>
      </c>
      <c r="F3648" s="47">
        <v>0.6247800925925926</v>
      </c>
      <c r="G3648" s="44">
        <v>6.3</v>
      </c>
      <c r="H3648" s="43" t="s">
        <v>1360</v>
      </c>
      <c r="I3648" s="40" t="s">
        <v>1365</v>
      </c>
    </row>
    <row r="3649" spans="1:9" x14ac:dyDescent="0.25">
      <c r="A3649" s="40" t="s">
        <v>304</v>
      </c>
      <c r="B3649" s="28">
        <v>3842</v>
      </c>
      <c r="C3649" s="28" t="s">
        <v>1050</v>
      </c>
      <c r="D3649" s="28"/>
      <c r="E3649" s="41">
        <v>46159</v>
      </c>
      <c r="F3649" s="47">
        <v>0.63188657407407411</v>
      </c>
      <c r="G3649" s="42">
        <v>6.3</v>
      </c>
      <c r="H3649" s="40" t="s">
        <v>1362</v>
      </c>
      <c r="I3649" s="40" t="s">
        <v>1365</v>
      </c>
    </row>
    <row r="3650" spans="1:9" x14ac:dyDescent="0.25">
      <c r="A3650" s="40" t="s">
        <v>305</v>
      </c>
      <c r="B3650" s="28">
        <v>3855</v>
      </c>
      <c r="C3650" s="28">
        <v>5663872</v>
      </c>
      <c r="D3650" s="28"/>
      <c r="E3650" s="41">
        <v>46154</v>
      </c>
      <c r="F3650" s="47">
        <v>0.24071759259259259</v>
      </c>
      <c r="G3650" s="42">
        <v>6.3</v>
      </c>
      <c r="H3650" s="40" t="s">
        <v>1360</v>
      </c>
      <c r="I3650" s="40" t="s">
        <v>1361</v>
      </c>
    </row>
    <row r="3651" spans="1:9" x14ac:dyDescent="0.25">
      <c r="A3651" s="40" t="s">
        <v>305</v>
      </c>
      <c r="B3651" s="28">
        <v>3855</v>
      </c>
      <c r="C3651" s="28">
        <v>5663872</v>
      </c>
      <c r="D3651" s="28"/>
      <c r="E3651" s="41">
        <v>46154</v>
      </c>
      <c r="F3651" s="47">
        <v>0.24981481481481482</v>
      </c>
      <c r="G3651" s="44">
        <v>6.3</v>
      </c>
      <c r="H3651" s="43" t="s">
        <v>1368</v>
      </c>
      <c r="I3651" s="40" t="s">
        <v>1361</v>
      </c>
    </row>
    <row r="3652" spans="1:9" x14ac:dyDescent="0.25">
      <c r="A3652" s="40" t="s">
        <v>305</v>
      </c>
      <c r="B3652" s="28">
        <v>3855</v>
      </c>
      <c r="C3652" s="28" t="s">
        <v>1051</v>
      </c>
      <c r="D3652" s="28"/>
      <c r="E3652" s="41">
        <v>46155</v>
      </c>
      <c r="F3652" s="47">
        <v>0.25042824074074072</v>
      </c>
      <c r="G3652" s="44">
        <v>6.3</v>
      </c>
      <c r="H3652" s="43" t="s">
        <v>1360</v>
      </c>
      <c r="I3652" s="40" t="s">
        <v>1361</v>
      </c>
    </row>
    <row r="3653" spans="1:9" x14ac:dyDescent="0.25">
      <c r="A3653" s="40" t="s">
        <v>305</v>
      </c>
      <c r="B3653" s="28">
        <v>3855</v>
      </c>
      <c r="C3653" s="28" t="s">
        <v>1051</v>
      </c>
      <c r="D3653" s="28"/>
      <c r="E3653" s="41">
        <v>46155</v>
      </c>
      <c r="F3653" s="47">
        <v>0.26390046296296299</v>
      </c>
      <c r="G3653" s="44">
        <v>6.3</v>
      </c>
      <c r="H3653" s="43" t="s">
        <v>1362</v>
      </c>
      <c r="I3653" s="40" t="s">
        <v>1361</v>
      </c>
    </row>
    <row r="3654" spans="1:9" x14ac:dyDescent="0.25">
      <c r="A3654" s="40" t="s">
        <v>305</v>
      </c>
      <c r="B3654" s="28">
        <v>3855</v>
      </c>
      <c r="C3654" s="28" t="s">
        <v>35</v>
      </c>
      <c r="D3654" s="28" t="s">
        <v>38</v>
      </c>
      <c r="E3654" s="41">
        <v>46156</v>
      </c>
      <c r="F3654" s="47">
        <v>0.85553240740740744</v>
      </c>
      <c r="G3654" s="44">
        <v>6.3</v>
      </c>
      <c r="H3654" s="43" t="s">
        <v>1364</v>
      </c>
      <c r="I3654" s="40" t="s">
        <v>1361</v>
      </c>
    </row>
    <row r="3655" spans="1:9" x14ac:dyDescent="0.25">
      <c r="A3655" s="40" t="s">
        <v>305</v>
      </c>
      <c r="B3655" s="28">
        <v>3855</v>
      </c>
      <c r="C3655" s="28">
        <v>5668815</v>
      </c>
      <c r="D3655" s="28"/>
      <c r="E3655" s="41">
        <v>46156</v>
      </c>
      <c r="F3655" s="47">
        <v>0.88590277777777782</v>
      </c>
      <c r="G3655" s="44">
        <v>6.3</v>
      </c>
      <c r="H3655" s="43" t="s">
        <v>1360</v>
      </c>
      <c r="I3655" s="40" t="s">
        <v>1361</v>
      </c>
    </row>
    <row r="3656" spans="1:9" x14ac:dyDescent="0.25">
      <c r="A3656" s="40" t="s">
        <v>305</v>
      </c>
      <c r="B3656" s="28">
        <v>3855</v>
      </c>
      <c r="C3656" s="28">
        <v>5668815</v>
      </c>
      <c r="D3656" s="28"/>
      <c r="E3656" s="41">
        <v>46156</v>
      </c>
      <c r="F3656" s="47">
        <v>0.8930555555555556</v>
      </c>
      <c r="G3656" s="44">
        <v>6.3</v>
      </c>
      <c r="H3656" s="43" t="s">
        <v>1362</v>
      </c>
      <c r="I3656" s="40" t="s">
        <v>1361</v>
      </c>
    </row>
    <row r="3657" spans="1:9" x14ac:dyDescent="0.25">
      <c r="A3657" s="40" t="s">
        <v>305</v>
      </c>
      <c r="B3657" s="28">
        <v>3855</v>
      </c>
      <c r="C3657" s="28">
        <v>5669447</v>
      </c>
      <c r="D3657" s="28"/>
      <c r="E3657" s="41">
        <v>46157</v>
      </c>
      <c r="F3657" s="47">
        <v>3.709490740740741E-2</v>
      </c>
      <c r="G3657" s="44">
        <v>6.3</v>
      </c>
      <c r="H3657" s="43" t="s">
        <v>1360</v>
      </c>
      <c r="I3657" s="40" t="s">
        <v>1361</v>
      </c>
    </row>
    <row r="3658" spans="1:9" x14ac:dyDescent="0.25">
      <c r="A3658" s="40" t="s">
        <v>305</v>
      </c>
      <c r="B3658" s="28">
        <v>3855</v>
      </c>
      <c r="C3658" s="28">
        <v>5669447</v>
      </c>
      <c r="D3658" s="28"/>
      <c r="E3658" s="41">
        <v>46157</v>
      </c>
      <c r="F3658" s="47">
        <v>4.4120370370370372E-2</v>
      </c>
      <c r="G3658" s="44">
        <v>6.3</v>
      </c>
      <c r="H3658" s="43" t="s">
        <v>1368</v>
      </c>
      <c r="I3658" s="40" t="s">
        <v>1361</v>
      </c>
    </row>
    <row r="3659" spans="1:9" x14ac:dyDescent="0.25">
      <c r="A3659" s="40" t="s">
        <v>305</v>
      </c>
      <c r="B3659" s="28">
        <v>3855</v>
      </c>
      <c r="C3659" s="28">
        <v>5669488</v>
      </c>
      <c r="D3659" s="28"/>
      <c r="E3659" s="41">
        <v>46157</v>
      </c>
      <c r="F3659" s="47">
        <v>0.2979398148148148</v>
      </c>
      <c r="G3659" s="44">
        <v>6.3</v>
      </c>
      <c r="H3659" s="43" t="s">
        <v>1363</v>
      </c>
      <c r="I3659" s="40" t="s">
        <v>1361</v>
      </c>
    </row>
    <row r="3660" spans="1:9" x14ac:dyDescent="0.25">
      <c r="A3660" s="40" t="s">
        <v>305</v>
      </c>
      <c r="B3660" s="28">
        <v>3855</v>
      </c>
      <c r="C3660" s="28">
        <v>5669488</v>
      </c>
      <c r="D3660" s="28"/>
      <c r="E3660" s="41">
        <v>46157</v>
      </c>
      <c r="F3660" s="47">
        <v>0.30554398148148149</v>
      </c>
      <c r="G3660" s="44">
        <v>6.3</v>
      </c>
      <c r="H3660" s="43" t="s">
        <v>1364</v>
      </c>
      <c r="I3660" s="40" t="s">
        <v>1361</v>
      </c>
    </row>
    <row r="3661" spans="1:9" x14ac:dyDescent="0.25">
      <c r="A3661" s="40" t="s">
        <v>305</v>
      </c>
      <c r="B3661" s="28">
        <v>3855</v>
      </c>
      <c r="C3661" s="28" t="s">
        <v>1052</v>
      </c>
      <c r="D3661" s="28"/>
      <c r="E3661" s="41">
        <v>46157</v>
      </c>
      <c r="F3661" s="47">
        <v>0.7221643518518519</v>
      </c>
      <c r="G3661" s="44">
        <v>6.3</v>
      </c>
      <c r="H3661" s="43" t="s">
        <v>1360</v>
      </c>
      <c r="I3661" s="40" t="s">
        <v>1361</v>
      </c>
    </row>
    <row r="3662" spans="1:9" x14ac:dyDescent="0.25">
      <c r="A3662" s="40" t="s">
        <v>305</v>
      </c>
      <c r="B3662" s="28">
        <v>3855</v>
      </c>
      <c r="C3662" s="28" t="s">
        <v>35</v>
      </c>
      <c r="D3662" s="28" t="s">
        <v>38</v>
      </c>
      <c r="E3662" s="45">
        <v>46159</v>
      </c>
      <c r="F3662" s="48">
        <v>1.5995370370370372E-2</v>
      </c>
      <c r="G3662" s="42">
        <v>6.3</v>
      </c>
      <c r="H3662" s="40" t="s">
        <v>1360</v>
      </c>
      <c r="I3662" s="40" t="s">
        <v>1365</v>
      </c>
    </row>
    <row r="3663" spans="1:9" x14ac:dyDescent="0.25">
      <c r="A3663" s="40" t="s">
        <v>305</v>
      </c>
      <c r="B3663" s="28">
        <v>3855</v>
      </c>
      <c r="C3663" s="28" t="s">
        <v>35</v>
      </c>
      <c r="D3663" s="28" t="s">
        <v>38</v>
      </c>
      <c r="E3663" s="41">
        <v>46159</v>
      </c>
      <c r="F3663" s="47">
        <v>2.388888888888889E-2</v>
      </c>
      <c r="G3663" s="42">
        <v>6.3</v>
      </c>
      <c r="H3663" s="40" t="s">
        <v>1362</v>
      </c>
      <c r="I3663" s="40" t="s">
        <v>1365</v>
      </c>
    </row>
    <row r="3664" spans="1:9" x14ac:dyDescent="0.25">
      <c r="A3664" s="40" t="s">
        <v>305</v>
      </c>
      <c r="B3664" s="28">
        <v>3855</v>
      </c>
      <c r="C3664" s="28">
        <v>5673230</v>
      </c>
      <c r="D3664" s="28"/>
      <c r="E3664" s="41">
        <v>46159</v>
      </c>
      <c r="F3664" s="47">
        <v>0.9520601851851852</v>
      </c>
      <c r="G3664" s="42">
        <v>6.3</v>
      </c>
      <c r="H3664" s="40" t="s">
        <v>1360</v>
      </c>
      <c r="I3664" s="40" t="s">
        <v>1365</v>
      </c>
    </row>
    <row r="3665" spans="1:9" x14ac:dyDescent="0.25">
      <c r="A3665" s="40" t="s">
        <v>305</v>
      </c>
      <c r="B3665" s="28">
        <v>3855</v>
      </c>
      <c r="C3665" s="28">
        <v>5673230</v>
      </c>
      <c r="D3665" s="28"/>
      <c r="E3665" s="41">
        <v>46159</v>
      </c>
      <c r="F3665" s="47">
        <v>0.95869212962962957</v>
      </c>
      <c r="G3665" s="42">
        <v>6.3</v>
      </c>
      <c r="H3665" s="40" t="s">
        <v>1366</v>
      </c>
      <c r="I3665" s="40" t="s">
        <v>1365</v>
      </c>
    </row>
    <row r="3666" spans="1:9" x14ac:dyDescent="0.25">
      <c r="A3666" s="40" t="s">
        <v>305</v>
      </c>
      <c r="B3666" s="28">
        <v>3855</v>
      </c>
      <c r="C3666" s="28" t="s">
        <v>35</v>
      </c>
      <c r="D3666" s="28" t="s">
        <v>38</v>
      </c>
      <c r="E3666" s="41">
        <v>46159</v>
      </c>
      <c r="F3666" s="47">
        <v>0.99954861111111115</v>
      </c>
      <c r="G3666" s="44">
        <v>6.3</v>
      </c>
      <c r="H3666" s="43" t="s">
        <v>1367</v>
      </c>
      <c r="I3666" s="40" t="s">
        <v>1365</v>
      </c>
    </row>
    <row r="3667" spans="1:9" x14ac:dyDescent="0.25">
      <c r="A3667" s="40" t="s">
        <v>441</v>
      </c>
      <c r="B3667" s="28">
        <v>3905</v>
      </c>
      <c r="C3667" s="28" t="s">
        <v>1053</v>
      </c>
      <c r="D3667" s="28"/>
      <c r="E3667" s="45">
        <v>46153</v>
      </c>
      <c r="F3667" s="48">
        <v>0.56439814814814815</v>
      </c>
      <c r="G3667" s="44">
        <v>6.3</v>
      </c>
      <c r="H3667" s="43" t="s">
        <v>1363</v>
      </c>
      <c r="I3667" s="40" t="s">
        <v>1361</v>
      </c>
    </row>
    <row r="3668" spans="1:9" x14ac:dyDescent="0.25">
      <c r="A3668" s="40" t="s">
        <v>441</v>
      </c>
      <c r="B3668" s="28">
        <v>3905</v>
      </c>
      <c r="C3668" s="28" t="s">
        <v>1053</v>
      </c>
      <c r="D3668" s="28"/>
      <c r="E3668" s="41">
        <v>46153</v>
      </c>
      <c r="F3668" s="47">
        <v>0.57060185185185186</v>
      </c>
      <c r="G3668" s="44">
        <v>6.3</v>
      </c>
      <c r="H3668" s="43" t="s">
        <v>1364</v>
      </c>
      <c r="I3668" s="40" t="s">
        <v>1361</v>
      </c>
    </row>
    <row r="3669" spans="1:9" x14ac:dyDescent="0.25">
      <c r="A3669" s="40" t="s">
        <v>441</v>
      </c>
      <c r="B3669" s="28">
        <v>3905</v>
      </c>
      <c r="C3669" s="28" t="s">
        <v>1054</v>
      </c>
      <c r="D3669" s="28"/>
      <c r="E3669" s="41">
        <v>46153</v>
      </c>
      <c r="F3669" s="47">
        <v>0.61946759259259254</v>
      </c>
      <c r="G3669" s="44">
        <v>6.3</v>
      </c>
      <c r="H3669" s="43" t="s">
        <v>1360</v>
      </c>
      <c r="I3669" s="40" t="s">
        <v>1361</v>
      </c>
    </row>
    <row r="3670" spans="1:9" x14ac:dyDescent="0.25">
      <c r="A3670" s="40" t="s">
        <v>441</v>
      </c>
      <c r="B3670" s="28">
        <v>3905</v>
      </c>
      <c r="C3670" s="28" t="s">
        <v>1054</v>
      </c>
      <c r="D3670" s="28"/>
      <c r="E3670" s="41">
        <v>46153</v>
      </c>
      <c r="F3670" s="47">
        <v>0.62790509259259264</v>
      </c>
      <c r="G3670" s="44">
        <v>6.3</v>
      </c>
      <c r="H3670" s="43" t="s">
        <v>1362</v>
      </c>
      <c r="I3670" s="40" t="s">
        <v>1361</v>
      </c>
    </row>
    <row r="3671" spans="1:9" x14ac:dyDescent="0.25">
      <c r="A3671" s="40" t="s">
        <v>441</v>
      </c>
      <c r="B3671" s="28">
        <v>3905</v>
      </c>
      <c r="C3671" s="28" t="s">
        <v>1055</v>
      </c>
      <c r="D3671" s="28"/>
      <c r="E3671" s="41">
        <v>46153</v>
      </c>
      <c r="F3671" s="47">
        <v>0.94744212962962959</v>
      </c>
      <c r="G3671" s="44">
        <v>6.3</v>
      </c>
      <c r="H3671" s="43" t="s">
        <v>1360</v>
      </c>
      <c r="I3671" s="40" t="s">
        <v>1361</v>
      </c>
    </row>
    <row r="3672" spans="1:9" x14ac:dyDescent="0.25">
      <c r="A3672" s="40" t="s">
        <v>441</v>
      </c>
      <c r="B3672" s="28">
        <v>3905</v>
      </c>
      <c r="C3672" s="28" t="s">
        <v>1056</v>
      </c>
      <c r="D3672" s="28"/>
      <c r="E3672" s="41">
        <v>46154</v>
      </c>
      <c r="F3672" s="47">
        <v>0.55472222222222223</v>
      </c>
      <c r="G3672" s="44">
        <v>6.3</v>
      </c>
      <c r="H3672" s="43" t="s">
        <v>1363</v>
      </c>
      <c r="I3672" s="40" t="s">
        <v>1361</v>
      </c>
    </row>
    <row r="3673" spans="1:9" x14ac:dyDescent="0.25">
      <c r="A3673" s="40" t="s">
        <v>441</v>
      </c>
      <c r="B3673" s="28">
        <v>3905</v>
      </c>
      <c r="C3673" s="28" t="s">
        <v>1057</v>
      </c>
      <c r="D3673" s="28"/>
      <c r="E3673" s="45">
        <v>46154</v>
      </c>
      <c r="F3673" s="48">
        <v>0.79425925925925922</v>
      </c>
      <c r="G3673" s="44">
        <v>6.3</v>
      </c>
      <c r="H3673" s="43" t="s">
        <v>1360</v>
      </c>
      <c r="I3673" s="40" t="s">
        <v>1361</v>
      </c>
    </row>
    <row r="3674" spans="1:9" x14ac:dyDescent="0.25">
      <c r="A3674" s="40" t="s">
        <v>441</v>
      </c>
      <c r="B3674" s="28">
        <v>3905</v>
      </c>
      <c r="C3674" s="28" t="s">
        <v>1057</v>
      </c>
      <c r="D3674" s="28"/>
      <c r="E3674" s="41">
        <v>46154</v>
      </c>
      <c r="F3674" s="47">
        <v>0.80909722222222225</v>
      </c>
      <c r="G3674" s="44">
        <v>6.3</v>
      </c>
      <c r="H3674" s="43" t="s">
        <v>1362</v>
      </c>
      <c r="I3674" s="40" t="s">
        <v>1361</v>
      </c>
    </row>
    <row r="3675" spans="1:9" x14ac:dyDescent="0.25">
      <c r="A3675" s="40" t="s">
        <v>441</v>
      </c>
      <c r="B3675" s="28">
        <v>3905</v>
      </c>
      <c r="C3675" s="28" t="s">
        <v>1058</v>
      </c>
      <c r="D3675" s="28"/>
      <c r="E3675" s="41">
        <v>46154</v>
      </c>
      <c r="F3675" s="47">
        <v>0.89609953703703704</v>
      </c>
      <c r="G3675" s="44">
        <v>6.3</v>
      </c>
      <c r="H3675" s="43" t="s">
        <v>1363</v>
      </c>
      <c r="I3675" s="40" t="s">
        <v>1361</v>
      </c>
    </row>
    <row r="3676" spans="1:9" x14ac:dyDescent="0.25">
      <c r="A3676" s="40" t="s">
        <v>441</v>
      </c>
      <c r="B3676" s="28">
        <v>3905</v>
      </c>
      <c r="C3676" s="28" t="s">
        <v>1058</v>
      </c>
      <c r="D3676" s="28"/>
      <c r="E3676" s="45">
        <v>46154</v>
      </c>
      <c r="F3676" s="48">
        <v>0.90128472222222222</v>
      </c>
      <c r="G3676" s="44">
        <v>6.3</v>
      </c>
      <c r="H3676" s="43" t="s">
        <v>1364</v>
      </c>
      <c r="I3676" s="40" t="s">
        <v>1361</v>
      </c>
    </row>
    <row r="3677" spans="1:9" x14ac:dyDescent="0.25">
      <c r="A3677" s="40" t="s">
        <v>441</v>
      </c>
      <c r="B3677" s="28">
        <v>3905</v>
      </c>
      <c r="C3677" s="28" t="s">
        <v>1059</v>
      </c>
      <c r="D3677" s="28"/>
      <c r="E3677" s="41">
        <v>46154</v>
      </c>
      <c r="F3677" s="47">
        <v>0.94427083333333328</v>
      </c>
      <c r="G3677" s="44">
        <v>6.3</v>
      </c>
      <c r="H3677" s="43" t="s">
        <v>1360</v>
      </c>
      <c r="I3677" s="40" t="s">
        <v>1361</v>
      </c>
    </row>
    <row r="3678" spans="1:9" x14ac:dyDescent="0.25">
      <c r="A3678" s="40" t="s">
        <v>441</v>
      </c>
      <c r="B3678" s="28">
        <v>3905</v>
      </c>
      <c r="C3678" s="28" t="s">
        <v>1059</v>
      </c>
      <c r="D3678" s="28"/>
      <c r="E3678" s="41">
        <v>46154</v>
      </c>
      <c r="F3678" s="47">
        <v>0.95253472222222224</v>
      </c>
      <c r="G3678" s="44">
        <v>6.3</v>
      </c>
      <c r="H3678" s="43" t="s">
        <v>1362</v>
      </c>
      <c r="I3678" s="40" t="s">
        <v>1361</v>
      </c>
    </row>
    <row r="3679" spans="1:9" x14ac:dyDescent="0.25">
      <c r="A3679" s="40" t="s">
        <v>441</v>
      </c>
      <c r="B3679" s="28">
        <v>3905</v>
      </c>
      <c r="C3679" s="28" t="s">
        <v>1060</v>
      </c>
      <c r="D3679" s="28"/>
      <c r="E3679" s="41">
        <v>46155</v>
      </c>
      <c r="F3679" s="47">
        <v>0.16450231481481481</v>
      </c>
      <c r="G3679" s="44">
        <v>6.3</v>
      </c>
      <c r="H3679" s="43" t="s">
        <v>1363</v>
      </c>
      <c r="I3679" s="40" t="s">
        <v>1361</v>
      </c>
    </row>
    <row r="3680" spans="1:9" x14ac:dyDescent="0.25">
      <c r="A3680" s="40" t="s">
        <v>441</v>
      </c>
      <c r="B3680" s="28">
        <v>3905</v>
      </c>
      <c r="C3680" s="28" t="s">
        <v>1060</v>
      </c>
      <c r="D3680" s="28"/>
      <c r="E3680" s="41">
        <v>46155</v>
      </c>
      <c r="F3680" s="47">
        <v>0.16962962962962963</v>
      </c>
      <c r="G3680" s="44">
        <v>6.3</v>
      </c>
      <c r="H3680" s="43" t="s">
        <v>1364</v>
      </c>
      <c r="I3680" s="40" t="s">
        <v>1361</v>
      </c>
    </row>
    <row r="3681" spans="1:9" x14ac:dyDescent="0.25">
      <c r="A3681" s="40" t="s">
        <v>441</v>
      </c>
      <c r="B3681" s="28">
        <v>3905</v>
      </c>
      <c r="C3681" s="28" t="s">
        <v>1061</v>
      </c>
      <c r="D3681" s="28"/>
      <c r="E3681" s="41">
        <v>46155</v>
      </c>
      <c r="F3681" s="47">
        <v>0.38138888888888889</v>
      </c>
      <c r="G3681" s="44">
        <v>6.3</v>
      </c>
      <c r="H3681" s="43" t="s">
        <v>1363</v>
      </c>
      <c r="I3681" s="40" t="s">
        <v>1361</v>
      </c>
    </row>
    <row r="3682" spans="1:9" x14ac:dyDescent="0.25">
      <c r="A3682" s="40" t="s">
        <v>441</v>
      </c>
      <c r="B3682" s="28">
        <v>3905</v>
      </c>
      <c r="C3682" s="28" t="s">
        <v>1061</v>
      </c>
      <c r="D3682" s="28"/>
      <c r="E3682" s="41">
        <v>46155</v>
      </c>
      <c r="F3682" s="47">
        <v>0.39621527777777776</v>
      </c>
      <c r="G3682" s="44">
        <v>6.3</v>
      </c>
      <c r="H3682" s="43" t="s">
        <v>1364</v>
      </c>
      <c r="I3682" s="40" t="s">
        <v>1361</v>
      </c>
    </row>
    <row r="3683" spans="1:9" x14ac:dyDescent="0.25">
      <c r="A3683" s="40" t="s">
        <v>441</v>
      </c>
      <c r="B3683" s="28">
        <v>3905</v>
      </c>
      <c r="C3683" s="28" t="s">
        <v>1062</v>
      </c>
      <c r="D3683" s="28"/>
      <c r="E3683" s="41">
        <v>46155</v>
      </c>
      <c r="F3683" s="47">
        <v>0.46820601851851851</v>
      </c>
      <c r="G3683" s="44">
        <v>6.3</v>
      </c>
      <c r="H3683" s="43" t="s">
        <v>1360</v>
      </c>
      <c r="I3683" s="40" t="s">
        <v>1361</v>
      </c>
    </row>
    <row r="3684" spans="1:9" x14ac:dyDescent="0.25">
      <c r="A3684" s="40" t="s">
        <v>441</v>
      </c>
      <c r="B3684" s="28">
        <v>3905</v>
      </c>
      <c r="C3684" s="28" t="s">
        <v>1062</v>
      </c>
      <c r="D3684" s="28"/>
      <c r="E3684" s="41">
        <v>46155</v>
      </c>
      <c r="F3684" s="47">
        <v>0.4889236111111111</v>
      </c>
      <c r="G3684" s="44">
        <v>6.3</v>
      </c>
      <c r="H3684" s="43" t="s">
        <v>1362</v>
      </c>
      <c r="I3684" s="40" t="s">
        <v>1361</v>
      </c>
    </row>
    <row r="3685" spans="1:9" x14ac:dyDescent="0.25">
      <c r="A3685" s="40" t="s">
        <v>441</v>
      </c>
      <c r="B3685" s="28">
        <v>3905</v>
      </c>
      <c r="C3685" s="28" t="s">
        <v>1063</v>
      </c>
      <c r="D3685" s="28"/>
      <c r="E3685" s="41">
        <v>46155</v>
      </c>
      <c r="F3685" s="47">
        <v>0.54263888888888889</v>
      </c>
      <c r="G3685" s="44">
        <v>6.3</v>
      </c>
      <c r="H3685" s="43" t="s">
        <v>1363</v>
      </c>
      <c r="I3685" s="40" t="s">
        <v>1361</v>
      </c>
    </row>
    <row r="3686" spans="1:9" x14ac:dyDescent="0.25">
      <c r="A3686" s="40" t="s">
        <v>441</v>
      </c>
      <c r="B3686" s="28">
        <v>3905</v>
      </c>
      <c r="C3686" s="28" t="s">
        <v>1063</v>
      </c>
      <c r="D3686" s="28"/>
      <c r="E3686" s="41">
        <v>46155</v>
      </c>
      <c r="F3686" s="47">
        <v>0.54912037037037043</v>
      </c>
      <c r="G3686" s="44">
        <v>6.3</v>
      </c>
      <c r="H3686" s="43" t="s">
        <v>1364</v>
      </c>
      <c r="I3686" s="40" t="s">
        <v>1361</v>
      </c>
    </row>
    <row r="3687" spans="1:9" x14ac:dyDescent="0.25">
      <c r="A3687" s="40" t="s">
        <v>441</v>
      </c>
      <c r="B3687" s="28">
        <v>3905</v>
      </c>
      <c r="C3687" s="28" t="s">
        <v>1064</v>
      </c>
      <c r="D3687" s="28"/>
      <c r="E3687" s="41">
        <v>46156</v>
      </c>
      <c r="F3687" s="47">
        <v>0.55208333333333337</v>
      </c>
      <c r="G3687" s="44">
        <v>6.3</v>
      </c>
      <c r="H3687" s="43" t="s">
        <v>1369</v>
      </c>
      <c r="I3687" s="40" t="s">
        <v>1361</v>
      </c>
    </row>
    <row r="3688" spans="1:9" x14ac:dyDescent="0.25">
      <c r="A3688" s="40" t="s">
        <v>441</v>
      </c>
      <c r="B3688" s="28">
        <v>3905</v>
      </c>
      <c r="C3688" s="28" t="s">
        <v>1064</v>
      </c>
      <c r="D3688" s="28"/>
      <c r="E3688" s="41">
        <v>46156</v>
      </c>
      <c r="F3688" s="47">
        <v>0.55769675925925921</v>
      </c>
      <c r="G3688" s="44">
        <v>6.3</v>
      </c>
      <c r="H3688" s="43" t="s">
        <v>1364</v>
      </c>
      <c r="I3688" s="40" t="s">
        <v>1361</v>
      </c>
    </row>
    <row r="3689" spans="1:9" x14ac:dyDescent="0.25">
      <c r="A3689" s="40" t="s">
        <v>441</v>
      </c>
      <c r="B3689" s="28">
        <v>3905</v>
      </c>
      <c r="C3689" s="28" t="s">
        <v>1065</v>
      </c>
      <c r="D3689" s="28"/>
      <c r="E3689" s="41">
        <v>46156</v>
      </c>
      <c r="F3689" s="47">
        <v>0.61640046296296291</v>
      </c>
      <c r="G3689" s="44">
        <v>6.3</v>
      </c>
      <c r="H3689" s="43" t="s">
        <v>1360</v>
      </c>
      <c r="I3689" s="40" t="s">
        <v>1361</v>
      </c>
    </row>
    <row r="3690" spans="1:9" x14ac:dyDescent="0.25">
      <c r="A3690" s="40" t="s">
        <v>441</v>
      </c>
      <c r="B3690" s="28">
        <v>3905</v>
      </c>
      <c r="C3690" s="28" t="s">
        <v>1065</v>
      </c>
      <c r="D3690" s="28"/>
      <c r="E3690" s="41">
        <v>46156</v>
      </c>
      <c r="F3690" s="47">
        <v>0.62539351851851854</v>
      </c>
      <c r="G3690" s="44">
        <v>6.3</v>
      </c>
      <c r="H3690" s="43" t="s">
        <v>1362</v>
      </c>
      <c r="I3690" s="40" t="s">
        <v>1361</v>
      </c>
    </row>
    <row r="3691" spans="1:9" x14ac:dyDescent="0.25">
      <c r="A3691" s="40" t="s">
        <v>441</v>
      </c>
      <c r="B3691" s="28">
        <v>3905</v>
      </c>
      <c r="C3691" s="28" t="s">
        <v>1066</v>
      </c>
      <c r="D3691" s="28"/>
      <c r="E3691" s="41">
        <v>46156</v>
      </c>
      <c r="F3691" s="47">
        <v>0.68821759259259263</v>
      </c>
      <c r="G3691" s="44">
        <v>6.3</v>
      </c>
      <c r="H3691" s="43" t="s">
        <v>1363</v>
      </c>
      <c r="I3691" s="40" t="s">
        <v>1361</v>
      </c>
    </row>
    <row r="3692" spans="1:9" x14ac:dyDescent="0.25">
      <c r="A3692" s="40" t="s">
        <v>441</v>
      </c>
      <c r="B3692" s="28">
        <v>3905</v>
      </c>
      <c r="C3692" s="28" t="s">
        <v>1066</v>
      </c>
      <c r="D3692" s="28"/>
      <c r="E3692" s="41">
        <v>46156</v>
      </c>
      <c r="F3692" s="47">
        <v>0.69671296296296292</v>
      </c>
      <c r="G3692" s="44">
        <v>6.3</v>
      </c>
      <c r="H3692" s="43" t="s">
        <v>1364</v>
      </c>
      <c r="I3692" s="40" t="s">
        <v>1361</v>
      </c>
    </row>
    <row r="3693" spans="1:9" x14ac:dyDescent="0.25">
      <c r="A3693" s="40" t="s">
        <v>441</v>
      </c>
      <c r="B3693" s="28">
        <v>3905</v>
      </c>
      <c r="C3693" s="28" t="s">
        <v>1067</v>
      </c>
      <c r="D3693" s="28"/>
      <c r="E3693" s="41">
        <v>46156</v>
      </c>
      <c r="F3693" s="47">
        <v>0.96784722222222219</v>
      </c>
      <c r="G3693" s="44">
        <v>6.3</v>
      </c>
      <c r="H3693" s="43" t="s">
        <v>1360</v>
      </c>
      <c r="I3693" s="40" t="s">
        <v>1361</v>
      </c>
    </row>
    <row r="3694" spans="1:9" x14ac:dyDescent="0.25">
      <c r="A3694" s="40" t="s">
        <v>441</v>
      </c>
      <c r="B3694" s="28">
        <v>3905</v>
      </c>
      <c r="C3694" s="28" t="s">
        <v>1067</v>
      </c>
      <c r="D3694" s="28"/>
      <c r="E3694" s="45">
        <v>46156</v>
      </c>
      <c r="F3694" s="48">
        <v>0.97578703703703706</v>
      </c>
      <c r="G3694" s="44">
        <v>6.3</v>
      </c>
      <c r="H3694" s="43" t="s">
        <v>1362</v>
      </c>
      <c r="I3694" s="40" t="s">
        <v>1361</v>
      </c>
    </row>
    <row r="3695" spans="1:9" x14ac:dyDescent="0.25">
      <c r="A3695" s="40" t="s">
        <v>441</v>
      </c>
      <c r="B3695" s="28">
        <v>3905</v>
      </c>
      <c r="C3695" s="28" t="s">
        <v>35</v>
      </c>
      <c r="D3695" s="28" t="s">
        <v>38</v>
      </c>
      <c r="E3695" s="41">
        <v>46157</v>
      </c>
      <c r="F3695" s="47">
        <v>0.70067129629629632</v>
      </c>
      <c r="G3695" s="42">
        <v>6.3</v>
      </c>
      <c r="H3695" s="40" t="s">
        <v>1363</v>
      </c>
      <c r="I3695" s="40" t="s">
        <v>1361</v>
      </c>
    </row>
    <row r="3696" spans="1:9" x14ac:dyDescent="0.25">
      <c r="A3696" s="40" t="s">
        <v>441</v>
      </c>
      <c r="B3696" s="28">
        <v>3905</v>
      </c>
      <c r="C3696" s="28" t="s">
        <v>35</v>
      </c>
      <c r="D3696" s="28" t="s">
        <v>38</v>
      </c>
      <c r="E3696" s="41">
        <v>46157</v>
      </c>
      <c r="F3696" s="47">
        <v>0.71902777777777782</v>
      </c>
      <c r="G3696" s="42">
        <v>6.3</v>
      </c>
      <c r="H3696" s="40" t="s">
        <v>1364</v>
      </c>
      <c r="I3696" s="40" t="s">
        <v>1361</v>
      </c>
    </row>
    <row r="3697" spans="1:9" x14ac:dyDescent="0.25">
      <c r="A3697" s="40" t="s">
        <v>441</v>
      </c>
      <c r="B3697" s="28">
        <v>3905</v>
      </c>
      <c r="C3697" s="28">
        <v>10665864</v>
      </c>
      <c r="D3697" s="28"/>
      <c r="E3697" s="45">
        <v>46157</v>
      </c>
      <c r="F3697" s="48">
        <v>0.78015046296296298</v>
      </c>
      <c r="G3697" s="44">
        <v>6.3</v>
      </c>
      <c r="H3697" s="43" t="s">
        <v>1360</v>
      </c>
      <c r="I3697" s="40" t="s">
        <v>1361</v>
      </c>
    </row>
    <row r="3698" spans="1:9" x14ac:dyDescent="0.25">
      <c r="A3698" s="40" t="s">
        <v>441</v>
      </c>
      <c r="B3698" s="28">
        <v>3905</v>
      </c>
      <c r="C3698" s="28" t="s">
        <v>1068</v>
      </c>
      <c r="D3698" s="28"/>
      <c r="E3698" s="41">
        <v>46158</v>
      </c>
      <c r="F3698" s="47">
        <v>0.18686342592592592</v>
      </c>
      <c r="G3698" s="44">
        <v>6.3</v>
      </c>
      <c r="H3698" s="43" t="s">
        <v>1363</v>
      </c>
      <c r="I3698" s="40" t="s">
        <v>1365</v>
      </c>
    </row>
    <row r="3699" spans="1:9" x14ac:dyDescent="0.25">
      <c r="A3699" s="40" t="s">
        <v>441</v>
      </c>
      <c r="B3699" s="28">
        <v>3905</v>
      </c>
      <c r="C3699" s="28" t="s">
        <v>1068</v>
      </c>
      <c r="D3699" s="28"/>
      <c r="E3699" s="41">
        <v>46158</v>
      </c>
      <c r="F3699" s="47">
        <v>0.19222222222222221</v>
      </c>
      <c r="G3699" s="44">
        <v>6.3</v>
      </c>
      <c r="H3699" s="43" t="s">
        <v>1364</v>
      </c>
      <c r="I3699" s="40" t="s">
        <v>1365</v>
      </c>
    </row>
    <row r="3700" spans="1:9" x14ac:dyDescent="0.25">
      <c r="A3700" s="40" t="s">
        <v>386</v>
      </c>
      <c r="B3700" s="28">
        <v>3912</v>
      </c>
      <c r="C3700" s="28" t="s">
        <v>1069</v>
      </c>
      <c r="D3700" s="28"/>
      <c r="E3700" s="45">
        <v>46155</v>
      </c>
      <c r="F3700" s="48">
        <v>0.69835648148148144</v>
      </c>
      <c r="G3700" s="42">
        <v>6.3</v>
      </c>
      <c r="H3700" s="40" t="s">
        <v>1360</v>
      </c>
      <c r="I3700" s="40" t="s">
        <v>1361</v>
      </c>
    </row>
    <row r="3701" spans="1:9" x14ac:dyDescent="0.25">
      <c r="A3701" s="40" t="s">
        <v>386</v>
      </c>
      <c r="B3701" s="28">
        <v>3912</v>
      </c>
      <c r="C3701" s="28" t="s">
        <v>1069</v>
      </c>
      <c r="D3701" s="28"/>
      <c r="E3701" s="41">
        <v>46155</v>
      </c>
      <c r="F3701" s="47">
        <v>0.70737268518518515</v>
      </c>
      <c r="G3701" s="42">
        <v>6.3</v>
      </c>
      <c r="H3701" s="40" t="s">
        <v>1362</v>
      </c>
      <c r="I3701" s="40" t="s">
        <v>1361</v>
      </c>
    </row>
    <row r="3702" spans="1:9" x14ac:dyDescent="0.25">
      <c r="A3702" s="40" t="s">
        <v>386</v>
      </c>
      <c r="B3702" s="28">
        <v>3912</v>
      </c>
      <c r="C3702" s="28" t="s">
        <v>35</v>
      </c>
      <c r="D3702" s="28" t="s">
        <v>38</v>
      </c>
      <c r="E3702" s="41">
        <v>46157</v>
      </c>
      <c r="F3702" s="47">
        <v>0.65057870370370374</v>
      </c>
      <c r="G3702" s="44">
        <v>6.3</v>
      </c>
      <c r="H3702" s="43" t="s">
        <v>1364</v>
      </c>
      <c r="I3702" s="40" t="s">
        <v>1361</v>
      </c>
    </row>
    <row r="3703" spans="1:9" x14ac:dyDescent="0.25">
      <c r="A3703" s="40" t="s">
        <v>386</v>
      </c>
      <c r="B3703" s="28">
        <v>3912</v>
      </c>
      <c r="C3703" s="28">
        <v>5670715</v>
      </c>
      <c r="D3703" s="28"/>
      <c r="E3703" s="45">
        <v>46157</v>
      </c>
      <c r="F3703" s="48">
        <v>0.78125</v>
      </c>
      <c r="G3703" s="44">
        <v>6.3</v>
      </c>
      <c r="H3703" s="43" t="s">
        <v>1360</v>
      </c>
      <c r="I3703" s="40" t="s">
        <v>1361</v>
      </c>
    </row>
    <row r="3704" spans="1:9" x14ac:dyDescent="0.25">
      <c r="A3704" s="40" t="s">
        <v>386</v>
      </c>
      <c r="B3704" s="28">
        <v>3912</v>
      </c>
      <c r="C3704" s="28">
        <v>5670715</v>
      </c>
      <c r="D3704" s="28"/>
      <c r="E3704" s="41">
        <v>46157</v>
      </c>
      <c r="F3704" s="47">
        <v>0.79899305555555555</v>
      </c>
      <c r="G3704" s="44">
        <v>6.3</v>
      </c>
      <c r="H3704" s="43" t="s">
        <v>1362</v>
      </c>
      <c r="I3704" s="40" t="s">
        <v>1361</v>
      </c>
    </row>
    <row r="3705" spans="1:9" x14ac:dyDescent="0.25">
      <c r="A3705" s="40" t="s">
        <v>386</v>
      </c>
      <c r="B3705" s="28">
        <v>3912</v>
      </c>
      <c r="C3705" s="28">
        <v>5671027</v>
      </c>
      <c r="D3705" s="28"/>
      <c r="E3705" s="41">
        <v>46157</v>
      </c>
      <c r="F3705" s="47">
        <v>0.93483796296296295</v>
      </c>
      <c r="G3705" s="44">
        <v>6.3</v>
      </c>
      <c r="H3705" s="43" t="s">
        <v>1360</v>
      </c>
      <c r="I3705" s="40" t="s">
        <v>1361</v>
      </c>
    </row>
    <row r="3706" spans="1:9" x14ac:dyDescent="0.25">
      <c r="A3706" s="40" t="s">
        <v>386</v>
      </c>
      <c r="B3706" s="28">
        <v>3912</v>
      </c>
      <c r="C3706" s="28">
        <v>5671027</v>
      </c>
      <c r="D3706" s="28"/>
      <c r="E3706" s="41">
        <v>46157</v>
      </c>
      <c r="F3706" s="47">
        <v>0.94114583333333335</v>
      </c>
      <c r="G3706" s="44">
        <v>6.3</v>
      </c>
      <c r="H3706" s="43" t="s">
        <v>1368</v>
      </c>
      <c r="I3706" s="40" t="s">
        <v>1361</v>
      </c>
    </row>
    <row r="3707" spans="1:9" x14ac:dyDescent="0.25">
      <c r="A3707" s="40" t="s">
        <v>386</v>
      </c>
      <c r="B3707" s="28">
        <v>3912</v>
      </c>
      <c r="C3707" s="28" t="s">
        <v>1070</v>
      </c>
      <c r="D3707" s="28"/>
      <c r="E3707" s="45">
        <v>46159</v>
      </c>
      <c r="F3707" s="48">
        <v>4.1365740740740738E-2</v>
      </c>
      <c r="G3707" s="44">
        <v>6.3</v>
      </c>
      <c r="H3707" s="43" t="s">
        <v>1360</v>
      </c>
      <c r="I3707" s="40" t="s">
        <v>1365</v>
      </c>
    </row>
    <row r="3708" spans="1:9" x14ac:dyDescent="0.25">
      <c r="A3708" s="40" t="s">
        <v>386</v>
      </c>
      <c r="B3708" s="28">
        <v>3912</v>
      </c>
      <c r="C3708" s="28" t="s">
        <v>1070</v>
      </c>
      <c r="D3708" s="28"/>
      <c r="E3708" s="41">
        <v>46159</v>
      </c>
      <c r="F3708" s="47">
        <v>4.8125000000000001E-2</v>
      </c>
      <c r="G3708" s="44">
        <v>6.3</v>
      </c>
      <c r="H3708" s="43" t="s">
        <v>1362</v>
      </c>
      <c r="I3708" s="40" t="s">
        <v>1365</v>
      </c>
    </row>
    <row r="3709" spans="1:9" x14ac:dyDescent="0.25">
      <c r="A3709" s="40" t="s">
        <v>314</v>
      </c>
      <c r="B3709" s="28">
        <v>3913</v>
      </c>
      <c r="C3709" s="28">
        <v>5663393</v>
      </c>
      <c r="D3709" s="28"/>
      <c r="E3709" s="41">
        <v>46153</v>
      </c>
      <c r="F3709" s="47">
        <v>0.7810300925925926</v>
      </c>
      <c r="G3709" s="44">
        <v>6.3</v>
      </c>
      <c r="H3709" s="43" t="s">
        <v>1363</v>
      </c>
      <c r="I3709" s="40" t="s">
        <v>1361</v>
      </c>
    </row>
    <row r="3710" spans="1:9" x14ac:dyDescent="0.25">
      <c r="A3710" s="40" t="s">
        <v>314</v>
      </c>
      <c r="B3710" s="28">
        <v>3913</v>
      </c>
      <c r="C3710" s="28" t="s">
        <v>35</v>
      </c>
      <c r="D3710" s="28" t="s">
        <v>38</v>
      </c>
      <c r="E3710" s="41">
        <v>46153</v>
      </c>
      <c r="F3710" s="47">
        <v>0.83607638888888891</v>
      </c>
      <c r="G3710" s="44">
        <v>6.3</v>
      </c>
      <c r="H3710" s="43" t="s">
        <v>1367</v>
      </c>
      <c r="I3710" s="40" t="s">
        <v>1361</v>
      </c>
    </row>
    <row r="3711" spans="1:9" x14ac:dyDescent="0.25">
      <c r="A3711" s="40" t="s">
        <v>314</v>
      </c>
      <c r="B3711" s="28">
        <v>3913</v>
      </c>
      <c r="C3711" s="28">
        <v>5663718</v>
      </c>
      <c r="D3711" s="28"/>
      <c r="E3711" s="41">
        <v>46154</v>
      </c>
      <c r="F3711" s="47">
        <v>0.27141203703703703</v>
      </c>
      <c r="G3711" s="44">
        <v>6.3</v>
      </c>
      <c r="H3711" s="43" t="s">
        <v>1363</v>
      </c>
      <c r="I3711" s="40" t="s">
        <v>1361</v>
      </c>
    </row>
    <row r="3712" spans="1:9" x14ac:dyDescent="0.25">
      <c r="A3712" s="40" t="s">
        <v>314</v>
      </c>
      <c r="B3712" s="28">
        <v>3913</v>
      </c>
      <c r="C3712" s="28">
        <v>5663718</v>
      </c>
      <c r="D3712" s="28"/>
      <c r="E3712" s="45">
        <v>46154</v>
      </c>
      <c r="F3712" s="48">
        <v>0.28123842592592591</v>
      </c>
      <c r="G3712" s="44">
        <v>6.3</v>
      </c>
      <c r="H3712" s="43" t="s">
        <v>1364</v>
      </c>
      <c r="I3712" s="40" t="s">
        <v>1361</v>
      </c>
    </row>
    <row r="3713" spans="1:9" x14ac:dyDescent="0.25">
      <c r="A3713" s="40" t="s">
        <v>314</v>
      </c>
      <c r="B3713" s="28">
        <v>3913</v>
      </c>
      <c r="C3713" s="28" t="s">
        <v>35</v>
      </c>
      <c r="D3713" s="28" t="s">
        <v>38</v>
      </c>
      <c r="E3713" s="41">
        <v>46154</v>
      </c>
      <c r="F3713" s="47">
        <v>0.53607638888888887</v>
      </c>
      <c r="G3713" s="44">
        <v>6.3</v>
      </c>
      <c r="H3713" s="43" t="s">
        <v>1364</v>
      </c>
      <c r="I3713" s="40" t="s">
        <v>1361</v>
      </c>
    </row>
    <row r="3714" spans="1:9" x14ac:dyDescent="0.25">
      <c r="A3714" s="40" t="s">
        <v>314</v>
      </c>
      <c r="B3714" s="28">
        <v>3913</v>
      </c>
      <c r="C3714" s="28">
        <v>5664879</v>
      </c>
      <c r="D3714" s="28"/>
      <c r="E3714" s="41">
        <v>46154</v>
      </c>
      <c r="F3714" s="47">
        <v>0.62938657407407406</v>
      </c>
      <c r="G3714" s="44">
        <v>6.3</v>
      </c>
      <c r="H3714" s="43" t="s">
        <v>1360</v>
      </c>
      <c r="I3714" s="40" t="s">
        <v>1361</v>
      </c>
    </row>
    <row r="3715" spans="1:9" x14ac:dyDescent="0.25">
      <c r="A3715" s="40" t="s">
        <v>314</v>
      </c>
      <c r="B3715" s="28">
        <v>3913</v>
      </c>
      <c r="C3715" s="28">
        <v>5664879</v>
      </c>
      <c r="D3715" s="28"/>
      <c r="E3715" s="41">
        <v>46154</v>
      </c>
      <c r="F3715" s="47">
        <v>0.64050925925925928</v>
      </c>
      <c r="G3715" s="44">
        <v>6.3</v>
      </c>
      <c r="H3715" s="43" t="s">
        <v>1362</v>
      </c>
      <c r="I3715" s="40" t="s">
        <v>1361</v>
      </c>
    </row>
    <row r="3716" spans="1:9" x14ac:dyDescent="0.25">
      <c r="A3716" s="40" t="s">
        <v>336</v>
      </c>
      <c r="B3716" s="28">
        <v>3917</v>
      </c>
      <c r="C3716" s="28">
        <v>5663620</v>
      </c>
      <c r="D3716" s="28"/>
      <c r="E3716" s="41">
        <v>46154</v>
      </c>
      <c r="F3716" s="47">
        <v>0.20856481481481481</v>
      </c>
      <c r="G3716" s="44">
        <v>6.3</v>
      </c>
      <c r="H3716" s="43" t="s">
        <v>1367</v>
      </c>
      <c r="I3716" s="40" t="s">
        <v>1361</v>
      </c>
    </row>
    <row r="3717" spans="1:9" x14ac:dyDescent="0.25">
      <c r="A3717" s="40" t="s">
        <v>336</v>
      </c>
      <c r="B3717" s="28">
        <v>3917</v>
      </c>
      <c r="C3717" s="28">
        <v>5663620</v>
      </c>
      <c r="D3717" s="28"/>
      <c r="E3717" s="45">
        <v>46154</v>
      </c>
      <c r="F3717" s="48">
        <v>0.21129629629629629</v>
      </c>
      <c r="G3717" s="44">
        <v>6.3</v>
      </c>
      <c r="H3717" s="43" t="s">
        <v>1364</v>
      </c>
      <c r="I3717" s="40" t="s">
        <v>1361</v>
      </c>
    </row>
    <row r="3718" spans="1:9" x14ac:dyDescent="0.25">
      <c r="A3718" s="40" t="s">
        <v>336</v>
      </c>
      <c r="B3718" s="28">
        <v>3917</v>
      </c>
      <c r="C3718" s="28">
        <v>5664595</v>
      </c>
      <c r="D3718" s="28"/>
      <c r="E3718" s="41">
        <v>46155</v>
      </c>
      <c r="F3718" s="47">
        <v>0.31315972222222221</v>
      </c>
      <c r="G3718" s="44">
        <v>6.3</v>
      </c>
      <c r="H3718" s="43" t="s">
        <v>1370</v>
      </c>
      <c r="I3718" s="40" t="s">
        <v>1361</v>
      </c>
    </row>
    <row r="3719" spans="1:9" x14ac:dyDescent="0.25">
      <c r="A3719" s="40" t="s">
        <v>383</v>
      </c>
      <c r="B3719" s="28">
        <v>3924</v>
      </c>
      <c r="C3719" s="28">
        <v>5661156</v>
      </c>
      <c r="D3719" s="28"/>
      <c r="E3719" s="41">
        <v>46153</v>
      </c>
      <c r="F3719" s="47">
        <v>0.54339120370370375</v>
      </c>
      <c r="G3719" s="42">
        <v>6.3</v>
      </c>
      <c r="H3719" s="40" t="s">
        <v>1369</v>
      </c>
      <c r="I3719" s="40" t="s">
        <v>1361</v>
      </c>
    </row>
    <row r="3720" spans="1:9" x14ac:dyDescent="0.25">
      <c r="A3720" s="40" t="s">
        <v>383</v>
      </c>
      <c r="B3720" s="28">
        <v>3924</v>
      </c>
      <c r="C3720" s="28">
        <v>5661156</v>
      </c>
      <c r="D3720" s="28"/>
      <c r="E3720" s="45">
        <v>46153</v>
      </c>
      <c r="F3720" s="48">
        <v>0.54903935185185182</v>
      </c>
      <c r="G3720" s="42">
        <v>6.3</v>
      </c>
      <c r="H3720" s="40" t="s">
        <v>1364</v>
      </c>
      <c r="I3720" s="40" t="s">
        <v>1361</v>
      </c>
    </row>
    <row r="3721" spans="1:9" x14ac:dyDescent="0.25">
      <c r="A3721" s="40" t="s">
        <v>383</v>
      </c>
      <c r="B3721" s="28">
        <v>3924</v>
      </c>
      <c r="C3721" s="28" t="s">
        <v>35</v>
      </c>
      <c r="D3721" s="28" t="s">
        <v>38</v>
      </c>
      <c r="E3721" s="41">
        <v>46156</v>
      </c>
      <c r="F3721" s="47">
        <v>0.96781249999999996</v>
      </c>
      <c r="G3721" s="44">
        <v>6.3</v>
      </c>
      <c r="H3721" s="43" t="s">
        <v>1360</v>
      </c>
      <c r="I3721" s="40" t="s">
        <v>1361</v>
      </c>
    </row>
    <row r="3722" spans="1:9" x14ac:dyDescent="0.25">
      <c r="A3722" s="40" t="s">
        <v>383</v>
      </c>
      <c r="B3722" s="28">
        <v>3924</v>
      </c>
      <c r="C3722" s="28" t="s">
        <v>35</v>
      </c>
      <c r="D3722" s="28" t="s">
        <v>38</v>
      </c>
      <c r="E3722" s="41">
        <v>46156</v>
      </c>
      <c r="F3722" s="47">
        <v>0.97532407407407407</v>
      </c>
      <c r="G3722" s="44">
        <v>6.3</v>
      </c>
      <c r="H3722" s="43" t="s">
        <v>1362</v>
      </c>
      <c r="I3722" s="40" t="s">
        <v>1361</v>
      </c>
    </row>
    <row r="3723" spans="1:9" x14ac:dyDescent="0.25">
      <c r="A3723" s="40" t="s">
        <v>383</v>
      </c>
      <c r="B3723" s="28">
        <v>3924</v>
      </c>
      <c r="C3723" s="28">
        <v>5661915</v>
      </c>
      <c r="D3723" s="28"/>
      <c r="E3723" s="41">
        <v>46157</v>
      </c>
      <c r="F3723" s="47">
        <v>0.66451388888888885</v>
      </c>
      <c r="G3723" s="44">
        <v>6.3</v>
      </c>
      <c r="H3723" s="43" t="s">
        <v>1369</v>
      </c>
      <c r="I3723" s="40" t="s">
        <v>1361</v>
      </c>
    </row>
    <row r="3724" spans="1:9" x14ac:dyDescent="0.25">
      <c r="A3724" s="40" t="s">
        <v>383</v>
      </c>
      <c r="B3724" s="28">
        <v>3924</v>
      </c>
      <c r="C3724" s="28">
        <v>5661915</v>
      </c>
      <c r="D3724" s="28"/>
      <c r="E3724" s="41">
        <v>46157</v>
      </c>
      <c r="F3724" s="47">
        <v>0.6736226851851852</v>
      </c>
      <c r="G3724" s="44">
        <v>6.3</v>
      </c>
      <c r="H3724" s="43" t="s">
        <v>1364</v>
      </c>
      <c r="I3724" s="40" t="s">
        <v>1361</v>
      </c>
    </row>
    <row r="3725" spans="1:9" x14ac:dyDescent="0.25">
      <c r="A3725" s="40" t="s">
        <v>383</v>
      </c>
      <c r="B3725" s="28">
        <v>3924</v>
      </c>
      <c r="C3725" s="28">
        <v>5670986</v>
      </c>
      <c r="D3725" s="28"/>
      <c r="E3725" s="41">
        <v>46158</v>
      </c>
      <c r="F3725" s="47">
        <v>0.55494212962962963</v>
      </c>
      <c r="G3725" s="44">
        <v>6.3</v>
      </c>
      <c r="H3725" s="43" t="s">
        <v>1364</v>
      </c>
      <c r="I3725" s="40" t="s">
        <v>1365</v>
      </c>
    </row>
    <row r="3726" spans="1:9" x14ac:dyDescent="0.25">
      <c r="A3726" s="40" t="s">
        <v>383</v>
      </c>
      <c r="B3726" s="28">
        <v>3924</v>
      </c>
      <c r="C3726" s="28">
        <v>5670493</v>
      </c>
      <c r="D3726" s="28"/>
      <c r="E3726" s="41">
        <v>46159</v>
      </c>
      <c r="F3726" s="47">
        <v>3.1134259259259257E-3</v>
      </c>
      <c r="G3726" s="44">
        <v>6.3</v>
      </c>
      <c r="H3726" s="43" t="s">
        <v>1360</v>
      </c>
      <c r="I3726" s="40" t="s">
        <v>1365</v>
      </c>
    </row>
    <row r="3727" spans="1:9" x14ac:dyDescent="0.25">
      <c r="A3727" s="40" t="s">
        <v>383</v>
      </c>
      <c r="B3727" s="28">
        <v>3924</v>
      </c>
      <c r="C3727" s="28">
        <v>5670493</v>
      </c>
      <c r="D3727" s="28"/>
      <c r="E3727" s="41">
        <v>46159</v>
      </c>
      <c r="F3727" s="47">
        <v>1.068287037037037E-2</v>
      </c>
      <c r="G3727" s="44">
        <v>6.3</v>
      </c>
      <c r="H3727" s="43" t="s">
        <v>1362</v>
      </c>
      <c r="I3727" s="40" t="s">
        <v>1365</v>
      </c>
    </row>
    <row r="3728" spans="1:9" x14ac:dyDescent="0.25">
      <c r="A3728" s="40" t="s">
        <v>383</v>
      </c>
      <c r="B3728" s="28">
        <v>3924</v>
      </c>
      <c r="C3728" s="28">
        <v>5671355</v>
      </c>
      <c r="D3728" s="28"/>
      <c r="E3728" s="41">
        <v>46159</v>
      </c>
      <c r="F3728" s="47">
        <v>0.66783564814814811</v>
      </c>
      <c r="G3728" s="44">
        <v>6.3</v>
      </c>
      <c r="H3728" s="43" t="s">
        <v>1364</v>
      </c>
      <c r="I3728" s="40" t="s">
        <v>1365</v>
      </c>
    </row>
    <row r="3729" spans="1:9" x14ac:dyDescent="0.25">
      <c r="A3729" s="40" t="s">
        <v>383</v>
      </c>
      <c r="B3729" s="28">
        <v>3924</v>
      </c>
      <c r="C3729" s="28">
        <v>5671515</v>
      </c>
      <c r="D3729" s="28"/>
      <c r="E3729" s="41">
        <v>46159</v>
      </c>
      <c r="F3729" s="47">
        <v>0.89226851851851852</v>
      </c>
      <c r="G3729" s="44">
        <v>6.3</v>
      </c>
      <c r="H3729" s="43" t="s">
        <v>1360</v>
      </c>
      <c r="I3729" s="40" t="s">
        <v>1365</v>
      </c>
    </row>
    <row r="3730" spans="1:9" x14ac:dyDescent="0.25">
      <c r="A3730" s="40" t="s">
        <v>383</v>
      </c>
      <c r="B3730" s="28">
        <v>3924</v>
      </c>
      <c r="C3730" s="28" t="s">
        <v>35</v>
      </c>
      <c r="D3730" s="28" t="s">
        <v>38</v>
      </c>
      <c r="E3730" s="45">
        <v>46159</v>
      </c>
      <c r="F3730" s="48">
        <v>0.91488425925925931</v>
      </c>
      <c r="G3730" s="44">
        <v>6.3</v>
      </c>
      <c r="H3730" s="43" t="s">
        <v>1364</v>
      </c>
      <c r="I3730" s="40" t="s">
        <v>1365</v>
      </c>
    </row>
    <row r="3731" spans="1:9" x14ac:dyDescent="0.25">
      <c r="A3731" s="40" t="s">
        <v>315</v>
      </c>
      <c r="B3731" s="28">
        <v>3934</v>
      </c>
      <c r="C3731" s="28" t="s">
        <v>1071</v>
      </c>
      <c r="D3731" s="28"/>
      <c r="E3731" s="41">
        <v>46153</v>
      </c>
      <c r="F3731" s="47">
        <v>0.38299768518518518</v>
      </c>
      <c r="G3731" s="44">
        <v>6.3</v>
      </c>
      <c r="H3731" s="43" t="s">
        <v>1360</v>
      </c>
      <c r="I3731" s="40" t="s">
        <v>1361</v>
      </c>
    </row>
    <row r="3732" spans="1:9" x14ac:dyDescent="0.25">
      <c r="A3732" s="40" t="s">
        <v>315</v>
      </c>
      <c r="B3732" s="28">
        <v>3934</v>
      </c>
      <c r="C3732" s="28" t="s">
        <v>1071</v>
      </c>
      <c r="D3732" s="28"/>
      <c r="E3732" s="41">
        <v>46153</v>
      </c>
      <c r="F3732" s="47">
        <v>0.39628472222222222</v>
      </c>
      <c r="G3732" s="44">
        <v>6.3</v>
      </c>
      <c r="H3732" s="43" t="s">
        <v>1362</v>
      </c>
      <c r="I3732" s="40" t="s">
        <v>1361</v>
      </c>
    </row>
    <row r="3733" spans="1:9" x14ac:dyDescent="0.25">
      <c r="A3733" s="40" t="s">
        <v>315</v>
      </c>
      <c r="B3733" s="28">
        <v>3934</v>
      </c>
      <c r="C3733" s="28" t="s">
        <v>1072</v>
      </c>
      <c r="D3733" s="28"/>
      <c r="E3733" s="41">
        <v>46153</v>
      </c>
      <c r="F3733" s="47">
        <v>0.51298611111111114</v>
      </c>
      <c r="G3733" s="44">
        <v>6.3</v>
      </c>
      <c r="H3733" s="43" t="s">
        <v>1360</v>
      </c>
      <c r="I3733" s="40" t="s">
        <v>1361</v>
      </c>
    </row>
    <row r="3734" spans="1:9" x14ac:dyDescent="0.25">
      <c r="A3734" s="40" t="s">
        <v>315</v>
      </c>
      <c r="B3734" s="28">
        <v>3934</v>
      </c>
      <c r="C3734" s="28" t="s">
        <v>1072</v>
      </c>
      <c r="D3734" s="28"/>
      <c r="E3734" s="41">
        <v>46153</v>
      </c>
      <c r="F3734" s="47">
        <v>0.52416666666666667</v>
      </c>
      <c r="G3734" s="42">
        <v>6.3</v>
      </c>
      <c r="H3734" s="40" t="s">
        <v>1362</v>
      </c>
      <c r="I3734" s="40" t="s">
        <v>1361</v>
      </c>
    </row>
    <row r="3735" spans="1:9" x14ac:dyDescent="0.25">
      <c r="A3735" s="40" t="s">
        <v>315</v>
      </c>
      <c r="B3735" s="28">
        <v>3934</v>
      </c>
      <c r="C3735" s="28" t="s">
        <v>35</v>
      </c>
      <c r="D3735" s="28" t="s">
        <v>38</v>
      </c>
      <c r="E3735" s="45">
        <v>46153</v>
      </c>
      <c r="F3735" s="48">
        <v>0.61120370370370369</v>
      </c>
      <c r="G3735" s="44">
        <v>6.3</v>
      </c>
      <c r="H3735" s="43" t="s">
        <v>1363</v>
      </c>
      <c r="I3735" s="40" t="s">
        <v>1361</v>
      </c>
    </row>
    <row r="3736" spans="1:9" x14ac:dyDescent="0.25">
      <c r="A3736" s="40" t="s">
        <v>315</v>
      </c>
      <c r="B3736" s="28">
        <v>3934</v>
      </c>
      <c r="C3736" s="28" t="s">
        <v>35</v>
      </c>
      <c r="D3736" s="28" t="s">
        <v>38</v>
      </c>
      <c r="E3736" s="41">
        <v>46153</v>
      </c>
      <c r="F3736" s="47">
        <v>0.61732638888888891</v>
      </c>
      <c r="G3736" s="44">
        <v>6.3</v>
      </c>
      <c r="H3736" s="43" t="s">
        <v>1364</v>
      </c>
      <c r="I3736" s="40" t="s">
        <v>1361</v>
      </c>
    </row>
    <row r="3737" spans="1:9" x14ac:dyDescent="0.25">
      <c r="A3737" s="40" t="s">
        <v>315</v>
      </c>
      <c r="B3737" s="28">
        <v>3934</v>
      </c>
      <c r="C3737" s="28" t="s">
        <v>1073</v>
      </c>
      <c r="D3737" s="28"/>
      <c r="E3737" s="41">
        <v>46154</v>
      </c>
      <c r="F3737" s="47">
        <v>0.42395833333333333</v>
      </c>
      <c r="G3737" s="42">
        <v>6.3</v>
      </c>
      <c r="H3737" s="40" t="s">
        <v>1363</v>
      </c>
      <c r="I3737" s="40" t="s">
        <v>1361</v>
      </c>
    </row>
    <row r="3738" spans="1:9" x14ac:dyDescent="0.25">
      <c r="A3738" s="40" t="s">
        <v>315</v>
      </c>
      <c r="B3738" s="28">
        <v>3934</v>
      </c>
      <c r="C3738" s="28" t="s">
        <v>1073</v>
      </c>
      <c r="D3738" s="28"/>
      <c r="E3738" s="41">
        <v>46154</v>
      </c>
      <c r="F3738" s="47">
        <v>0.43046296296296294</v>
      </c>
      <c r="G3738" s="42">
        <v>6.3</v>
      </c>
      <c r="H3738" s="40" t="s">
        <v>1364</v>
      </c>
      <c r="I3738" s="40" t="s">
        <v>1361</v>
      </c>
    </row>
    <row r="3739" spans="1:9" x14ac:dyDescent="0.25">
      <c r="A3739" s="40" t="s">
        <v>315</v>
      </c>
      <c r="B3739" s="28">
        <v>3934</v>
      </c>
      <c r="C3739" s="28" t="s">
        <v>35</v>
      </c>
      <c r="D3739" s="28" t="s">
        <v>38</v>
      </c>
      <c r="E3739" s="41">
        <v>46155</v>
      </c>
      <c r="F3739" s="47">
        <v>0.71939814814814818</v>
      </c>
      <c r="G3739" s="44">
        <v>6.3</v>
      </c>
      <c r="H3739" s="43" t="s">
        <v>1360</v>
      </c>
      <c r="I3739" s="40" t="s">
        <v>1361</v>
      </c>
    </row>
    <row r="3740" spans="1:9" x14ac:dyDescent="0.25">
      <c r="A3740" s="40" t="s">
        <v>315</v>
      </c>
      <c r="B3740" s="28">
        <v>3934</v>
      </c>
      <c r="C3740" s="28" t="s">
        <v>35</v>
      </c>
      <c r="D3740" s="28" t="s">
        <v>38</v>
      </c>
      <c r="E3740" s="41">
        <v>46155</v>
      </c>
      <c r="F3740" s="47">
        <v>0.73039351851851853</v>
      </c>
      <c r="G3740" s="44">
        <v>6.3</v>
      </c>
      <c r="H3740" s="43" t="s">
        <v>1362</v>
      </c>
      <c r="I3740" s="40" t="s">
        <v>1361</v>
      </c>
    </row>
    <row r="3741" spans="1:9" x14ac:dyDescent="0.25">
      <c r="A3741" s="40" t="s">
        <v>315</v>
      </c>
      <c r="B3741" s="28">
        <v>3934</v>
      </c>
      <c r="C3741" s="28">
        <v>5670456</v>
      </c>
      <c r="D3741" s="28"/>
      <c r="E3741" s="41">
        <v>46158</v>
      </c>
      <c r="F3741" s="47">
        <v>0.29539351851851853</v>
      </c>
      <c r="G3741" s="44">
        <v>6.3</v>
      </c>
      <c r="H3741" s="43" t="s">
        <v>1363</v>
      </c>
      <c r="I3741" s="40" t="s">
        <v>1365</v>
      </c>
    </row>
    <row r="3742" spans="1:9" x14ac:dyDescent="0.25">
      <c r="A3742" s="40" t="s">
        <v>315</v>
      </c>
      <c r="B3742" s="28">
        <v>3934</v>
      </c>
      <c r="C3742" s="28">
        <v>5670456</v>
      </c>
      <c r="D3742" s="28"/>
      <c r="E3742" s="45">
        <v>46158</v>
      </c>
      <c r="F3742" s="48">
        <v>0.30128472222222225</v>
      </c>
      <c r="G3742" s="44">
        <v>6.3</v>
      </c>
      <c r="H3742" s="43" t="s">
        <v>1364</v>
      </c>
      <c r="I3742" s="40" t="s">
        <v>1365</v>
      </c>
    </row>
    <row r="3743" spans="1:9" x14ac:dyDescent="0.25">
      <c r="A3743" s="40" t="s">
        <v>309</v>
      </c>
      <c r="B3743" s="28">
        <v>3938</v>
      </c>
      <c r="C3743" s="28" t="s">
        <v>1074</v>
      </c>
      <c r="D3743" s="28"/>
      <c r="E3743" s="41">
        <v>46153</v>
      </c>
      <c r="F3743" s="47">
        <v>0.59460648148148143</v>
      </c>
      <c r="G3743" s="44">
        <v>6.3</v>
      </c>
      <c r="H3743" s="43" t="s">
        <v>1360</v>
      </c>
      <c r="I3743" s="40" t="s">
        <v>1361</v>
      </c>
    </row>
    <row r="3744" spans="1:9" x14ac:dyDescent="0.25">
      <c r="A3744" s="40" t="s">
        <v>309</v>
      </c>
      <c r="B3744" s="28">
        <v>3938</v>
      </c>
      <c r="C3744" s="28" t="s">
        <v>1074</v>
      </c>
      <c r="D3744" s="28"/>
      <c r="E3744" s="41">
        <v>46153</v>
      </c>
      <c r="F3744" s="47">
        <v>0.60211805555555553</v>
      </c>
      <c r="G3744" s="44">
        <v>6.3</v>
      </c>
      <c r="H3744" s="43" t="s">
        <v>1362</v>
      </c>
      <c r="I3744" s="40" t="s">
        <v>1361</v>
      </c>
    </row>
    <row r="3745" spans="1:9" x14ac:dyDescent="0.25">
      <c r="A3745" s="40" t="s">
        <v>309</v>
      </c>
      <c r="B3745" s="28">
        <v>3938</v>
      </c>
      <c r="C3745" s="28">
        <v>5662531</v>
      </c>
      <c r="D3745" s="28"/>
      <c r="E3745" s="41">
        <v>46153</v>
      </c>
      <c r="F3745" s="47">
        <v>0.67878472222222219</v>
      </c>
      <c r="G3745" s="44">
        <v>6.3</v>
      </c>
      <c r="H3745" s="43" t="s">
        <v>1369</v>
      </c>
      <c r="I3745" s="40" t="s">
        <v>1361</v>
      </c>
    </row>
    <row r="3746" spans="1:9" x14ac:dyDescent="0.25">
      <c r="A3746" s="40" t="s">
        <v>309</v>
      </c>
      <c r="B3746" s="28">
        <v>3938</v>
      </c>
      <c r="C3746" s="28">
        <v>5662531</v>
      </c>
      <c r="D3746" s="28"/>
      <c r="E3746" s="41">
        <v>46153</v>
      </c>
      <c r="F3746" s="47">
        <v>0.68439814814814814</v>
      </c>
      <c r="G3746" s="44">
        <v>6.3</v>
      </c>
      <c r="H3746" s="43" t="s">
        <v>1364</v>
      </c>
      <c r="I3746" s="40" t="s">
        <v>1361</v>
      </c>
    </row>
    <row r="3747" spans="1:9" x14ac:dyDescent="0.25">
      <c r="A3747" s="40" t="s">
        <v>309</v>
      </c>
      <c r="B3747" s="28">
        <v>3938</v>
      </c>
      <c r="C3747" s="28" t="s">
        <v>35</v>
      </c>
      <c r="D3747" s="28" t="s">
        <v>38</v>
      </c>
      <c r="E3747" s="41">
        <v>46155</v>
      </c>
      <c r="F3747" s="47">
        <v>0.25885416666666666</v>
      </c>
      <c r="G3747" s="44">
        <v>6.3</v>
      </c>
      <c r="H3747" s="43" t="s">
        <v>1360</v>
      </c>
      <c r="I3747" s="40" t="s">
        <v>1361</v>
      </c>
    </row>
    <row r="3748" spans="1:9" x14ac:dyDescent="0.25">
      <c r="A3748" s="40" t="s">
        <v>309</v>
      </c>
      <c r="B3748" s="28">
        <v>3938</v>
      </c>
      <c r="C3748" s="28" t="s">
        <v>1075</v>
      </c>
      <c r="D3748" s="28"/>
      <c r="E3748" s="45">
        <v>46155</v>
      </c>
      <c r="F3748" s="48">
        <v>0.28461805555555558</v>
      </c>
      <c r="G3748" s="44">
        <v>6.3</v>
      </c>
      <c r="H3748" s="43" t="s">
        <v>1368</v>
      </c>
      <c r="I3748" s="40" t="s">
        <v>1361</v>
      </c>
    </row>
    <row r="3749" spans="1:9" x14ac:dyDescent="0.25">
      <c r="A3749" s="40" t="s">
        <v>309</v>
      </c>
      <c r="B3749" s="28">
        <v>3938</v>
      </c>
      <c r="C3749" s="28" t="s">
        <v>1076</v>
      </c>
      <c r="D3749" s="28"/>
      <c r="E3749" s="41">
        <v>46155</v>
      </c>
      <c r="F3749" s="47">
        <v>0.3894097222222222</v>
      </c>
      <c r="G3749" s="44">
        <v>6.3</v>
      </c>
      <c r="H3749" s="43" t="s">
        <v>1363</v>
      </c>
      <c r="I3749" s="40" t="s">
        <v>1361</v>
      </c>
    </row>
    <row r="3750" spans="1:9" x14ac:dyDescent="0.25">
      <c r="A3750" s="40" t="s">
        <v>309</v>
      </c>
      <c r="B3750" s="28">
        <v>3938</v>
      </c>
      <c r="C3750" s="28" t="s">
        <v>1076</v>
      </c>
      <c r="D3750" s="28"/>
      <c r="E3750" s="41">
        <v>46155</v>
      </c>
      <c r="F3750" s="47">
        <v>0.3976736111111111</v>
      </c>
      <c r="G3750" s="44">
        <v>6.3</v>
      </c>
      <c r="H3750" s="43" t="s">
        <v>1364</v>
      </c>
      <c r="I3750" s="40" t="s">
        <v>1361</v>
      </c>
    </row>
    <row r="3751" spans="1:9" x14ac:dyDescent="0.25">
      <c r="A3751" s="40" t="s">
        <v>309</v>
      </c>
      <c r="B3751" s="28">
        <v>3938</v>
      </c>
      <c r="C3751" s="28" t="s">
        <v>1077</v>
      </c>
      <c r="D3751" s="28"/>
      <c r="E3751" s="41">
        <v>46156</v>
      </c>
      <c r="F3751" s="47">
        <v>0.54438657407407409</v>
      </c>
      <c r="G3751" s="44">
        <v>6.3</v>
      </c>
      <c r="H3751" s="43" t="s">
        <v>1360</v>
      </c>
      <c r="I3751" s="40" t="s">
        <v>1361</v>
      </c>
    </row>
    <row r="3752" spans="1:9" x14ac:dyDescent="0.25">
      <c r="A3752" s="40" t="s">
        <v>309</v>
      </c>
      <c r="B3752" s="28">
        <v>3938</v>
      </c>
      <c r="C3752" s="28" t="s">
        <v>1077</v>
      </c>
      <c r="D3752" s="28"/>
      <c r="E3752" s="41">
        <v>46156</v>
      </c>
      <c r="F3752" s="47">
        <v>0.55646990740740743</v>
      </c>
      <c r="G3752" s="44">
        <v>6.3</v>
      </c>
      <c r="H3752" s="43" t="s">
        <v>1362</v>
      </c>
      <c r="I3752" s="40" t="s">
        <v>1361</v>
      </c>
    </row>
    <row r="3753" spans="1:9" x14ac:dyDescent="0.25">
      <c r="A3753" s="40" t="s">
        <v>309</v>
      </c>
      <c r="B3753" s="28">
        <v>3938</v>
      </c>
      <c r="C3753" s="28" t="s">
        <v>35</v>
      </c>
      <c r="D3753" s="28" t="s">
        <v>38</v>
      </c>
      <c r="E3753" s="45">
        <v>46156</v>
      </c>
      <c r="F3753" s="48">
        <v>0.71086805555555554</v>
      </c>
      <c r="G3753" s="44">
        <v>6.3</v>
      </c>
      <c r="H3753" s="43" t="s">
        <v>1363</v>
      </c>
      <c r="I3753" s="40" t="s">
        <v>1361</v>
      </c>
    </row>
    <row r="3754" spans="1:9" x14ac:dyDescent="0.25">
      <c r="A3754" s="40" t="s">
        <v>309</v>
      </c>
      <c r="B3754" s="28">
        <v>3938</v>
      </c>
      <c r="C3754" s="28" t="s">
        <v>1078</v>
      </c>
      <c r="D3754" s="28"/>
      <c r="E3754" s="41">
        <v>46156</v>
      </c>
      <c r="F3754" s="47">
        <v>0.72285879629629635</v>
      </c>
      <c r="G3754" s="44">
        <v>6.3</v>
      </c>
      <c r="H3754" s="43" t="s">
        <v>1364</v>
      </c>
      <c r="I3754" s="40" t="s">
        <v>1361</v>
      </c>
    </row>
    <row r="3755" spans="1:9" x14ac:dyDescent="0.25">
      <c r="A3755" s="40" t="s">
        <v>387</v>
      </c>
      <c r="B3755" s="28">
        <v>3939</v>
      </c>
      <c r="C3755" s="28" t="s">
        <v>1079</v>
      </c>
      <c r="D3755" s="28"/>
      <c r="E3755" s="41">
        <v>46153</v>
      </c>
      <c r="F3755" s="47">
        <v>0.57809027777777777</v>
      </c>
      <c r="G3755" s="44">
        <v>6.3</v>
      </c>
      <c r="H3755" s="43" t="s">
        <v>1360</v>
      </c>
      <c r="I3755" s="40" t="s">
        <v>1361</v>
      </c>
    </row>
    <row r="3756" spans="1:9" x14ac:dyDescent="0.25">
      <c r="A3756" s="40" t="s">
        <v>387</v>
      </c>
      <c r="B3756" s="28">
        <v>3939</v>
      </c>
      <c r="C3756" s="28" t="s">
        <v>1080</v>
      </c>
      <c r="D3756" s="28"/>
      <c r="E3756" s="41">
        <v>46155</v>
      </c>
      <c r="F3756" s="47">
        <v>0.50138888888888888</v>
      </c>
      <c r="G3756" s="44">
        <v>6.3</v>
      </c>
      <c r="H3756" s="43" t="s">
        <v>1360</v>
      </c>
      <c r="I3756" s="40" t="s">
        <v>1361</v>
      </c>
    </row>
    <row r="3757" spans="1:9" x14ac:dyDescent="0.25">
      <c r="A3757" s="40" t="s">
        <v>387</v>
      </c>
      <c r="B3757" s="28">
        <v>3939</v>
      </c>
      <c r="C3757" s="28" t="s">
        <v>1081</v>
      </c>
      <c r="D3757" s="28"/>
      <c r="E3757" s="41">
        <v>46156</v>
      </c>
      <c r="F3757" s="47">
        <v>0.97796296296296292</v>
      </c>
      <c r="G3757" s="44">
        <v>6.3</v>
      </c>
      <c r="H3757" s="43" t="s">
        <v>1360</v>
      </c>
      <c r="I3757" s="40" t="s">
        <v>1361</v>
      </c>
    </row>
    <row r="3758" spans="1:9" x14ac:dyDescent="0.25">
      <c r="A3758" s="40" t="s">
        <v>387</v>
      </c>
      <c r="B3758" s="28">
        <v>3939</v>
      </c>
      <c r="C3758" s="28" t="s">
        <v>1081</v>
      </c>
      <c r="D3758" s="28"/>
      <c r="E3758" s="41">
        <v>46156</v>
      </c>
      <c r="F3758" s="47">
        <v>0.98681712962962964</v>
      </c>
      <c r="G3758" s="44">
        <v>6.3</v>
      </c>
      <c r="H3758" s="43" t="s">
        <v>1362</v>
      </c>
      <c r="I3758" s="40" t="s">
        <v>1361</v>
      </c>
    </row>
    <row r="3759" spans="1:9" x14ac:dyDescent="0.25">
      <c r="A3759" s="40" t="s">
        <v>387</v>
      </c>
      <c r="B3759" s="28">
        <v>3939</v>
      </c>
      <c r="C3759" s="28" t="s">
        <v>35</v>
      </c>
      <c r="D3759" s="28" t="s">
        <v>38</v>
      </c>
      <c r="E3759" s="41">
        <v>46156</v>
      </c>
      <c r="F3759" s="47">
        <v>0.99717592592592597</v>
      </c>
      <c r="G3759" s="44">
        <v>6.3</v>
      </c>
      <c r="H3759" s="43" t="s">
        <v>1363</v>
      </c>
      <c r="I3759" s="40" t="s">
        <v>1361</v>
      </c>
    </row>
    <row r="3760" spans="1:9" x14ac:dyDescent="0.25">
      <c r="A3760" s="40" t="s">
        <v>387</v>
      </c>
      <c r="B3760" s="28">
        <v>3939</v>
      </c>
      <c r="C3760" s="28" t="s">
        <v>35</v>
      </c>
      <c r="D3760" s="28" t="s">
        <v>38</v>
      </c>
      <c r="E3760" s="41">
        <v>46157</v>
      </c>
      <c r="F3760" s="47">
        <v>2.3032407407407407E-3</v>
      </c>
      <c r="G3760" s="44">
        <v>6.3</v>
      </c>
      <c r="H3760" s="43" t="s">
        <v>1364</v>
      </c>
      <c r="I3760" s="40" t="s">
        <v>1361</v>
      </c>
    </row>
    <row r="3761" spans="1:9" x14ac:dyDescent="0.25">
      <c r="A3761" s="40" t="s">
        <v>387</v>
      </c>
      <c r="B3761" s="28">
        <v>3939</v>
      </c>
      <c r="C3761" s="28">
        <v>5670185</v>
      </c>
      <c r="D3761" s="28"/>
      <c r="E3761" s="41">
        <v>46157</v>
      </c>
      <c r="F3761" s="47">
        <v>0.84881944444444446</v>
      </c>
      <c r="G3761" s="44">
        <v>6.3</v>
      </c>
      <c r="H3761" s="43" t="s">
        <v>1360</v>
      </c>
      <c r="I3761" s="40" t="s">
        <v>1361</v>
      </c>
    </row>
    <row r="3762" spans="1:9" x14ac:dyDescent="0.25">
      <c r="A3762" s="40" t="s">
        <v>387</v>
      </c>
      <c r="B3762" s="28">
        <v>3939</v>
      </c>
      <c r="C3762" s="28">
        <v>5670185</v>
      </c>
      <c r="D3762" s="28"/>
      <c r="E3762" s="41">
        <v>46157</v>
      </c>
      <c r="F3762" s="47">
        <v>0.85945601851851849</v>
      </c>
      <c r="G3762" s="44">
        <v>6.3</v>
      </c>
      <c r="H3762" s="43" t="s">
        <v>1362</v>
      </c>
      <c r="I3762" s="40" t="s">
        <v>1361</v>
      </c>
    </row>
    <row r="3763" spans="1:9" x14ac:dyDescent="0.25">
      <c r="A3763" s="40" t="s">
        <v>387</v>
      </c>
      <c r="B3763" s="28">
        <v>3939</v>
      </c>
      <c r="C3763" s="28" t="s">
        <v>1082</v>
      </c>
      <c r="D3763" s="28"/>
      <c r="E3763" s="41">
        <v>46159</v>
      </c>
      <c r="F3763" s="47">
        <v>0.58043981481481477</v>
      </c>
      <c r="G3763" s="44">
        <v>6.3</v>
      </c>
      <c r="H3763" s="43" t="s">
        <v>1360</v>
      </c>
      <c r="I3763" s="40" t="s">
        <v>1365</v>
      </c>
    </row>
    <row r="3764" spans="1:9" x14ac:dyDescent="0.25">
      <c r="A3764" s="40" t="s">
        <v>387</v>
      </c>
      <c r="B3764" s="28">
        <v>3939</v>
      </c>
      <c r="C3764" s="28" t="s">
        <v>1082</v>
      </c>
      <c r="D3764" s="28"/>
      <c r="E3764" s="45">
        <v>46159</v>
      </c>
      <c r="F3764" s="48">
        <v>0.58725694444444443</v>
      </c>
      <c r="G3764" s="44">
        <v>6.3</v>
      </c>
      <c r="H3764" s="43" t="s">
        <v>1362</v>
      </c>
      <c r="I3764" s="40" t="s">
        <v>1365</v>
      </c>
    </row>
    <row r="3765" spans="1:9" x14ac:dyDescent="0.25">
      <c r="A3765" s="40" t="s">
        <v>387</v>
      </c>
      <c r="B3765" s="28">
        <v>3939</v>
      </c>
      <c r="C3765" s="28">
        <v>5672755</v>
      </c>
      <c r="D3765" s="28"/>
      <c r="E3765" s="41">
        <v>46159</v>
      </c>
      <c r="F3765" s="47">
        <v>0.61906249999999996</v>
      </c>
      <c r="G3765" s="44">
        <v>6.3</v>
      </c>
      <c r="H3765" s="43" t="s">
        <v>1364</v>
      </c>
      <c r="I3765" s="40" t="s">
        <v>1365</v>
      </c>
    </row>
    <row r="3766" spans="1:9" x14ac:dyDescent="0.25">
      <c r="A3766" s="40" t="s">
        <v>442</v>
      </c>
      <c r="B3766" s="28">
        <v>3943</v>
      </c>
      <c r="C3766" s="28">
        <v>5663172</v>
      </c>
      <c r="D3766" s="28"/>
      <c r="E3766" s="41">
        <v>46153</v>
      </c>
      <c r="F3766" s="47">
        <v>0.69769675925925922</v>
      </c>
      <c r="G3766" s="44">
        <v>6.3</v>
      </c>
      <c r="H3766" s="43" t="s">
        <v>1360</v>
      </c>
      <c r="I3766" s="40" t="s">
        <v>1361</v>
      </c>
    </row>
    <row r="3767" spans="1:9" x14ac:dyDescent="0.25">
      <c r="A3767" s="40" t="s">
        <v>442</v>
      </c>
      <c r="B3767" s="28">
        <v>3943</v>
      </c>
      <c r="C3767" s="28">
        <v>5663172</v>
      </c>
      <c r="D3767" s="28"/>
      <c r="E3767" s="45">
        <v>46153</v>
      </c>
      <c r="F3767" s="48">
        <v>0.71665509259259264</v>
      </c>
      <c r="G3767" s="44">
        <v>6.3</v>
      </c>
      <c r="H3767" s="43" t="s">
        <v>1362</v>
      </c>
      <c r="I3767" s="40" t="s">
        <v>1361</v>
      </c>
    </row>
    <row r="3768" spans="1:9" x14ac:dyDescent="0.25">
      <c r="A3768" s="40" t="s">
        <v>442</v>
      </c>
      <c r="B3768" s="28">
        <v>3943</v>
      </c>
      <c r="C3768" s="28">
        <v>5667833</v>
      </c>
      <c r="D3768" s="28"/>
      <c r="E3768" s="41">
        <v>46156</v>
      </c>
      <c r="F3768" s="47">
        <v>0.33208333333333334</v>
      </c>
      <c r="G3768" s="44">
        <v>6.3</v>
      </c>
      <c r="H3768" s="43" t="s">
        <v>1371</v>
      </c>
      <c r="I3768" s="40" t="s">
        <v>1361</v>
      </c>
    </row>
    <row r="3769" spans="1:9" x14ac:dyDescent="0.25">
      <c r="A3769" s="40" t="s">
        <v>320</v>
      </c>
      <c r="B3769" s="28">
        <v>3948</v>
      </c>
      <c r="C3769" s="28" t="s">
        <v>1083</v>
      </c>
      <c r="D3769" s="28"/>
      <c r="E3769" s="41">
        <v>46154</v>
      </c>
      <c r="F3769" s="47">
        <v>0.60016203703703708</v>
      </c>
      <c r="G3769" s="42">
        <v>6.3</v>
      </c>
      <c r="H3769" s="40" t="s">
        <v>1360</v>
      </c>
      <c r="I3769" s="40" t="s">
        <v>1361</v>
      </c>
    </row>
    <row r="3770" spans="1:9" x14ac:dyDescent="0.25">
      <c r="A3770" s="40" t="s">
        <v>320</v>
      </c>
      <c r="B3770" s="28">
        <v>3948</v>
      </c>
      <c r="C3770" s="28" t="s">
        <v>1083</v>
      </c>
      <c r="D3770" s="28"/>
      <c r="E3770" s="41">
        <v>46154</v>
      </c>
      <c r="F3770" s="47">
        <v>0.61203703703703705</v>
      </c>
      <c r="G3770" s="44">
        <v>6.3</v>
      </c>
      <c r="H3770" s="43" t="s">
        <v>1368</v>
      </c>
      <c r="I3770" s="40" t="s">
        <v>1361</v>
      </c>
    </row>
    <row r="3771" spans="1:9" x14ac:dyDescent="0.25">
      <c r="A3771" s="40" t="s">
        <v>320</v>
      </c>
      <c r="B3771" s="28">
        <v>3948</v>
      </c>
      <c r="C3771" s="28" t="s">
        <v>1084</v>
      </c>
      <c r="D3771" s="28"/>
      <c r="E3771" s="45">
        <v>46156</v>
      </c>
      <c r="F3771" s="48">
        <v>0.72480324074074076</v>
      </c>
      <c r="G3771" s="44">
        <v>6.3</v>
      </c>
      <c r="H3771" s="43" t="s">
        <v>1360</v>
      </c>
      <c r="I3771" s="40" t="s">
        <v>1361</v>
      </c>
    </row>
    <row r="3772" spans="1:9" x14ac:dyDescent="0.25">
      <c r="A3772" s="40" t="s">
        <v>320</v>
      </c>
      <c r="B3772" s="28">
        <v>3948</v>
      </c>
      <c r="C3772" s="28" t="s">
        <v>1084</v>
      </c>
      <c r="D3772" s="28"/>
      <c r="E3772" s="41">
        <v>46156</v>
      </c>
      <c r="F3772" s="47">
        <v>0.74502314814814818</v>
      </c>
      <c r="G3772" s="44">
        <v>6.3</v>
      </c>
      <c r="H3772" s="43" t="s">
        <v>1362</v>
      </c>
      <c r="I3772" s="40" t="s">
        <v>1361</v>
      </c>
    </row>
    <row r="3773" spans="1:9" x14ac:dyDescent="0.25">
      <c r="A3773" s="40" t="s">
        <v>320</v>
      </c>
      <c r="B3773" s="28">
        <v>3948</v>
      </c>
      <c r="C3773" s="28" t="s">
        <v>1085</v>
      </c>
      <c r="D3773" s="28"/>
      <c r="E3773" s="41">
        <v>46156</v>
      </c>
      <c r="F3773" s="47">
        <v>0.82662037037037039</v>
      </c>
      <c r="G3773" s="44">
        <v>6.3</v>
      </c>
      <c r="H3773" s="43" t="s">
        <v>1363</v>
      </c>
      <c r="I3773" s="40" t="s">
        <v>1361</v>
      </c>
    </row>
    <row r="3774" spans="1:9" x14ac:dyDescent="0.25">
      <c r="A3774" s="40" t="s">
        <v>320</v>
      </c>
      <c r="B3774" s="28">
        <v>3948</v>
      </c>
      <c r="C3774" s="28" t="s">
        <v>1085</v>
      </c>
      <c r="D3774" s="28"/>
      <c r="E3774" s="45">
        <v>46156</v>
      </c>
      <c r="F3774" s="48">
        <v>0.84168981481481486</v>
      </c>
      <c r="G3774" s="44">
        <v>6.3</v>
      </c>
      <c r="H3774" s="43" t="s">
        <v>1364</v>
      </c>
      <c r="I3774" s="40" t="s">
        <v>1361</v>
      </c>
    </row>
    <row r="3775" spans="1:9" x14ac:dyDescent="0.25">
      <c r="A3775" s="40" t="s">
        <v>320</v>
      </c>
      <c r="B3775" s="28">
        <v>3948</v>
      </c>
      <c r="C3775" s="28" t="s">
        <v>1086</v>
      </c>
      <c r="D3775" s="28"/>
      <c r="E3775" s="41">
        <v>46158</v>
      </c>
      <c r="F3775" s="47">
        <v>0.44019675925925927</v>
      </c>
      <c r="G3775" s="44">
        <v>6.3</v>
      </c>
      <c r="H3775" s="43" t="s">
        <v>1363</v>
      </c>
      <c r="I3775" s="40" t="s">
        <v>1365</v>
      </c>
    </row>
    <row r="3776" spans="1:9" x14ac:dyDescent="0.25">
      <c r="A3776" s="40" t="s">
        <v>320</v>
      </c>
      <c r="B3776" s="28">
        <v>3948</v>
      </c>
      <c r="C3776" s="28" t="s">
        <v>1086</v>
      </c>
      <c r="D3776" s="28"/>
      <c r="E3776" s="41">
        <v>46158</v>
      </c>
      <c r="F3776" s="47">
        <v>0.44648148148148148</v>
      </c>
      <c r="G3776" s="44">
        <v>6.3</v>
      </c>
      <c r="H3776" s="43" t="s">
        <v>1364</v>
      </c>
      <c r="I3776" s="40" t="s">
        <v>1365</v>
      </c>
    </row>
    <row r="3777" spans="1:9" x14ac:dyDescent="0.25">
      <c r="A3777" s="40" t="s">
        <v>320</v>
      </c>
      <c r="B3777" s="28">
        <v>3948</v>
      </c>
      <c r="C3777" s="28">
        <v>10675292</v>
      </c>
      <c r="D3777" s="28" t="s">
        <v>36</v>
      </c>
      <c r="E3777" s="41">
        <v>46158</v>
      </c>
      <c r="F3777" s="47">
        <v>0.74162037037037032</v>
      </c>
      <c r="G3777" s="44">
        <v>6.3</v>
      </c>
      <c r="H3777" s="43" t="s">
        <v>1360</v>
      </c>
      <c r="I3777" s="40" t="s">
        <v>1365</v>
      </c>
    </row>
    <row r="3778" spans="1:9" x14ac:dyDescent="0.25">
      <c r="A3778" s="40" t="s">
        <v>320</v>
      </c>
      <c r="B3778" s="28">
        <v>3948</v>
      </c>
      <c r="C3778" s="28" t="s">
        <v>1087</v>
      </c>
      <c r="D3778" s="28"/>
      <c r="E3778" s="41">
        <v>46159</v>
      </c>
      <c r="F3778" s="47">
        <v>0.66207175925925921</v>
      </c>
      <c r="G3778" s="44">
        <v>6.3</v>
      </c>
      <c r="H3778" s="43" t="s">
        <v>1360</v>
      </c>
      <c r="I3778" s="40" t="s">
        <v>1365</v>
      </c>
    </row>
    <row r="3779" spans="1:9" x14ac:dyDescent="0.25">
      <c r="A3779" s="40" t="s">
        <v>320</v>
      </c>
      <c r="B3779" s="28">
        <v>3948</v>
      </c>
      <c r="C3779" s="28" t="s">
        <v>1088</v>
      </c>
      <c r="D3779" s="28"/>
      <c r="E3779" s="41">
        <v>46159</v>
      </c>
      <c r="F3779" s="47">
        <v>0.74091435185185184</v>
      </c>
      <c r="G3779" s="44">
        <v>6.3</v>
      </c>
      <c r="H3779" s="43" t="s">
        <v>1364</v>
      </c>
      <c r="I3779" s="40" t="s">
        <v>1365</v>
      </c>
    </row>
    <row r="3780" spans="1:9" x14ac:dyDescent="0.25">
      <c r="A3780" s="40" t="s">
        <v>1089</v>
      </c>
      <c r="B3780" s="28">
        <v>3950</v>
      </c>
      <c r="C3780" s="28" t="s">
        <v>1090</v>
      </c>
      <c r="D3780" s="28"/>
      <c r="E3780" s="45">
        <v>46154</v>
      </c>
      <c r="F3780" s="48">
        <v>1.5196759259259259E-2</v>
      </c>
      <c r="G3780" s="44">
        <v>6.3</v>
      </c>
      <c r="H3780" s="43" t="s">
        <v>1360</v>
      </c>
      <c r="I3780" s="40" t="s">
        <v>1361</v>
      </c>
    </row>
    <row r="3781" spans="1:9" x14ac:dyDescent="0.25">
      <c r="A3781" s="40" t="s">
        <v>1089</v>
      </c>
      <c r="B3781" s="28">
        <v>3950</v>
      </c>
      <c r="C3781" s="28" t="s">
        <v>1090</v>
      </c>
      <c r="D3781" s="28"/>
      <c r="E3781" s="41">
        <v>46154</v>
      </c>
      <c r="F3781" s="47">
        <v>2.2824074074074073E-2</v>
      </c>
      <c r="G3781" s="42">
        <v>6.3</v>
      </c>
      <c r="H3781" s="40" t="s">
        <v>1362</v>
      </c>
      <c r="I3781" s="40" t="s">
        <v>1361</v>
      </c>
    </row>
    <row r="3782" spans="1:9" x14ac:dyDescent="0.25">
      <c r="A3782" s="40" t="s">
        <v>1089</v>
      </c>
      <c r="B3782" s="28">
        <v>3950</v>
      </c>
      <c r="C3782" s="28" t="s">
        <v>1091</v>
      </c>
      <c r="D3782" s="28"/>
      <c r="E3782" s="41">
        <v>46154</v>
      </c>
      <c r="F3782" s="47">
        <v>0.1290162037037037</v>
      </c>
      <c r="G3782" s="42">
        <v>6.3</v>
      </c>
      <c r="H3782" s="40" t="s">
        <v>1360</v>
      </c>
      <c r="I3782" s="40" t="s">
        <v>1361</v>
      </c>
    </row>
    <row r="3783" spans="1:9" x14ac:dyDescent="0.25">
      <c r="A3783" s="40" t="s">
        <v>1089</v>
      </c>
      <c r="B3783" s="28">
        <v>3950</v>
      </c>
      <c r="C3783" s="28" t="s">
        <v>1091</v>
      </c>
      <c r="D3783" s="28"/>
      <c r="E3783" s="41">
        <v>46154</v>
      </c>
      <c r="F3783" s="47">
        <v>0.13722222222222222</v>
      </c>
      <c r="G3783" s="42">
        <v>6.3</v>
      </c>
      <c r="H3783" s="40" t="s">
        <v>1362</v>
      </c>
      <c r="I3783" s="40" t="s">
        <v>1361</v>
      </c>
    </row>
    <row r="3784" spans="1:9" x14ac:dyDescent="0.25">
      <c r="A3784" s="40" t="s">
        <v>1089</v>
      </c>
      <c r="B3784" s="28">
        <v>3950</v>
      </c>
      <c r="C3784" s="28" t="s">
        <v>1091</v>
      </c>
      <c r="D3784" s="28"/>
      <c r="E3784" s="41">
        <v>46154</v>
      </c>
      <c r="F3784" s="47">
        <v>0.16979166666666667</v>
      </c>
      <c r="G3784" s="42">
        <v>6.3</v>
      </c>
      <c r="H3784" s="40" t="s">
        <v>1363</v>
      </c>
      <c r="I3784" s="40" t="s">
        <v>1361</v>
      </c>
    </row>
    <row r="3785" spans="1:9" x14ac:dyDescent="0.25">
      <c r="A3785" s="40" t="s">
        <v>1089</v>
      </c>
      <c r="B3785" s="28">
        <v>3950</v>
      </c>
      <c r="C3785" s="28" t="s">
        <v>1091</v>
      </c>
      <c r="D3785" s="28"/>
      <c r="E3785" s="41">
        <v>46154</v>
      </c>
      <c r="F3785" s="47">
        <v>0.17488425925925927</v>
      </c>
      <c r="G3785" s="44">
        <v>6.3</v>
      </c>
      <c r="H3785" s="43" t="s">
        <v>1364</v>
      </c>
      <c r="I3785" s="40" t="s">
        <v>1361</v>
      </c>
    </row>
    <row r="3786" spans="1:9" x14ac:dyDescent="0.25">
      <c r="A3786" s="40" t="s">
        <v>1089</v>
      </c>
      <c r="B3786" s="28">
        <v>3950</v>
      </c>
      <c r="C3786" s="28" t="s">
        <v>1092</v>
      </c>
      <c r="D3786" s="28"/>
      <c r="E3786" s="41">
        <v>46154</v>
      </c>
      <c r="F3786" s="47">
        <v>0.72809027777777779</v>
      </c>
      <c r="G3786" s="44">
        <v>6.3</v>
      </c>
      <c r="H3786" s="43" t="s">
        <v>1360</v>
      </c>
      <c r="I3786" s="40" t="s">
        <v>1361</v>
      </c>
    </row>
    <row r="3787" spans="1:9" x14ac:dyDescent="0.25">
      <c r="A3787" s="40" t="s">
        <v>1089</v>
      </c>
      <c r="B3787" s="28">
        <v>3950</v>
      </c>
      <c r="C3787" s="28" t="s">
        <v>1092</v>
      </c>
      <c r="D3787" s="28"/>
      <c r="E3787" s="45">
        <v>46154</v>
      </c>
      <c r="F3787" s="48">
        <v>0.74762731481481481</v>
      </c>
      <c r="G3787" s="44">
        <v>6.3</v>
      </c>
      <c r="H3787" s="43" t="s">
        <v>1362</v>
      </c>
      <c r="I3787" s="40" t="s">
        <v>1361</v>
      </c>
    </row>
    <row r="3788" spans="1:9" x14ac:dyDescent="0.25">
      <c r="A3788" s="40" t="s">
        <v>1089</v>
      </c>
      <c r="B3788" s="28">
        <v>3950</v>
      </c>
      <c r="C3788" s="28" t="s">
        <v>1093</v>
      </c>
      <c r="D3788" s="28"/>
      <c r="E3788" s="45">
        <v>46155</v>
      </c>
      <c r="F3788" s="48">
        <v>0.12143518518518519</v>
      </c>
      <c r="G3788" s="44">
        <v>6.3</v>
      </c>
      <c r="H3788" s="43" t="s">
        <v>1369</v>
      </c>
      <c r="I3788" s="40" t="s">
        <v>1361</v>
      </c>
    </row>
    <row r="3789" spans="1:9" x14ac:dyDescent="0.25">
      <c r="A3789" s="40" t="s">
        <v>1089</v>
      </c>
      <c r="B3789" s="28">
        <v>3950</v>
      </c>
      <c r="C3789" s="28" t="s">
        <v>1093</v>
      </c>
      <c r="D3789" s="28"/>
      <c r="E3789" s="41">
        <v>46155</v>
      </c>
      <c r="F3789" s="47">
        <v>0.12679398148148149</v>
      </c>
      <c r="G3789" s="44">
        <v>6.3</v>
      </c>
      <c r="H3789" s="43" t="s">
        <v>1364</v>
      </c>
      <c r="I3789" s="40" t="s">
        <v>1361</v>
      </c>
    </row>
    <row r="3790" spans="1:9" x14ac:dyDescent="0.25">
      <c r="A3790" s="40" t="s">
        <v>1089</v>
      </c>
      <c r="B3790" s="28">
        <v>3950</v>
      </c>
      <c r="C3790" s="28" t="s">
        <v>1094</v>
      </c>
      <c r="D3790" s="28"/>
      <c r="E3790" s="41">
        <v>46155</v>
      </c>
      <c r="F3790" s="47">
        <v>0.15026620370370369</v>
      </c>
      <c r="G3790" s="44">
        <v>6.3</v>
      </c>
      <c r="H3790" s="43" t="s">
        <v>1360</v>
      </c>
      <c r="I3790" s="40" t="s">
        <v>1361</v>
      </c>
    </row>
    <row r="3791" spans="1:9" x14ac:dyDescent="0.25">
      <c r="A3791" s="40" t="s">
        <v>1089</v>
      </c>
      <c r="B3791" s="28">
        <v>3950</v>
      </c>
      <c r="C3791" s="28" t="s">
        <v>1094</v>
      </c>
      <c r="D3791" s="28"/>
      <c r="E3791" s="41">
        <v>46155</v>
      </c>
      <c r="F3791" s="47">
        <v>0.15998842592592594</v>
      </c>
      <c r="G3791" s="44">
        <v>6.3</v>
      </c>
      <c r="H3791" s="43" t="s">
        <v>1362</v>
      </c>
      <c r="I3791" s="40" t="s">
        <v>1361</v>
      </c>
    </row>
    <row r="3792" spans="1:9" x14ac:dyDescent="0.25">
      <c r="A3792" s="40" t="s">
        <v>1089</v>
      </c>
      <c r="B3792" s="28">
        <v>3950</v>
      </c>
      <c r="C3792" s="28" t="s">
        <v>1094</v>
      </c>
      <c r="D3792" s="28"/>
      <c r="E3792" s="41">
        <v>46155</v>
      </c>
      <c r="F3792" s="47">
        <v>0.18265046296296297</v>
      </c>
      <c r="G3792" s="44">
        <v>6.3</v>
      </c>
      <c r="H3792" s="43" t="s">
        <v>1363</v>
      </c>
      <c r="I3792" s="40" t="s">
        <v>1361</v>
      </c>
    </row>
    <row r="3793" spans="1:9" x14ac:dyDescent="0.25">
      <c r="A3793" s="40" t="s">
        <v>1089</v>
      </c>
      <c r="B3793" s="28">
        <v>3950</v>
      </c>
      <c r="C3793" s="28" t="s">
        <v>1094</v>
      </c>
      <c r="D3793" s="28"/>
      <c r="E3793" s="41">
        <v>46155</v>
      </c>
      <c r="F3793" s="47">
        <v>0.18788194444444445</v>
      </c>
      <c r="G3793" s="44">
        <v>6.3</v>
      </c>
      <c r="H3793" s="43" t="s">
        <v>1364</v>
      </c>
      <c r="I3793" s="40" t="s">
        <v>1361</v>
      </c>
    </row>
    <row r="3794" spans="1:9" x14ac:dyDescent="0.25">
      <c r="A3794" s="40" t="s">
        <v>443</v>
      </c>
      <c r="B3794" s="28">
        <v>3951</v>
      </c>
      <c r="C3794" s="28" t="s">
        <v>35</v>
      </c>
      <c r="D3794" s="28" t="s">
        <v>38</v>
      </c>
      <c r="E3794" s="41">
        <v>46153</v>
      </c>
      <c r="F3794" s="47">
        <v>0.61182870370370368</v>
      </c>
      <c r="G3794" s="44">
        <v>6.3</v>
      </c>
      <c r="H3794" s="43" t="s">
        <v>1367</v>
      </c>
      <c r="I3794" s="40" t="s">
        <v>1361</v>
      </c>
    </row>
    <row r="3795" spans="1:9" x14ac:dyDescent="0.25">
      <c r="A3795" s="40" t="s">
        <v>443</v>
      </c>
      <c r="B3795" s="28">
        <v>3951</v>
      </c>
      <c r="C3795" s="28" t="s">
        <v>1095</v>
      </c>
      <c r="D3795" s="28"/>
      <c r="E3795" s="41">
        <v>46153</v>
      </c>
      <c r="F3795" s="47">
        <v>0.83625000000000005</v>
      </c>
      <c r="G3795" s="44">
        <v>6.3</v>
      </c>
      <c r="H3795" s="43" t="s">
        <v>1360</v>
      </c>
      <c r="I3795" s="40" t="s">
        <v>1361</v>
      </c>
    </row>
    <row r="3796" spans="1:9" x14ac:dyDescent="0.25">
      <c r="A3796" s="40" t="s">
        <v>443</v>
      </c>
      <c r="B3796" s="28">
        <v>3951</v>
      </c>
      <c r="C3796" s="28" t="s">
        <v>1095</v>
      </c>
      <c r="D3796" s="28"/>
      <c r="E3796" s="41">
        <v>46153</v>
      </c>
      <c r="F3796" s="47">
        <v>0.843287037037037</v>
      </c>
      <c r="G3796" s="44">
        <v>6.3</v>
      </c>
      <c r="H3796" s="43" t="s">
        <v>1362</v>
      </c>
      <c r="I3796" s="40" t="s">
        <v>1361</v>
      </c>
    </row>
    <row r="3797" spans="1:9" x14ac:dyDescent="0.25">
      <c r="A3797" s="40" t="s">
        <v>443</v>
      </c>
      <c r="B3797" s="28">
        <v>3951</v>
      </c>
      <c r="C3797" s="28" t="s">
        <v>1096</v>
      </c>
      <c r="D3797" s="28"/>
      <c r="E3797" s="41">
        <v>46153</v>
      </c>
      <c r="F3797" s="47">
        <v>0.90559027777777779</v>
      </c>
      <c r="G3797" s="44">
        <v>6.3</v>
      </c>
      <c r="H3797" s="43" t="s">
        <v>1363</v>
      </c>
      <c r="I3797" s="40" t="s">
        <v>1361</v>
      </c>
    </row>
    <row r="3798" spans="1:9" x14ac:dyDescent="0.25">
      <c r="A3798" s="40" t="s">
        <v>443</v>
      </c>
      <c r="B3798" s="28">
        <v>3951</v>
      </c>
      <c r="C3798" s="28" t="s">
        <v>1096</v>
      </c>
      <c r="D3798" s="28"/>
      <c r="E3798" s="41">
        <v>46153</v>
      </c>
      <c r="F3798" s="47">
        <v>0.91098379629629633</v>
      </c>
      <c r="G3798" s="44">
        <v>6.3</v>
      </c>
      <c r="H3798" s="43" t="s">
        <v>1364</v>
      </c>
      <c r="I3798" s="40" t="s">
        <v>1361</v>
      </c>
    </row>
    <row r="3799" spans="1:9" x14ac:dyDescent="0.25">
      <c r="A3799" s="40" t="s">
        <v>443</v>
      </c>
      <c r="B3799" s="28">
        <v>3951</v>
      </c>
      <c r="C3799" s="28">
        <v>10644925</v>
      </c>
      <c r="D3799" s="28"/>
      <c r="E3799" s="41">
        <v>46154</v>
      </c>
      <c r="F3799" s="47">
        <v>0.70181712962962961</v>
      </c>
      <c r="G3799" s="44">
        <v>6.3</v>
      </c>
      <c r="H3799" s="43" t="s">
        <v>1363</v>
      </c>
      <c r="I3799" s="40" t="s">
        <v>1361</v>
      </c>
    </row>
    <row r="3800" spans="1:9" x14ac:dyDescent="0.25">
      <c r="A3800" s="40" t="s">
        <v>443</v>
      </c>
      <c r="B3800" s="28">
        <v>3951</v>
      </c>
      <c r="C3800" s="28">
        <v>10644925</v>
      </c>
      <c r="D3800" s="28" t="s">
        <v>36</v>
      </c>
      <c r="E3800" s="41">
        <v>46154</v>
      </c>
      <c r="F3800" s="47">
        <v>0.71763888888888894</v>
      </c>
      <c r="G3800" s="44">
        <v>6.3</v>
      </c>
      <c r="H3800" s="43" t="s">
        <v>1364</v>
      </c>
      <c r="I3800" s="40" t="s">
        <v>1361</v>
      </c>
    </row>
    <row r="3801" spans="1:9" x14ac:dyDescent="0.25">
      <c r="A3801" s="40" t="s">
        <v>443</v>
      </c>
      <c r="B3801" s="28">
        <v>3951</v>
      </c>
      <c r="C3801" s="28" t="s">
        <v>1097</v>
      </c>
      <c r="D3801" s="28"/>
      <c r="E3801" s="41">
        <v>46154</v>
      </c>
      <c r="F3801" s="47">
        <v>0.90760416666666666</v>
      </c>
      <c r="G3801" s="44">
        <v>6.3</v>
      </c>
      <c r="H3801" s="43" t="s">
        <v>1363</v>
      </c>
      <c r="I3801" s="40" t="s">
        <v>1361</v>
      </c>
    </row>
    <row r="3802" spans="1:9" x14ac:dyDescent="0.25">
      <c r="A3802" s="40" t="s">
        <v>443</v>
      </c>
      <c r="B3802" s="28">
        <v>3951</v>
      </c>
      <c r="C3802" s="28" t="s">
        <v>1097</v>
      </c>
      <c r="D3802" s="28"/>
      <c r="E3802" s="41">
        <v>46154</v>
      </c>
      <c r="F3802" s="47">
        <v>0.91305555555555551</v>
      </c>
      <c r="G3802" s="44">
        <v>6.3</v>
      </c>
      <c r="H3802" s="43" t="s">
        <v>1364</v>
      </c>
      <c r="I3802" s="40" t="s">
        <v>1361</v>
      </c>
    </row>
    <row r="3803" spans="1:9" x14ac:dyDescent="0.25">
      <c r="A3803" s="40" t="s">
        <v>443</v>
      </c>
      <c r="B3803" s="28">
        <v>3951</v>
      </c>
      <c r="C3803" s="28">
        <v>10644680</v>
      </c>
      <c r="D3803" s="28"/>
      <c r="E3803" s="41">
        <v>46154</v>
      </c>
      <c r="F3803" s="47">
        <v>0.94417824074074075</v>
      </c>
      <c r="G3803" s="44">
        <v>6.3</v>
      </c>
      <c r="H3803" s="43" t="s">
        <v>1360</v>
      </c>
      <c r="I3803" s="40" t="s">
        <v>1361</v>
      </c>
    </row>
    <row r="3804" spans="1:9" x14ac:dyDescent="0.25">
      <c r="A3804" s="40" t="s">
        <v>443</v>
      </c>
      <c r="B3804" s="28">
        <v>3951</v>
      </c>
      <c r="C3804" s="28">
        <v>10644680</v>
      </c>
      <c r="D3804" s="28"/>
      <c r="E3804" s="41">
        <v>46154</v>
      </c>
      <c r="F3804" s="47">
        <v>0.95215277777777774</v>
      </c>
      <c r="G3804" s="44">
        <v>6.3</v>
      </c>
      <c r="H3804" s="43" t="s">
        <v>1362</v>
      </c>
      <c r="I3804" s="40" t="s">
        <v>1361</v>
      </c>
    </row>
    <row r="3805" spans="1:9" x14ac:dyDescent="0.25">
      <c r="A3805" s="40" t="s">
        <v>443</v>
      </c>
      <c r="B3805" s="28">
        <v>3951</v>
      </c>
      <c r="C3805" s="28" t="s">
        <v>35</v>
      </c>
      <c r="D3805" s="28" t="s">
        <v>38</v>
      </c>
      <c r="E3805" s="41">
        <v>46157</v>
      </c>
      <c r="F3805" s="47">
        <v>0.46591435185185187</v>
      </c>
      <c r="G3805" s="44">
        <v>6.3</v>
      </c>
      <c r="H3805" s="43" t="s">
        <v>1367</v>
      </c>
      <c r="I3805" s="40" t="s">
        <v>1361</v>
      </c>
    </row>
    <row r="3806" spans="1:9" x14ac:dyDescent="0.25">
      <c r="A3806" s="40" t="s">
        <v>443</v>
      </c>
      <c r="B3806" s="28">
        <v>3951</v>
      </c>
      <c r="C3806" s="28" t="s">
        <v>35</v>
      </c>
      <c r="D3806" s="28" t="s">
        <v>38</v>
      </c>
      <c r="E3806" s="41">
        <v>46157</v>
      </c>
      <c r="F3806" s="47">
        <v>0.70305555555555554</v>
      </c>
      <c r="G3806" s="44">
        <v>6.3</v>
      </c>
      <c r="H3806" s="43" t="s">
        <v>1366</v>
      </c>
      <c r="I3806" s="40" t="s">
        <v>1361</v>
      </c>
    </row>
    <row r="3807" spans="1:9" x14ac:dyDescent="0.25">
      <c r="A3807" s="40" t="s">
        <v>443</v>
      </c>
      <c r="B3807" s="28">
        <v>3951</v>
      </c>
      <c r="C3807" s="28" t="s">
        <v>1098</v>
      </c>
      <c r="D3807" s="28"/>
      <c r="E3807" s="41">
        <v>46158</v>
      </c>
      <c r="F3807" s="47">
        <v>0.64200231481481485</v>
      </c>
      <c r="G3807" s="44">
        <v>6.3</v>
      </c>
      <c r="H3807" s="43" t="s">
        <v>1362</v>
      </c>
      <c r="I3807" s="40" t="s">
        <v>1365</v>
      </c>
    </row>
    <row r="3808" spans="1:9" x14ac:dyDescent="0.25">
      <c r="A3808" s="40" t="s">
        <v>443</v>
      </c>
      <c r="B3808" s="28">
        <v>3951</v>
      </c>
      <c r="C3808" s="28">
        <v>10681701</v>
      </c>
      <c r="D3808" s="28"/>
      <c r="E3808" s="41">
        <v>46159</v>
      </c>
      <c r="F3808" s="47">
        <v>0.51218750000000002</v>
      </c>
      <c r="G3808" s="44">
        <v>6.3</v>
      </c>
      <c r="H3808" s="43" t="s">
        <v>1363</v>
      </c>
      <c r="I3808" s="40" t="s">
        <v>1365</v>
      </c>
    </row>
    <row r="3809" spans="1:9" x14ac:dyDescent="0.25">
      <c r="A3809" s="40" t="s">
        <v>443</v>
      </c>
      <c r="B3809" s="28">
        <v>3951</v>
      </c>
      <c r="C3809" s="28">
        <v>10681701</v>
      </c>
      <c r="D3809" s="28"/>
      <c r="E3809" s="41">
        <v>46159</v>
      </c>
      <c r="F3809" s="47">
        <v>0.5176736111111111</v>
      </c>
      <c r="G3809" s="44">
        <v>6.3</v>
      </c>
      <c r="H3809" s="43" t="s">
        <v>1364</v>
      </c>
      <c r="I3809" s="40" t="s">
        <v>1365</v>
      </c>
    </row>
    <row r="3810" spans="1:9" x14ac:dyDescent="0.25">
      <c r="A3810" s="40" t="s">
        <v>379</v>
      </c>
      <c r="B3810" s="28">
        <v>3954</v>
      </c>
      <c r="C3810" s="28" t="s">
        <v>1099</v>
      </c>
      <c r="D3810" s="28"/>
      <c r="E3810" s="41">
        <v>46154</v>
      </c>
      <c r="F3810" s="47">
        <v>0.56942129629629634</v>
      </c>
      <c r="G3810" s="44">
        <v>6.3</v>
      </c>
      <c r="H3810" s="43" t="s">
        <v>1360</v>
      </c>
      <c r="I3810" s="40" t="s">
        <v>1361</v>
      </c>
    </row>
    <row r="3811" spans="1:9" x14ac:dyDescent="0.25">
      <c r="A3811" s="40" t="s">
        <v>379</v>
      </c>
      <c r="B3811" s="28">
        <v>3954</v>
      </c>
      <c r="C3811" s="28" t="s">
        <v>1099</v>
      </c>
      <c r="D3811" s="28"/>
      <c r="E3811" s="45">
        <v>46154</v>
      </c>
      <c r="F3811" s="48">
        <v>0.58163194444444444</v>
      </c>
      <c r="G3811" s="44">
        <v>6.3</v>
      </c>
      <c r="H3811" s="43" t="s">
        <v>1362</v>
      </c>
      <c r="I3811" s="40" t="s">
        <v>1361</v>
      </c>
    </row>
    <row r="3812" spans="1:9" x14ac:dyDescent="0.25">
      <c r="A3812" s="40" t="s">
        <v>379</v>
      </c>
      <c r="B3812" s="28">
        <v>3954</v>
      </c>
      <c r="C3812" s="28" t="s">
        <v>1100</v>
      </c>
      <c r="D3812" s="28"/>
      <c r="E3812" s="41">
        <v>46154</v>
      </c>
      <c r="F3812" s="47">
        <v>0.75752314814814814</v>
      </c>
      <c r="G3812" s="44">
        <v>6.3</v>
      </c>
      <c r="H3812" s="43" t="s">
        <v>1360</v>
      </c>
      <c r="I3812" s="40" t="s">
        <v>1361</v>
      </c>
    </row>
    <row r="3813" spans="1:9" x14ac:dyDescent="0.25">
      <c r="A3813" s="40" t="s">
        <v>379</v>
      </c>
      <c r="B3813" s="28">
        <v>3954</v>
      </c>
      <c r="C3813" s="28" t="s">
        <v>1100</v>
      </c>
      <c r="D3813" s="28"/>
      <c r="E3813" s="41">
        <v>46154</v>
      </c>
      <c r="F3813" s="47">
        <v>0.77398148148148149</v>
      </c>
      <c r="G3813" s="44">
        <v>6.3</v>
      </c>
      <c r="H3813" s="43" t="s">
        <v>1362</v>
      </c>
      <c r="I3813" s="40" t="s">
        <v>1361</v>
      </c>
    </row>
    <row r="3814" spans="1:9" x14ac:dyDescent="0.25">
      <c r="A3814" s="40" t="s">
        <v>379</v>
      </c>
      <c r="B3814" s="28">
        <v>3954</v>
      </c>
      <c r="C3814" s="28" t="s">
        <v>1101</v>
      </c>
      <c r="D3814" s="28"/>
      <c r="E3814" s="45">
        <v>46154</v>
      </c>
      <c r="F3814" s="48">
        <v>0.85803240740740738</v>
      </c>
      <c r="G3814" s="44">
        <v>6.3</v>
      </c>
      <c r="H3814" s="43" t="s">
        <v>1364</v>
      </c>
      <c r="I3814" s="40" t="s">
        <v>1361</v>
      </c>
    </row>
    <row r="3815" spans="1:9" x14ac:dyDescent="0.25">
      <c r="A3815" s="40" t="s">
        <v>379</v>
      </c>
      <c r="B3815" s="28">
        <v>3954</v>
      </c>
      <c r="C3815" s="28" t="s">
        <v>1102</v>
      </c>
      <c r="D3815" s="28"/>
      <c r="E3815" s="41">
        <v>46157</v>
      </c>
      <c r="F3815" s="47">
        <v>0.72760416666666672</v>
      </c>
      <c r="G3815" s="44">
        <v>6.3</v>
      </c>
      <c r="H3815" s="43" t="s">
        <v>1360</v>
      </c>
      <c r="I3815" s="40" t="s">
        <v>1361</v>
      </c>
    </row>
    <row r="3816" spans="1:9" x14ac:dyDescent="0.25">
      <c r="A3816" s="40" t="s">
        <v>379</v>
      </c>
      <c r="B3816" s="28">
        <v>3954</v>
      </c>
      <c r="C3816" s="28" t="s">
        <v>1102</v>
      </c>
      <c r="D3816" s="28"/>
      <c r="E3816" s="45">
        <v>46157</v>
      </c>
      <c r="F3816" s="48">
        <v>0.74392361111111116</v>
      </c>
      <c r="G3816" s="42">
        <v>6.3</v>
      </c>
      <c r="H3816" s="40" t="s">
        <v>1362</v>
      </c>
      <c r="I3816" s="40" t="s">
        <v>1361</v>
      </c>
    </row>
    <row r="3817" spans="1:9" x14ac:dyDescent="0.25">
      <c r="A3817" s="40" t="s">
        <v>379</v>
      </c>
      <c r="B3817" s="28">
        <v>3954</v>
      </c>
      <c r="C3817" s="28" t="s">
        <v>1103</v>
      </c>
      <c r="D3817" s="28"/>
      <c r="E3817" s="41">
        <v>46157</v>
      </c>
      <c r="F3817" s="47">
        <v>0.81896990740740738</v>
      </c>
      <c r="G3817" s="44">
        <v>6.3</v>
      </c>
      <c r="H3817" s="43" t="s">
        <v>1369</v>
      </c>
      <c r="I3817" s="40" t="s">
        <v>1361</v>
      </c>
    </row>
    <row r="3818" spans="1:9" x14ac:dyDescent="0.25">
      <c r="A3818" s="40" t="s">
        <v>379</v>
      </c>
      <c r="B3818" s="28">
        <v>3954</v>
      </c>
      <c r="C3818" s="28" t="s">
        <v>1103</v>
      </c>
      <c r="D3818" s="28"/>
      <c r="E3818" s="41">
        <v>46157</v>
      </c>
      <c r="F3818" s="47">
        <v>0.83539351851851851</v>
      </c>
      <c r="G3818" s="44">
        <v>6.3</v>
      </c>
      <c r="H3818" s="43" t="s">
        <v>1364</v>
      </c>
      <c r="I3818" s="40" t="s">
        <v>1361</v>
      </c>
    </row>
    <row r="3819" spans="1:9" x14ac:dyDescent="0.25">
      <c r="A3819" s="40" t="s">
        <v>379</v>
      </c>
      <c r="B3819" s="28">
        <v>3954</v>
      </c>
      <c r="C3819" s="28" t="s">
        <v>1104</v>
      </c>
      <c r="D3819" s="28"/>
      <c r="E3819" s="41">
        <v>46157</v>
      </c>
      <c r="F3819" s="47">
        <v>0.88659722222222226</v>
      </c>
      <c r="G3819" s="44">
        <v>6.3</v>
      </c>
      <c r="H3819" s="43" t="s">
        <v>1360</v>
      </c>
      <c r="I3819" s="40" t="s">
        <v>1361</v>
      </c>
    </row>
    <row r="3820" spans="1:9" x14ac:dyDescent="0.25">
      <c r="A3820" s="40" t="s">
        <v>379</v>
      </c>
      <c r="B3820" s="28">
        <v>3954</v>
      </c>
      <c r="C3820" s="28" t="s">
        <v>1104</v>
      </c>
      <c r="D3820" s="28"/>
      <c r="E3820" s="41">
        <v>46157</v>
      </c>
      <c r="F3820" s="47">
        <v>0.89457175925925925</v>
      </c>
      <c r="G3820" s="44">
        <v>6.3</v>
      </c>
      <c r="H3820" s="43" t="s">
        <v>1362</v>
      </c>
      <c r="I3820" s="40" t="s">
        <v>1361</v>
      </c>
    </row>
    <row r="3821" spans="1:9" x14ac:dyDescent="0.25">
      <c r="A3821" s="40" t="s">
        <v>379</v>
      </c>
      <c r="B3821" s="28">
        <v>3954</v>
      </c>
      <c r="C3821" s="28" t="s">
        <v>1105</v>
      </c>
      <c r="D3821" s="28"/>
      <c r="E3821" s="41">
        <v>46158</v>
      </c>
      <c r="F3821" s="47">
        <v>0.59034722222222225</v>
      </c>
      <c r="G3821" s="44">
        <v>6.3</v>
      </c>
      <c r="H3821" s="43" t="s">
        <v>1363</v>
      </c>
      <c r="I3821" s="40" t="s">
        <v>1365</v>
      </c>
    </row>
    <row r="3822" spans="1:9" x14ac:dyDescent="0.25">
      <c r="A3822" s="40" t="s">
        <v>379</v>
      </c>
      <c r="B3822" s="28">
        <v>3954</v>
      </c>
      <c r="C3822" s="28" t="s">
        <v>1105</v>
      </c>
      <c r="D3822" s="28"/>
      <c r="E3822" s="41">
        <v>46158</v>
      </c>
      <c r="F3822" s="47">
        <v>0.60187500000000005</v>
      </c>
      <c r="G3822" s="44">
        <v>6.3</v>
      </c>
      <c r="H3822" s="43" t="s">
        <v>1364</v>
      </c>
      <c r="I3822" s="40" t="s">
        <v>1365</v>
      </c>
    </row>
    <row r="3823" spans="1:9" x14ac:dyDescent="0.25">
      <c r="A3823" s="40" t="s">
        <v>379</v>
      </c>
      <c r="B3823" s="28">
        <v>3954</v>
      </c>
      <c r="C3823" s="28" t="s">
        <v>1106</v>
      </c>
      <c r="D3823" s="28"/>
      <c r="E3823" s="41">
        <v>46158</v>
      </c>
      <c r="F3823" s="47">
        <v>0.67689814814814819</v>
      </c>
      <c r="G3823" s="42">
        <v>6.3</v>
      </c>
      <c r="H3823" s="40" t="s">
        <v>1360</v>
      </c>
      <c r="I3823" s="40" t="s">
        <v>1365</v>
      </c>
    </row>
    <row r="3824" spans="1:9" x14ac:dyDescent="0.25">
      <c r="A3824" s="40" t="s">
        <v>379</v>
      </c>
      <c r="B3824" s="28">
        <v>3954</v>
      </c>
      <c r="C3824" s="28" t="s">
        <v>1106</v>
      </c>
      <c r="D3824" s="28"/>
      <c r="E3824" s="41">
        <v>46158</v>
      </c>
      <c r="F3824" s="47">
        <v>0.68483796296296295</v>
      </c>
      <c r="G3824" s="42">
        <v>6.3</v>
      </c>
      <c r="H3824" s="40" t="s">
        <v>1362</v>
      </c>
      <c r="I3824" s="40" t="s">
        <v>1365</v>
      </c>
    </row>
    <row r="3825" spans="1:9" x14ac:dyDescent="0.25">
      <c r="A3825" s="40" t="s">
        <v>379</v>
      </c>
      <c r="B3825" s="28">
        <v>3954</v>
      </c>
      <c r="C3825" s="28" t="s">
        <v>1107</v>
      </c>
      <c r="D3825" s="28"/>
      <c r="E3825" s="41">
        <v>46158</v>
      </c>
      <c r="F3825" s="47">
        <v>0.71442129629629625</v>
      </c>
      <c r="G3825" s="42">
        <v>6.3</v>
      </c>
      <c r="H3825" s="40" t="s">
        <v>1363</v>
      </c>
      <c r="I3825" s="40" t="s">
        <v>1365</v>
      </c>
    </row>
    <row r="3826" spans="1:9" x14ac:dyDescent="0.25">
      <c r="A3826" s="40" t="s">
        <v>379</v>
      </c>
      <c r="B3826" s="28">
        <v>3954</v>
      </c>
      <c r="C3826" s="28" t="s">
        <v>1107</v>
      </c>
      <c r="D3826" s="28"/>
      <c r="E3826" s="41">
        <v>46158</v>
      </c>
      <c r="F3826" s="47">
        <v>0.73063657407407412</v>
      </c>
      <c r="G3826" s="42">
        <v>6.3</v>
      </c>
      <c r="H3826" s="40" t="s">
        <v>1364</v>
      </c>
      <c r="I3826" s="40" t="s">
        <v>1365</v>
      </c>
    </row>
    <row r="3827" spans="1:9" x14ac:dyDescent="0.25">
      <c r="A3827" s="40" t="s">
        <v>379</v>
      </c>
      <c r="B3827" s="28">
        <v>3954</v>
      </c>
      <c r="C3827" s="28" t="s">
        <v>1108</v>
      </c>
      <c r="D3827" s="28"/>
      <c r="E3827" s="45">
        <v>46159</v>
      </c>
      <c r="F3827" s="48">
        <v>0.8715856481481481</v>
      </c>
      <c r="G3827" s="42">
        <v>6.3</v>
      </c>
      <c r="H3827" s="40" t="s">
        <v>1360</v>
      </c>
      <c r="I3827" s="40" t="s">
        <v>1365</v>
      </c>
    </row>
    <row r="3828" spans="1:9" x14ac:dyDescent="0.25">
      <c r="A3828" s="40" t="s">
        <v>379</v>
      </c>
      <c r="B3828" s="28">
        <v>3954</v>
      </c>
      <c r="C3828" s="28" t="s">
        <v>1108</v>
      </c>
      <c r="D3828" s="28"/>
      <c r="E3828" s="45">
        <v>46159</v>
      </c>
      <c r="F3828" s="48">
        <v>0.87930555555555556</v>
      </c>
      <c r="G3828" s="42">
        <v>6.3</v>
      </c>
      <c r="H3828" s="40" t="s">
        <v>1362</v>
      </c>
      <c r="I3828" s="40" t="s">
        <v>1365</v>
      </c>
    </row>
    <row r="3829" spans="1:9" x14ac:dyDescent="0.25">
      <c r="A3829" s="40" t="s">
        <v>379</v>
      </c>
      <c r="B3829" s="28">
        <v>3954</v>
      </c>
      <c r="C3829" s="28" t="s">
        <v>1109</v>
      </c>
      <c r="D3829" s="28"/>
      <c r="E3829" s="41">
        <v>46159</v>
      </c>
      <c r="F3829" s="47">
        <v>0.95814814814814819</v>
      </c>
      <c r="G3829" s="44">
        <v>6.3</v>
      </c>
      <c r="H3829" s="43" t="s">
        <v>1363</v>
      </c>
      <c r="I3829" s="40" t="s">
        <v>1365</v>
      </c>
    </row>
    <row r="3830" spans="1:9" x14ac:dyDescent="0.25">
      <c r="A3830" s="40" t="s">
        <v>379</v>
      </c>
      <c r="B3830" s="28">
        <v>3954</v>
      </c>
      <c r="C3830" s="28" t="s">
        <v>1109</v>
      </c>
      <c r="D3830" s="28"/>
      <c r="E3830" s="41">
        <v>46159</v>
      </c>
      <c r="F3830" s="47">
        <v>0.96325231481481477</v>
      </c>
      <c r="G3830" s="44">
        <v>6.3</v>
      </c>
      <c r="H3830" s="43" t="s">
        <v>1364</v>
      </c>
      <c r="I3830" s="40" t="s">
        <v>1365</v>
      </c>
    </row>
    <row r="3831" spans="1:9" x14ac:dyDescent="0.25">
      <c r="A3831" s="40" t="s">
        <v>313</v>
      </c>
      <c r="B3831" s="28">
        <v>3956</v>
      </c>
      <c r="C3831" s="28">
        <v>5666076</v>
      </c>
      <c r="D3831" s="28"/>
      <c r="E3831" s="41">
        <v>46155</v>
      </c>
      <c r="F3831" s="47">
        <v>0.3540740740740741</v>
      </c>
      <c r="G3831" s="44">
        <v>6.3</v>
      </c>
      <c r="H3831" s="43" t="s">
        <v>1364</v>
      </c>
      <c r="I3831" s="40" t="s">
        <v>1361</v>
      </c>
    </row>
    <row r="3832" spans="1:9" x14ac:dyDescent="0.25">
      <c r="A3832" s="40" t="s">
        <v>313</v>
      </c>
      <c r="B3832" s="28">
        <v>3956</v>
      </c>
      <c r="C3832" s="28" t="s">
        <v>35</v>
      </c>
      <c r="D3832" s="28" t="s">
        <v>38</v>
      </c>
      <c r="E3832" s="45">
        <v>46155</v>
      </c>
      <c r="F3832" s="48">
        <v>0.41616898148148146</v>
      </c>
      <c r="G3832" s="44">
        <v>6.3</v>
      </c>
      <c r="H3832" s="43" t="s">
        <v>1360</v>
      </c>
      <c r="I3832" s="40" t="s">
        <v>1361</v>
      </c>
    </row>
    <row r="3833" spans="1:9" x14ac:dyDescent="0.25">
      <c r="A3833" s="40" t="s">
        <v>313</v>
      </c>
      <c r="B3833" s="28">
        <v>3956</v>
      </c>
      <c r="C3833" s="28" t="s">
        <v>35</v>
      </c>
      <c r="D3833" s="28" t="s">
        <v>38</v>
      </c>
      <c r="E3833" s="41">
        <v>46155</v>
      </c>
      <c r="F3833" s="47">
        <v>0.44678240740740743</v>
      </c>
      <c r="G3833" s="44">
        <v>6.3</v>
      </c>
      <c r="H3833" s="43" t="s">
        <v>1368</v>
      </c>
      <c r="I3833" s="40" t="s">
        <v>1361</v>
      </c>
    </row>
    <row r="3834" spans="1:9" x14ac:dyDescent="0.25">
      <c r="A3834" s="40" t="s">
        <v>313</v>
      </c>
      <c r="B3834" s="28">
        <v>3956</v>
      </c>
      <c r="C3834" s="28" t="s">
        <v>35</v>
      </c>
      <c r="D3834" s="28" t="s">
        <v>38</v>
      </c>
      <c r="E3834" s="45">
        <v>46155</v>
      </c>
      <c r="F3834" s="48">
        <v>0.52655092592592589</v>
      </c>
      <c r="G3834" s="44">
        <v>6.3</v>
      </c>
      <c r="H3834" s="43" t="s">
        <v>1369</v>
      </c>
      <c r="I3834" s="40" t="s">
        <v>1361</v>
      </c>
    </row>
    <row r="3835" spans="1:9" x14ac:dyDescent="0.25">
      <c r="A3835" s="40" t="s">
        <v>313</v>
      </c>
      <c r="B3835" s="28">
        <v>3956</v>
      </c>
      <c r="C3835" s="28" t="s">
        <v>1110</v>
      </c>
      <c r="D3835" s="28"/>
      <c r="E3835" s="41">
        <v>46155</v>
      </c>
      <c r="F3835" s="47">
        <v>0.81516203703703705</v>
      </c>
      <c r="G3835" s="44">
        <v>6.3</v>
      </c>
      <c r="H3835" s="43" t="s">
        <v>1360</v>
      </c>
      <c r="I3835" s="40" t="s">
        <v>1361</v>
      </c>
    </row>
    <row r="3836" spans="1:9" x14ac:dyDescent="0.25">
      <c r="A3836" s="40" t="s">
        <v>313</v>
      </c>
      <c r="B3836" s="28">
        <v>3956</v>
      </c>
      <c r="C3836" s="28" t="s">
        <v>1110</v>
      </c>
      <c r="D3836" s="28"/>
      <c r="E3836" s="41">
        <v>46155</v>
      </c>
      <c r="F3836" s="47">
        <v>0.83371527777777776</v>
      </c>
      <c r="G3836" s="44">
        <v>6.3</v>
      </c>
      <c r="H3836" s="43" t="s">
        <v>1362</v>
      </c>
      <c r="I3836" s="40" t="s">
        <v>1361</v>
      </c>
    </row>
    <row r="3837" spans="1:9" x14ac:dyDescent="0.25">
      <c r="A3837" s="40" t="s">
        <v>313</v>
      </c>
      <c r="B3837" s="28">
        <v>3956</v>
      </c>
      <c r="C3837" s="28" t="s">
        <v>35</v>
      </c>
      <c r="D3837" s="28" t="s">
        <v>38</v>
      </c>
      <c r="E3837" s="45">
        <v>46155</v>
      </c>
      <c r="F3837" s="48">
        <v>0.88447916666666671</v>
      </c>
      <c r="G3837" s="44">
        <v>6.3</v>
      </c>
      <c r="H3837" s="43" t="s">
        <v>1363</v>
      </c>
      <c r="I3837" s="40" t="s">
        <v>1361</v>
      </c>
    </row>
    <row r="3838" spans="1:9" x14ac:dyDescent="0.25">
      <c r="A3838" s="40" t="s">
        <v>313</v>
      </c>
      <c r="B3838" s="28">
        <v>3956</v>
      </c>
      <c r="C3838" s="28">
        <v>5668584</v>
      </c>
      <c r="D3838" s="28" t="s">
        <v>37</v>
      </c>
      <c r="E3838" s="41">
        <v>46156</v>
      </c>
      <c r="F3838" s="47">
        <v>0.67699074074074073</v>
      </c>
      <c r="G3838" s="44">
        <v>6.3</v>
      </c>
      <c r="H3838" s="43" t="s">
        <v>1364</v>
      </c>
      <c r="I3838" s="40" t="s">
        <v>1361</v>
      </c>
    </row>
    <row r="3839" spans="1:9" x14ac:dyDescent="0.25">
      <c r="A3839" s="40" t="s">
        <v>313</v>
      </c>
      <c r="B3839" s="28">
        <v>3956</v>
      </c>
      <c r="C3839" s="28">
        <v>5670064</v>
      </c>
      <c r="D3839" s="28"/>
      <c r="E3839" s="41">
        <v>46157</v>
      </c>
      <c r="F3839" s="47">
        <v>0.94422453703703701</v>
      </c>
      <c r="G3839" s="44">
        <v>6.3</v>
      </c>
      <c r="H3839" s="43" t="s">
        <v>1360</v>
      </c>
      <c r="I3839" s="40" t="s">
        <v>1361</v>
      </c>
    </row>
    <row r="3840" spans="1:9" x14ac:dyDescent="0.25">
      <c r="A3840" s="40" t="s">
        <v>313</v>
      </c>
      <c r="B3840" s="28">
        <v>3956</v>
      </c>
      <c r="C3840" s="28">
        <v>5670064</v>
      </c>
      <c r="D3840" s="28"/>
      <c r="E3840" s="41">
        <v>46157</v>
      </c>
      <c r="F3840" s="47">
        <v>0.95120370370370366</v>
      </c>
      <c r="G3840" s="44">
        <v>6.3</v>
      </c>
      <c r="H3840" s="43" t="s">
        <v>1362</v>
      </c>
      <c r="I3840" s="40" t="s">
        <v>1361</v>
      </c>
    </row>
    <row r="3841" spans="1:9" x14ac:dyDescent="0.25">
      <c r="A3841" s="40" t="s">
        <v>313</v>
      </c>
      <c r="B3841" s="28">
        <v>3956</v>
      </c>
      <c r="C3841" s="28" t="s">
        <v>35</v>
      </c>
      <c r="D3841" s="28" t="s">
        <v>38</v>
      </c>
      <c r="E3841" s="41">
        <v>46157</v>
      </c>
      <c r="F3841" s="47">
        <v>0.97848379629629634</v>
      </c>
      <c r="G3841" s="44">
        <v>6.3</v>
      </c>
      <c r="H3841" s="43" t="s">
        <v>1363</v>
      </c>
      <c r="I3841" s="40" t="s">
        <v>1361</v>
      </c>
    </row>
    <row r="3842" spans="1:9" x14ac:dyDescent="0.25">
      <c r="A3842" s="40" t="s">
        <v>313</v>
      </c>
      <c r="B3842" s="28">
        <v>3956</v>
      </c>
      <c r="C3842" s="28" t="s">
        <v>35</v>
      </c>
      <c r="D3842" s="28" t="s">
        <v>38</v>
      </c>
      <c r="E3842" s="41">
        <v>46158</v>
      </c>
      <c r="F3842" s="47">
        <v>0.53136574074074072</v>
      </c>
      <c r="G3842" s="44">
        <v>6.3</v>
      </c>
      <c r="H3842" s="43" t="s">
        <v>1364</v>
      </c>
      <c r="I3842" s="40" t="s">
        <v>1365</v>
      </c>
    </row>
    <row r="3843" spans="1:9" x14ac:dyDescent="0.25">
      <c r="A3843" s="40" t="s">
        <v>313</v>
      </c>
      <c r="B3843" s="28">
        <v>3956</v>
      </c>
      <c r="C3843" s="28" t="s">
        <v>1111</v>
      </c>
      <c r="D3843" s="28"/>
      <c r="E3843" s="41">
        <v>46158</v>
      </c>
      <c r="F3843" s="47">
        <v>0.91284722222222225</v>
      </c>
      <c r="G3843" s="44">
        <v>6.3</v>
      </c>
      <c r="H3843" s="43" t="s">
        <v>1360</v>
      </c>
      <c r="I3843" s="40" t="s">
        <v>1365</v>
      </c>
    </row>
    <row r="3844" spans="1:9" x14ac:dyDescent="0.25">
      <c r="A3844" s="40" t="s">
        <v>313</v>
      </c>
      <c r="B3844" s="28">
        <v>3956</v>
      </c>
      <c r="C3844" s="28" t="s">
        <v>1111</v>
      </c>
      <c r="D3844" s="28"/>
      <c r="E3844" s="41">
        <v>46158</v>
      </c>
      <c r="F3844" s="47">
        <v>0.91995370370370366</v>
      </c>
      <c r="G3844" s="44">
        <v>6.3</v>
      </c>
      <c r="H3844" s="43" t="s">
        <v>1362</v>
      </c>
      <c r="I3844" s="40" t="s">
        <v>1365</v>
      </c>
    </row>
    <row r="3845" spans="1:9" x14ac:dyDescent="0.25">
      <c r="A3845" s="40" t="s">
        <v>313</v>
      </c>
      <c r="B3845" s="28">
        <v>3956</v>
      </c>
      <c r="C3845" s="28" t="s">
        <v>1112</v>
      </c>
      <c r="D3845" s="28"/>
      <c r="E3845" s="41">
        <v>46159</v>
      </c>
      <c r="F3845" s="47">
        <v>0.8841782407407407</v>
      </c>
      <c r="G3845" s="44">
        <v>6.3</v>
      </c>
      <c r="H3845" s="43" t="s">
        <v>1360</v>
      </c>
      <c r="I3845" s="40" t="s">
        <v>1365</v>
      </c>
    </row>
    <row r="3846" spans="1:9" x14ac:dyDescent="0.25">
      <c r="A3846" s="40" t="s">
        <v>313</v>
      </c>
      <c r="B3846" s="28">
        <v>3956</v>
      </c>
      <c r="C3846" s="28" t="s">
        <v>1112</v>
      </c>
      <c r="D3846" s="28"/>
      <c r="E3846" s="41">
        <v>46159</v>
      </c>
      <c r="F3846" s="47">
        <v>0.89103009259259258</v>
      </c>
      <c r="G3846" s="44">
        <v>6.3</v>
      </c>
      <c r="H3846" s="43" t="s">
        <v>1362</v>
      </c>
      <c r="I3846" s="40" t="s">
        <v>1365</v>
      </c>
    </row>
    <row r="3847" spans="1:9" x14ac:dyDescent="0.25">
      <c r="A3847" s="40" t="s">
        <v>313</v>
      </c>
      <c r="B3847" s="28">
        <v>3956</v>
      </c>
      <c r="C3847" s="28" t="s">
        <v>35</v>
      </c>
      <c r="D3847" s="28" t="s">
        <v>38</v>
      </c>
      <c r="E3847" s="41">
        <v>46159</v>
      </c>
      <c r="F3847" s="47">
        <v>0.92107638888888888</v>
      </c>
      <c r="G3847" s="44">
        <v>6.3</v>
      </c>
      <c r="H3847" s="43" t="s">
        <v>1363</v>
      </c>
      <c r="I3847" s="40" t="s">
        <v>1365</v>
      </c>
    </row>
    <row r="3848" spans="1:9" x14ac:dyDescent="0.25">
      <c r="A3848" s="40" t="s">
        <v>354</v>
      </c>
      <c r="B3848" s="28">
        <v>3959</v>
      </c>
      <c r="C3848" s="28">
        <v>5662167</v>
      </c>
      <c r="D3848" s="28"/>
      <c r="E3848" s="41">
        <v>46153</v>
      </c>
      <c r="F3848" s="47">
        <v>3.6759259259259262E-2</v>
      </c>
      <c r="G3848" s="44">
        <v>6.3</v>
      </c>
      <c r="H3848" s="43" t="s">
        <v>1360</v>
      </c>
      <c r="I3848" s="40" t="s">
        <v>1361</v>
      </c>
    </row>
    <row r="3849" spans="1:9" x14ac:dyDescent="0.25">
      <c r="A3849" s="40" t="s">
        <v>354</v>
      </c>
      <c r="B3849" s="28">
        <v>3959</v>
      </c>
      <c r="C3849" s="28">
        <v>5662167</v>
      </c>
      <c r="D3849" s="28"/>
      <c r="E3849" s="45">
        <v>46153</v>
      </c>
      <c r="F3849" s="48">
        <v>4.4212962962962961E-2</v>
      </c>
      <c r="G3849" s="44">
        <v>6.3</v>
      </c>
      <c r="H3849" s="43" t="s">
        <v>1362</v>
      </c>
      <c r="I3849" s="40" t="s">
        <v>1361</v>
      </c>
    </row>
    <row r="3850" spans="1:9" x14ac:dyDescent="0.25">
      <c r="A3850" s="40" t="s">
        <v>354</v>
      </c>
      <c r="B3850" s="28">
        <v>3959</v>
      </c>
      <c r="C3850" s="28">
        <v>5662752</v>
      </c>
      <c r="D3850" s="28"/>
      <c r="E3850" s="41">
        <v>46153</v>
      </c>
      <c r="F3850" s="47">
        <v>0.56114583333333334</v>
      </c>
      <c r="G3850" s="44">
        <v>6.3</v>
      </c>
      <c r="H3850" s="43" t="s">
        <v>1363</v>
      </c>
      <c r="I3850" s="40" t="s">
        <v>1361</v>
      </c>
    </row>
    <row r="3851" spans="1:9" x14ac:dyDescent="0.25">
      <c r="A3851" s="40" t="s">
        <v>354</v>
      </c>
      <c r="B3851" s="28">
        <v>3959</v>
      </c>
      <c r="C3851" s="28">
        <v>5662752</v>
      </c>
      <c r="D3851" s="28"/>
      <c r="E3851" s="41">
        <v>46153</v>
      </c>
      <c r="F3851" s="47">
        <v>0.56731481481481483</v>
      </c>
      <c r="G3851" s="44">
        <v>6.3</v>
      </c>
      <c r="H3851" s="43" t="s">
        <v>1364</v>
      </c>
      <c r="I3851" s="40" t="s">
        <v>1361</v>
      </c>
    </row>
    <row r="3852" spans="1:9" x14ac:dyDescent="0.25">
      <c r="A3852" s="40" t="s">
        <v>354</v>
      </c>
      <c r="B3852" s="28">
        <v>3959</v>
      </c>
      <c r="C3852" s="28" t="s">
        <v>35</v>
      </c>
      <c r="D3852" s="28" t="s">
        <v>38</v>
      </c>
      <c r="E3852" s="41">
        <v>46154</v>
      </c>
      <c r="F3852" s="47">
        <v>0.37054398148148149</v>
      </c>
      <c r="G3852" s="44">
        <v>6.3</v>
      </c>
      <c r="H3852" s="43" t="s">
        <v>1360</v>
      </c>
      <c r="I3852" s="40" t="s">
        <v>1361</v>
      </c>
    </row>
    <row r="3853" spans="1:9" x14ac:dyDescent="0.25">
      <c r="A3853" s="40" t="s">
        <v>354</v>
      </c>
      <c r="B3853" s="28">
        <v>3959</v>
      </c>
      <c r="C3853" s="28">
        <v>5665089</v>
      </c>
      <c r="D3853" s="28" t="s">
        <v>37</v>
      </c>
      <c r="E3853" s="41">
        <v>46154</v>
      </c>
      <c r="F3853" s="47">
        <v>0.66531249999999997</v>
      </c>
      <c r="G3853" s="44">
        <v>6.3</v>
      </c>
      <c r="H3853" s="43" t="s">
        <v>1363</v>
      </c>
      <c r="I3853" s="40" t="s">
        <v>1361</v>
      </c>
    </row>
    <row r="3854" spans="1:9" x14ac:dyDescent="0.25">
      <c r="A3854" s="40" t="s">
        <v>354</v>
      </c>
      <c r="B3854" s="28">
        <v>3959</v>
      </c>
      <c r="C3854" s="28">
        <v>5665089</v>
      </c>
      <c r="D3854" s="28" t="s">
        <v>37</v>
      </c>
      <c r="E3854" s="41">
        <v>46154</v>
      </c>
      <c r="F3854" s="47">
        <v>0.68460648148148151</v>
      </c>
      <c r="G3854" s="44">
        <v>6.3</v>
      </c>
      <c r="H3854" s="43" t="s">
        <v>1364</v>
      </c>
      <c r="I3854" s="40" t="s">
        <v>1361</v>
      </c>
    </row>
    <row r="3855" spans="1:9" x14ac:dyDescent="0.25">
      <c r="A3855" s="40" t="s">
        <v>354</v>
      </c>
      <c r="B3855" s="28">
        <v>3959</v>
      </c>
      <c r="C3855" s="28">
        <v>5665697</v>
      </c>
      <c r="D3855" s="28"/>
      <c r="E3855" s="41">
        <v>46154</v>
      </c>
      <c r="F3855" s="47">
        <v>0.87958333333333338</v>
      </c>
      <c r="G3855" s="44">
        <v>6.3</v>
      </c>
      <c r="H3855" s="43" t="s">
        <v>1360</v>
      </c>
      <c r="I3855" s="40" t="s">
        <v>1361</v>
      </c>
    </row>
    <row r="3856" spans="1:9" x14ac:dyDescent="0.25">
      <c r="A3856" s="40" t="s">
        <v>354</v>
      </c>
      <c r="B3856" s="28">
        <v>3959</v>
      </c>
      <c r="C3856" s="28">
        <v>5665697</v>
      </c>
      <c r="D3856" s="28"/>
      <c r="E3856" s="41">
        <v>46154</v>
      </c>
      <c r="F3856" s="47">
        <v>0.88659722222222226</v>
      </c>
      <c r="G3856" s="44">
        <v>6.3</v>
      </c>
      <c r="H3856" s="43" t="s">
        <v>1362</v>
      </c>
      <c r="I3856" s="40" t="s">
        <v>1361</v>
      </c>
    </row>
    <row r="3857" spans="1:9" x14ac:dyDescent="0.25">
      <c r="A3857" s="40" t="s">
        <v>354</v>
      </c>
      <c r="B3857" s="28">
        <v>3959</v>
      </c>
      <c r="C3857" s="28">
        <v>5665945</v>
      </c>
      <c r="D3857" s="28"/>
      <c r="E3857" s="41">
        <v>46154</v>
      </c>
      <c r="F3857" s="47">
        <v>0.9949189814814815</v>
      </c>
      <c r="G3857" s="44">
        <v>6.3</v>
      </c>
      <c r="H3857" s="43" t="s">
        <v>1360</v>
      </c>
      <c r="I3857" s="40" t="s">
        <v>1361</v>
      </c>
    </row>
    <row r="3858" spans="1:9" x14ac:dyDescent="0.25">
      <c r="A3858" s="40" t="s">
        <v>354</v>
      </c>
      <c r="B3858" s="28">
        <v>3959</v>
      </c>
      <c r="C3858" s="28">
        <v>5666083</v>
      </c>
      <c r="D3858" s="28" t="s">
        <v>37</v>
      </c>
      <c r="E3858" s="41">
        <v>46155</v>
      </c>
      <c r="F3858" s="47">
        <v>0.29607638888888888</v>
      </c>
      <c r="G3858" s="44">
        <v>6.3</v>
      </c>
      <c r="H3858" s="43" t="s">
        <v>1363</v>
      </c>
      <c r="I3858" s="40" t="s">
        <v>1361</v>
      </c>
    </row>
    <row r="3859" spans="1:9" x14ac:dyDescent="0.25">
      <c r="A3859" s="40" t="s">
        <v>354</v>
      </c>
      <c r="B3859" s="28">
        <v>3959</v>
      </c>
      <c r="C3859" s="28">
        <v>5666083</v>
      </c>
      <c r="D3859" s="28" t="s">
        <v>37</v>
      </c>
      <c r="E3859" s="41">
        <v>46155</v>
      </c>
      <c r="F3859" s="47">
        <v>0.31182870370370369</v>
      </c>
      <c r="G3859" s="44">
        <v>6.3</v>
      </c>
      <c r="H3859" s="43" t="s">
        <v>1364</v>
      </c>
      <c r="I3859" s="40" t="s">
        <v>1361</v>
      </c>
    </row>
    <row r="3860" spans="1:9" x14ac:dyDescent="0.25">
      <c r="A3860" s="40" t="s">
        <v>354</v>
      </c>
      <c r="B3860" s="28">
        <v>3959</v>
      </c>
      <c r="C3860" s="28">
        <v>5665120</v>
      </c>
      <c r="D3860" s="28"/>
      <c r="E3860" s="41">
        <v>46156</v>
      </c>
      <c r="F3860" s="47">
        <v>0.85008101851851847</v>
      </c>
      <c r="G3860" s="44">
        <v>6.3</v>
      </c>
      <c r="H3860" s="43" t="s">
        <v>1360</v>
      </c>
      <c r="I3860" s="40" t="s">
        <v>1361</v>
      </c>
    </row>
    <row r="3861" spans="1:9" x14ac:dyDescent="0.25">
      <c r="A3861" s="40" t="s">
        <v>354</v>
      </c>
      <c r="B3861" s="28">
        <v>3959</v>
      </c>
      <c r="C3861" s="28" t="s">
        <v>35</v>
      </c>
      <c r="D3861" s="28" t="s">
        <v>38</v>
      </c>
      <c r="E3861" s="41">
        <v>46156</v>
      </c>
      <c r="F3861" s="47">
        <v>0.90384259259259259</v>
      </c>
      <c r="G3861" s="44">
        <v>6.3</v>
      </c>
      <c r="H3861" s="43" t="s">
        <v>1364</v>
      </c>
      <c r="I3861" s="40" t="s">
        <v>1361</v>
      </c>
    </row>
    <row r="3862" spans="1:9" x14ac:dyDescent="0.25">
      <c r="A3862" s="40" t="s">
        <v>354</v>
      </c>
      <c r="B3862" s="28">
        <v>3959</v>
      </c>
      <c r="C3862" s="28">
        <v>5669967</v>
      </c>
      <c r="D3862" s="28"/>
      <c r="E3862" s="41">
        <v>46157</v>
      </c>
      <c r="F3862" s="47">
        <v>0.98128472222222218</v>
      </c>
      <c r="G3862" s="44">
        <v>6.3</v>
      </c>
      <c r="H3862" s="43" t="s">
        <v>1360</v>
      </c>
      <c r="I3862" s="40" t="s">
        <v>1361</v>
      </c>
    </row>
    <row r="3863" spans="1:9" x14ac:dyDescent="0.25">
      <c r="A3863" s="40" t="s">
        <v>354</v>
      </c>
      <c r="B3863" s="28">
        <v>3959</v>
      </c>
      <c r="C3863" s="28">
        <v>5669967</v>
      </c>
      <c r="D3863" s="28"/>
      <c r="E3863" s="41">
        <v>46157</v>
      </c>
      <c r="F3863" s="47">
        <v>0.99247685185185186</v>
      </c>
      <c r="G3863" s="44">
        <v>6.3</v>
      </c>
      <c r="H3863" s="43" t="s">
        <v>1362</v>
      </c>
      <c r="I3863" s="40" t="s">
        <v>1365</v>
      </c>
    </row>
    <row r="3864" spans="1:9" x14ac:dyDescent="0.25">
      <c r="A3864" s="40" t="s">
        <v>354</v>
      </c>
      <c r="B3864" s="28">
        <v>3959</v>
      </c>
      <c r="C3864" s="28" t="s">
        <v>1113</v>
      </c>
      <c r="D3864" s="28"/>
      <c r="E3864" s="41">
        <v>46159</v>
      </c>
      <c r="F3864" s="47">
        <v>4.7106481481481478E-2</v>
      </c>
      <c r="G3864" s="44">
        <v>6.3</v>
      </c>
      <c r="H3864" s="43" t="s">
        <v>1360</v>
      </c>
      <c r="I3864" s="40" t="s">
        <v>1365</v>
      </c>
    </row>
    <row r="3865" spans="1:9" x14ac:dyDescent="0.25">
      <c r="A3865" s="40" t="s">
        <v>354</v>
      </c>
      <c r="B3865" s="28">
        <v>3959</v>
      </c>
      <c r="C3865" s="28" t="s">
        <v>1113</v>
      </c>
      <c r="D3865" s="28"/>
      <c r="E3865" s="41">
        <v>46159</v>
      </c>
      <c r="F3865" s="47">
        <v>5.4270833333333331E-2</v>
      </c>
      <c r="G3865" s="44">
        <v>6.3</v>
      </c>
      <c r="H3865" s="43" t="s">
        <v>1362</v>
      </c>
      <c r="I3865" s="40" t="s">
        <v>1365</v>
      </c>
    </row>
    <row r="3866" spans="1:9" x14ac:dyDescent="0.25">
      <c r="A3866" s="40" t="s">
        <v>354</v>
      </c>
      <c r="B3866" s="28">
        <v>3959</v>
      </c>
      <c r="C3866" s="28">
        <v>5672311</v>
      </c>
      <c r="D3866" s="28"/>
      <c r="E3866" s="41">
        <v>46159</v>
      </c>
      <c r="F3866" s="47">
        <v>0.38449074074074074</v>
      </c>
      <c r="G3866" s="42">
        <v>6.3</v>
      </c>
      <c r="H3866" s="40" t="s">
        <v>1363</v>
      </c>
      <c r="I3866" s="40" t="s">
        <v>1365</v>
      </c>
    </row>
    <row r="3867" spans="1:9" x14ac:dyDescent="0.25">
      <c r="A3867" s="40" t="s">
        <v>354</v>
      </c>
      <c r="B3867" s="28">
        <v>3959</v>
      </c>
      <c r="C3867" s="28">
        <v>5672311</v>
      </c>
      <c r="D3867" s="28"/>
      <c r="E3867" s="41">
        <v>46159</v>
      </c>
      <c r="F3867" s="47">
        <v>0.39008101851851851</v>
      </c>
      <c r="G3867" s="42">
        <v>6.3</v>
      </c>
      <c r="H3867" s="40" t="s">
        <v>1364</v>
      </c>
      <c r="I3867" s="40" t="s">
        <v>1365</v>
      </c>
    </row>
    <row r="3868" spans="1:9" x14ac:dyDescent="0.25">
      <c r="A3868" s="40" t="s">
        <v>354</v>
      </c>
      <c r="B3868" s="28">
        <v>3959</v>
      </c>
      <c r="C3868" s="28" t="s">
        <v>1114</v>
      </c>
      <c r="D3868" s="28"/>
      <c r="E3868" s="41">
        <v>46159</v>
      </c>
      <c r="F3868" s="47">
        <v>0.44373842592592594</v>
      </c>
      <c r="G3868" s="42">
        <v>6.3</v>
      </c>
      <c r="H3868" s="40" t="s">
        <v>1360</v>
      </c>
      <c r="I3868" s="40" t="s">
        <v>1365</v>
      </c>
    </row>
    <row r="3869" spans="1:9" x14ac:dyDescent="0.25">
      <c r="A3869" s="40" t="s">
        <v>354</v>
      </c>
      <c r="B3869" s="28">
        <v>3959</v>
      </c>
      <c r="C3869" s="28" t="s">
        <v>1114</v>
      </c>
      <c r="D3869" s="28"/>
      <c r="E3869" s="41">
        <v>46159</v>
      </c>
      <c r="F3869" s="47">
        <v>0.45047453703703705</v>
      </c>
      <c r="G3869" s="44">
        <v>6.3</v>
      </c>
      <c r="H3869" s="43" t="s">
        <v>1368</v>
      </c>
      <c r="I3869" s="40" t="s">
        <v>1365</v>
      </c>
    </row>
    <row r="3870" spans="1:9" x14ac:dyDescent="0.25">
      <c r="A3870" s="40" t="s">
        <v>354</v>
      </c>
      <c r="B3870" s="28">
        <v>3959</v>
      </c>
      <c r="C3870" s="28" t="s">
        <v>1115</v>
      </c>
      <c r="D3870" s="28"/>
      <c r="E3870" s="41">
        <v>46159</v>
      </c>
      <c r="F3870" s="47">
        <v>0.94341435185185185</v>
      </c>
      <c r="G3870" s="44">
        <v>6.3</v>
      </c>
      <c r="H3870" s="43" t="s">
        <v>1360</v>
      </c>
      <c r="I3870" s="40" t="s">
        <v>1365</v>
      </c>
    </row>
    <row r="3871" spans="1:9" x14ac:dyDescent="0.25">
      <c r="A3871" s="40" t="s">
        <v>354</v>
      </c>
      <c r="B3871" s="28">
        <v>3959</v>
      </c>
      <c r="C3871" s="28" t="s">
        <v>1115</v>
      </c>
      <c r="D3871" s="28"/>
      <c r="E3871" s="45">
        <v>46159</v>
      </c>
      <c r="F3871" s="48">
        <v>0.95045138888888892</v>
      </c>
      <c r="G3871" s="44">
        <v>6.3</v>
      </c>
      <c r="H3871" s="43" t="s">
        <v>1362</v>
      </c>
      <c r="I3871" s="40" t="s">
        <v>1365</v>
      </c>
    </row>
    <row r="3872" spans="1:9" x14ac:dyDescent="0.25">
      <c r="A3872" s="40" t="s">
        <v>385</v>
      </c>
      <c r="B3872" s="28">
        <v>4026</v>
      </c>
      <c r="C3872" s="28" t="s">
        <v>1116</v>
      </c>
      <c r="D3872" s="28"/>
      <c r="E3872" s="41">
        <v>46158</v>
      </c>
      <c r="F3872" s="47">
        <v>0.63067129629629626</v>
      </c>
      <c r="G3872" s="44">
        <v>6.3</v>
      </c>
      <c r="H3872" s="43" t="s">
        <v>1360</v>
      </c>
      <c r="I3872" s="40" t="s">
        <v>1365</v>
      </c>
    </row>
    <row r="3873" spans="1:9" x14ac:dyDescent="0.25">
      <c r="A3873" s="40" t="s">
        <v>385</v>
      </c>
      <c r="B3873" s="28">
        <v>4026</v>
      </c>
      <c r="C3873" s="28" t="s">
        <v>1116</v>
      </c>
      <c r="D3873" s="28"/>
      <c r="E3873" s="41">
        <v>46158</v>
      </c>
      <c r="F3873" s="47">
        <v>0.63920138888888889</v>
      </c>
      <c r="G3873" s="44">
        <v>6.3</v>
      </c>
      <c r="H3873" s="43" t="s">
        <v>1362</v>
      </c>
      <c r="I3873" s="40" t="s">
        <v>1365</v>
      </c>
    </row>
    <row r="3874" spans="1:9" x14ac:dyDescent="0.25">
      <c r="A3874" s="40" t="s">
        <v>362</v>
      </c>
      <c r="B3874" s="28">
        <v>4029</v>
      </c>
      <c r="C3874" s="28">
        <v>5661860</v>
      </c>
      <c r="D3874" s="28" t="s">
        <v>37</v>
      </c>
      <c r="E3874" s="45">
        <v>46153</v>
      </c>
      <c r="F3874" s="48">
        <v>3.3101851851851851E-3</v>
      </c>
      <c r="G3874" s="44">
        <v>6.3</v>
      </c>
      <c r="H3874" s="43" t="s">
        <v>1362</v>
      </c>
      <c r="I3874" s="40" t="s">
        <v>1361</v>
      </c>
    </row>
    <row r="3875" spans="1:9" x14ac:dyDescent="0.25">
      <c r="A3875" s="40" t="s">
        <v>362</v>
      </c>
      <c r="B3875" s="28">
        <v>4029</v>
      </c>
      <c r="C3875" s="28" t="s">
        <v>35</v>
      </c>
      <c r="D3875" s="28" t="s">
        <v>38</v>
      </c>
      <c r="E3875" s="41">
        <v>46153</v>
      </c>
      <c r="F3875" s="47">
        <v>1.8587962962962962E-2</v>
      </c>
      <c r="G3875" s="44">
        <v>6.3</v>
      </c>
      <c r="H3875" s="43" t="s">
        <v>1363</v>
      </c>
      <c r="I3875" s="40" t="s">
        <v>1361</v>
      </c>
    </row>
    <row r="3876" spans="1:9" x14ac:dyDescent="0.25">
      <c r="A3876" s="40" t="s">
        <v>362</v>
      </c>
      <c r="B3876" s="28">
        <v>4029</v>
      </c>
      <c r="C3876" s="28" t="s">
        <v>35</v>
      </c>
      <c r="D3876" s="28" t="s">
        <v>38</v>
      </c>
      <c r="E3876" s="41">
        <v>46153</v>
      </c>
      <c r="F3876" s="47">
        <v>2.4027777777777776E-2</v>
      </c>
      <c r="G3876" s="44">
        <v>6.3</v>
      </c>
      <c r="H3876" s="43" t="s">
        <v>1364</v>
      </c>
      <c r="I3876" s="40" t="s">
        <v>1361</v>
      </c>
    </row>
    <row r="3877" spans="1:9" x14ac:dyDescent="0.25">
      <c r="A3877" s="40" t="s">
        <v>362</v>
      </c>
      <c r="B3877" s="28">
        <v>4029</v>
      </c>
      <c r="C3877" s="28" t="s">
        <v>1117</v>
      </c>
      <c r="D3877" s="28"/>
      <c r="E3877" s="41">
        <v>46153</v>
      </c>
      <c r="F3877" s="47">
        <v>0.9738310185185185</v>
      </c>
      <c r="G3877" s="44">
        <v>6.3</v>
      </c>
      <c r="H3877" s="43" t="s">
        <v>1360</v>
      </c>
      <c r="I3877" s="40" t="s">
        <v>1361</v>
      </c>
    </row>
    <row r="3878" spans="1:9" x14ac:dyDescent="0.25">
      <c r="A3878" s="40" t="s">
        <v>362</v>
      </c>
      <c r="B3878" s="28">
        <v>4029</v>
      </c>
      <c r="C3878" s="28" t="s">
        <v>1117</v>
      </c>
      <c r="D3878" s="28"/>
      <c r="E3878" s="41">
        <v>46153</v>
      </c>
      <c r="F3878" s="47">
        <v>0.9805787037037037</v>
      </c>
      <c r="G3878" s="42">
        <v>6.3</v>
      </c>
      <c r="H3878" s="40" t="s">
        <v>1368</v>
      </c>
      <c r="I3878" s="40" t="s">
        <v>1361</v>
      </c>
    </row>
    <row r="3879" spans="1:9" x14ac:dyDescent="0.25">
      <c r="A3879" s="40" t="s">
        <v>362</v>
      </c>
      <c r="B3879" s="28">
        <v>4029</v>
      </c>
      <c r="C3879" s="28">
        <v>5670424</v>
      </c>
      <c r="D3879" s="28"/>
      <c r="E3879" s="41">
        <v>46157</v>
      </c>
      <c r="F3879" s="47">
        <v>0.79388888888888887</v>
      </c>
      <c r="G3879" s="44">
        <v>6.3</v>
      </c>
      <c r="H3879" s="43" t="s">
        <v>1360</v>
      </c>
      <c r="I3879" s="40" t="s">
        <v>1361</v>
      </c>
    </row>
    <row r="3880" spans="1:9" x14ac:dyDescent="0.25">
      <c r="A3880" s="40" t="s">
        <v>362</v>
      </c>
      <c r="B3880" s="28">
        <v>4029</v>
      </c>
      <c r="C3880" s="28">
        <v>5670424</v>
      </c>
      <c r="D3880" s="28"/>
      <c r="E3880" s="41">
        <v>46157</v>
      </c>
      <c r="F3880" s="47">
        <v>0.81483796296296296</v>
      </c>
      <c r="G3880" s="44">
        <v>6.3</v>
      </c>
      <c r="H3880" s="43" t="s">
        <v>1362</v>
      </c>
      <c r="I3880" s="40" t="s">
        <v>1361</v>
      </c>
    </row>
    <row r="3881" spans="1:9" x14ac:dyDescent="0.25">
      <c r="A3881" s="40" t="s">
        <v>362</v>
      </c>
      <c r="B3881" s="28">
        <v>4029</v>
      </c>
      <c r="C3881" s="28" t="s">
        <v>35</v>
      </c>
      <c r="D3881" s="28" t="s">
        <v>38</v>
      </c>
      <c r="E3881" s="41">
        <v>46157</v>
      </c>
      <c r="F3881" s="47">
        <v>0.86517361111111113</v>
      </c>
      <c r="G3881" s="44">
        <v>6.3</v>
      </c>
      <c r="H3881" s="43" t="s">
        <v>1363</v>
      </c>
      <c r="I3881" s="40" t="s">
        <v>1361</v>
      </c>
    </row>
    <row r="3882" spans="1:9" x14ac:dyDescent="0.25">
      <c r="A3882" s="40" t="s">
        <v>444</v>
      </c>
      <c r="B3882" s="28">
        <v>4041</v>
      </c>
      <c r="C3882" s="28" t="s">
        <v>35</v>
      </c>
      <c r="D3882" s="28" t="s">
        <v>38</v>
      </c>
      <c r="E3882" s="41">
        <v>46153</v>
      </c>
      <c r="F3882" s="47">
        <v>0.81020833333333331</v>
      </c>
      <c r="G3882" s="44">
        <v>6.3</v>
      </c>
      <c r="H3882" s="43" t="s">
        <v>1363</v>
      </c>
      <c r="I3882" s="40" t="s">
        <v>1361</v>
      </c>
    </row>
    <row r="3883" spans="1:9" x14ac:dyDescent="0.25">
      <c r="A3883" s="40" t="s">
        <v>444</v>
      </c>
      <c r="B3883" s="28">
        <v>4041</v>
      </c>
      <c r="C3883" s="28" t="s">
        <v>1118</v>
      </c>
      <c r="D3883" s="28"/>
      <c r="E3883" s="41">
        <v>46154</v>
      </c>
      <c r="F3883" s="47">
        <v>0.14459490740740741</v>
      </c>
      <c r="G3883" s="42">
        <v>6.3</v>
      </c>
      <c r="H3883" s="40" t="s">
        <v>1363</v>
      </c>
      <c r="I3883" s="40" t="s">
        <v>1361</v>
      </c>
    </row>
    <row r="3884" spans="1:9" x14ac:dyDescent="0.25">
      <c r="A3884" s="40" t="s">
        <v>444</v>
      </c>
      <c r="B3884" s="28">
        <v>4041</v>
      </c>
      <c r="C3884" s="28" t="s">
        <v>1118</v>
      </c>
      <c r="D3884" s="28"/>
      <c r="E3884" s="41">
        <v>46154</v>
      </c>
      <c r="F3884" s="47">
        <v>0.14923611111111112</v>
      </c>
      <c r="G3884" s="42">
        <v>6.3</v>
      </c>
      <c r="H3884" s="40" t="s">
        <v>1364</v>
      </c>
      <c r="I3884" s="40" t="s">
        <v>1361</v>
      </c>
    </row>
    <row r="3885" spans="1:9" x14ac:dyDescent="0.25">
      <c r="A3885" s="40" t="s">
        <v>444</v>
      </c>
      <c r="B3885" s="28">
        <v>4041</v>
      </c>
      <c r="C3885" s="28" t="s">
        <v>1119</v>
      </c>
      <c r="D3885" s="28"/>
      <c r="E3885" s="41">
        <v>46156</v>
      </c>
      <c r="F3885" s="47">
        <v>1.9525462962962963E-2</v>
      </c>
      <c r="G3885" s="42">
        <v>6.3</v>
      </c>
      <c r="H3885" s="40" t="s">
        <v>1360</v>
      </c>
      <c r="I3885" s="40" t="s">
        <v>1361</v>
      </c>
    </row>
    <row r="3886" spans="1:9" x14ac:dyDescent="0.25">
      <c r="A3886" s="40" t="s">
        <v>444</v>
      </c>
      <c r="B3886" s="28">
        <v>4041</v>
      </c>
      <c r="C3886" s="28" t="s">
        <v>1119</v>
      </c>
      <c r="D3886" s="28"/>
      <c r="E3886" s="41">
        <v>46156</v>
      </c>
      <c r="F3886" s="47">
        <v>2.6597222222222223E-2</v>
      </c>
      <c r="G3886" s="42">
        <v>6.3</v>
      </c>
      <c r="H3886" s="40" t="s">
        <v>1362</v>
      </c>
      <c r="I3886" s="40" t="s">
        <v>1361</v>
      </c>
    </row>
    <row r="3887" spans="1:9" x14ac:dyDescent="0.25">
      <c r="A3887" s="40" t="s">
        <v>444</v>
      </c>
      <c r="B3887" s="28">
        <v>4041</v>
      </c>
      <c r="C3887" s="28" t="s">
        <v>1120</v>
      </c>
      <c r="D3887" s="28"/>
      <c r="E3887" s="41">
        <v>46156</v>
      </c>
      <c r="F3887" s="47">
        <v>0.84063657407407411</v>
      </c>
      <c r="G3887" s="44">
        <v>6.3</v>
      </c>
      <c r="H3887" s="43" t="s">
        <v>1360</v>
      </c>
      <c r="I3887" s="40" t="s">
        <v>1361</v>
      </c>
    </row>
    <row r="3888" spans="1:9" x14ac:dyDescent="0.25">
      <c r="A3888" s="40" t="s">
        <v>444</v>
      </c>
      <c r="B3888" s="28">
        <v>4041</v>
      </c>
      <c r="C3888" s="28" t="s">
        <v>1120</v>
      </c>
      <c r="D3888" s="28"/>
      <c r="E3888" s="45">
        <v>46156</v>
      </c>
      <c r="F3888" s="48">
        <v>0.84765046296296298</v>
      </c>
      <c r="G3888" s="44">
        <v>6.3</v>
      </c>
      <c r="H3888" s="43" t="s">
        <v>1362</v>
      </c>
      <c r="I3888" s="40" t="s">
        <v>1361</v>
      </c>
    </row>
    <row r="3889" spans="1:9" x14ac:dyDescent="0.25">
      <c r="A3889" s="40" t="s">
        <v>444</v>
      </c>
      <c r="B3889" s="28">
        <v>4041</v>
      </c>
      <c r="C3889" s="28" t="s">
        <v>35</v>
      </c>
      <c r="D3889" s="28" t="s">
        <v>38</v>
      </c>
      <c r="E3889" s="41">
        <v>46159</v>
      </c>
      <c r="F3889" s="47">
        <v>3.5266203703703702E-2</v>
      </c>
      <c r="G3889" s="44">
        <v>6.3</v>
      </c>
      <c r="H3889" s="43" t="s">
        <v>1362</v>
      </c>
      <c r="I3889" s="40" t="s">
        <v>1365</v>
      </c>
    </row>
    <row r="3890" spans="1:9" x14ac:dyDescent="0.25">
      <c r="A3890" s="40" t="s">
        <v>352</v>
      </c>
      <c r="B3890" s="28">
        <v>4042</v>
      </c>
      <c r="C3890" s="28">
        <v>5669266</v>
      </c>
      <c r="D3890" s="28"/>
      <c r="E3890" s="41">
        <v>46156</v>
      </c>
      <c r="F3890" s="47">
        <v>0.92267361111111112</v>
      </c>
      <c r="G3890" s="44">
        <v>6.3</v>
      </c>
      <c r="H3890" s="43" t="s">
        <v>1360</v>
      </c>
      <c r="I3890" s="40" t="s">
        <v>1361</v>
      </c>
    </row>
    <row r="3891" spans="1:9" x14ac:dyDescent="0.25">
      <c r="A3891" s="40" t="s">
        <v>352</v>
      </c>
      <c r="B3891" s="28">
        <v>4042</v>
      </c>
      <c r="C3891" s="28">
        <v>5669266</v>
      </c>
      <c r="D3891" s="28"/>
      <c r="E3891" s="41">
        <v>46156</v>
      </c>
      <c r="F3891" s="47">
        <v>0.93002314814814813</v>
      </c>
      <c r="G3891" s="44">
        <v>6.3</v>
      </c>
      <c r="H3891" s="43" t="s">
        <v>1362</v>
      </c>
      <c r="I3891" s="40" t="s">
        <v>1361</v>
      </c>
    </row>
    <row r="3892" spans="1:9" x14ac:dyDescent="0.25">
      <c r="A3892" s="40" t="s">
        <v>352</v>
      </c>
      <c r="B3892" s="28">
        <v>4042</v>
      </c>
      <c r="C3892" s="28">
        <v>5669647</v>
      </c>
      <c r="D3892" s="28"/>
      <c r="E3892" s="41">
        <v>46157</v>
      </c>
      <c r="F3892" s="47">
        <v>0.81739583333333332</v>
      </c>
      <c r="G3892" s="44">
        <v>6.3</v>
      </c>
      <c r="H3892" s="43" t="s">
        <v>1360</v>
      </c>
      <c r="I3892" s="40" t="s">
        <v>1361</v>
      </c>
    </row>
    <row r="3893" spans="1:9" x14ac:dyDescent="0.25">
      <c r="A3893" s="40" t="s">
        <v>352</v>
      </c>
      <c r="B3893" s="28">
        <v>4042</v>
      </c>
      <c r="C3893" s="28" t="s">
        <v>35</v>
      </c>
      <c r="D3893" s="28" t="s">
        <v>38</v>
      </c>
      <c r="E3893" s="41">
        <v>46157</v>
      </c>
      <c r="F3893" s="47">
        <v>0.86913194444444442</v>
      </c>
      <c r="G3893" s="44">
        <v>6.3</v>
      </c>
      <c r="H3893" s="43" t="s">
        <v>1367</v>
      </c>
      <c r="I3893" s="40" t="s">
        <v>1361</v>
      </c>
    </row>
    <row r="3894" spans="1:9" x14ac:dyDescent="0.25">
      <c r="A3894" s="40" t="s">
        <v>352</v>
      </c>
      <c r="B3894" s="28">
        <v>4042</v>
      </c>
      <c r="C3894" s="28" t="s">
        <v>35</v>
      </c>
      <c r="D3894" s="28" t="s">
        <v>38</v>
      </c>
      <c r="E3894" s="41">
        <v>46157</v>
      </c>
      <c r="F3894" s="47">
        <v>0.88203703703703706</v>
      </c>
      <c r="G3894" s="44">
        <v>6.3</v>
      </c>
      <c r="H3894" s="43" t="s">
        <v>1364</v>
      </c>
      <c r="I3894" s="40" t="s">
        <v>1361</v>
      </c>
    </row>
    <row r="3895" spans="1:9" x14ac:dyDescent="0.25">
      <c r="A3895" s="40" t="s">
        <v>352</v>
      </c>
      <c r="B3895" s="28">
        <v>4042</v>
      </c>
      <c r="C3895" s="28">
        <v>5673310</v>
      </c>
      <c r="D3895" s="28"/>
      <c r="E3895" s="41">
        <v>46159</v>
      </c>
      <c r="F3895" s="47">
        <v>0.96358796296296301</v>
      </c>
      <c r="G3895" s="44">
        <v>6.3</v>
      </c>
      <c r="H3895" s="43" t="s">
        <v>1360</v>
      </c>
      <c r="I3895" s="40" t="s">
        <v>1365</v>
      </c>
    </row>
    <row r="3896" spans="1:9" x14ac:dyDescent="0.25">
      <c r="A3896" s="40" t="s">
        <v>352</v>
      </c>
      <c r="B3896" s="28">
        <v>4042</v>
      </c>
      <c r="C3896" s="28">
        <v>5673310</v>
      </c>
      <c r="D3896" s="28"/>
      <c r="E3896" s="41">
        <v>46159</v>
      </c>
      <c r="F3896" s="47">
        <v>0.97061342592592592</v>
      </c>
      <c r="G3896" s="44">
        <v>6.3</v>
      </c>
      <c r="H3896" s="43" t="s">
        <v>1362</v>
      </c>
      <c r="I3896" s="40" t="s">
        <v>1365</v>
      </c>
    </row>
    <row r="3897" spans="1:9" x14ac:dyDescent="0.25">
      <c r="A3897" s="40" t="s">
        <v>349</v>
      </c>
      <c r="B3897" s="28">
        <v>4055</v>
      </c>
      <c r="C3897" s="28" t="s">
        <v>35</v>
      </c>
      <c r="D3897" s="28" t="s">
        <v>38</v>
      </c>
      <c r="E3897" s="41">
        <v>46153</v>
      </c>
      <c r="F3897" s="47">
        <v>0.22575231481481481</v>
      </c>
      <c r="G3897" s="44">
        <v>6.3</v>
      </c>
      <c r="H3897" s="43" t="s">
        <v>1370</v>
      </c>
      <c r="I3897" s="40" t="s">
        <v>1361</v>
      </c>
    </row>
    <row r="3898" spans="1:9" x14ac:dyDescent="0.25">
      <c r="A3898" s="40" t="s">
        <v>349</v>
      </c>
      <c r="B3898" s="28">
        <v>4055</v>
      </c>
      <c r="C3898" s="28" t="s">
        <v>35</v>
      </c>
      <c r="D3898" s="28" t="s">
        <v>38</v>
      </c>
      <c r="E3898" s="41">
        <v>46153</v>
      </c>
      <c r="F3898" s="47">
        <v>0.22980324074074074</v>
      </c>
      <c r="G3898" s="44">
        <v>6.3</v>
      </c>
      <c r="H3898" s="43" t="s">
        <v>1364</v>
      </c>
      <c r="I3898" s="40" t="s">
        <v>1361</v>
      </c>
    </row>
    <row r="3899" spans="1:9" x14ac:dyDescent="0.25">
      <c r="A3899" s="40" t="s">
        <v>349</v>
      </c>
      <c r="B3899" s="28">
        <v>4055</v>
      </c>
      <c r="C3899" s="28">
        <v>5662295</v>
      </c>
      <c r="D3899" s="28"/>
      <c r="E3899" s="41">
        <v>46153</v>
      </c>
      <c r="F3899" s="47">
        <v>0.28499999999999998</v>
      </c>
      <c r="G3899" s="44">
        <v>6.3</v>
      </c>
      <c r="H3899" s="43" t="s">
        <v>1360</v>
      </c>
      <c r="I3899" s="40" t="s">
        <v>1361</v>
      </c>
    </row>
    <row r="3900" spans="1:9" x14ac:dyDescent="0.25">
      <c r="A3900" s="40" t="s">
        <v>349</v>
      </c>
      <c r="B3900" s="28">
        <v>4055</v>
      </c>
      <c r="C3900" s="28">
        <v>5662295</v>
      </c>
      <c r="D3900" s="28"/>
      <c r="E3900" s="41">
        <v>46153</v>
      </c>
      <c r="F3900" s="47">
        <v>0.29927083333333332</v>
      </c>
      <c r="G3900" s="44">
        <v>6.3</v>
      </c>
      <c r="H3900" s="43" t="s">
        <v>1362</v>
      </c>
      <c r="I3900" s="40" t="s">
        <v>1361</v>
      </c>
    </row>
    <row r="3901" spans="1:9" x14ac:dyDescent="0.25">
      <c r="A3901" s="40" t="s">
        <v>349</v>
      </c>
      <c r="B3901" s="28">
        <v>4055</v>
      </c>
      <c r="C3901" s="28" t="s">
        <v>1121</v>
      </c>
      <c r="D3901" s="28"/>
      <c r="E3901" s="41">
        <v>46153</v>
      </c>
      <c r="F3901" s="47">
        <v>0.39927083333333335</v>
      </c>
      <c r="G3901" s="44">
        <v>6.3</v>
      </c>
      <c r="H3901" s="43" t="s">
        <v>1360</v>
      </c>
      <c r="I3901" s="40" t="s">
        <v>1361</v>
      </c>
    </row>
    <row r="3902" spans="1:9" x14ac:dyDescent="0.25">
      <c r="A3902" s="40" t="s">
        <v>349</v>
      </c>
      <c r="B3902" s="28">
        <v>4055</v>
      </c>
      <c r="C3902" s="28" t="s">
        <v>1121</v>
      </c>
      <c r="D3902" s="28"/>
      <c r="E3902" s="41">
        <v>46153</v>
      </c>
      <c r="F3902" s="47">
        <v>0.41315972222222225</v>
      </c>
      <c r="G3902" s="44">
        <v>6.3</v>
      </c>
      <c r="H3902" s="43" t="s">
        <v>1362</v>
      </c>
      <c r="I3902" s="40" t="s">
        <v>1361</v>
      </c>
    </row>
    <row r="3903" spans="1:9" x14ac:dyDescent="0.25">
      <c r="A3903" s="40" t="s">
        <v>349</v>
      </c>
      <c r="B3903" s="28">
        <v>4055</v>
      </c>
      <c r="C3903" s="28">
        <v>5662782</v>
      </c>
      <c r="D3903" s="28"/>
      <c r="E3903" s="41">
        <v>46153</v>
      </c>
      <c r="F3903" s="47">
        <v>0.61902777777777773</v>
      </c>
      <c r="G3903" s="44">
        <v>6.3</v>
      </c>
      <c r="H3903" s="43" t="s">
        <v>1360</v>
      </c>
      <c r="I3903" s="40" t="s">
        <v>1361</v>
      </c>
    </row>
    <row r="3904" spans="1:9" x14ac:dyDescent="0.25">
      <c r="A3904" s="40" t="s">
        <v>349</v>
      </c>
      <c r="B3904" s="28">
        <v>4055</v>
      </c>
      <c r="C3904" s="28">
        <v>5662782</v>
      </c>
      <c r="D3904" s="28"/>
      <c r="E3904" s="45">
        <v>46153</v>
      </c>
      <c r="F3904" s="48">
        <v>0.62739583333333337</v>
      </c>
      <c r="G3904" s="44">
        <v>6.3</v>
      </c>
      <c r="H3904" s="43" t="s">
        <v>1362</v>
      </c>
      <c r="I3904" s="40" t="s">
        <v>1361</v>
      </c>
    </row>
    <row r="3905" spans="1:9" x14ac:dyDescent="0.25">
      <c r="A3905" s="40" t="s">
        <v>349</v>
      </c>
      <c r="B3905" s="28">
        <v>4055</v>
      </c>
      <c r="C3905" s="28">
        <v>5663409</v>
      </c>
      <c r="D3905" s="28"/>
      <c r="E3905" s="45">
        <v>46153</v>
      </c>
      <c r="F3905" s="48">
        <v>0.77491898148148153</v>
      </c>
      <c r="G3905" s="44">
        <v>6.3</v>
      </c>
      <c r="H3905" s="43" t="s">
        <v>1360</v>
      </c>
      <c r="I3905" s="40" t="s">
        <v>1361</v>
      </c>
    </row>
    <row r="3906" spans="1:9" x14ac:dyDescent="0.25">
      <c r="A3906" s="40" t="s">
        <v>349</v>
      </c>
      <c r="B3906" s="28">
        <v>4055</v>
      </c>
      <c r="C3906" s="28">
        <v>5665272</v>
      </c>
      <c r="D3906" s="28"/>
      <c r="E3906" s="41">
        <v>46154</v>
      </c>
      <c r="F3906" s="47">
        <v>0.7625925925925926</v>
      </c>
      <c r="G3906" s="44">
        <v>6.3</v>
      </c>
      <c r="H3906" s="43" t="s">
        <v>1360</v>
      </c>
      <c r="I3906" s="40" t="s">
        <v>1361</v>
      </c>
    </row>
    <row r="3907" spans="1:9" x14ac:dyDescent="0.25">
      <c r="A3907" s="40" t="s">
        <v>349</v>
      </c>
      <c r="B3907" s="28">
        <v>4055</v>
      </c>
      <c r="C3907" s="28">
        <v>5665272</v>
      </c>
      <c r="D3907" s="28"/>
      <c r="E3907" s="41">
        <v>46154</v>
      </c>
      <c r="F3907" s="47">
        <v>0.77519675925925924</v>
      </c>
      <c r="G3907" s="44">
        <v>6.3</v>
      </c>
      <c r="H3907" s="43" t="s">
        <v>1368</v>
      </c>
      <c r="I3907" s="40" t="s">
        <v>1361</v>
      </c>
    </row>
    <row r="3908" spans="1:9" x14ac:dyDescent="0.25">
      <c r="A3908" s="40" t="s">
        <v>349</v>
      </c>
      <c r="B3908" s="28">
        <v>4055</v>
      </c>
      <c r="C3908" s="28" t="s">
        <v>35</v>
      </c>
      <c r="D3908" s="28" t="s">
        <v>38</v>
      </c>
      <c r="E3908" s="41">
        <v>46155</v>
      </c>
      <c r="F3908" s="47">
        <v>0.21039351851851851</v>
      </c>
      <c r="G3908" s="44">
        <v>6.3</v>
      </c>
      <c r="H3908" s="43" t="s">
        <v>1370</v>
      </c>
      <c r="I3908" s="40" t="s">
        <v>1361</v>
      </c>
    </row>
    <row r="3909" spans="1:9" x14ac:dyDescent="0.25">
      <c r="A3909" s="40" t="s">
        <v>349</v>
      </c>
      <c r="B3909" s="28">
        <v>4055</v>
      </c>
      <c r="C3909" s="28" t="s">
        <v>35</v>
      </c>
      <c r="D3909" s="28" t="s">
        <v>38</v>
      </c>
      <c r="E3909" s="41">
        <v>46155</v>
      </c>
      <c r="F3909" s="47">
        <v>0.21445601851851853</v>
      </c>
      <c r="G3909" s="44">
        <v>6.3</v>
      </c>
      <c r="H3909" s="43" t="s">
        <v>1364</v>
      </c>
      <c r="I3909" s="40" t="s">
        <v>1361</v>
      </c>
    </row>
    <row r="3910" spans="1:9" x14ac:dyDescent="0.25">
      <c r="A3910" s="40" t="s">
        <v>349</v>
      </c>
      <c r="B3910" s="28">
        <v>4055</v>
      </c>
      <c r="C3910" s="28" t="s">
        <v>35</v>
      </c>
      <c r="D3910" s="28" t="s">
        <v>38</v>
      </c>
      <c r="E3910" s="41">
        <v>46156</v>
      </c>
      <c r="F3910" s="47">
        <v>0.20862268518518517</v>
      </c>
      <c r="G3910" s="44">
        <v>6.3</v>
      </c>
      <c r="H3910" s="43" t="s">
        <v>1370</v>
      </c>
      <c r="I3910" s="40" t="s">
        <v>1361</v>
      </c>
    </row>
    <row r="3911" spans="1:9" x14ac:dyDescent="0.25">
      <c r="A3911" s="40" t="s">
        <v>349</v>
      </c>
      <c r="B3911" s="28">
        <v>4055</v>
      </c>
      <c r="C3911" s="28" t="s">
        <v>35</v>
      </c>
      <c r="D3911" s="28" t="s">
        <v>38</v>
      </c>
      <c r="E3911" s="45">
        <v>46156</v>
      </c>
      <c r="F3911" s="48">
        <v>0.21585648148148148</v>
      </c>
      <c r="G3911" s="44">
        <v>6.3</v>
      </c>
      <c r="H3911" s="43" t="s">
        <v>1364</v>
      </c>
      <c r="I3911" s="40" t="s">
        <v>1361</v>
      </c>
    </row>
    <row r="3912" spans="1:9" x14ac:dyDescent="0.25">
      <c r="A3912" s="40" t="s">
        <v>349</v>
      </c>
      <c r="B3912" s="28">
        <v>4055</v>
      </c>
      <c r="C3912" s="28" t="s">
        <v>35</v>
      </c>
      <c r="D3912" s="28" t="s">
        <v>38</v>
      </c>
      <c r="E3912" s="41">
        <v>46157</v>
      </c>
      <c r="F3912" s="47">
        <v>0.48594907407407406</v>
      </c>
      <c r="G3912" s="44">
        <v>6.3</v>
      </c>
      <c r="H3912" s="43" t="s">
        <v>1370</v>
      </c>
      <c r="I3912" s="40" t="s">
        <v>1361</v>
      </c>
    </row>
    <row r="3913" spans="1:9" x14ac:dyDescent="0.25">
      <c r="A3913" s="40" t="s">
        <v>349</v>
      </c>
      <c r="B3913" s="28">
        <v>4055</v>
      </c>
      <c r="C3913" s="28" t="s">
        <v>35</v>
      </c>
      <c r="D3913" s="28" t="s">
        <v>38</v>
      </c>
      <c r="E3913" s="41">
        <v>46157</v>
      </c>
      <c r="F3913" s="47">
        <v>0.52255787037037038</v>
      </c>
      <c r="G3913" s="44">
        <v>6.3</v>
      </c>
      <c r="H3913" s="43" t="s">
        <v>1364</v>
      </c>
      <c r="I3913" s="40" t="s">
        <v>1361</v>
      </c>
    </row>
    <row r="3914" spans="1:9" x14ac:dyDescent="0.25">
      <c r="A3914" s="40" t="s">
        <v>349</v>
      </c>
      <c r="B3914" s="28">
        <v>4055</v>
      </c>
      <c r="C3914" s="28" t="s">
        <v>35</v>
      </c>
      <c r="D3914" s="28" t="s">
        <v>38</v>
      </c>
      <c r="E3914" s="41">
        <v>46158</v>
      </c>
      <c r="F3914" s="47">
        <v>0.23938657407407407</v>
      </c>
      <c r="G3914" s="44">
        <v>6.3</v>
      </c>
      <c r="H3914" s="43" t="s">
        <v>1370</v>
      </c>
      <c r="I3914" s="40" t="s">
        <v>1365</v>
      </c>
    </row>
    <row r="3915" spans="1:9" x14ac:dyDescent="0.25">
      <c r="A3915" s="40" t="s">
        <v>349</v>
      </c>
      <c r="B3915" s="28">
        <v>4055</v>
      </c>
      <c r="C3915" s="28" t="s">
        <v>35</v>
      </c>
      <c r="D3915" s="28" t="s">
        <v>38</v>
      </c>
      <c r="E3915" s="41">
        <v>46158</v>
      </c>
      <c r="F3915" s="47">
        <v>0.24393518518518517</v>
      </c>
      <c r="G3915" s="44">
        <v>6.3</v>
      </c>
      <c r="H3915" s="43" t="s">
        <v>1364</v>
      </c>
      <c r="I3915" s="40" t="s">
        <v>1365</v>
      </c>
    </row>
    <row r="3916" spans="1:9" x14ac:dyDescent="0.25">
      <c r="A3916" s="40" t="s">
        <v>349</v>
      </c>
      <c r="B3916" s="28">
        <v>4055</v>
      </c>
      <c r="C3916" s="28">
        <v>5671347</v>
      </c>
      <c r="D3916" s="28" t="s">
        <v>37</v>
      </c>
      <c r="E3916" s="41">
        <v>46158</v>
      </c>
      <c r="F3916" s="47">
        <v>0.44341435185185185</v>
      </c>
      <c r="G3916" s="44">
        <v>6.3</v>
      </c>
      <c r="H3916" s="43" t="s">
        <v>1360</v>
      </c>
      <c r="I3916" s="40" t="s">
        <v>1365</v>
      </c>
    </row>
    <row r="3917" spans="1:9" x14ac:dyDescent="0.25">
      <c r="A3917" s="40" t="s">
        <v>349</v>
      </c>
      <c r="B3917" s="28">
        <v>4055</v>
      </c>
      <c r="C3917" s="28">
        <v>5671347</v>
      </c>
      <c r="D3917" s="28" t="s">
        <v>37</v>
      </c>
      <c r="E3917" s="41">
        <v>46158</v>
      </c>
      <c r="F3917" s="47">
        <v>0.45393518518518516</v>
      </c>
      <c r="G3917" s="44">
        <v>6.3</v>
      </c>
      <c r="H3917" s="43" t="s">
        <v>1366</v>
      </c>
      <c r="I3917" s="40" t="s">
        <v>1365</v>
      </c>
    </row>
    <row r="3918" spans="1:9" x14ac:dyDescent="0.25">
      <c r="A3918" s="40" t="s">
        <v>349</v>
      </c>
      <c r="B3918" s="28">
        <v>4055</v>
      </c>
      <c r="C3918" s="28" t="s">
        <v>1122</v>
      </c>
      <c r="D3918" s="28"/>
      <c r="E3918" s="41">
        <v>46159</v>
      </c>
      <c r="F3918" s="47">
        <v>9.5578703703703707E-2</v>
      </c>
      <c r="G3918" s="44">
        <v>6.3</v>
      </c>
      <c r="H3918" s="43" t="s">
        <v>1360</v>
      </c>
      <c r="I3918" s="40" t="s">
        <v>1365</v>
      </c>
    </row>
    <row r="3919" spans="1:9" x14ac:dyDescent="0.25">
      <c r="A3919" s="40" t="s">
        <v>349</v>
      </c>
      <c r="B3919" s="28">
        <v>4055</v>
      </c>
      <c r="C3919" s="28" t="s">
        <v>1122</v>
      </c>
      <c r="D3919" s="28"/>
      <c r="E3919" s="41">
        <v>46159</v>
      </c>
      <c r="F3919" s="47">
        <v>0.1009375</v>
      </c>
      <c r="G3919" s="44">
        <v>6.3</v>
      </c>
      <c r="H3919" s="43" t="s">
        <v>1368</v>
      </c>
      <c r="I3919" s="40" t="s">
        <v>1365</v>
      </c>
    </row>
    <row r="3920" spans="1:9" x14ac:dyDescent="0.25">
      <c r="A3920" s="40" t="s">
        <v>349</v>
      </c>
      <c r="B3920" s="28">
        <v>4055</v>
      </c>
      <c r="C3920" s="28" t="s">
        <v>1123</v>
      </c>
      <c r="D3920" s="28"/>
      <c r="E3920" s="45">
        <v>46159</v>
      </c>
      <c r="F3920" s="48">
        <v>0.23216435185185186</v>
      </c>
      <c r="G3920" s="44">
        <v>6.3</v>
      </c>
      <c r="H3920" s="43" t="s">
        <v>1360</v>
      </c>
      <c r="I3920" s="40" t="s">
        <v>1365</v>
      </c>
    </row>
    <row r="3921" spans="1:9" x14ac:dyDescent="0.25">
      <c r="A3921" s="40" t="s">
        <v>349</v>
      </c>
      <c r="B3921" s="28">
        <v>4055</v>
      </c>
      <c r="C3921" s="28" t="s">
        <v>1123</v>
      </c>
      <c r="D3921" s="28"/>
      <c r="E3921" s="45">
        <v>46159</v>
      </c>
      <c r="F3921" s="48">
        <v>0.23814814814814814</v>
      </c>
      <c r="G3921" s="42">
        <v>6.3</v>
      </c>
      <c r="H3921" s="40" t="s">
        <v>1362</v>
      </c>
      <c r="I3921" s="40" t="s">
        <v>1365</v>
      </c>
    </row>
    <row r="3922" spans="1:9" x14ac:dyDescent="0.25">
      <c r="A3922" s="40" t="s">
        <v>374</v>
      </c>
      <c r="B3922" s="28">
        <v>4070</v>
      </c>
      <c r="C3922" s="28">
        <v>5664369</v>
      </c>
      <c r="D3922" s="28"/>
      <c r="E3922" s="41">
        <v>46154</v>
      </c>
      <c r="F3922" s="47">
        <v>0.36108796296296297</v>
      </c>
      <c r="G3922" s="44">
        <v>6.3</v>
      </c>
      <c r="H3922" s="43" t="s">
        <v>1360</v>
      </c>
      <c r="I3922" s="40" t="s">
        <v>1361</v>
      </c>
    </row>
    <row r="3923" spans="1:9" x14ac:dyDescent="0.25">
      <c r="A3923" s="40" t="s">
        <v>374</v>
      </c>
      <c r="B3923" s="28">
        <v>4070</v>
      </c>
      <c r="C3923" s="28">
        <v>5664369</v>
      </c>
      <c r="D3923" s="28"/>
      <c r="E3923" s="41">
        <v>46154</v>
      </c>
      <c r="F3923" s="47">
        <v>0.37591435185185185</v>
      </c>
      <c r="G3923" s="44">
        <v>6.3</v>
      </c>
      <c r="H3923" s="43" t="s">
        <v>1362</v>
      </c>
      <c r="I3923" s="40" t="s">
        <v>1361</v>
      </c>
    </row>
    <row r="3924" spans="1:9" x14ac:dyDescent="0.25">
      <c r="A3924" s="40" t="s">
        <v>374</v>
      </c>
      <c r="B3924" s="28">
        <v>4070</v>
      </c>
      <c r="C3924" s="28" t="s">
        <v>1124</v>
      </c>
      <c r="D3924" s="28"/>
      <c r="E3924" s="41">
        <v>46154</v>
      </c>
      <c r="F3924" s="47">
        <v>0.74203703703703705</v>
      </c>
      <c r="G3924" s="44">
        <v>6.3</v>
      </c>
      <c r="H3924" s="43" t="s">
        <v>1360</v>
      </c>
      <c r="I3924" s="40" t="s">
        <v>1361</v>
      </c>
    </row>
    <row r="3925" spans="1:9" x14ac:dyDescent="0.25">
      <c r="A3925" s="40" t="s">
        <v>374</v>
      </c>
      <c r="B3925" s="28">
        <v>4070</v>
      </c>
      <c r="C3925" s="28" t="s">
        <v>1124</v>
      </c>
      <c r="D3925" s="28"/>
      <c r="E3925" s="41">
        <v>46154</v>
      </c>
      <c r="F3925" s="47">
        <v>0.75896990740740744</v>
      </c>
      <c r="G3925" s="44">
        <v>6.3</v>
      </c>
      <c r="H3925" s="43" t="s">
        <v>1362</v>
      </c>
      <c r="I3925" s="40" t="s">
        <v>1361</v>
      </c>
    </row>
    <row r="3926" spans="1:9" x14ac:dyDescent="0.25">
      <c r="A3926" s="40" t="s">
        <v>374</v>
      </c>
      <c r="B3926" s="28">
        <v>4070</v>
      </c>
      <c r="C3926" s="28" t="s">
        <v>1125</v>
      </c>
      <c r="D3926" s="28"/>
      <c r="E3926" s="41">
        <v>46156</v>
      </c>
      <c r="F3926" s="47">
        <v>0.43972222222222224</v>
      </c>
      <c r="G3926" s="44">
        <v>6.3</v>
      </c>
      <c r="H3926" s="43" t="s">
        <v>1360</v>
      </c>
      <c r="I3926" s="40" t="s">
        <v>1361</v>
      </c>
    </row>
    <row r="3927" spans="1:9" x14ac:dyDescent="0.25">
      <c r="A3927" s="40" t="s">
        <v>374</v>
      </c>
      <c r="B3927" s="28">
        <v>4070</v>
      </c>
      <c r="C3927" s="28" t="s">
        <v>1125</v>
      </c>
      <c r="D3927" s="28"/>
      <c r="E3927" s="41">
        <v>46156</v>
      </c>
      <c r="F3927" s="47">
        <v>0.45077546296296295</v>
      </c>
      <c r="G3927" s="44">
        <v>6.3</v>
      </c>
      <c r="H3927" s="43" t="s">
        <v>1362</v>
      </c>
      <c r="I3927" s="40" t="s">
        <v>1361</v>
      </c>
    </row>
    <row r="3928" spans="1:9" x14ac:dyDescent="0.25">
      <c r="A3928" s="40" t="s">
        <v>374</v>
      </c>
      <c r="B3928" s="28">
        <v>4070</v>
      </c>
      <c r="C3928" s="28" t="s">
        <v>1126</v>
      </c>
      <c r="D3928" s="28"/>
      <c r="E3928" s="41">
        <v>46156</v>
      </c>
      <c r="F3928" s="47">
        <v>0.57320601851851849</v>
      </c>
      <c r="G3928" s="44">
        <v>6.3</v>
      </c>
      <c r="H3928" s="43" t="s">
        <v>1360</v>
      </c>
      <c r="I3928" s="40" t="s">
        <v>1361</v>
      </c>
    </row>
    <row r="3929" spans="1:9" x14ac:dyDescent="0.25">
      <c r="A3929" s="40" t="s">
        <v>374</v>
      </c>
      <c r="B3929" s="28">
        <v>4070</v>
      </c>
      <c r="C3929" s="28" t="s">
        <v>1126</v>
      </c>
      <c r="D3929" s="28"/>
      <c r="E3929" s="41">
        <v>46156</v>
      </c>
      <c r="F3929" s="47">
        <v>0.58209490740740744</v>
      </c>
      <c r="G3929" s="44">
        <v>6.3</v>
      </c>
      <c r="H3929" s="43" t="s">
        <v>1362</v>
      </c>
      <c r="I3929" s="40" t="s">
        <v>1361</v>
      </c>
    </row>
    <row r="3930" spans="1:9" x14ac:dyDescent="0.25">
      <c r="A3930" s="40" t="s">
        <v>374</v>
      </c>
      <c r="B3930" s="28">
        <v>4070</v>
      </c>
      <c r="C3930" s="28" t="s">
        <v>1127</v>
      </c>
      <c r="D3930" s="28"/>
      <c r="E3930" s="41">
        <v>46157</v>
      </c>
      <c r="F3930" s="47">
        <v>0.37328703703703703</v>
      </c>
      <c r="G3930" s="44">
        <v>6.3</v>
      </c>
      <c r="H3930" s="43" t="s">
        <v>1360</v>
      </c>
      <c r="I3930" s="40" t="s">
        <v>1361</v>
      </c>
    </row>
    <row r="3931" spans="1:9" x14ac:dyDescent="0.25">
      <c r="A3931" s="40" t="s">
        <v>374</v>
      </c>
      <c r="B3931" s="28">
        <v>4070</v>
      </c>
      <c r="C3931" s="28" t="s">
        <v>1127</v>
      </c>
      <c r="D3931" s="28"/>
      <c r="E3931" s="45">
        <v>46157</v>
      </c>
      <c r="F3931" s="48">
        <v>0.38547453703703705</v>
      </c>
      <c r="G3931" s="44">
        <v>6.3</v>
      </c>
      <c r="H3931" s="43" t="s">
        <v>1362</v>
      </c>
      <c r="I3931" s="40" t="s">
        <v>1361</v>
      </c>
    </row>
    <row r="3932" spans="1:9" x14ac:dyDescent="0.25">
      <c r="A3932" s="40" t="s">
        <v>374</v>
      </c>
      <c r="B3932" s="28">
        <v>4070</v>
      </c>
      <c r="C3932" s="28" t="s">
        <v>1128</v>
      </c>
      <c r="D3932" s="28"/>
      <c r="E3932" s="41">
        <v>46158</v>
      </c>
      <c r="F3932" s="47">
        <v>0.68172453703703706</v>
      </c>
      <c r="G3932" s="44">
        <v>6.3</v>
      </c>
      <c r="H3932" s="43" t="s">
        <v>1360</v>
      </c>
      <c r="I3932" s="40" t="s">
        <v>1365</v>
      </c>
    </row>
    <row r="3933" spans="1:9" x14ac:dyDescent="0.25">
      <c r="A3933" s="40" t="s">
        <v>374</v>
      </c>
      <c r="B3933" s="28">
        <v>4070</v>
      </c>
      <c r="C3933" s="28" t="s">
        <v>1128</v>
      </c>
      <c r="D3933" s="28"/>
      <c r="E3933" s="41">
        <v>46158</v>
      </c>
      <c r="F3933" s="47">
        <v>0.68927083333333339</v>
      </c>
      <c r="G3933" s="44">
        <v>6.3</v>
      </c>
      <c r="H3933" s="43" t="s">
        <v>1362</v>
      </c>
      <c r="I3933" s="40" t="s">
        <v>1365</v>
      </c>
    </row>
    <row r="3934" spans="1:9" x14ac:dyDescent="0.25">
      <c r="A3934" s="40" t="s">
        <v>374</v>
      </c>
      <c r="B3934" s="28">
        <v>4070</v>
      </c>
      <c r="C3934" s="28">
        <v>5659073</v>
      </c>
      <c r="D3934" s="28"/>
      <c r="E3934" s="45">
        <v>46158</v>
      </c>
      <c r="F3934" s="48">
        <v>0.96837962962962965</v>
      </c>
      <c r="G3934" s="44">
        <v>6.3</v>
      </c>
      <c r="H3934" s="43" t="s">
        <v>1360</v>
      </c>
      <c r="I3934" s="40" t="s">
        <v>1365</v>
      </c>
    </row>
    <row r="3935" spans="1:9" x14ac:dyDescent="0.25">
      <c r="A3935" s="40" t="s">
        <v>374</v>
      </c>
      <c r="B3935" s="28">
        <v>4070</v>
      </c>
      <c r="C3935" s="28">
        <v>5659073</v>
      </c>
      <c r="D3935" s="28"/>
      <c r="E3935" s="41">
        <v>46158</v>
      </c>
      <c r="F3935" s="47">
        <v>0.97589120370370375</v>
      </c>
      <c r="G3935" s="42">
        <v>6.3</v>
      </c>
      <c r="H3935" s="40" t="s">
        <v>1362</v>
      </c>
      <c r="I3935" s="40" t="s">
        <v>1365</v>
      </c>
    </row>
    <row r="3936" spans="1:9" x14ac:dyDescent="0.25">
      <c r="A3936" s="40" t="s">
        <v>372</v>
      </c>
      <c r="B3936" s="28">
        <v>4072</v>
      </c>
      <c r="C3936" s="28" t="s">
        <v>1129</v>
      </c>
      <c r="D3936" s="28"/>
      <c r="E3936" s="45">
        <v>46155</v>
      </c>
      <c r="F3936" s="48">
        <v>5.9259259259259256E-3</v>
      </c>
      <c r="G3936" s="42">
        <v>6.3</v>
      </c>
      <c r="H3936" s="40" t="s">
        <v>1360</v>
      </c>
      <c r="I3936" s="40" t="s">
        <v>1361</v>
      </c>
    </row>
    <row r="3937" spans="1:9" x14ac:dyDescent="0.25">
      <c r="A3937" s="40" t="s">
        <v>372</v>
      </c>
      <c r="B3937" s="28">
        <v>4072</v>
      </c>
      <c r="C3937" s="28" t="s">
        <v>1129</v>
      </c>
      <c r="D3937" s="28"/>
      <c r="E3937" s="41">
        <v>46155</v>
      </c>
      <c r="F3937" s="47">
        <v>1.173611111111111E-2</v>
      </c>
      <c r="G3937" s="44">
        <v>6.3</v>
      </c>
      <c r="H3937" s="43" t="s">
        <v>1368</v>
      </c>
      <c r="I3937" s="40" t="s">
        <v>1361</v>
      </c>
    </row>
    <row r="3938" spans="1:9" x14ac:dyDescent="0.25">
      <c r="A3938" s="40" t="s">
        <v>372</v>
      </c>
      <c r="B3938" s="28">
        <v>4072</v>
      </c>
      <c r="C3938" s="28" t="s">
        <v>1130</v>
      </c>
      <c r="D3938" s="28"/>
      <c r="E3938" s="41">
        <v>46155</v>
      </c>
      <c r="F3938" s="47">
        <v>0.14098379629629629</v>
      </c>
      <c r="G3938" s="44">
        <v>6.3</v>
      </c>
      <c r="H3938" s="43" t="s">
        <v>1363</v>
      </c>
      <c r="I3938" s="40" t="s">
        <v>1361</v>
      </c>
    </row>
    <row r="3939" spans="1:9" x14ac:dyDescent="0.25">
      <c r="A3939" s="40" t="s">
        <v>372</v>
      </c>
      <c r="B3939" s="28">
        <v>4072</v>
      </c>
      <c r="C3939" s="28" t="s">
        <v>1130</v>
      </c>
      <c r="D3939" s="28"/>
      <c r="E3939" s="41">
        <v>46155</v>
      </c>
      <c r="F3939" s="47">
        <v>0.14616898148148147</v>
      </c>
      <c r="G3939" s="44">
        <v>6.3</v>
      </c>
      <c r="H3939" s="43" t="s">
        <v>1364</v>
      </c>
      <c r="I3939" s="40" t="s">
        <v>1361</v>
      </c>
    </row>
    <row r="3940" spans="1:9" x14ac:dyDescent="0.25">
      <c r="A3940" s="40" t="s">
        <v>380</v>
      </c>
      <c r="B3940" s="28">
        <v>4073</v>
      </c>
      <c r="C3940" s="28" t="s">
        <v>35</v>
      </c>
      <c r="D3940" s="28" t="s">
        <v>38</v>
      </c>
      <c r="E3940" s="41">
        <v>46153</v>
      </c>
      <c r="F3940" s="47">
        <v>0.7444560185185185</v>
      </c>
      <c r="G3940" s="44">
        <v>6.3</v>
      </c>
      <c r="H3940" s="43" t="s">
        <v>1360</v>
      </c>
      <c r="I3940" s="40" t="s">
        <v>1361</v>
      </c>
    </row>
    <row r="3941" spans="1:9" x14ac:dyDescent="0.25">
      <c r="A3941" s="40" t="s">
        <v>380</v>
      </c>
      <c r="B3941" s="28">
        <v>4073</v>
      </c>
      <c r="C3941" s="28" t="s">
        <v>1131</v>
      </c>
      <c r="D3941" s="28"/>
      <c r="E3941" s="41">
        <v>46156</v>
      </c>
      <c r="F3941" s="47">
        <v>0.3573263888888889</v>
      </c>
      <c r="G3941" s="44">
        <v>6.3</v>
      </c>
      <c r="H3941" s="43" t="s">
        <v>1363</v>
      </c>
      <c r="I3941" s="40" t="s">
        <v>1361</v>
      </c>
    </row>
    <row r="3942" spans="1:9" x14ac:dyDescent="0.25">
      <c r="A3942" s="40" t="s">
        <v>380</v>
      </c>
      <c r="B3942" s="28">
        <v>4073</v>
      </c>
      <c r="C3942" s="28" t="s">
        <v>1131</v>
      </c>
      <c r="D3942" s="28"/>
      <c r="E3942" s="41">
        <v>46156</v>
      </c>
      <c r="F3942" s="47">
        <v>0.36512731481481481</v>
      </c>
      <c r="G3942" s="44">
        <v>6.3</v>
      </c>
      <c r="H3942" s="43" t="s">
        <v>1364</v>
      </c>
      <c r="I3942" s="40" t="s">
        <v>1361</v>
      </c>
    </row>
    <row r="3943" spans="1:9" x14ac:dyDescent="0.25">
      <c r="A3943" s="40" t="s">
        <v>380</v>
      </c>
      <c r="B3943" s="28">
        <v>4073</v>
      </c>
      <c r="C3943" s="28" t="s">
        <v>1132</v>
      </c>
      <c r="D3943" s="28"/>
      <c r="E3943" s="41">
        <v>46156</v>
      </c>
      <c r="F3943" s="47">
        <v>0.67131944444444447</v>
      </c>
      <c r="G3943" s="44">
        <v>6.3</v>
      </c>
      <c r="H3943" s="43" t="s">
        <v>1360</v>
      </c>
      <c r="I3943" s="40" t="s">
        <v>1361</v>
      </c>
    </row>
    <row r="3944" spans="1:9" x14ac:dyDescent="0.25">
      <c r="A3944" s="40" t="s">
        <v>380</v>
      </c>
      <c r="B3944" s="28">
        <v>4073</v>
      </c>
      <c r="C3944" s="28" t="s">
        <v>1132</v>
      </c>
      <c r="D3944" s="28"/>
      <c r="E3944" s="41">
        <v>46156</v>
      </c>
      <c r="F3944" s="47">
        <v>0.68633101851851852</v>
      </c>
      <c r="G3944" s="44">
        <v>6.3</v>
      </c>
      <c r="H3944" s="43" t="s">
        <v>1362</v>
      </c>
      <c r="I3944" s="40" t="s">
        <v>1361</v>
      </c>
    </row>
    <row r="3945" spans="1:9" x14ac:dyDescent="0.25">
      <c r="A3945" s="40" t="s">
        <v>380</v>
      </c>
      <c r="B3945" s="28">
        <v>4073</v>
      </c>
      <c r="C3945" s="28" t="s">
        <v>1133</v>
      </c>
      <c r="D3945" s="28"/>
      <c r="E3945" s="41">
        <v>46156</v>
      </c>
      <c r="F3945" s="47">
        <v>0.76679398148148148</v>
      </c>
      <c r="G3945" s="44">
        <v>6.3</v>
      </c>
      <c r="H3945" s="43" t="s">
        <v>1369</v>
      </c>
      <c r="I3945" s="40" t="s">
        <v>1361</v>
      </c>
    </row>
    <row r="3946" spans="1:9" x14ac:dyDescent="0.25">
      <c r="A3946" s="40" t="s">
        <v>380</v>
      </c>
      <c r="B3946" s="28">
        <v>4073</v>
      </c>
      <c r="C3946" s="28" t="s">
        <v>1133</v>
      </c>
      <c r="D3946" s="28"/>
      <c r="E3946" s="41">
        <v>46156</v>
      </c>
      <c r="F3946" s="47">
        <v>0.78207175925925931</v>
      </c>
      <c r="G3946" s="44">
        <v>6.3</v>
      </c>
      <c r="H3946" s="43" t="s">
        <v>1364</v>
      </c>
      <c r="I3946" s="40" t="s">
        <v>1361</v>
      </c>
    </row>
    <row r="3947" spans="1:9" x14ac:dyDescent="0.25">
      <c r="A3947" s="40" t="s">
        <v>380</v>
      </c>
      <c r="B3947" s="28">
        <v>4073</v>
      </c>
      <c r="C3947" s="28" t="s">
        <v>1134</v>
      </c>
      <c r="D3947" s="28"/>
      <c r="E3947" s="41">
        <v>46156</v>
      </c>
      <c r="F3947" s="47">
        <v>0.85817129629629629</v>
      </c>
      <c r="G3947" s="44">
        <v>6.3</v>
      </c>
      <c r="H3947" s="43" t="s">
        <v>1360</v>
      </c>
      <c r="I3947" s="40" t="s">
        <v>1361</v>
      </c>
    </row>
    <row r="3948" spans="1:9" x14ac:dyDescent="0.25">
      <c r="A3948" s="40" t="s">
        <v>380</v>
      </c>
      <c r="B3948" s="28">
        <v>4073</v>
      </c>
      <c r="C3948" s="28" t="s">
        <v>1134</v>
      </c>
      <c r="D3948" s="28"/>
      <c r="E3948" s="41">
        <v>46156</v>
      </c>
      <c r="F3948" s="47">
        <v>0.86456018518518518</v>
      </c>
      <c r="G3948" s="44">
        <v>6.3</v>
      </c>
      <c r="H3948" s="43" t="s">
        <v>1362</v>
      </c>
      <c r="I3948" s="40" t="s">
        <v>1361</v>
      </c>
    </row>
    <row r="3949" spans="1:9" x14ac:dyDescent="0.25">
      <c r="A3949" s="40" t="s">
        <v>380</v>
      </c>
      <c r="B3949" s="28">
        <v>4073</v>
      </c>
      <c r="C3949" s="28" t="s">
        <v>1135</v>
      </c>
      <c r="D3949" s="28"/>
      <c r="E3949" s="41">
        <v>46157</v>
      </c>
      <c r="F3949" s="47">
        <v>0.86827546296296299</v>
      </c>
      <c r="G3949" s="44">
        <v>6.3</v>
      </c>
      <c r="H3949" s="43" t="s">
        <v>1360</v>
      </c>
      <c r="I3949" s="40" t="s">
        <v>1361</v>
      </c>
    </row>
    <row r="3950" spans="1:9" x14ac:dyDescent="0.25">
      <c r="A3950" s="40" t="s">
        <v>380</v>
      </c>
      <c r="B3950" s="28">
        <v>4073</v>
      </c>
      <c r="C3950" s="28" t="s">
        <v>1135</v>
      </c>
      <c r="D3950" s="28"/>
      <c r="E3950" s="41">
        <v>46157</v>
      </c>
      <c r="F3950" s="47">
        <v>0.87586805555555558</v>
      </c>
      <c r="G3950" s="44">
        <v>6.3</v>
      </c>
      <c r="H3950" s="43" t="s">
        <v>1362</v>
      </c>
      <c r="I3950" s="40" t="s">
        <v>1361</v>
      </c>
    </row>
    <row r="3951" spans="1:9" x14ac:dyDescent="0.25">
      <c r="A3951" s="40" t="s">
        <v>380</v>
      </c>
      <c r="B3951" s="28">
        <v>4073</v>
      </c>
      <c r="C3951" s="28" t="s">
        <v>1136</v>
      </c>
      <c r="D3951" s="28"/>
      <c r="E3951" s="45">
        <v>46158</v>
      </c>
      <c r="F3951" s="48">
        <v>0.57802083333333332</v>
      </c>
      <c r="G3951" s="42">
        <v>6.3</v>
      </c>
      <c r="H3951" s="40" t="s">
        <v>1369</v>
      </c>
      <c r="I3951" s="40" t="s">
        <v>1365</v>
      </c>
    </row>
    <row r="3952" spans="1:9" x14ac:dyDescent="0.25">
      <c r="A3952" s="40" t="s">
        <v>380</v>
      </c>
      <c r="B3952" s="28">
        <v>4073</v>
      </c>
      <c r="C3952" s="28" t="s">
        <v>1136</v>
      </c>
      <c r="D3952" s="28"/>
      <c r="E3952" s="41">
        <v>46158</v>
      </c>
      <c r="F3952" s="47">
        <v>0.59146990740740746</v>
      </c>
      <c r="G3952" s="42">
        <v>6.3</v>
      </c>
      <c r="H3952" s="40" t="s">
        <v>1364</v>
      </c>
      <c r="I3952" s="40" t="s">
        <v>1365</v>
      </c>
    </row>
    <row r="3953" spans="1:9" x14ac:dyDescent="0.25">
      <c r="A3953" s="40" t="s">
        <v>380</v>
      </c>
      <c r="B3953" s="28">
        <v>4073</v>
      </c>
      <c r="C3953" s="28" t="s">
        <v>1137</v>
      </c>
      <c r="D3953" s="28"/>
      <c r="E3953" s="45">
        <v>46158</v>
      </c>
      <c r="F3953" s="48">
        <v>0.93770833333333337</v>
      </c>
      <c r="G3953" s="44">
        <v>6.3</v>
      </c>
      <c r="H3953" s="43" t="s">
        <v>1360</v>
      </c>
      <c r="I3953" s="40" t="s">
        <v>1365</v>
      </c>
    </row>
    <row r="3954" spans="1:9" x14ac:dyDescent="0.25">
      <c r="A3954" s="40" t="s">
        <v>380</v>
      </c>
      <c r="B3954" s="28">
        <v>4073</v>
      </c>
      <c r="C3954" s="28" t="s">
        <v>1137</v>
      </c>
      <c r="D3954" s="28"/>
      <c r="E3954" s="41">
        <v>46158</v>
      </c>
      <c r="F3954" s="47">
        <v>0.94377314814814817</v>
      </c>
      <c r="G3954" s="44">
        <v>6.3</v>
      </c>
      <c r="H3954" s="43" t="s">
        <v>1362</v>
      </c>
      <c r="I3954" s="40" t="s">
        <v>1365</v>
      </c>
    </row>
    <row r="3955" spans="1:9" x14ac:dyDescent="0.25">
      <c r="A3955" s="40" t="s">
        <v>445</v>
      </c>
      <c r="B3955" s="28">
        <v>4078</v>
      </c>
      <c r="C3955" s="28" t="s">
        <v>35</v>
      </c>
      <c r="D3955" s="28" t="s">
        <v>38</v>
      </c>
      <c r="E3955" s="41">
        <v>46154</v>
      </c>
      <c r="F3955" s="47">
        <v>0.36121527777777779</v>
      </c>
      <c r="G3955" s="44">
        <v>6.3</v>
      </c>
      <c r="H3955" s="43" t="s">
        <v>1363</v>
      </c>
      <c r="I3955" s="40" t="s">
        <v>1361</v>
      </c>
    </row>
    <row r="3956" spans="1:9" x14ac:dyDescent="0.25">
      <c r="A3956" s="40" t="s">
        <v>445</v>
      </c>
      <c r="B3956" s="28">
        <v>4078</v>
      </c>
      <c r="C3956" s="28">
        <v>5662592</v>
      </c>
      <c r="D3956" s="28" t="s">
        <v>37</v>
      </c>
      <c r="E3956" s="41">
        <v>46154</v>
      </c>
      <c r="F3956" s="47">
        <v>0.5250231481481481</v>
      </c>
      <c r="G3956" s="44">
        <v>6.3</v>
      </c>
      <c r="H3956" s="43" t="s">
        <v>1363</v>
      </c>
      <c r="I3956" s="40" t="s">
        <v>1361</v>
      </c>
    </row>
    <row r="3957" spans="1:9" x14ac:dyDescent="0.25">
      <c r="A3957" s="40" t="s">
        <v>445</v>
      </c>
      <c r="B3957" s="28">
        <v>4078</v>
      </c>
      <c r="C3957" s="28">
        <v>5662592</v>
      </c>
      <c r="D3957" s="28" t="s">
        <v>37</v>
      </c>
      <c r="E3957" s="41">
        <v>46154</v>
      </c>
      <c r="F3957" s="47">
        <v>0.53106481481481482</v>
      </c>
      <c r="G3957" s="44">
        <v>6.3</v>
      </c>
      <c r="H3957" s="43" t="s">
        <v>1364</v>
      </c>
      <c r="I3957" s="40" t="s">
        <v>1361</v>
      </c>
    </row>
    <row r="3958" spans="1:9" x14ac:dyDescent="0.25">
      <c r="A3958" s="40" t="s">
        <v>445</v>
      </c>
      <c r="B3958" s="28">
        <v>4078</v>
      </c>
      <c r="C3958" s="28">
        <v>5665867</v>
      </c>
      <c r="D3958" s="28"/>
      <c r="E3958" s="41">
        <v>46155</v>
      </c>
      <c r="F3958" s="47">
        <v>0.33971064814814816</v>
      </c>
      <c r="G3958" s="44">
        <v>6.3</v>
      </c>
      <c r="H3958" s="43" t="s">
        <v>1363</v>
      </c>
      <c r="I3958" s="40" t="s">
        <v>1361</v>
      </c>
    </row>
    <row r="3959" spans="1:9" x14ac:dyDescent="0.25">
      <c r="A3959" s="40" t="s">
        <v>445</v>
      </c>
      <c r="B3959" s="28">
        <v>4078</v>
      </c>
      <c r="C3959" s="28" t="s">
        <v>35</v>
      </c>
      <c r="D3959" s="28" t="s">
        <v>38</v>
      </c>
      <c r="E3959" s="41">
        <v>46157</v>
      </c>
      <c r="F3959" s="47">
        <v>0.44827546296296295</v>
      </c>
      <c r="G3959" s="44">
        <v>6.3</v>
      </c>
      <c r="H3959" s="43" t="s">
        <v>1363</v>
      </c>
      <c r="I3959" s="40" t="s">
        <v>1361</v>
      </c>
    </row>
    <row r="3960" spans="1:9" x14ac:dyDescent="0.25">
      <c r="A3960" s="40" t="s">
        <v>445</v>
      </c>
      <c r="B3960" s="28">
        <v>4078</v>
      </c>
      <c r="C3960" s="28" t="s">
        <v>35</v>
      </c>
      <c r="D3960" s="28" t="s">
        <v>38</v>
      </c>
      <c r="E3960" s="41">
        <v>46157</v>
      </c>
      <c r="F3960" s="47">
        <v>0.52606481481481482</v>
      </c>
      <c r="G3960" s="44">
        <v>6.3</v>
      </c>
      <c r="H3960" s="43" t="s">
        <v>1362</v>
      </c>
      <c r="I3960" s="40" t="s">
        <v>1361</v>
      </c>
    </row>
    <row r="3961" spans="1:9" x14ac:dyDescent="0.25">
      <c r="A3961" s="40" t="s">
        <v>445</v>
      </c>
      <c r="B3961" s="28">
        <v>4078</v>
      </c>
      <c r="C3961" s="28">
        <v>5669885</v>
      </c>
      <c r="D3961" s="28"/>
      <c r="E3961" s="41">
        <v>46157</v>
      </c>
      <c r="F3961" s="47">
        <v>0.58402777777777781</v>
      </c>
      <c r="G3961" s="44">
        <v>6.3</v>
      </c>
      <c r="H3961" s="43" t="s">
        <v>1362</v>
      </c>
      <c r="I3961" s="40" t="s">
        <v>1361</v>
      </c>
    </row>
    <row r="3962" spans="1:9" x14ac:dyDescent="0.25">
      <c r="A3962" s="40" t="s">
        <v>445</v>
      </c>
      <c r="B3962" s="28">
        <v>4078</v>
      </c>
      <c r="C3962" s="28">
        <v>5671460</v>
      </c>
      <c r="D3962" s="28"/>
      <c r="E3962" s="41">
        <v>46158</v>
      </c>
      <c r="F3962" s="47">
        <v>0.57431712962962966</v>
      </c>
      <c r="G3962" s="44">
        <v>6.3</v>
      </c>
      <c r="H3962" s="43" t="s">
        <v>1363</v>
      </c>
      <c r="I3962" s="40" t="s">
        <v>1365</v>
      </c>
    </row>
    <row r="3963" spans="1:9" x14ac:dyDescent="0.25">
      <c r="A3963" s="40" t="s">
        <v>445</v>
      </c>
      <c r="B3963" s="28">
        <v>4078</v>
      </c>
      <c r="C3963" s="28">
        <v>5671460</v>
      </c>
      <c r="D3963" s="28"/>
      <c r="E3963" s="41">
        <v>46158</v>
      </c>
      <c r="F3963" s="47">
        <v>0.59034722222222225</v>
      </c>
      <c r="G3963" s="44">
        <v>6.3</v>
      </c>
      <c r="H3963" s="43" t="s">
        <v>1364</v>
      </c>
      <c r="I3963" s="40" t="s">
        <v>1365</v>
      </c>
    </row>
    <row r="3964" spans="1:9" x14ac:dyDescent="0.25">
      <c r="A3964" s="40" t="s">
        <v>446</v>
      </c>
      <c r="B3964" s="28">
        <v>4099</v>
      </c>
      <c r="C3964" s="28">
        <v>5665672</v>
      </c>
      <c r="D3964" s="28"/>
      <c r="E3964" s="41">
        <v>46155</v>
      </c>
      <c r="F3964" s="47">
        <v>0.21589120370370371</v>
      </c>
      <c r="G3964" s="44">
        <v>6.3</v>
      </c>
      <c r="H3964" s="43" t="s">
        <v>1369</v>
      </c>
      <c r="I3964" s="40" t="s">
        <v>1361</v>
      </c>
    </row>
    <row r="3965" spans="1:9" x14ac:dyDescent="0.25">
      <c r="A3965" s="40" t="s">
        <v>446</v>
      </c>
      <c r="B3965" s="28">
        <v>4099</v>
      </c>
      <c r="C3965" s="28">
        <v>5665672</v>
      </c>
      <c r="D3965" s="28"/>
      <c r="E3965" s="41">
        <v>46155</v>
      </c>
      <c r="F3965" s="47">
        <v>0.22244212962962964</v>
      </c>
      <c r="G3965" s="44">
        <v>6.3</v>
      </c>
      <c r="H3965" s="43" t="s">
        <v>1364</v>
      </c>
      <c r="I3965" s="40" t="s">
        <v>1361</v>
      </c>
    </row>
    <row r="3966" spans="1:9" x14ac:dyDescent="0.25">
      <c r="A3966" s="40" t="s">
        <v>446</v>
      </c>
      <c r="B3966" s="28">
        <v>4099</v>
      </c>
      <c r="C3966" s="28" t="s">
        <v>35</v>
      </c>
      <c r="D3966" s="28" t="s">
        <v>38</v>
      </c>
      <c r="E3966" s="41">
        <v>46155</v>
      </c>
      <c r="F3966" s="47">
        <v>0.67995370370370367</v>
      </c>
      <c r="G3966" s="44">
        <v>6.3</v>
      </c>
      <c r="H3966" s="43" t="s">
        <v>1369</v>
      </c>
      <c r="I3966" s="40" t="s">
        <v>1361</v>
      </c>
    </row>
    <row r="3967" spans="1:9" x14ac:dyDescent="0.25">
      <c r="A3967" s="40" t="s">
        <v>446</v>
      </c>
      <c r="B3967" s="28">
        <v>4099</v>
      </c>
      <c r="C3967" s="28" t="s">
        <v>35</v>
      </c>
      <c r="D3967" s="28" t="s">
        <v>38</v>
      </c>
      <c r="E3967" s="41">
        <v>46155</v>
      </c>
      <c r="F3967" s="47">
        <v>0.68586805555555552</v>
      </c>
      <c r="G3967" s="44">
        <v>6.3</v>
      </c>
      <c r="H3967" s="43" t="s">
        <v>1364</v>
      </c>
      <c r="I3967" s="40" t="s">
        <v>1361</v>
      </c>
    </row>
    <row r="3968" spans="1:9" x14ac:dyDescent="0.25">
      <c r="A3968" s="40" t="s">
        <v>446</v>
      </c>
      <c r="B3968" s="28">
        <v>4099</v>
      </c>
      <c r="C3968" s="28" t="s">
        <v>1138</v>
      </c>
      <c r="D3968" s="28"/>
      <c r="E3968" s="41">
        <v>46155</v>
      </c>
      <c r="F3968" s="47">
        <v>0.78297453703703701</v>
      </c>
      <c r="G3968" s="42">
        <v>6.3</v>
      </c>
      <c r="H3968" s="40" t="s">
        <v>1360</v>
      </c>
      <c r="I3968" s="40" t="s">
        <v>1361</v>
      </c>
    </row>
    <row r="3969" spans="1:9" x14ac:dyDescent="0.25">
      <c r="A3969" s="40" t="s">
        <v>446</v>
      </c>
      <c r="B3969" s="28">
        <v>4099</v>
      </c>
      <c r="C3969" s="28">
        <v>5670545</v>
      </c>
      <c r="D3969" s="28"/>
      <c r="E3969" s="41">
        <v>46158</v>
      </c>
      <c r="F3969" s="47">
        <v>2.2800925925925927E-3</v>
      </c>
      <c r="G3969" s="42">
        <v>6.3</v>
      </c>
      <c r="H3969" s="40" t="s">
        <v>1362</v>
      </c>
      <c r="I3969" s="40" t="s">
        <v>1365</v>
      </c>
    </row>
    <row r="3970" spans="1:9" x14ac:dyDescent="0.25">
      <c r="A3970" s="40" t="s">
        <v>446</v>
      </c>
      <c r="B3970" s="28">
        <v>4099</v>
      </c>
      <c r="C3970" s="28" t="s">
        <v>35</v>
      </c>
      <c r="D3970" s="28" t="s">
        <v>38</v>
      </c>
      <c r="E3970" s="41">
        <v>46158</v>
      </c>
      <c r="F3970" s="47">
        <v>0.69155092592592593</v>
      </c>
      <c r="G3970" s="42">
        <v>6.3</v>
      </c>
      <c r="H3970" s="40" t="s">
        <v>1360</v>
      </c>
      <c r="I3970" s="40" t="s">
        <v>1365</v>
      </c>
    </row>
    <row r="3971" spans="1:9" x14ac:dyDescent="0.25">
      <c r="A3971" s="40" t="s">
        <v>446</v>
      </c>
      <c r="B3971" s="28">
        <v>4099</v>
      </c>
      <c r="C3971" s="28" t="s">
        <v>35</v>
      </c>
      <c r="D3971" s="28" t="s">
        <v>38</v>
      </c>
      <c r="E3971" s="41">
        <v>46158</v>
      </c>
      <c r="F3971" s="47">
        <v>0.70052083333333337</v>
      </c>
      <c r="G3971" s="42">
        <v>6.3</v>
      </c>
      <c r="H3971" s="40" t="s">
        <v>1362</v>
      </c>
      <c r="I3971" s="40" t="s">
        <v>1365</v>
      </c>
    </row>
    <row r="3972" spans="1:9" x14ac:dyDescent="0.25">
      <c r="A3972" s="40" t="s">
        <v>446</v>
      </c>
      <c r="B3972" s="28">
        <v>4099</v>
      </c>
      <c r="C3972" s="28" t="s">
        <v>35</v>
      </c>
      <c r="D3972" s="28" t="s">
        <v>38</v>
      </c>
      <c r="E3972" s="45">
        <v>46158</v>
      </c>
      <c r="F3972" s="48">
        <v>0.74208333333333332</v>
      </c>
      <c r="G3972" s="42">
        <v>6.3</v>
      </c>
      <c r="H3972" s="40" t="s">
        <v>1363</v>
      </c>
      <c r="I3972" s="40" t="s">
        <v>1365</v>
      </c>
    </row>
    <row r="3973" spans="1:9" x14ac:dyDescent="0.25">
      <c r="A3973" s="40" t="s">
        <v>446</v>
      </c>
      <c r="B3973" s="28">
        <v>4099</v>
      </c>
      <c r="C3973" s="28" t="s">
        <v>35</v>
      </c>
      <c r="D3973" s="28" t="s">
        <v>38</v>
      </c>
      <c r="E3973" s="41">
        <v>46158</v>
      </c>
      <c r="F3973" s="47">
        <v>0.7513657407407407</v>
      </c>
      <c r="G3973" s="44">
        <v>6.3</v>
      </c>
      <c r="H3973" s="43" t="s">
        <v>1364</v>
      </c>
      <c r="I3973" s="40" t="s">
        <v>1365</v>
      </c>
    </row>
    <row r="3974" spans="1:9" x14ac:dyDescent="0.25">
      <c r="A3974" s="40" t="s">
        <v>446</v>
      </c>
      <c r="B3974" s="28">
        <v>4099</v>
      </c>
      <c r="C3974" s="28" t="s">
        <v>1139</v>
      </c>
      <c r="D3974" s="28"/>
      <c r="E3974" s="41">
        <v>46158</v>
      </c>
      <c r="F3974" s="47">
        <v>0.85657407407407404</v>
      </c>
      <c r="G3974" s="44">
        <v>6.3</v>
      </c>
      <c r="H3974" s="43" t="s">
        <v>1360</v>
      </c>
      <c r="I3974" s="40" t="s">
        <v>1365</v>
      </c>
    </row>
    <row r="3975" spans="1:9" x14ac:dyDescent="0.25">
      <c r="A3975" s="40" t="s">
        <v>446</v>
      </c>
      <c r="B3975" s="28">
        <v>4099</v>
      </c>
      <c r="C3975" s="28" t="s">
        <v>35</v>
      </c>
      <c r="D3975" s="28" t="s">
        <v>38</v>
      </c>
      <c r="E3975" s="45">
        <v>46159</v>
      </c>
      <c r="F3975" s="48">
        <v>0.58439814814814817</v>
      </c>
      <c r="G3975" s="44">
        <v>6.3</v>
      </c>
      <c r="H3975" s="43" t="s">
        <v>1363</v>
      </c>
      <c r="I3975" s="40" t="s">
        <v>1365</v>
      </c>
    </row>
    <row r="3976" spans="1:9" x14ac:dyDescent="0.25">
      <c r="A3976" s="40" t="s">
        <v>446</v>
      </c>
      <c r="B3976" s="28">
        <v>4099</v>
      </c>
      <c r="C3976" s="28" t="s">
        <v>35</v>
      </c>
      <c r="D3976" s="28" t="s">
        <v>38</v>
      </c>
      <c r="E3976" s="41">
        <v>46159</v>
      </c>
      <c r="F3976" s="47">
        <v>0.59053240740740742</v>
      </c>
      <c r="G3976" s="44">
        <v>6.3</v>
      </c>
      <c r="H3976" s="43" t="s">
        <v>1364</v>
      </c>
      <c r="I3976" s="40" t="s">
        <v>1365</v>
      </c>
    </row>
    <row r="3977" spans="1:9" x14ac:dyDescent="0.25">
      <c r="A3977" s="40" t="s">
        <v>446</v>
      </c>
      <c r="B3977" s="28">
        <v>4099</v>
      </c>
      <c r="C3977" s="28" t="s">
        <v>1140</v>
      </c>
      <c r="D3977" s="28"/>
      <c r="E3977" s="41">
        <v>46159</v>
      </c>
      <c r="F3977" s="47">
        <v>0.84825231481481478</v>
      </c>
      <c r="G3977" s="44">
        <v>6.3</v>
      </c>
      <c r="H3977" s="43" t="s">
        <v>1360</v>
      </c>
      <c r="I3977" s="40" t="s">
        <v>1365</v>
      </c>
    </row>
    <row r="3978" spans="1:9" x14ac:dyDescent="0.25">
      <c r="A3978" s="40" t="s">
        <v>446</v>
      </c>
      <c r="B3978" s="28">
        <v>4099</v>
      </c>
      <c r="C3978" s="28" t="s">
        <v>1140</v>
      </c>
      <c r="D3978" s="28"/>
      <c r="E3978" s="41">
        <v>46159</v>
      </c>
      <c r="F3978" s="47">
        <v>0.85556712962962966</v>
      </c>
      <c r="G3978" s="44">
        <v>6.3</v>
      </c>
      <c r="H3978" s="43" t="s">
        <v>1362</v>
      </c>
      <c r="I3978" s="40" t="s">
        <v>1365</v>
      </c>
    </row>
    <row r="3979" spans="1:9" x14ac:dyDescent="0.25">
      <c r="A3979" s="40" t="s">
        <v>447</v>
      </c>
      <c r="B3979" s="28">
        <v>4100</v>
      </c>
      <c r="C3979" s="28">
        <v>5663082</v>
      </c>
      <c r="D3979" s="28"/>
      <c r="E3979" s="41">
        <v>46153</v>
      </c>
      <c r="F3979" s="47">
        <v>0.78622685185185182</v>
      </c>
      <c r="G3979" s="44">
        <v>6.3</v>
      </c>
      <c r="H3979" s="43" t="s">
        <v>1363</v>
      </c>
      <c r="I3979" s="40" t="s">
        <v>1361</v>
      </c>
    </row>
    <row r="3980" spans="1:9" x14ac:dyDescent="0.25">
      <c r="A3980" s="40" t="s">
        <v>447</v>
      </c>
      <c r="B3980" s="28">
        <v>4100</v>
      </c>
      <c r="C3980" s="28">
        <v>5663082</v>
      </c>
      <c r="D3980" s="28"/>
      <c r="E3980" s="41">
        <v>46153</v>
      </c>
      <c r="F3980" s="47">
        <v>0.79979166666666668</v>
      </c>
      <c r="G3980" s="44">
        <v>6.3</v>
      </c>
      <c r="H3980" s="43" t="s">
        <v>1364</v>
      </c>
      <c r="I3980" s="40" t="s">
        <v>1361</v>
      </c>
    </row>
    <row r="3981" spans="1:9" x14ac:dyDescent="0.25">
      <c r="A3981" s="40" t="s">
        <v>447</v>
      </c>
      <c r="B3981" s="28">
        <v>4100</v>
      </c>
      <c r="C3981" s="28">
        <v>5660796</v>
      </c>
      <c r="D3981" s="28"/>
      <c r="E3981" s="41">
        <v>46153</v>
      </c>
      <c r="F3981" s="47">
        <v>0.83928240740740745</v>
      </c>
      <c r="G3981" s="44">
        <v>6.3</v>
      </c>
      <c r="H3981" s="43" t="s">
        <v>1360</v>
      </c>
      <c r="I3981" s="40" t="s">
        <v>1361</v>
      </c>
    </row>
    <row r="3982" spans="1:9" x14ac:dyDescent="0.25">
      <c r="A3982" s="40" t="s">
        <v>447</v>
      </c>
      <c r="B3982" s="28">
        <v>4100</v>
      </c>
      <c r="C3982" s="28">
        <v>5660796</v>
      </c>
      <c r="D3982" s="28"/>
      <c r="E3982" s="41">
        <v>46153</v>
      </c>
      <c r="F3982" s="47">
        <v>0.85324074074074074</v>
      </c>
      <c r="G3982" s="44">
        <v>6.3</v>
      </c>
      <c r="H3982" s="43" t="s">
        <v>1366</v>
      </c>
      <c r="I3982" s="40" t="s">
        <v>1361</v>
      </c>
    </row>
    <row r="3983" spans="1:9" x14ac:dyDescent="0.25">
      <c r="A3983" s="40" t="s">
        <v>447</v>
      </c>
      <c r="B3983" s="28">
        <v>4100</v>
      </c>
      <c r="C3983" s="28" t="s">
        <v>1141</v>
      </c>
      <c r="D3983" s="28"/>
      <c r="E3983" s="41">
        <v>46154</v>
      </c>
      <c r="F3983" s="47">
        <v>0.79497685185185185</v>
      </c>
      <c r="G3983" s="44">
        <v>6.3</v>
      </c>
      <c r="H3983" s="43" t="s">
        <v>1360</v>
      </c>
      <c r="I3983" s="40" t="s">
        <v>1361</v>
      </c>
    </row>
    <row r="3984" spans="1:9" x14ac:dyDescent="0.25">
      <c r="A3984" s="40" t="s">
        <v>447</v>
      </c>
      <c r="B3984" s="28">
        <v>4100</v>
      </c>
      <c r="C3984" s="28" t="s">
        <v>1141</v>
      </c>
      <c r="D3984" s="28"/>
      <c r="E3984" s="41">
        <v>46154</v>
      </c>
      <c r="F3984" s="47">
        <v>0.81030092592592595</v>
      </c>
      <c r="G3984" s="44">
        <v>6.3</v>
      </c>
      <c r="H3984" s="43" t="s">
        <v>1362</v>
      </c>
      <c r="I3984" s="40" t="s">
        <v>1361</v>
      </c>
    </row>
    <row r="3985" spans="1:9" x14ac:dyDescent="0.25">
      <c r="A3985" s="40" t="s">
        <v>447</v>
      </c>
      <c r="B3985" s="28">
        <v>4100</v>
      </c>
      <c r="C3985" s="28" t="s">
        <v>1142</v>
      </c>
      <c r="D3985" s="28"/>
      <c r="E3985" s="41">
        <v>46154</v>
      </c>
      <c r="F3985" s="47">
        <v>0.94383101851851847</v>
      </c>
      <c r="G3985" s="44">
        <v>6.3</v>
      </c>
      <c r="H3985" s="43" t="s">
        <v>1360</v>
      </c>
      <c r="I3985" s="40" t="s">
        <v>1361</v>
      </c>
    </row>
    <row r="3986" spans="1:9" x14ac:dyDescent="0.25">
      <c r="A3986" s="40" t="s">
        <v>447</v>
      </c>
      <c r="B3986" s="28">
        <v>4100</v>
      </c>
      <c r="C3986" s="28" t="s">
        <v>1142</v>
      </c>
      <c r="D3986" s="28"/>
      <c r="E3986" s="41">
        <v>46154</v>
      </c>
      <c r="F3986" s="47">
        <v>0.95078703703703704</v>
      </c>
      <c r="G3986" s="44">
        <v>6.3</v>
      </c>
      <c r="H3986" s="43" t="s">
        <v>1362</v>
      </c>
      <c r="I3986" s="40" t="s">
        <v>1361</v>
      </c>
    </row>
    <row r="3987" spans="1:9" x14ac:dyDescent="0.25">
      <c r="A3987" s="40" t="s">
        <v>447</v>
      </c>
      <c r="B3987" s="28">
        <v>4100</v>
      </c>
      <c r="C3987" s="28">
        <v>5665971</v>
      </c>
      <c r="D3987" s="28"/>
      <c r="E3987" s="45">
        <v>46155</v>
      </c>
      <c r="F3987" s="48">
        <v>0.77508101851851852</v>
      </c>
      <c r="G3987" s="44">
        <v>6.3</v>
      </c>
      <c r="H3987" s="43" t="s">
        <v>1360</v>
      </c>
      <c r="I3987" s="40" t="s">
        <v>1361</v>
      </c>
    </row>
    <row r="3988" spans="1:9" x14ac:dyDescent="0.25">
      <c r="A3988" s="40" t="s">
        <v>447</v>
      </c>
      <c r="B3988" s="28">
        <v>4100</v>
      </c>
      <c r="C3988" s="28" t="s">
        <v>35</v>
      </c>
      <c r="D3988" s="28" t="s">
        <v>38</v>
      </c>
      <c r="E3988" s="41">
        <v>46155</v>
      </c>
      <c r="F3988" s="47">
        <v>0.83868055555555554</v>
      </c>
      <c r="G3988" s="44">
        <v>6.3</v>
      </c>
      <c r="H3988" s="43" t="s">
        <v>1364</v>
      </c>
      <c r="I3988" s="40" t="s">
        <v>1361</v>
      </c>
    </row>
    <row r="3989" spans="1:9" x14ac:dyDescent="0.25">
      <c r="A3989" s="40" t="s">
        <v>367</v>
      </c>
      <c r="B3989" s="28">
        <v>4103</v>
      </c>
      <c r="C3989" s="28" t="s">
        <v>35</v>
      </c>
      <c r="D3989" s="28" t="s">
        <v>38</v>
      </c>
      <c r="E3989" s="45">
        <v>46153</v>
      </c>
      <c r="F3989" s="48">
        <v>6.6342592592592592E-2</v>
      </c>
      <c r="G3989" s="44">
        <v>6.3</v>
      </c>
      <c r="H3989" s="43" t="s">
        <v>1367</v>
      </c>
      <c r="I3989" s="40" t="s">
        <v>1361</v>
      </c>
    </row>
    <row r="3990" spans="1:9" x14ac:dyDescent="0.25">
      <c r="A3990" s="40" t="s">
        <v>367</v>
      </c>
      <c r="B3990" s="28">
        <v>4103</v>
      </c>
      <c r="C3990" s="28" t="s">
        <v>35</v>
      </c>
      <c r="D3990" s="28" t="s">
        <v>38</v>
      </c>
      <c r="E3990" s="41">
        <v>46153</v>
      </c>
      <c r="F3990" s="47">
        <v>6.9085648148148146E-2</v>
      </c>
      <c r="G3990" s="44">
        <v>6.3</v>
      </c>
      <c r="H3990" s="43" t="s">
        <v>1364</v>
      </c>
      <c r="I3990" s="40" t="s">
        <v>1361</v>
      </c>
    </row>
    <row r="3991" spans="1:9" x14ac:dyDescent="0.25">
      <c r="A3991" s="40" t="s">
        <v>367</v>
      </c>
      <c r="B3991" s="28">
        <v>4103</v>
      </c>
      <c r="C3991" s="28">
        <v>5665732</v>
      </c>
      <c r="D3991" s="28"/>
      <c r="E3991" s="41">
        <v>46154</v>
      </c>
      <c r="F3991" s="47">
        <v>0.90054398148148151</v>
      </c>
      <c r="G3991" s="44">
        <v>6.3</v>
      </c>
      <c r="H3991" s="43" t="s">
        <v>1360</v>
      </c>
      <c r="I3991" s="40" t="s">
        <v>1361</v>
      </c>
    </row>
    <row r="3992" spans="1:9" x14ac:dyDescent="0.25">
      <c r="A3992" s="40" t="s">
        <v>367</v>
      </c>
      <c r="B3992" s="28">
        <v>4103</v>
      </c>
      <c r="C3992" s="28">
        <v>5665732</v>
      </c>
      <c r="D3992" s="28"/>
      <c r="E3992" s="45">
        <v>46154</v>
      </c>
      <c r="F3992" s="48">
        <v>0.90767361111111111</v>
      </c>
      <c r="G3992" s="44">
        <v>6.3</v>
      </c>
      <c r="H3992" s="43" t="s">
        <v>1362</v>
      </c>
      <c r="I3992" s="40" t="s">
        <v>1361</v>
      </c>
    </row>
    <row r="3993" spans="1:9" x14ac:dyDescent="0.25">
      <c r="A3993" s="40" t="s">
        <v>367</v>
      </c>
      <c r="B3993" s="28">
        <v>4103</v>
      </c>
      <c r="C3993" s="28" t="s">
        <v>35</v>
      </c>
      <c r="D3993" s="28" t="s">
        <v>38</v>
      </c>
      <c r="E3993" s="41">
        <v>46154</v>
      </c>
      <c r="F3993" s="47">
        <v>0.92350694444444448</v>
      </c>
      <c r="G3993" s="42">
        <v>6.3</v>
      </c>
      <c r="H3993" s="40" t="s">
        <v>1370</v>
      </c>
      <c r="I3993" s="40" t="s">
        <v>1361</v>
      </c>
    </row>
    <row r="3994" spans="1:9" x14ac:dyDescent="0.25">
      <c r="A3994" s="40" t="s">
        <v>367</v>
      </c>
      <c r="B3994" s="28">
        <v>4103</v>
      </c>
      <c r="C3994" s="28" t="s">
        <v>35</v>
      </c>
      <c r="D3994" s="28" t="s">
        <v>38</v>
      </c>
      <c r="E3994" s="41">
        <v>46154</v>
      </c>
      <c r="F3994" s="47">
        <v>0.92791666666666661</v>
      </c>
      <c r="G3994" s="42">
        <v>6.3</v>
      </c>
      <c r="H3994" s="40" t="s">
        <v>1364</v>
      </c>
      <c r="I3994" s="40" t="s">
        <v>1361</v>
      </c>
    </row>
    <row r="3995" spans="1:9" x14ac:dyDescent="0.25">
      <c r="A3995" s="40" t="s">
        <v>367</v>
      </c>
      <c r="B3995" s="28">
        <v>4103</v>
      </c>
      <c r="C3995" s="28" t="s">
        <v>1143</v>
      </c>
      <c r="D3995" s="28"/>
      <c r="E3995" s="41">
        <v>46156</v>
      </c>
      <c r="F3995" s="47">
        <v>0.83079861111111108</v>
      </c>
      <c r="G3995" s="44">
        <v>6.3</v>
      </c>
      <c r="H3995" s="43" t="s">
        <v>1360</v>
      </c>
      <c r="I3995" s="40" t="s">
        <v>1361</v>
      </c>
    </row>
    <row r="3996" spans="1:9" x14ac:dyDescent="0.25">
      <c r="A3996" s="40" t="s">
        <v>367</v>
      </c>
      <c r="B3996" s="28">
        <v>4103</v>
      </c>
      <c r="C3996" s="28" t="s">
        <v>1143</v>
      </c>
      <c r="D3996" s="28"/>
      <c r="E3996" s="41">
        <v>46156</v>
      </c>
      <c r="F3996" s="47">
        <v>0.83893518518518517</v>
      </c>
      <c r="G3996" s="44">
        <v>6.3</v>
      </c>
      <c r="H3996" s="43" t="s">
        <v>1362</v>
      </c>
      <c r="I3996" s="40" t="s">
        <v>1361</v>
      </c>
    </row>
    <row r="3997" spans="1:9" x14ac:dyDescent="0.25">
      <c r="A3997" s="40" t="s">
        <v>367</v>
      </c>
      <c r="B3997" s="28">
        <v>4103</v>
      </c>
      <c r="C3997" s="28" t="s">
        <v>35</v>
      </c>
      <c r="D3997" s="28" t="s">
        <v>38</v>
      </c>
      <c r="E3997" s="41">
        <v>46156</v>
      </c>
      <c r="F3997" s="47">
        <v>0.8813657407407407</v>
      </c>
      <c r="G3997" s="44">
        <v>6.3</v>
      </c>
      <c r="H3997" s="43" t="s">
        <v>1363</v>
      </c>
      <c r="I3997" s="40" t="s">
        <v>1361</v>
      </c>
    </row>
    <row r="3998" spans="1:9" x14ac:dyDescent="0.25">
      <c r="A3998" s="40" t="s">
        <v>367</v>
      </c>
      <c r="B3998" s="28">
        <v>4103</v>
      </c>
      <c r="C3998" s="28" t="s">
        <v>35</v>
      </c>
      <c r="D3998" s="28" t="s">
        <v>38</v>
      </c>
      <c r="E3998" s="41">
        <v>46156</v>
      </c>
      <c r="F3998" s="47">
        <v>0.89211805555555557</v>
      </c>
      <c r="G3998" s="44">
        <v>6.3</v>
      </c>
      <c r="H3998" s="43" t="s">
        <v>1364</v>
      </c>
      <c r="I3998" s="40" t="s">
        <v>1361</v>
      </c>
    </row>
    <row r="3999" spans="1:9" x14ac:dyDescent="0.25">
      <c r="A3999" s="40" t="s">
        <v>367</v>
      </c>
      <c r="B3999" s="28">
        <v>4103</v>
      </c>
      <c r="C3999" s="28">
        <v>5671313</v>
      </c>
      <c r="D3999" s="28"/>
      <c r="E3999" s="41">
        <v>46158</v>
      </c>
      <c r="F3999" s="47">
        <v>0.41478009259259258</v>
      </c>
      <c r="G3999" s="44">
        <v>6.3</v>
      </c>
      <c r="H3999" s="43" t="s">
        <v>1360</v>
      </c>
      <c r="I3999" s="40" t="s">
        <v>1365</v>
      </c>
    </row>
    <row r="4000" spans="1:9" x14ac:dyDescent="0.25">
      <c r="A4000" s="40" t="s">
        <v>367</v>
      </c>
      <c r="B4000" s="28">
        <v>4103</v>
      </c>
      <c r="C4000" s="28">
        <v>5671313</v>
      </c>
      <c r="D4000" s="28"/>
      <c r="E4000" s="41">
        <v>46158</v>
      </c>
      <c r="F4000" s="47">
        <v>0.42402777777777778</v>
      </c>
      <c r="G4000" s="44">
        <v>6.3</v>
      </c>
      <c r="H4000" s="43" t="s">
        <v>1368</v>
      </c>
      <c r="I4000" s="40" t="s">
        <v>1365</v>
      </c>
    </row>
    <row r="4001" spans="1:9" x14ac:dyDescent="0.25">
      <c r="A4001" s="40" t="s">
        <v>367</v>
      </c>
      <c r="B4001" s="28">
        <v>4103</v>
      </c>
      <c r="C4001" s="28" t="s">
        <v>35</v>
      </c>
      <c r="D4001" s="28" t="s">
        <v>38</v>
      </c>
      <c r="E4001" s="41">
        <v>46158</v>
      </c>
      <c r="F4001" s="47">
        <v>0.43505787037037036</v>
      </c>
      <c r="G4001" s="44">
        <v>6.3</v>
      </c>
      <c r="H4001" s="43" t="s">
        <v>1370</v>
      </c>
      <c r="I4001" s="40" t="s">
        <v>1365</v>
      </c>
    </row>
    <row r="4002" spans="1:9" x14ac:dyDescent="0.25">
      <c r="A4002" s="40" t="s">
        <v>367</v>
      </c>
      <c r="B4002" s="28">
        <v>4103</v>
      </c>
      <c r="C4002" s="28" t="s">
        <v>35</v>
      </c>
      <c r="D4002" s="28" t="s">
        <v>38</v>
      </c>
      <c r="E4002" s="45">
        <v>46158</v>
      </c>
      <c r="F4002" s="48">
        <v>0.43997685185185187</v>
      </c>
      <c r="G4002" s="44">
        <v>6.3</v>
      </c>
      <c r="H4002" s="43" t="s">
        <v>1364</v>
      </c>
      <c r="I4002" s="40" t="s">
        <v>1365</v>
      </c>
    </row>
    <row r="4003" spans="1:9" x14ac:dyDescent="0.25">
      <c r="A4003" s="40" t="s">
        <v>367</v>
      </c>
      <c r="B4003" s="28">
        <v>4103</v>
      </c>
      <c r="C4003" s="28">
        <v>5671871</v>
      </c>
      <c r="D4003" s="28"/>
      <c r="E4003" s="41">
        <v>46158</v>
      </c>
      <c r="F4003" s="47">
        <v>0.8405555555555555</v>
      </c>
      <c r="G4003" s="44">
        <v>6.3</v>
      </c>
      <c r="H4003" s="43" t="s">
        <v>1360</v>
      </c>
      <c r="I4003" s="40" t="s">
        <v>1365</v>
      </c>
    </row>
    <row r="4004" spans="1:9" x14ac:dyDescent="0.25">
      <c r="A4004" s="40" t="s">
        <v>367</v>
      </c>
      <c r="B4004" s="28">
        <v>4103</v>
      </c>
      <c r="C4004" s="28">
        <v>5671871</v>
      </c>
      <c r="D4004" s="28"/>
      <c r="E4004" s="41">
        <v>46158</v>
      </c>
      <c r="F4004" s="47">
        <v>0.84890046296296295</v>
      </c>
      <c r="G4004" s="44">
        <v>6.3</v>
      </c>
      <c r="H4004" s="43" t="s">
        <v>1362</v>
      </c>
      <c r="I4004" s="40" t="s">
        <v>1365</v>
      </c>
    </row>
    <row r="4005" spans="1:9" x14ac:dyDescent="0.25">
      <c r="A4005" s="40" t="s">
        <v>367</v>
      </c>
      <c r="B4005" s="28">
        <v>4103</v>
      </c>
      <c r="C4005" s="28" t="s">
        <v>35</v>
      </c>
      <c r="D4005" s="28" t="s">
        <v>38</v>
      </c>
      <c r="E4005" s="41">
        <v>46158</v>
      </c>
      <c r="F4005" s="47">
        <v>0.8615856481481482</v>
      </c>
      <c r="G4005" s="44">
        <v>6.3</v>
      </c>
      <c r="H4005" s="43" t="s">
        <v>1363</v>
      </c>
      <c r="I4005" s="40" t="s">
        <v>1365</v>
      </c>
    </row>
    <row r="4006" spans="1:9" x14ac:dyDescent="0.25">
      <c r="A4006" s="40" t="s">
        <v>367</v>
      </c>
      <c r="B4006" s="28">
        <v>4103</v>
      </c>
      <c r="C4006" s="28" t="s">
        <v>35</v>
      </c>
      <c r="D4006" s="28" t="s">
        <v>38</v>
      </c>
      <c r="E4006" s="41">
        <v>46158</v>
      </c>
      <c r="F4006" s="47">
        <v>0.86766203703703704</v>
      </c>
      <c r="G4006" s="44">
        <v>6.3</v>
      </c>
      <c r="H4006" s="43" t="s">
        <v>1364</v>
      </c>
      <c r="I4006" s="40" t="s">
        <v>1365</v>
      </c>
    </row>
    <row r="4007" spans="1:9" x14ac:dyDescent="0.25">
      <c r="A4007" s="40" t="s">
        <v>448</v>
      </c>
      <c r="B4007" s="28">
        <v>4121</v>
      </c>
      <c r="C4007" s="28">
        <v>5665428</v>
      </c>
      <c r="D4007" s="28" t="s">
        <v>36</v>
      </c>
      <c r="E4007" s="41">
        <v>46154</v>
      </c>
      <c r="F4007" s="47">
        <v>0.83458333333333334</v>
      </c>
      <c r="G4007" s="44">
        <v>6.3</v>
      </c>
      <c r="H4007" s="43" t="s">
        <v>1364</v>
      </c>
      <c r="I4007" s="40" t="s">
        <v>1361</v>
      </c>
    </row>
    <row r="4008" spans="1:9" x14ac:dyDescent="0.25">
      <c r="A4008" s="40" t="s">
        <v>448</v>
      </c>
      <c r="B4008" s="28">
        <v>4121</v>
      </c>
      <c r="C4008" s="28">
        <v>5665690</v>
      </c>
      <c r="D4008" s="28" t="s">
        <v>36</v>
      </c>
      <c r="E4008" s="41">
        <v>46154</v>
      </c>
      <c r="F4008" s="47">
        <v>0.90479166666666666</v>
      </c>
      <c r="G4008" s="44">
        <v>6.3</v>
      </c>
      <c r="H4008" s="43" t="s">
        <v>1360</v>
      </c>
      <c r="I4008" s="40" t="s">
        <v>1361</v>
      </c>
    </row>
    <row r="4009" spans="1:9" x14ac:dyDescent="0.25">
      <c r="A4009" s="40" t="s">
        <v>448</v>
      </c>
      <c r="B4009" s="28">
        <v>4121</v>
      </c>
      <c r="C4009" s="28">
        <v>5665690</v>
      </c>
      <c r="D4009" s="28" t="s">
        <v>36</v>
      </c>
      <c r="E4009" s="41">
        <v>46154</v>
      </c>
      <c r="F4009" s="47">
        <v>0.91207175925925921</v>
      </c>
      <c r="G4009" s="44">
        <v>6.3</v>
      </c>
      <c r="H4009" s="43" t="s">
        <v>1362</v>
      </c>
      <c r="I4009" s="40" t="s">
        <v>1361</v>
      </c>
    </row>
    <row r="4010" spans="1:9" x14ac:dyDescent="0.25">
      <c r="A4010" s="40" t="s">
        <v>449</v>
      </c>
      <c r="B4010" s="28">
        <v>4135</v>
      </c>
      <c r="C4010" s="28" t="s">
        <v>1144</v>
      </c>
      <c r="D4010" s="28"/>
      <c r="E4010" s="41">
        <v>46154</v>
      </c>
      <c r="F4010" s="47">
        <v>0.38946759259259262</v>
      </c>
      <c r="G4010" s="42">
        <v>6.3</v>
      </c>
      <c r="H4010" s="40" t="s">
        <v>1360</v>
      </c>
      <c r="I4010" s="40" t="s">
        <v>1361</v>
      </c>
    </row>
    <row r="4011" spans="1:9" x14ac:dyDescent="0.25">
      <c r="A4011" s="40" t="s">
        <v>449</v>
      </c>
      <c r="B4011" s="28">
        <v>4135</v>
      </c>
      <c r="C4011" s="28" t="s">
        <v>1144</v>
      </c>
      <c r="D4011" s="28"/>
      <c r="E4011" s="41">
        <v>46154</v>
      </c>
      <c r="F4011" s="47">
        <v>0.40417824074074077</v>
      </c>
      <c r="G4011" s="42">
        <v>6.3</v>
      </c>
      <c r="H4011" s="40" t="s">
        <v>1362</v>
      </c>
      <c r="I4011" s="40" t="s">
        <v>1361</v>
      </c>
    </row>
    <row r="4012" spans="1:9" x14ac:dyDescent="0.25">
      <c r="A4012" s="40" t="s">
        <v>449</v>
      </c>
      <c r="B4012" s="28">
        <v>4135</v>
      </c>
      <c r="C4012" s="28" t="s">
        <v>1145</v>
      </c>
      <c r="D4012" s="28"/>
      <c r="E4012" s="41">
        <v>46154</v>
      </c>
      <c r="F4012" s="47">
        <v>0.46031250000000001</v>
      </c>
      <c r="G4012" s="44">
        <v>6.3</v>
      </c>
      <c r="H4012" s="43" t="s">
        <v>1369</v>
      </c>
      <c r="I4012" s="40" t="s">
        <v>1361</v>
      </c>
    </row>
    <row r="4013" spans="1:9" x14ac:dyDescent="0.25">
      <c r="A4013" s="40" t="s">
        <v>449</v>
      </c>
      <c r="B4013" s="28">
        <v>4135</v>
      </c>
      <c r="C4013" s="28" t="s">
        <v>1145</v>
      </c>
      <c r="D4013" s="28"/>
      <c r="E4013" s="41">
        <v>46154</v>
      </c>
      <c r="F4013" s="47">
        <v>0.46630787037037036</v>
      </c>
      <c r="G4013" s="44">
        <v>6.3</v>
      </c>
      <c r="H4013" s="43" t="s">
        <v>1364</v>
      </c>
      <c r="I4013" s="40" t="s">
        <v>1361</v>
      </c>
    </row>
    <row r="4014" spans="1:9" x14ac:dyDescent="0.25">
      <c r="A4014" s="40" t="s">
        <v>449</v>
      </c>
      <c r="B4014" s="28">
        <v>4135</v>
      </c>
      <c r="C4014" s="28" t="s">
        <v>1146</v>
      </c>
      <c r="D4014" s="28"/>
      <c r="E4014" s="41">
        <v>46154</v>
      </c>
      <c r="F4014" s="47">
        <v>0.56721064814814814</v>
      </c>
      <c r="G4014" s="44">
        <v>6.3</v>
      </c>
      <c r="H4014" s="43" t="s">
        <v>1360</v>
      </c>
      <c r="I4014" s="40" t="s">
        <v>1361</v>
      </c>
    </row>
    <row r="4015" spans="1:9" x14ac:dyDescent="0.25">
      <c r="A4015" s="40" t="s">
        <v>449</v>
      </c>
      <c r="B4015" s="28">
        <v>4135</v>
      </c>
      <c r="C4015" s="28" t="s">
        <v>1146</v>
      </c>
      <c r="D4015" s="28"/>
      <c r="E4015" s="41">
        <v>46154</v>
      </c>
      <c r="F4015" s="47">
        <v>0.57887731481481486</v>
      </c>
      <c r="G4015" s="44">
        <v>6.3</v>
      </c>
      <c r="H4015" s="43" t="s">
        <v>1362</v>
      </c>
      <c r="I4015" s="40" t="s">
        <v>1361</v>
      </c>
    </row>
    <row r="4016" spans="1:9" x14ac:dyDescent="0.25">
      <c r="A4016" s="40" t="s">
        <v>449</v>
      </c>
      <c r="B4016" s="28">
        <v>4135</v>
      </c>
      <c r="C4016" s="28" t="s">
        <v>1147</v>
      </c>
      <c r="D4016" s="28"/>
      <c r="E4016" s="41">
        <v>46156</v>
      </c>
      <c r="F4016" s="47">
        <v>0.39471064814814816</v>
      </c>
      <c r="G4016" s="44">
        <v>6.3</v>
      </c>
      <c r="H4016" s="43" t="s">
        <v>1360</v>
      </c>
      <c r="I4016" s="40" t="s">
        <v>1361</v>
      </c>
    </row>
    <row r="4017" spans="1:9" x14ac:dyDescent="0.25">
      <c r="A4017" s="40" t="s">
        <v>449</v>
      </c>
      <c r="B4017" s="28">
        <v>4135</v>
      </c>
      <c r="C4017" s="28" t="s">
        <v>1147</v>
      </c>
      <c r="D4017" s="28"/>
      <c r="E4017" s="41">
        <v>46156</v>
      </c>
      <c r="F4017" s="47">
        <v>0.40758101851851852</v>
      </c>
      <c r="G4017" s="44">
        <v>6.3</v>
      </c>
      <c r="H4017" s="43" t="s">
        <v>1362</v>
      </c>
      <c r="I4017" s="40" t="s">
        <v>1361</v>
      </c>
    </row>
    <row r="4018" spans="1:9" x14ac:dyDescent="0.25">
      <c r="A4018" s="40" t="s">
        <v>449</v>
      </c>
      <c r="B4018" s="28">
        <v>4135</v>
      </c>
      <c r="C4018" s="28" t="s">
        <v>1148</v>
      </c>
      <c r="D4018" s="28"/>
      <c r="E4018" s="41">
        <v>46156</v>
      </c>
      <c r="F4018" s="47">
        <v>0.49560185185185185</v>
      </c>
      <c r="G4018" s="44">
        <v>6.3</v>
      </c>
      <c r="H4018" s="43" t="s">
        <v>1364</v>
      </c>
      <c r="I4018" s="40" t="s">
        <v>1361</v>
      </c>
    </row>
    <row r="4019" spans="1:9" x14ac:dyDescent="0.25">
      <c r="A4019" s="40" t="s">
        <v>449</v>
      </c>
      <c r="B4019" s="28">
        <v>4135</v>
      </c>
      <c r="C4019" s="28" t="s">
        <v>1149</v>
      </c>
      <c r="D4019" s="28"/>
      <c r="E4019" s="41">
        <v>46157</v>
      </c>
      <c r="F4019" s="47">
        <v>0.43653935185185183</v>
      </c>
      <c r="G4019" s="44">
        <v>6.3</v>
      </c>
      <c r="H4019" s="43" t="s">
        <v>1360</v>
      </c>
      <c r="I4019" s="40" t="s">
        <v>1361</v>
      </c>
    </row>
    <row r="4020" spans="1:9" x14ac:dyDescent="0.25">
      <c r="A4020" s="40" t="s">
        <v>449</v>
      </c>
      <c r="B4020" s="28">
        <v>4135</v>
      </c>
      <c r="C4020" s="28" t="s">
        <v>1149</v>
      </c>
      <c r="D4020" s="28"/>
      <c r="E4020" s="41">
        <v>46157</v>
      </c>
      <c r="F4020" s="47">
        <v>0.44814814814814813</v>
      </c>
      <c r="G4020" s="44">
        <v>6.3</v>
      </c>
      <c r="H4020" s="43" t="s">
        <v>1362</v>
      </c>
      <c r="I4020" s="40" t="s">
        <v>1361</v>
      </c>
    </row>
    <row r="4021" spans="1:9" x14ac:dyDescent="0.25">
      <c r="A4021" s="40" t="s">
        <v>450</v>
      </c>
      <c r="B4021" s="28">
        <v>4138</v>
      </c>
      <c r="C4021" s="28" t="s">
        <v>1150</v>
      </c>
      <c r="D4021" s="28"/>
      <c r="E4021" s="45">
        <v>46154</v>
      </c>
      <c r="F4021" s="48">
        <v>0.18599537037037037</v>
      </c>
      <c r="G4021" s="44">
        <v>6.3</v>
      </c>
      <c r="H4021" s="43" t="s">
        <v>1362</v>
      </c>
      <c r="I4021" s="40" t="s">
        <v>1361</v>
      </c>
    </row>
    <row r="4022" spans="1:9" x14ac:dyDescent="0.25">
      <c r="A4022" s="40" t="s">
        <v>450</v>
      </c>
      <c r="B4022" s="28">
        <v>4138</v>
      </c>
      <c r="C4022" s="28" t="s">
        <v>1150</v>
      </c>
      <c r="D4022" s="28"/>
      <c r="E4022" s="41">
        <v>46154</v>
      </c>
      <c r="F4022" s="47">
        <v>0.22101851851851853</v>
      </c>
      <c r="G4022" s="44">
        <v>6.3</v>
      </c>
      <c r="H4022" s="43" t="s">
        <v>1363</v>
      </c>
      <c r="I4022" s="40" t="s">
        <v>1361</v>
      </c>
    </row>
    <row r="4023" spans="1:9" x14ac:dyDescent="0.25">
      <c r="A4023" s="40" t="s">
        <v>450</v>
      </c>
      <c r="B4023" s="28">
        <v>4138</v>
      </c>
      <c r="C4023" s="28" t="s">
        <v>1150</v>
      </c>
      <c r="D4023" s="28"/>
      <c r="E4023" s="41">
        <v>46154</v>
      </c>
      <c r="F4023" s="47">
        <v>0.22630787037037037</v>
      </c>
      <c r="G4023" s="44">
        <v>6.3</v>
      </c>
      <c r="H4023" s="43" t="s">
        <v>1364</v>
      </c>
      <c r="I4023" s="40" t="s">
        <v>1361</v>
      </c>
    </row>
    <row r="4024" spans="1:9" x14ac:dyDescent="0.25">
      <c r="A4024" s="40" t="s">
        <v>450</v>
      </c>
      <c r="B4024" s="28">
        <v>4138</v>
      </c>
      <c r="C4024" s="28" t="s">
        <v>1151</v>
      </c>
      <c r="D4024" s="28"/>
      <c r="E4024" s="41">
        <v>46155</v>
      </c>
      <c r="F4024" s="47">
        <v>0.25091435185185185</v>
      </c>
      <c r="G4024" s="44">
        <v>6.3</v>
      </c>
      <c r="H4024" s="43" t="s">
        <v>1363</v>
      </c>
      <c r="I4024" s="40" t="s">
        <v>1361</v>
      </c>
    </row>
    <row r="4025" spans="1:9" x14ac:dyDescent="0.25">
      <c r="A4025" s="40" t="s">
        <v>450</v>
      </c>
      <c r="B4025" s="28">
        <v>4138</v>
      </c>
      <c r="C4025" s="28" t="s">
        <v>1151</v>
      </c>
      <c r="D4025" s="28"/>
      <c r="E4025" s="41">
        <v>46155</v>
      </c>
      <c r="F4025" s="47">
        <v>0.25694444444444442</v>
      </c>
      <c r="G4025" s="44">
        <v>6.3</v>
      </c>
      <c r="H4025" s="43" t="s">
        <v>1364</v>
      </c>
      <c r="I4025" s="40" t="s">
        <v>1361</v>
      </c>
    </row>
    <row r="4026" spans="1:9" x14ac:dyDescent="0.25">
      <c r="A4026" s="40" t="s">
        <v>450</v>
      </c>
      <c r="B4026" s="28">
        <v>4138</v>
      </c>
      <c r="C4026" s="28" t="s">
        <v>1152</v>
      </c>
      <c r="D4026" s="28"/>
      <c r="E4026" s="41">
        <v>46155</v>
      </c>
      <c r="F4026" s="47">
        <v>0.3659027777777778</v>
      </c>
      <c r="G4026" s="42">
        <v>6.3</v>
      </c>
      <c r="H4026" s="40" t="s">
        <v>1360</v>
      </c>
      <c r="I4026" s="40" t="s">
        <v>1361</v>
      </c>
    </row>
    <row r="4027" spans="1:9" x14ac:dyDescent="0.25">
      <c r="A4027" s="40" t="s">
        <v>450</v>
      </c>
      <c r="B4027" s="28">
        <v>4138</v>
      </c>
      <c r="C4027" s="28" t="s">
        <v>1152</v>
      </c>
      <c r="D4027" s="28"/>
      <c r="E4027" s="41">
        <v>46155</v>
      </c>
      <c r="F4027" s="47">
        <v>0.38974537037037038</v>
      </c>
      <c r="G4027" s="42">
        <v>6.3</v>
      </c>
      <c r="H4027" s="40" t="s">
        <v>1362</v>
      </c>
      <c r="I4027" s="40" t="s">
        <v>1361</v>
      </c>
    </row>
    <row r="4028" spans="1:9" x14ac:dyDescent="0.25">
      <c r="A4028" s="40" t="s">
        <v>450</v>
      </c>
      <c r="B4028" s="28">
        <v>4138</v>
      </c>
      <c r="C4028" s="28">
        <v>5666008</v>
      </c>
      <c r="D4028" s="28" t="s">
        <v>37</v>
      </c>
      <c r="E4028" s="45">
        <v>46155</v>
      </c>
      <c r="F4028" s="48">
        <v>0.54547453703703708</v>
      </c>
      <c r="G4028" s="42">
        <v>6.3</v>
      </c>
      <c r="H4028" s="40" t="s">
        <v>1363</v>
      </c>
      <c r="I4028" s="40" t="s">
        <v>1361</v>
      </c>
    </row>
    <row r="4029" spans="1:9" x14ac:dyDescent="0.25">
      <c r="A4029" s="40" t="s">
        <v>450</v>
      </c>
      <c r="B4029" s="28">
        <v>4138</v>
      </c>
      <c r="C4029" s="28">
        <v>5666008</v>
      </c>
      <c r="D4029" s="28" t="s">
        <v>37</v>
      </c>
      <c r="E4029" s="41">
        <v>46155</v>
      </c>
      <c r="F4029" s="47">
        <v>0.55185185185185182</v>
      </c>
      <c r="G4029" s="42">
        <v>6.3</v>
      </c>
      <c r="H4029" s="40" t="s">
        <v>1364</v>
      </c>
      <c r="I4029" s="40" t="s">
        <v>1361</v>
      </c>
    </row>
    <row r="4030" spans="1:9" x14ac:dyDescent="0.25">
      <c r="A4030" s="40" t="s">
        <v>450</v>
      </c>
      <c r="B4030" s="28">
        <v>4138</v>
      </c>
      <c r="C4030" s="28" t="s">
        <v>1153</v>
      </c>
      <c r="D4030" s="28"/>
      <c r="E4030" s="41">
        <v>46156</v>
      </c>
      <c r="F4030" s="47">
        <v>0.38403935185185184</v>
      </c>
      <c r="G4030" s="44">
        <v>6.3</v>
      </c>
      <c r="H4030" s="43" t="s">
        <v>1363</v>
      </c>
      <c r="I4030" s="40" t="s">
        <v>1361</v>
      </c>
    </row>
    <row r="4031" spans="1:9" x14ac:dyDescent="0.25">
      <c r="A4031" s="40" t="s">
        <v>450</v>
      </c>
      <c r="B4031" s="28">
        <v>4138</v>
      </c>
      <c r="C4031" s="28" t="s">
        <v>1153</v>
      </c>
      <c r="D4031" s="28"/>
      <c r="E4031" s="41">
        <v>46156</v>
      </c>
      <c r="F4031" s="47">
        <v>0.39358796296296295</v>
      </c>
      <c r="G4031" s="44">
        <v>6.3</v>
      </c>
      <c r="H4031" s="43" t="s">
        <v>1364</v>
      </c>
      <c r="I4031" s="40" t="s">
        <v>1361</v>
      </c>
    </row>
    <row r="4032" spans="1:9" x14ac:dyDescent="0.25">
      <c r="A4032" s="40" t="s">
        <v>450</v>
      </c>
      <c r="B4032" s="28">
        <v>4138</v>
      </c>
      <c r="C4032" s="28" t="s">
        <v>35</v>
      </c>
      <c r="D4032" s="28" t="s">
        <v>38</v>
      </c>
      <c r="E4032" s="41">
        <v>46159</v>
      </c>
      <c r="F4032" s="47">
        <v>0.92390046296296291</v>
      </c>
      <c r="G4032" s="44">
        <v>6.3</v>
      </c>
      <c r="H4032" s="43" t="s">
        <v>1364</v>
      </c>
      <c r="I4032" s="40" t="s">
        <v>1365</v>
      </c>
    </row>
    <row r="4033" spans="1:9" x14ac:dyDescent="0.25">
      <c r="A4033" s="40" t="s">
        <v>384</v>
      </c>
      <c r="B4033" s="28">
        <v>4145</v>
      </c>
      <c r="C4033" s="28" t="s">
        <v>1154</v>
      </c>
      <c r="D4033" s="28"/>
      <c r="E4033" s="41">
        <v>46154</v>
      </c>
      <c r="F4033" s="47">
        <v>0.24989583333333334</v>
      </c>
      <c r="G4033" s="44">
        <v>6.3</v>
      </c>
      <c r="H4033" s="43" t="s">
        <v>1360</v>
      </c>
      <c r="I4033" s="40" t="s">
        <v>1361</v>
      </c>
    </row>
    <row r="4034" spans="1:9" x14ac:dyDescent="0.25">
      <c r="A4034" s="40" t="s">
        <v>384</v>
      </c>
      <c r="B4034" s="28">
        <v>4145</v>
      </c>
      <c r="C4034" s="28" t="s">
        <v>1154</v>
      </c>
      <c r="D4034" s="28"/>
      <c r="E4034" s="41">
        <v>46154</v>
      </c>
      <c r="F4034" s="47">
        <v>0.26090277777777776</v>
      </c>
      <c r="G4034" s="44">
        <v>6.3</v>
      </c>
      <c r="H4034" s="43" t="s">
        <v>1362</v>
      </c>
      <c r="I4034" s="40" t="s">
        <v>1361</v>
      </c>
    </row>
    <row r="4035" spans="1:9" x14ac:dyDescent="0.25">
      <c r="A4035" s="40" t="s">
        <v>384</v>
      </c>
      <c r="B4035" s="28">
        <v>4145</v>
      </c>
      <c r="C4035" s="28">
        <v>5661758</v>
      </c>
      <c r="D4035" s="28"/>
      <c r="E4035" s="41">
        <v>46154</v>
      </c>
      <c r="F4035" s="47">
        <v>0.31619212962962961</v>
      </c>
      <c r="G4035" s="44">
        <v>6.3</v>
      </c>
      <c r="H4035" s="43" t="s">
        <v>1364</v>
      </c>
      <c r="I4035" s="40" t="s">
        <v>1361</v>
      </c>
    </row>
    <row r="4036" spans="1:9" x14ac:dyDescent="0.25">
      <c r="A4036" s="40" t="s">
        <v>384</v>
      </c>
      <c r="B4036" s="28">
        <v>4145</v>
      </c>
      <c r="C4036" s="28">
        <v>5664480</v>
      </c>
      <c r="D4036" s="28"/>
      <c r="E4036" s="45">
        <v>46154</v>
      </c>
      <c r="F4036" s="48">
        <v>0.42375000000000002</v>
      </c>
      <c r="G4036" s="44">
        <v>6.3</v>
      </c>
      <c r="H4036" s="43" t="s">
        <v>1360</v>
      </c>
      <c r="I4036" s="40" t="s">
        <v>1361</v>
      </c>
    </row>
    <row r="4037" spans="1:9" x14ac:dyDescent="0.25">
      <c r="A4037" s="40" t="s">
        <v>384</v>
      </c>
      <c r="B4037" s="28">
        <v>4145</v>
      </c>
      <c r="C4037" s="28">
        <v>5664480</v>
      </c>
      <c r="D4037" s="28"/>
      <c r="E4037" s="41">
        <v>46154</v>
      </c>
      <c r="F4037" s="47">
        <v>0.43535879629629631</v>
      </c>
      <c r="G4037" s="44">
        <v>6.3</v>
      </c>
      <c r="H4037" s="43" t="s">
        <v>1362</v>
      </c>
      <c r="I4037" s="40" t="s">
        <v>1361</v>
      </c>
    </row>
    <row r="4038" spans="1:9" x14ac:dyDescent="0.25">
      <c r="A4038" s="40" t="s">
        <v>384</v>
      </c>
      <c r="B4038" s="28">
        <v>4145</v>
      </c>
      <c r="C4038" s="28" t="s">
        <v>35</v>
      </c>
      <c r="D4038" s="28" t="s">
        <v>38</v>
      </c>
      <c r="E4038" s="41">
        <v>46154</v>
      </c>
      <c r="F4038" s="47">
        <v>0.44619212962962962</v>
      </c>
      <c r="G4038" s="44">
        <v>6.3</v>
      </c>
      <c r="H4038" s="43" t="s">
        <v>1363</v>
      </c>
      <c r="I4038" s="40" t="s">
        <v>1361</v>
      </c>
    </row>
    <row r="4039" spans="1:9" x14ac:dyDescent="0.25">
      <c r="A4039" s="40" t="s">
        <v>384</v>
      </c>
      <c r="B4039" s="28">
        <v>4145</v>
      </c>
      <c r="C4039" s="28" t="s">
        <v>35</v>
      </c>
      <c r="D4039" s="28" t="s">
        <v>38</v>
      </c>
      <c r="E4039" s="41">
        <v>46154</v>
      </c>
      <c r="F4039" s="47">
        <v>0.45233796296296297</v>
      </c>
      <c r="G4039" s="44">
        <v>6.3</v>
      </c>
      <c r="H4039" s="43" t="s">
        <v>1364</v>
      </c>
      <c r="I4039" s="40" t="s">
        <v>1361</v>
      </c>
    </row>
    <row r="4040" spans="1:9" x14ac:dyDescent="0.25">
      <c r="A4040" s="40" t="s">
        <v>384</v>
      </c>
      <c r="B4040" s="28">
        <v>4145</v>
      </c>
      <c r="C4040" s="28">
        <v>5666327</v>
      </c>
      <c r="D4040" s="28"/>
      <c r="E4040" s="41">
        <v>46155</v>
      </c>
      <c r="F4040" s="47">
        <v>0.42841435185185184</v>
      </c>
      <c r="G4040" s="42">
        <v>6.3</v>
      </c>
      <c r="H4040" s="40" t="s">
        <v>1360</v>
      </c>
      <c r="I4040" s="40" t="s">
        <v>1361</v>
      </c>
    </row>
    <row r="4041" spans="1:9" x14ac:dyDescent="0.25">
      <c r="A4041" s="40" t="s">
        <v>384</v>
      </c>
      <c r="B4041" s="28">
        <v>4145</v>
      </c>
      <c r="C4041" s="28">
        <v>5666327</v>
      </c>
      <c r="D4041" s="28"/>
      <c r="E4041" s="45">
        <v>46155</v>
      </c>
      <c r="F4041" s="48">
        <v>0.45250000000000001</v>
      </c>
      <c r="G4041" s="42">
        <v>6.3</v>
      </c>
      <c r="H4041" s="40" t="s">
        <v>1368</v>
      </c>
      <c r="I4041" s="40" t="s">
        <v>1361</v>
      </c>
    </row>
    <row r="4042" spans="1:9" x14ac:dyDescent="0.25">
      <c r="A4042" s="40" t="s">
        <v>384</v>
      </c>
      <c r="B4042" s="28">
        <v>4145</v>
      </c>
      <c r="C4042" s="28" t="s">
        <v>35</v>
      </c>
      <c r="D4042" s="28" t="s">
        <v>38</v>
      </c>
      <c r="E4042" s="41">
        <v>46155</v>
      </c>
      <c r="F4042" s="47">
        <v>0.47971064814814812</v>
      </c>
      <c r="G4042" s="42">
        <v>6.3</v>
      </c>
      <c r="H4042" s="40" t="s">
        <v>1364</v>
      </c>
      <c r="I4042" s="40" t="s">
        <v>1361</v>
      </c>
    </row>
    <row r="4043" spans="1:9" x14ac:dyDescent="0.25">
      <c r="A4043" s="40" t="s">
        <v>384</v>
      </c>
      <c r="B4043" s="28">
        <v>4145</v>
      </c>
      <c r="C4043" s="28" t="s">
        <v>35</v>
      </c>
      <c r="D4043" s="28" t="s">
        <v>38</v>
      </c>
      <c r="E4043" s="45">
        <v>46155</v>
      </c>
      <c r="F4043" s="48">
        <v>0.59158564814814818</v>
      </c>
      <c r="G4043" s="44">
        <v>6.3</v>
      </c>
      <c r="H4043" s="43" t="s">
        <v>1363</v>
      </c>
      <c r="I4043" s="40" t="s">
        <v>1361</v>
      </c>
    </row>
    <row r="4044" spans="1:9" x14ac:dyDescent="0.25">
      <c r="A4044" s="40" t="s">
        <v>384</v>
      </c>
      <c r="B4044" s="28">
        <v>4145</v>
      </c>
      <c r="C4044" s="28" t="s">
        <v>35</v>
      </c>
      <c r="D4044" s="28" t="s">
        <v>38</v>
      </c>
      <c r="E4044" s="41">
        <v>46155</v>
      </c>
      <c r="F4044" s="47">
        <v>0.59745370370370365</v>
      </c>
      <c r="G4044" s="44">
        <v>6.3</v>
      </c>
      <c r="H4044" s="43" t="s">
        <v>1364</v>
      </c>
      <c r="I4044" s="40" t="s">
        <v>1361</v>
      </c>
    </row>
    <row r="4045" spans="1:9" x14ac:dyDescent="0.25">
      <c r="A4045" s="40" t="s">
        <v>384</v>
      </c>
      <c r="B4045" s="28">
        <v>4145</v>
      </c>
      <c r="C4045" s="28">
        <v>5667372</v>
      </c>
      <c r="D4045" s="28" t="s">
        <v>37</v>
      </c>
      <c r="E4045" s="41">
        <v>46156</v>
      </c>
      <c r="F4045" s="47">
        <v>0.25678240740740743</v>
      </c>
      <c r="G4045" s="44">
        <v>6.3</v>
      </c>
      <c r="H4045" s="43" t="s">
        <v>1363</v>
      </c>
      <c r="I4045" s="40" t="s">
        <v>1361</v>
      </c>
    </row>
    <row r="4046" spans="1:9" x14ac:dyDescent="0.25">
      <c r="A4046" s="40" t="s">
        <v>384</v>
      </c>
      <c r="B4046" s="28">
        <v>4145</v>
      </c>
      <c r="C4046" s="28">
        <v>5667372</v>
      </c>
      <c r="D4046" s="28" t="s">
        <v>37</v>
      </c>
      <c r="E4046" s="41">
        <v>46156</v>
      </c>
      <c r="F4046" s="47">
        <v>0.26262731481481483</v>
      </c>
      <c r="G4046" s="44">
        <v>6.3</v>
      </c>
      <c r="H4046" s="43" t="s">
        <v>1364</v>
      </c>
      <c r="I4046" s="40" t="s">
        <v>1361</v>
      </c>
    </row>
    <row r="4047" spans="1:9" x14ac:dyDescent="0.25">
      <c r="A4047" s="40" t="s">
        <v>384</v>
      </c>
      <c r="B4047" s="28">
        <v>4145</v>
      </c>
      <c r="C4047" s="28">
        <v>5667163</v>
      </c>
      <c r="D4047" s="28"/>
      <c r="E4047" s="41">
        <v>46156</v>
      </c>
      <c r="F4047" s="47">
        <v>0.38582175925925927</v>
      </c>
      <c r="G4047" s="44">
        <v>6.3</v>
      </c>
      <c r="H4047" s="43" t="s">
        <v>1360</v>
      </c>
      <c r="I4047" s="40" t="s">
        <v>1361</v>
      </c>
    </row>
    <row r="4048" spans="1:9" x14ac:dyDescent="0.25">
      <c r="A4048" s="40" t="s">
        <v>384</v>
      </c>
      <c r="B4048" s="28">
        <v>4145</v>
      </c>
      <c r="C4048" s="28">
        <v>5667163</v>
      </c>
      <c r="D4048" s="28"/>
      <c r="E4048" s="41">
        <v>46156</v>
      </c>
      <c r="F4048" s="47">
        <v>0.3981365740740741</v>
      </c>
      <c r="G4048" s="44">
        <v>6.3</v>
      </c>
      <c r="H4048" s="43" t="s">
        <v>1362</v>
      </c>
      <c r="I4048" s="40" t="s">
        <v>1361</v>
      </c>
    </row>
    <row r="4049" spans="1:9" x14ac:dyDescent="0.25">
      <c r="A4049" s="40" t="s">
        <v>384</v>
      </c>
      <c r="B4049" s="28">
        <v>4145</v>
      </c>
      <c r="C4049" s="28" t="s">
        <v>35</v>
      </c>
      <c r="D4049" s="28" t="s">
        <v>38</v>
      </c>
      <c r="E4049" s="45">
        <v>46156</v>
      </c>
      <c r="F4049" s="48">
        <v>0.43717592592592591</v>
      </c>
      <c r="G4049" s="44">
        <v>6.3</v>
      </c>
      <c r="H4049" s="43" t="s">
        <v>1363</v>
      </c>
      <c r="I4049" s="40" t="s">
        <v>1361</v>
      </c>
    </row>
    <row r="4050" spans="1:9" x14ac:dyDescent="0.25">
      <c r="A4050" s="40" t="s">
        <v>384</v>
      </c>
      <c r="B4050" s="28">
        <v>4145</v>
      </c>
      <c r="C4050" s="28" t="s">
        <v>35</v>
      </c>
      <c r="D4050" s="28" t="s">
        <v>38</v>
      </c>
      <c r="E4050" s="41">
        <v>46156</v>
      </c>
      <c r="F4050" s="47">
        <v>0.44317129629629631</v>
      </c>
      <c r="G4050" s="44">
        <v>6.3</v>
      </c>
      <c r="H4050" s="43" t="s">
        <v>1364</v>
      </c>
      <c r="I4050" s="40" t="s">
        <v>1361</v>
      </c>
    </row>
    <row r="4051" spans="1:9" x14ac:dyDescent="0.25">
      <c r="A4051" s="40" t="s">
        <v>384</v>
      </c>
      <c r="B4051" s="28">
        <v>4145</v>
      </c>
      <c r="C4051" s="28">
        <v>5668562</v>
      </c>
      <c r="D4051" s="28"/>
      <c r="E4051" s="45">
        <v>46156</v>
      </c>
      <c r="F4051" s="48">
        <v>0.6322916666666667</v>
      </c>
      <c r="G4051" s="44">
        <v>6.3</v>
      </c>
      <c r="H4051" s="43" t="s">
        <v>1360</v>
      </c>
      <c r="I4051" s="40" t="s">
        <v>1361</v>
      </c>
    </row>
    <row r="4052" spans="1:9" x14ac:dyDescent="0.25">
      <c r="A4052" s="40" t="s">
        <v>384</v>
      </c>
      <c r="B4052" s="28">
        <v>4145</v>
      </c>
      <c r="C4052" s="28">
        <v>5668562</v>
      </c>
      <c r="D4052" s="28"/>
      <c r="E4052" s="41">
        <v>46156</v>
      </c>
      <c r="F4052" s="47">
        <v>0.64732638888888894</v>
      </c>
      <c r="G4052" s="44">
        <v>6.3</v>
      </c>
      <c r="H4052" s="43" t="s">
        <v>1362</v>
      </c>
      <c r="I4052" s="40" t="s">
        <v>1361</v>
      </c>
    </row>
    <row r="4053" spans="1:9" x14ac:dyDescent="0.25">
      <c r="A4053" s="40" t="s">
        <v>384</v>
      </c>
      <c r="B4053" s="28">
        <v>4145</v>
      </c>
      <c r="C4053" s="28" t="s">
        <v>35</v>
      </c>
      <c r="D4053" s="28" t="s">
        <v>38</v>
      </c>
      <c r="E4053" s="41">
        <v>46156</v>
      </c>
      <c r="F4053" s="47">
        <v>0.66515046296296299</v>
      </c>
      <c r="G4053" s="44">
        <v>6.3</v>
      </c>
      <c r="H4053" s="43" t="s">
        <v>1363</v>
      </c>
      <c r="I4053" s="40" t="s">
        <v>1361</v>
      </c>
    </row>
    <row r="4054" spans="1:9" x14ac:dyDescent="0.25">
      <c r="A4054" s="40" t="s">
        <v>384</v>
      </c>
      <c r="B4054" s="28">
        <v>4145</v>
      </c>
      <c r="C4054" s="28">
        <v>5669697</v>
      </c>
      <c r="D4054" s="28"/>
      <c r="E4054" s="41">
        <v>46157</v>
      </c>
      <c r="F4054" s="47">
        <v>0.40319444444444447</v>
      </c>
      <c r="G4054" s="44">
        <v>6.3</v>
      </c>
      <c r="H4054" s="43" t="s">
        <v>1360</v>
      </c>
      <c r="I4054" s="40" t="s">
        <v>1361</v>
      </c>
    </row>
    <row r="4055" spans="1:9" x14ac:dyDescent="0.25">
      <c r="A4055" s="40" t="s">
        <v>384</v>
      </c>
      <c r="B4055" s="28">
        <v>4145</v>
      </c>
      <c r="C4055" s="28">
        <v>5669697</v>
      </c>
      <c r="D4055" s="28"/>
      <c r="E4055" s="41">
        <v>46157</v>
      </c>
      <c r="F4055" s="47">
        <v>0.41665509259259259</v>
      </c>
      <c r="G4055" s="44">
        <v>6.3</v>
      </c>
      <c r="H4055" s="43" t="s">
        <v>1362</v>
      </c>
      <c r="I4055" s="40" t="s">
        <v>1361</v>
      </c>
    </row>
    <row r="4056" spans="1:9" x14ac:dyDescent="0.25">
      <c r="A4056" s="40" t="s">
        <v>384</v>
      </c>
      <c r="B4056" s="28">
        <v>4145</v>
      </c>
      <c r="C4056" s="28" t="s">
        <v>35</v>
      </c>
      <c r="D4056" s="28" t="s">
        <v>38</v>
      </c>
      <c r="E4056" s="41">
        <v>46157</v>
      </c>
      <c r="F4056" s="47">
        <v>0.44445601851851851</v>
      </c>
      <c r="G4056" s="44">
        <v>6.3</v>
      </c>
      <c r="H4056" s="43" t="s">
        <v>1363</v>
      </c>
      <c r="I4056" s="40" t="s">
        <v>1361</v>
      </c>
    </row>
    <row r="4057" spans="1:9" x14ac:dyDescent="0.25">
      <c r="A4057" s="40" t="s">
        <v>384</v>
      </c>
      <c r="B4057" s="28">
        <v>4145</v>
      </c>
      <c r="C4057" s="28" t="s">
        <v>35</v>
      </c>
      <c r="D4057" s="28" t="s">
        <v>38</v>
      </c>
      <c r="E4057" s="41">
        <v>46157</v>
      </c>
      <c r="F4057" s="47">
        <v>0.44972222222222225</v>
      </c>
      <c r="G4057" s="42">
        <v>6.3</v>
      </c>
      <c r="H4057" s="40" t="s">
        <v>1364</v>
      </c>
      <c r="I4057" s="40" t="s">
        <v>1361</v>
      </c>
    </row>
    <row r="4058" spans="1:9" x14ac:dyDescent="0.25">
      <c r="A4058" s="40" t="s">
        <v>384</v>
      </c>
      <c r="B4058" s="28">
        <v>4145</v>
      </c>
      <c r="C4058" s="28" t="s">
        <v>35</v>
      </c>
      <c r="D4058" s="28" t="s">
        <v>38</v>
      </c>
      <c r="E4058" s="41">
        <v>46157</v>
      </c>
      <c r="F4058" s="47">
        <v>0.67416666666666669</v>
      </c>
      <c r="G4058" s="42">
        <v>6.3</v>
      </c>
      <c r="H4058" s="40" t="s">
        <v>1363</v>
      </c>
      <c r="I4058" s="40" t="s">
        <v>1361</v>
      </c>
    </row>
    <row r="4059" spans="1:9" x14ac:dyDescent="0.25">
      <c r="A4059" s="40" t="s">
        <v>384</v>
      </c>
      <c r="B4059" s="28">
        <v>4145</v>
      </c>
      <c r="C4059" s="28" t="s">
        <v>35</v>
      </c>
      <c r="D4059" s="28" t="s">
        <v>38</v>
      </c>
      <c r="E4059" s="41">
        <v>46158</v>
      </c>
      <c r="F4059" s="47">
        <v>0.29180555555555554</v>
      </c>
      <c r="G4059" s="42">
        <v>6.3</v>
      </c>
      <c r="H4059" s="40" t="s">
        <v>1360</v>
      </c>
      <c r="I4059" s="40" t="s">
        <v>1365</v>
      </c>
    </row>
    <row r="4060" spans="1:9" x14ac:dyDescent="0.25">
      <c r="A4060" s="40" t="s">
        <v>384</v>
      </c>
      <c r="B4060" s="28">
        <v>4145</v>
      </c>
      <c r="C4060" s="28">
        <v>5672361</v>
      </c>
      <c r="D4060" s="28"/>
      <c r="E4060" s="45">
        <v>46159</v>
      </c>
      <c r="F4060" s="48">
        <v>0.45245370370370369</v>
      </c>
      <c r="G4060" s="42">
        <v>6.3</v>
      </c>
      <c r="H4060" s="40" t="s">
        <v>1363</v>
      </c>
      <c r="I4060" s="40" t="s">
        <v>1365</v>
      </c>
    </row>
    <row r="4061" spans="1:9" x14ac:dyDescent="0.25">
      <c r="A4061" s="40" t="s">
        <v>384</v>
      </c>
      <c r="B4061" s="28">
        <v>4145</v>
      </c>
      <c r="C4061" s="28">
        <v>5672361</v>
      </c>
      <c r="D4061" s="28"/>
      <c r="E4061" s="41">
        <v>46159</v>
      </c>
      <c r="F4061" s="47">
        <v>0.45717592592592593</v>
      </c>
      <c r="G4061" s="44">
        <v>6.3</v>
      </c>
      <c r="H4061" s="43" t="s">
        <v>1364</v>
      </c>
      <c r="I4061" s="40" t="s">
        <v>1365</v>
      </c>
    </row>
    <row r="4062" spans="1:9" x14ac:dyDescent="0.25">
      <c r="A4062" s="40" t="s">
        <v>384</v>
      </c>
      <c r="B4062" s="28">
        <v>4145</v>
      </c>
      <c r="C4062" s="28">
        <v>5672514</v>
      </c>
      <c r="D4062" s="28"/>
      <c r="E4062" s="41">
        <v>46159</v>
      </c>
      <c r="F4062" s="47">
        <v>0.52990740740740738</v>
      </c>
      <c r="G4062" s="44">
        <v>6.3</v>
      </c>
      <c r="H4062" s="43" t="s">
        <v>1360</v>
      </c>
      <c r="I4062" s="40" t="s">
        <v>1365</v>
      </c>
    </row>
    <row r="4063" spans="1:9" x14ac:dyDescent="0.25">
      <c r="A4063" s="40" t="s">
        <v>384</v>
      </c>
      <c r="B4063" s="28">
        <v>4145</v>
      </c>
      <c r="C4063" s="28">
        <v>5672514</v>
      </c>
      <c r="D4063" s="28"/>
      <c r="E4063" s="41">
        <v>46159</v>
      </c>
      <c r="F4063" s="47">
        <v>0.53666666666666663</v>
      </c>
      <c r="G4063" s="44">
        <v>6.3</v>
      </c>
      <c r="H4063" s="43" t="s">
        <v>1362</v>
      </c>
      <c r="I4063" s="40" t="s">
        <v>1365</v>
      </c>
    </row>
    <row r="4064" spans="1:9" x14ac:dyDescent="0.25">
      <c r="A4064" s="40" t="s">
        <v>384</v>
      </c>
      <c r="B4064" s="28">
        <v>4145</v>
      </c>
      <c r="C4064" s="28">
        <v>5668719</v>
      </c>
      <c r="D4064" s="28"/>
      <c r="E4064" s="41">
        <v>46159</v>
      </c>
      <c r="F4064" s="47">
        <v>0.5978472222222222</v>
      </c>
      <c r="G4064" s="44">
        <v>6.3</v>
      </c>
      <c r="H4064" s="43" t="s">
        <v>1363</v>
      </c>
      <c r="I4064" s="40" t="s">
        <v>1365</v>
      </c>
    </row>
    <row r="4065" spans="1:9" x14ac:dyDescent="0.25">
      <c r="A4065" s="40" t="s">
        <v>384</v>
      </c>
      <c r="B4065" s="28">
        <v>4145</v>
      </c>
      <c r="C4065" s="28">
        <v>5668719</v>
      </c>
      <c r="D4065" s="28"/>
      <c r="E4065" s="41">
        <v>46159</v>
      </c>
      <c r="F4065" s="47">
        <v>0.60356481481481483</v>
      </c>
      <c r="G4065" s="44">
        <v>6.3</v>
      </c>
      <c r="H4065" s="43" t="s">
        <v>1364</v>
      </c>
      <c r="I4065" s="40" t="s">
        <v>1365</v>
      </c>
    </row>
    <row r="4066" spans="1:9" x14ac:dyDescent="0.25">
      <c r="A4066" s="40" t="s">
        <v>384</v>
      </c>
      <c r="B4066" s="28">
        <v>4145</v>
      </c>
      <c r="C4066" s="28" t="s">
        <v>1155</v>
      </c>
      <c r="D4066" s="28"/>
      <c r="E4066" s="41">
        <v>46159</v>
      </c>
      <c r="F4066" s="47">
        <v>0.65818287037037038</v>
      </c>
      <c r="G4066" s="44">
        <v>6.3</v>
      </c>
      <c r="H4066" s="43" t="s">
        <v>1360</v>
      </c>
      <c r="I4066" s="40" t="s">
        <v>1365</v>
      </c>
    </row>
    <row r="4067" spans="1:9" x14ac:dyDescent="0.25">
      <c r="A4067" s="40" t="s">
        <v>384</v>
      </c>
      <c r="B4067" s="28">
        <v>4145</v>
      </c>
      <c r="C4067" s="28" t="s">
        <v>1155</v>
      </c>
      <c r="D4067" s="28"/>
      <c r="E4067" s="41">
        <v>46159</v>
      </c>
      <c r="F4067" s="47">
        <v>0.66500000000000004</v>
      </c>
      <c r="G4067" s="44">
        <v>6.3</v>
      </c>
      <c r="H4067" s="43" t="s">
        <v>1362</v>
      </c>
      <c r="I4067" s="40" t="s">
        <v>1365</v>
      </c>
    </row>
    <row r="4068" spans="1:9" x14ac:dyDescent="0.25">
      <c r="A4068" s="40" t="s">
        <v>384</v>
      </c>
      <c r="B4068" s="28">
        <v>4145</v>
      </c>
      <c r="C4068" s="28" t="s">
        <v>35</v>
      </c>
      <c r="D4068" s="28" t="s">
        <v>38</v>
      </c>
      <c r="E4068" s="41">
        <v>46159</v>
      </c>
      <c r="F4068" s="47">
        <v>0.67954861111111109</v>
      </c>
      <c r="G4068" s="44">
        <v>6.3</v>
      </c>
      <c r="H4068" s="43" t="s">
        <v>1363</v>
      </c>
      <c r="I4068" s="40" t="s">
        <v>1365</v>
      </c>
    </row>
    <row r="4069" spans="1:9" x14ac:dyDescent="0.25">
      <c r="A4069" s="40" t="s">
        <v>451</v>
      </c>
      <c r="B4069" s="28">
        <v>4154</v>
      </c>
      <c r="C4069" s="28" t="s">
        <v>35</v>
      </c>
      <c r="D4069" s="28" t="s">
        <v>38</v>
      </c>
      <c r="E4069" s="41">
        <v>46154</v>
      </c>
      <c r="F4069" s="47">
        <v>0.65228009259259256</v>
      </c>
      <c r="G4069" s="44">
        <v>6.3</v>
      </c>
      <c r="H4069" s="43" t="s">
        <v>1363</v>
      </c>
      <c r="I4069" s="40" t="s">
        <v>1361</v>
      </c>
    </row>
    <row r="4070" spans="1:9" x14ac:dyDescent="0.25">
      <c r="A4070" s="40" t="s">
        <v>451</v>
      </c>
      <c r="B4070" s="28">
        <v>4154</v>
      </c>
      <c r="C4070" s="28">
        <v>10652735</v>
      </c>
      <c r="D4070" s="28"/>
      <c r="E4070" s="41">
        <v>46155</v>
      </c>
      <c r="F4070" s="47">
        <v>0.75834490740740745</v>
      </c>
      <c r="G4070" s="44">
        <v>6.3</v>
      </c>
      <c r="H4070" s="43" t="s">
        <v>1363</v>
      </c>
      <c r="I4070" s="40" t="s">
        <v>1361</v>
      </c>
    </row>
    <row r="4071" spans="1:9" x14ac:dyDescent="0.25">
      <c r="A4071" s="40" t="s">
        <v>451</v>
      </c>
      <c r="B4071" s="28">
        <v>4154</v>
      </c>
      <c r="C4071" s="28">
        <v>10652735</v>
      </c>
      <c r="D4071" s="28"/>
      <c r="E4071" s="41">
        <v>46155</v>
      </c>
      <c r="F4071" s="47">
        <v>0.77940972222222227</v>
      </c>
      <c r="G4071" s="44">
        <v>6.3</v>
      </c>
      <c r="H4071" s="43" t="s">
        <v>1364</v>
      </c>
      <c r="I4071" s="40" t="s">
        <v>1361</v>
      </c>
    </row>
    <row r="4072" spans="1:9" x14ac:dyDescent="0.25">
      <c r="A4072" s="40" t="s">
        <v>451</v>
      </c>
      <c r="B4072" s="28">
        <v>4154</v>
      </c>
      <c r="C4072" s="28">
        <v>5667580</v>
      </c>
      <c r="D4072" s="28"/>
      <c r="E4072" s="41">
        <v>46156</v>
      </c>
      <c r="F4072" s="47">
        <v>0.30791666666666667</v>
      </c>
      <c r="G4072" s="44">
        <v>6.3</v>
      </c>
      <c r="H4072" s="43" t="s">
        <v>1360</v>
      </c>
      <c r="I4072" s="40" t="s">
        <v>1361</v>
      </c>
    </row>
    <row r="4073" spans="1:9" x14ac:dyDescent="0.25">
      <c r="A4073" s="40" t="s">
        <v>451</v>
      </c>
      <c r="B4073" s="28">
        <v>4154</v>
      </c>
      <c r="C4073" s="28">
        <v>5667580</v>
      </c>
      <c r="D4073" s="28"/>
      <c r="E4073" s="41">
        <v>46156</v>
      </c>
      <c r="F4073" s="47">
        <v>0.3250925925925926</v>
      </c>
      <c r="G4073" s="44">
        <v>6.3</v>
      </c>
      <c r="H4073" s="43" t="s">
        <v>1362</v>
      </c>
      <c r="I4073" s="40" t="s">
        <v>1361</v>
      </c>
    </row>
    <row r="4074" spans="1:9" x14ac:dyDescent="0.25">
      <c r="A4074" s="40" t="s">
        <v>451</v>
      </c>
      <c r="B4074" s="28">
        <v>4154</v>
      </c>
      <c r="C4074" s="28">
        <v>5668487</v>
      </c>
      <c r="D4074" s="28"/>
      <c r="E4074" s="41">
        <v>46156</v>
      </c>
      <c r="F4074" s="47">
        <v>0.62237268518518518</v>
      </c>
      <c r="G4074" s="44">
        <v>6.3</v>
      </c>
      <c r="H4074" s="43" t="s">
        <v>1363</v>
      </c>
      <c r="I4074" s="40" t="s">
        <v>1361</v>
      </c>
    </row>
    <row r="4075" spans="1:9" x14ac:dyDescent="0.25">
      <c r="A4075" s="40" t="s">
        <v>451</v>
      </c>
      <c r="B4075" s="28">
        <v>4154</v>
      </c>
      <c r="C4075" s="28">
        <v>5668487</v>
      </c>
      <c r="D4075" s="28"/>
      <c r="E4075" s="41">
        <v>46156</v>
      </c>
      <c r="F4075" s="47">
        <v>0.62789351851851849</v>
      </c>
      <c r="G4075" s="44">
        <v>6.3</v>
      </c>
      <c r="H4075" s="43" t="s">
        <v>1364</v>
      </c>
      <c r="I4075" s="40" t="s">
        <v>1361</v>
      </c>
    </row>
    <row r="4076" spans="1:9" x14ac:dyDescent="0.25">
      <c r="A4076" s="40" t="s">
        <v>452</v>
      </c>
      <c r="B4076" s="28">
        <v>4163</v>
      </c>
      <c r="C4076" s="28">
        <v>5661970</v>
      </c>
      <c r="D4076" s="28" t="s">
        <v>37</v>
      </c>
      <c r="E4076" s="41">
        <v>46153</v>
      </c>
      <c r="F4076" s="47">
        <v>0.30812499999999998</v>
      </c>
      <c r="G4076" s="42">
        <v>6.3</v>
      </c>
      <c r="H4076" s="40" t="s">
        <v>1363</v>
      </c>
      <c r="I4076" s="40" t="s">
        <v>1361</v>
      </c>
    </row>
    <row r="4077" spans="1:9" x14ac:dyDescent="0.25">
      <c r="A4077" s="40" t="s">
        <v>452</v>
      </c>
      <c r="B4077" s="28">
        <v>4163</v>
      </c>
      <c r="C4077" s="28">
        <v>5661970</v>
      </c>
      <c r="D4077" s="28" t="s">
        <v>37</v>
      </c>
      <c r="E4077" s="41">
        <v>46153</v>
      </c>
      <c r="F4077" s="47">
        <v>0.32248842592592591</v>
      </c>
      <c r="G4077" s="42">
        <v>6.3</v>
      </c>
      <c r="H4077" s="40" t="s">
        <v>1364</v>
      </c>
      <c r="I4077" s="40" t="s">
        <v>1361</v>
      </c>
    </row>
    <row r="4078" spans="1:9" x14ac:dyDescent="0.25">
      <c r="A4078" s="40" t="s">
        <v>343</v>
      </c>
      <c r="B4078" s="28">
        <v>4172</v>
      </c>
      <c r="C4078" s="28">
        <v>5665787</v>
      </c>
      <c r="D4078" s="28"/>
      <c r="E4078" s="41">
        <v>46155</v>
      </c>
      <c r="F4078" s="47">
        <v>0.13340277777777779</v>
      </c>
      <c r="G4078" s="42">
        <v>6.3</v>
      </c>
      <c r="H4078" s="40" t="s">
        <v>1369</v>
      </c>
      <c r="I4078" s="40" t="s">
        <v>1361</v>
      </c>
    </row>
    <row r="4079" spans="1:9" x14ac:dyDescent="0.25">
      <c r="A4079" s="40" t="s">
        <v>343</v>
      </c>
      <c r="B4079" s="28">
        <v>4172</v>
      </c>
      <c r="C4079" s="28">
        <v>5665787</v>
      </c>
      <c r="D4079" s="28"/>
      <c r="E4079" s="41">
        <v>46155</v>
      </c>
      <c r="F4079" s="47">
        <v>0.13909722222222223</v>
      </c>
      <c r="G4079" s="42">
        <v>6.3</v>
      </c>
      <c r="H4079" s="40" t="s">
        <v>1364</v>
      </c>
      <c r="I4079" s="40" t="s">
        <v>1361</v>
      </c>
    </row>
    <row r="4080" spans="1:9" x14ac:dyDescent="0.25">
      <c r="A4080" s="40" t="s">
        <v>343</v>
      </c>
      <c r="B4080" s="28">
        <v>4172</v>
      </c>
      <c r="C4080" s="28" t="s">
        <v>35</v>
      </c>
      <c r="D4080" s="28" t="s">
        <v>38</v>
      </c>
      <c r="E4080" s="41">
        <v>46155</v>
      </c>
      <c r="F4080" s="47">
        <v>0.19525462962962964</v>
      </c>
      <c r="G4080" s="44">
        <v>6.3</v>
      </c>
      <c r="H4080" s="43" t="s">
        <v>1360</v>
      </c>
      <c r="I4080" s="40" t="s">
        <v>1361</v>
      </c>
    </row>
    <row r="4081" spans="1:9" x14ac:dyDescent="0.25">
      <c r="A4081" s="40" t="s">
        <v>343</v>
      </c>
      <c r="B4081" s="28">
        <v>4172</v>
      </c>
      <c r="C4081" s="28" t="s">
        <v>35</v>
      </c>
      <c r="D4081" s="28" t="s">
        <v>38</v>
      </c>
      <c r="E4081" s="41">
        <v>46155</v>
      </c>
      <c r="F4081" s="47">
        <v>0.20319444444444446</v>
      </c>
      <c r="G4081" s="44">
        <v>6.3</v>
      </c>
      <c r="H4081" s="43" t="s">
        <v>1362</v>
      </c>
      <c r="I4081" s="40" t="s">
        <v>1361</v>
      </c>
    </row>
    <row r="4082" spans="1:9" x14ac:dyDescent="0.25">
      <c r="A4082" s="40" t="s">
        <v>343</v>
      </c>
      <c r="B4082" s="28">
        <v>4172</v>
      </c>
      <c r="C4082" s="28">
        <v>5665037</v>
      </c>
      <c r="D4082" s="28"/>
      <c r="E4082" s="45">
        <v>46155</v>
      </c>
      <c r="F4082" s="48">
        <v>0.22850694444444444</v>
      </c>
      <c r="G4082" s="44">
        <v>6.3</v>
      </c>
      <c r="H4082" s="43" t="s">
        <v>1363</v>
      </c>
      <c r="I4082" s="40" t="s">
        <v>1361</v>
      </c>
    </row>
    <row r="4083" spans="1:9" x14ac:dyDescent="0.25">
      <c r="A4083" s="40" t="s">
        <v>343</v>
      </c>
      <c r="B4083" s="28">
        <v>4172</v>
      </c>
      <c r="C4083" s="28">
        <v>5665037</v>
      </c>
      <c r="D4083" s="28"/>
      <c r="E4083" s="41">
        <v>46155</v>
      </c>
      <c r="F4083" s="47">
        <v>0.23409722222222223</v>
      </c>
      <c r="G4083" s="44">
        <v>6.3</v>
      </c>
      <c r="H4083" s="43" t="s">
        <v>1364</v>
      </c>
      <c r="I4083" s="40" t="s">
        <v>1361</v>
      </c>
    </row>
    <row r="4084" spans="1:9" x14ac:dyDescent="0.25">
      <c r="A4084" s="40" t="s">
        <v>343</v>
      </c>
      <c r="B4084" s="28">
        <v>4172</v>
      </c>
      <c r="C4084" s="28">
        <v>5667552</v>
      </c>
      <c r="D4084" s="28"/>
      <c r="E4084" s="41">
        <v>46155</v>
      </c>
      <c r="F4084" s="47">
        <v>0.94184027777777779</v>
      </c>
      <c r="G4084" s="44">
        <v>6.3</v>
      </c>
      <c r="H4084" s="43" t="s">
        <v>1360</v>
      </c>
      <c r="I4084" s="40" t="s">
        <v>1361</v>
      </c>
    </row>
    <row r="4085" spans="1:9" x14ac:dyDescent="0.25">
      <c r="A4085" s="40" t="s">
        <v>343</v>
      </c>
      <c r="B4085" s="28">
        <v>4172</v>
      </c>
      <c r="C4085" s="28">
        <v>5667552</v>
      </c>
      <c r="D4085" s="28"/>
      <c r="E4085" s="41">
        <v>46155</v>
      </c>
      <c r="F4085" s="47">
        <v>0.94982638888888893</v>
      </c>
      <c r="G4085" s="44">
        <v>6.3</v>
      </c>
      <c r="H4085" s="43" t="s">
        <v>1362</v>
      </c>
      <c r="I4085" s="40" t="s">
        <v>1361</v>
      </c>
    </row>
    <row r="4086" spans="1:9" x14ac:dyDescent="0.25">
      <c r="A4086" s="40" t="s">
        <v>343</v>
      </c>
      <c r="B4086" s="28">
        <v>4172</v>
      </c>
      <c r="C4086" s="28">
        <v>5668797</v>
      </c>
      <c r="D4086" s="28"/>
      <c r="E4086" s="41">
        <v>46157</v>
      </c>
      <c r="F4086" s="47">
        <v>0.15496527777777777</v>
      </c>
      <c r="G4086" s="44">
        <v>6.3</v>
      </c>
      <c r="H4086" s="43" t="s">
        <v>1363</v>
      </c>
      <c r="I4086" s="40" t="s">
        <v>1361</v>
      </c>
    </row>
    <row r="4087" spans="1:9" x14ac:dyDescent="0.25">
      <c r="A4087" s="40" t="s">
        <v>343</v>
      </c>
      <c r="B4087" s="28">
        <v>4172</v>
      </c>
      <c r="C4087" s="28">
        <v>5668797</v>
      </c>
      <c r="D4087" s="28"/>
      <c r="E4087" s="45">
        <v>46157</v>
      </c>
      <c r="F4087" s="48">
        <v>0.16018518518518518</v>
      </c>
      <c r="G4087" s="44">
        <v>6.3</v>
      </c>
      <c r="H4087" s="43" t="s">
        <v>1364</v>
      </c>
      <c r="I4087" s="40" t="s">
        <v>1361</v>
      </c>
    </row>
    <row r="4088" spans="1:9" x14ac:dyDescent="0.25">
      <c r="A4088" s="40" t="s">
        <v>343</v>
      </c>
      <c r="B4088" s="28">
        <v>4172</v>
      </c>
      <c r="C4088" s="28" t="s">
        <v>35</v>
      </c>
      <c r="D4088" s="28" t="s">
        <v>38</v>
      </c>
      <c r="E4088" s="45">
        <v>46158</v>
      </c>
      <c r="F4088" s="48">
        <v>0.16658564814814814</v>
      </c>
      <c r="G4088" s="44">
        <v>6.3</v>
      </c>
      <c r="H4088" s="43" t="s">
        <v>1360</v>
      </c>
      <c r="I4088" s="40" t="s">
        <v>1365</v>
      </c>
    </row>
    <row r="4089" spans="1:9" x14ac:dyDescent="0.25">
      <c r="A4089" s="40" t="s">
        <v>343</v>
      </c>
      <c r="B4089" s="28">
        <v>4172</v>
      </c>
      <c r="C4089" s="28" t="s">
        <v>35</v>
      </c>
      <c r="D4089" s="28" t="s">
        <v>38</v>
      </c>
      <c r="E4089" s="41">
        <v>46158</v>
      </c>
      <c r="F4089" s="47">
        <v>0.17303240740740741</v>
      </c>
      <c r="G4089" s="44">
        <v>6.3</v>
      </c>
      <c r="H4089" s="43" t="s">
        <v>1362</v>
      </c>
      <c r="I4089" s="40" t="s">
        <v>1365</v>
      </c>
    </row>
    <row r="4090" spans="1:9" x14ac:dyDescent="0.25">
      <c r="A4090" s="40" t="s">
        <v>343</v>
      </c>
      <c r="B4090" s="28">
        <v>4172</v>
      </c>
      <c r="C4090" s="28" t="s">
        <v>35</v>
      </c>
      <c r="D4090" s="28" t="s">
        <v>38</v>
      </c>
      <c r="E4090" s="41">
        <v>46158</v>
      </c>
      <c r="F4090" s="47">
        <v>0.21562500000000001</v>
      </c>
      <c r="G4090" s="44">
        <v>6.3</v>
      </c>
      <c r="H4090" s="43" t="s">
        <v>1363</v>
      </c>
      <c r="I4090" s="40" t="s">
        <v>1365</v>
      </c>
    </row>
    <row r="4091" spans="1:9" x14ac:dyDescent="0.25">
      <c r="A4091" s="40" t="s">
        <v>343</v>
      </c>
      <c r="B4091" s="28">
        <v>4172</v>
      </c>
      <c r="C4091" s="28" t="s">
        <v>35</v>
      </c>
      <c r="D4091" s="28" t="s">
        <v>38</v>
      </c>
      <c r="E4091" s="41">
        <v>46158</v>
      </c>
      <c r="F4091" s="47">
        <v>0.22083333333333333</v>
      </c>
      <c r="G4091" s="44">
        <v>6.3</v>
      </c>
      <c r="H4091" s="43" t="s">
        <v>1364</v>
      </c>
      <c r="I4091" s="40" t="s">
        <v>1365</v>
      </c>
    </row>
    <row r="4092" spans="1:9" x14ac:dyDescent="0.25">
      <c r="A4092" s="40" t="s">
        <v>343</v>
      </c>
      <c r="B4092" s="28">
        <v>4172</v>
      </c>
      <c r="C4092" s="28" t="s">
        <v>35</v>
      </c>
      <c r="D4092" s="28" t="s">
        <v>38</v>
      </c>
      <c r="E4092" s="41">
        <v>46158</v>
      </c>
      <c r="F4092" s="47">
        <v>0.68098379629629635</v>
      </c>
      <c r="G4092" s="44">
        <v>6.3</v>
      </c>
      <c r="H4092" s="43" t="s">
        <v>1360</v>
      </c>
      <c r="I4092" s="40" t="s">
        <v>1365</v>
      </c>
    </row>
    <row r="4093" spans="1:9" x14ac:dyDescent="0.25">
      <c r="A4093" s="40" t="s">
        <v>343</v>
      </c>
      <c r="B4093" s="28">
        <v>4172</v>
      </c>
      <c r="C4093" s="28" t="s">
        <v>35</v>
      </c>
      <c r="D4093" s="28" t="s">
        <v>38</v>
      </c>
      <c r="E4093" s="41">
        <v>46158</v>
      </c>
      <c r="F4093" s="47">
        <v>0.68827546296296294</v>
      </c>
      <c r="G4093" s="44">
        <v>6.3</v>
      </c>
      <c r="H4093" s="43" t="s">
        <v>1362</v>
      </c>
      <c r="I4093" s="40" t="s">
        <v>1365</v>
      </c>
    </row>
    <row r="4094" spans="1:9" x14ac:dyDescent="0.25">
      <c r="A4094" s="40" t="s">
        <v>343</v>
      </c>
      <c r="B4094" s="28">
        <v>4172</v>
      </c>
      <c r="C4094" s="28" t="s">
        <v>35</v>
      </c>
      <c r="D4094" s="28" t="s">
        <v>38</v>
      </c>
      <c r="E4094" s="41">
        <v>46159</v>
      </c>
      <c r="F4094" s="47">
        <v>0.37203703703703705</v>
      </c>
      <c r="G4094" s="44">
        <v>6.3</v>
      </c>
      <c r="H4094" s="43" t="s">
        <v>1360</v>
      </c>
      <c r="I4094" s="40" t="s">
        <v>1365</v>
      </c>
    </row>
    <row r="4095" spans="1:9" x14ac:dyDescent="0.25">
      <c r="A4095" s="40" t="s">
        <v>343</v>
      </c>
      <c r="B4095" s="28">
        <v>4172</v>
      </c>
      <c r="C4095" s="28" t="s">
        <v>35</v>
      </c>
      <c r="D4095" s="28" t="s">
        <v>38</v>
      </c>
      <c r="E4095" s="41">
        <v>46159</v>
      </c>
      <c r="F4095" s="47">
        <v>0.37863425925925925</v>
      </c>
      <c r="G4095" s="44">
        <v>6.3</v>
      </c>
      <c r="H4095" s="43" t="s">
        <v>1362</v>
      </c>
      <c r="I4095" s="40" t="s">
        <v>1365</v>
      </c>
    </row>
    <row r="4096" spans="1:9" x14ac:dyDescent="0.25">
      <c r="A4096" s="40" t="s">
        <v>343</v>
      </c>
      <c r="B4096" s="28">
        <v>4172</v>
      </c>
      <c r="C4096" s="28" t="s">
        <v>35</v>
      </c>
      <c r="D4096" s="28" t="s">
        <v>38</v>
      </c>
      <c r="E4096" s="41">
        <v>46159</v>
      </c>
      <c r="F4096" s="47">
        <v>0.48946759259259259</v>
      </c>
      <c r="G4096" s="44">
        <v>6.3</v>
      </c>
      <c r="H4096" s="43" t="s">
        <v>1360</v>
      </c>
      <c r="I4096" s="40" t="s">
        <v>1365</v>
      </c>
    </row>
    <row r="4097" spans="1:9" x14ac:dyDescent="0.25">
      <c r="A4097" s="40" t="s">
        <v>343</v>
      </c>
      <c r="B4097" s="28">
        <v>4172</v>
      </c>
      <c r="C4097" s="28" t="s">
        <v>35</v>
      </c>
      <c r="D4097" s="28" t="s">
        <v>38</v>
      </c>
      <c r="E4097" s="41">
        <v>46159</v>
      </c>
      <c r="F4097" s="47">
        <v>0.49655092592592592</v>
      </c>
      <c r="G4097" s="44">
        <v>6.3</v>
      </c>
      <c r="H4097" s="43" t="s">
        <v>1362</v>
      </c>
      <c r="I4097" s="40" t="s">
        <v>1365</v>
      </c>
    </row>
    <row r="4098" spans="1:9" x14ac:dyDescent="0.25">
      <c r="A4098" s="40" t="s">
        <v>343</v>
      </c>
      <c r="B4098" s="28">
        <v>4172</v>
      </c>
      <c r="C4098" s="28" t="s">
        <v>35</v>
      </c>
      <c r="D4098" s="28" t="s">
        <v>38</v>
      </c>
      <c r="E4098" s="41">
        <v>46159</v>
      </c>
      <c r="F4098" s="47">
        <v>0.54486111111111113</v>
      </c>
      <c r="G4098" s="44">
        <v>6.3</v>
      </c>
      <c r="H4098" s="43" t="s">
        <v>1370</v>
      </c>
      <c r="I4098" s="40" t="s">
        <v>1365</v>
      </c>
    </row>
    <row r="4099" spans="1:9" x14ac:dyDescent="0.25">
      <c r="A4099" s="40" t="s">
        <v>343</v>
      </c>
      <c r="B4099" s="28">
        <v>4172</v>
      </c>
      <c r="C4099" s="28" t="s">
        <v>35</v>
      </c>
      <c r="D4099" s="28" t="s">
        <v>38</v>
      </c>
      <c r="E4099" s="45">
        <v>46159</v>
      </c>
      <c r="F4099" s="48">
        <v>0.54910879629629628</v>
      </c>
      <c r="G4099" s="44">
        <v>6.3</v>
      </c>
      <c r="H4099" s="43" t="s">
        <v>1364</v>
      </c>
      <c r="I4099" s="40" t="s">
        <v>1365</v>
      </c>
    </row>
    <row r="4100" spans="1:9" x14ac:dyDescent="0.25">
      <c r="A4100" s="40" t="s">
        <v>343</v>
      </c>
      <c r="B4100" s="28">
        <v>4172</v>
      </c>
      <c r="C4100" s="28" t="s">
        <v>35</v>
      </c>
      <c r="D4100" s="28" t="s">
        <v>38</v>
      </c>
      <c r="E4100" s="45">
        <v>46159</v>
      </c>
      <c r="F4100" s="48">
        <v>0.87805555555555559</v>
      </c>
      <c r="G4100" s="44">
        <v>6.3</v>
      </c>
      <c r="H4100" s="43" t="s">
        <v>1360</v>
      </c>
      <c r="I4100" s="40" t="s">
        <v>1365</v>
      </c>
    </row>
    <row r="4101" spans="1:9" x14ac:dyDescent="0.25">
      <c r="A4101" s="40" t="s">
        <v>343</v>
      </c>
      <c r="B4101" s="28">
        <v>4172</v>
      </c>
      <c r="C4101" s="28" t="s">
        <v>35</v>
      </c>
      <c r="D4101" s="28" t="s">
        <v>38</v>
      </c>
      <c r="E4101" s="45">
        <v>46159</v>
      </c>
      <c r="F4101" s="48">
        <v>0.88531249999999995</v>
      </c>
      <c r="G4101" s="44">
        <v>6.3</v>
      </c>
      <c r="H4101" s="43" t="s">
        <v>1362</v>
      </c>
      <c r="I4101" s="40" t="s">
        <v>1365</v>
      </c>
    </row>
    <row r="4102" spans="1:9" x14ac:dyDescent="0.25">
      <c r="A4102" s="40" t="s">
        <v>490</v>
      </c>
      <c r="B4102" s="28">
        <v>4173</v>
      </c>
      <c r="C4102" s="28" t="s">
        <v>35</v>
      </c>
      <c r="D4102" s="28" t="s">
        <v>38</v>
      </c>
      <c r="E4102" s="41">
        <v>46155</v>
      </c>
      <c r="F4102" s="47">
        <v>0.94218749999999996</v>
      </c>
      <c r="G4102" s="44">
        <v>6.3</v>
      </c>
      <c r="H4102" s="43" t="s">
        <v>1360</v>
      </c>
      <c r="I4102" s="40" t="s">
        <v>1361</v>
      </c>
    </row>
    <row r="4103" spans="1:9" x14ac:dyDescent="0.25">
      <c r="A4103" s="40" t="s">
        <v>490</v>
      </c>
      <c r="B4103" s="28">
        <v>4173</v>
      </c>
      <c r="C4103" s="28" t="s">
        <v>35</v>
      </c>
      <c r="D4103" s="28" t="s">
        <v>38</v>
      </c>
      <c r="E4103" s="41">
        <v>46155</v>
      </c>
      <c r="F4103" s="47">
        <v>0.94958333333333333</v>
      </c>
      <c r="G4103" s="44">
        <v>6.3</v>
      </c>
      <c r="H4103" s="43" t="s">
        <v>1368</v>
      </c>
      <c r="I4103" s="40" t="s">
        <v>1361</v>
      </c>
    </row>
    <row r="4104" spans="1:9" x14ac:dyDescent="0.25">
      <c r="A4104" s="40" t="s">
        <v>246</v>
      </c>
      <c r="B4104" s="28">
        <v>4175</v>
      </c>
      <c r="C4104" s="28">
        <v>5660538</v>
      </c>
      <c r="D4104" s="28"/>
      <c r="E4104" s="41">
        <v>46153</v>
      </c>
      <c r="F4104" s="47">
        <v>0.14069444444444446</v>
      </c>
      <c r="G4104" s="44">
        <v>6.3</v>
      </c>
      <c r="H4104" s="43" t="s">
        <v>1363</v>
      </c>
      <c r="I4104" s="40" t="s">
        <v>1361</v>
      </c>
    </row>
    <row r="4105" spans="1:9" x14ac:dyDescent="0.25">
      <c r="A4105" s="40" t="s">
        <v>246</v>
      </c>
      <c r="B4105" s="28">
        <v>4175</v>
      </c>
      <c r="C4105" s="28">
        <v>5660538</v>
      </c>
      <c r="D4105" s="28"/>
      <c r="E4105" s="41">
        <v>46153</v>
      </c>
      <c r="F4105" s="47">
        <v>0.14554398148148148</v>
      </c>
      <c r="G4105" s="44">
        <v>6.3</v>
      </c>
      <c r="H4105" s="43" t="s">
        <v>1364</v>
      </c>
      <c r="I4105" s="40" t="s">
        <v>1361</v>
      </c>
    </row>
    <row r="4106" spans="1:9" x14ac:dyDescent="0.25">
      <c r="A4106" s="40" t="s">
        <v>246</v>
      </c>
      <c r="B4106" s="28">
        <v>4323</v>
      </c>
      <c r="C4106" s="28">
        <v>5662958</v>
      </c>
      <c r="D4106" s="28" t="s">
        <v>36</v>
      </c>
      <c r="E4106" s="41">
        <v>46153</v>
      </c>
      <c r="F4106" s="47">
        <v>0.7327893518518519</v>
      </c>
      <c r="G4106" s="44">
        <v>6.3</v>
      </c>
      <c r="H4106" s="43" t="s">
        <v>1363</v>
      </c>
      <c r="I4106" s="40" t="s">
        <v>1361</v>
      </c>
    </row>
    <row r="4107" spans="1:9" x14ac:dyDescent="0.25">
      <c r="A4107" s="40" t="s">
        <v>246</v>
      </c>
      <c r="B4107" s="28">
        <v>4175</v>
      </c>
      <c r="C4107" s="28">
        <v>5663911</v>
      </c>
      <c r="D4107" s="28" t="s">
        <v>37</v>
      </c>
      <c r="E4107" s="41">
        <v>46153</v>
      </c>
      <c r="F4107" s="47">
        <v>0.94247685185185182</v>
      </c>
      <c r="G4107" s="44">
        <v>6.3</v>
      </c>
      <c r="H4107" s="43" t="s">
        <v>1360</v>
      </c>
      <c r="I4107" s="40" t="s">
        <v>1361</v>
      </c>
    </row>
    <row r="4108" spans="1:9" x14ac:dyDescent="0.25">
      <c r="A4108" s="40" t="s">
        <v>246</v>
      </c>
      <c r="B4108" s="28">
        <v>4175</v>
      </c>
      <c r="C4108" s="28">
        <v>5663911</v>
      </c>
      <c r="D4108" s="28" t="s">
        <v>37</v>
      </c>
      <c r="E4108" s="41">
        <v>46153</v>
      </c>
      <c r="F4108" s="47">
        <v>0.9487268518518519</v>
      </c>
      <c r="G4108" s="44">
        <v>6.3</v>
      </c>
      <c r="H4108" s="43" t="s">
        <v>1362</v>
      </c>
      <c r="I4108" s="40" t="s">
        <v>1361</v>
      </c>
    </row>
    <row r="4109" spans="1:9" x14ac:dyDescent="0.25">
      <c r="A4109" s="40" t="s">
        <v>246</v>
      </c>
      <c r="B4109" s="28">
        <v>4175</v>
      </c>
      <c r="C4109" s="28">
        <v>5662606</v>
      </c>
      <c r="D4109" s="28"/>
      <c r="E4109" s="41">
        <v>46154</v>
      </c>
      <c r="F4109" s="47">
        <v>0.17579861111111111</v>
      </c>
      <c r="G4109" s="44">
        <v>6.3</v>
      </c>
      <c r="H4109" s="43" t="s">
        <v>1363</v>
      </c>
      <c r="I4109" s="40" t="s">
        <v>1361</v>
      </c>
    </row>
    <row r="4110" spans="1:9" x14ac:dyDescent="0.25">
      <c r="A4110" s="40" t="s">
        <v>246</v>
      </c>
      <c r="B4110" s="28">
        <v>4175</v>
      </c>
      <c r="C4110" s="28">
        <v>5662606</v>
      </c>
      <c r="D4110" s="28"/>
      <c r="E4110" s="41">
        <v>46154</v>
      </c>
      <c r="F4110" s="47">
        <v>0.18119212962962963</v>
      </c>
      <c r="G4110" s="44">
        <v>6.3</v>
      </c>
      <c r="H4110" s="43" t="s">
        <v>1364</v>
      </c>
      <c r="I4110" s="40" t="s">
        <v>1361</v>
      </c>
    </row>
    <row r="4111" spans="1:9" x14ac:dyDescent="0.25">
      <c r="A4111" s="40" t="s">
        <v>246</v>
      </c>
      <c r="B4111" s="28">
        <v>4175</v>
      </c>
      <c r="C4111" s="28">
        <v>5665793</v>
      </c>
      <c r="D4111" s="28"/>
      <c r="E4111" s="45">
        <v>46154</v>
      </c>
      <c r="F4111" s="48">
        <v>0.932037037037037</v>
      </c>
      <c r="G4111" s="44">
        <v>6.3</v>
      </c>
      <c r="H4111" s="43" t="s">
        <v>1360</v>
      </c>
      <c r="I4111" s="40" t="s">
        <v>1361</v>
      </c>
    </row>
    <row r="4112" spans="1:9" x14ac:dyDescent="0.25">
      <c r="A4112" s="40" t="s">
        <v>246</v>
      </c>
      <c r="B4112" s="28">
        <v>4175</v>
      </c>
      <c r="C4112" s="28">
        <v>5665793</v>
      </c>
      <c r="D4112" s="28"/>
      <c r="E4112" s="41">
        <v>46154</v>
      </c>
      <c r="F4112" s="47">
        <v>0.9382638888888889</v>
      </c>
      <c r="G4112" s="44">
        <v>6.3</v>
      </c>
      <c r="H4112" s="43" t="s">
        <v>1362</v>
      </c>
      <c r="I4112" s="40" t="s">
        <v>1361</v>
      </c>
    </row>
    <row r="4113" spans="1:9" x14ac:dyDescent="0.25">
      <c r="A4113" s="40" t="s">
        <v>246</v>
      </c>
      <c r="B4113" s="28">
        <v>4175</v>
      </c>
      <c r="C4113" s="28" t="s">
        <v>35</v>
      </c>
      <c r="D4113" s="28" t="s">
        <v>38</v>
      </c>
      <c r="E4113" s="41">
        <v>46155</v>
      </c>
      <c r="F4113" s="47">
        <v>0.20337962962962963</v>
      </c>
      <c r="G4113" s="44">
        <v>6.3</v>
      </c>
      <c r="H4113" s="43" t="s">
        <v>1360</v>
      </c>
      <c r="I4113" s="40" t="s">
        <v>1361</v>
      </c>
    </row>
    <row r="4114" spans="1:9" x14ac:dyDescent="0.25">
      <c r="A4114" s="40" t="s">
        <v>246</v>
      </c>
      <c r="B4114" s="28">
        <v>4175</v>
      </c>
      <c r="C4114" s="28">
        <v>5665498</v>
      </c>
      <c r="D4114" s="28"/>
      <c r="E4114" s="41">
        <v>46155</v>
      </c>
      <c r="F4114" s="47">
        <v>0.26033564814814814</v>
      </c>
      <c r="G4114" s="44">
        <v>6.3</v>
      </c>
      <c r="H4114" s="43" t="s">
        <v>1370</v>
      </c>
      <c r="I4114" s="40" t="s">
        <v>1361</v>
      </c>
    </row>
    <row r="4115" spans="1:9" x14ac:dyDescent="0.25">
      <c r="A4115" s="40" t="s">
        <v>246</v>
      </c>
      <c r="B4115" s="28">
        <v>4175</v>
      </c>
      <c r="C4115" s="28">
        <v>5665498</v>
      </c>
      <c r="D4115" s="28"/>
      <c r="E4115" s="41">
        <v>46155</v>
      </c>
      <c r="F4115" s="47">
        <v>0.26070601851851855</v>
      </c>
      <c r="G4115" s="44">
        <v>6.3</v>
      </c>
      <c r="H4115" s="43" t="s">
        <v>1370</v>
      </c>
      <c r="I4115" s="40" t="s">
        <v>1365</v>
      </c>
    </row>
    <row r="4116" spans="1:9" x14ac:dyDescent="0.25">
      <c r="A4116" s="40" t="s">
        <v>246</v>
      </c>
      <c r="B4116" s="28">
        <v>4175</v>
      </c>
      <c r="C4116" s="28">
        <v>5665498</v>
      </c>
      <c r="D4116" s="28" t="s">
        <v>36</v>
      </c>
      <c r="E4116" s="41">
        <v>46155</v>
      </c>
      <c r="F4116" s="47">
        <v>0.26989583333333333</v>
      </c>
      <c r="G4116" s="44">
        <v>6.3</v>
      </c>
      <c r="H4116" s="43" t="s">
        <v>1364</v>
      </c>
      <c r="I4116" s="40" t="s">
        <v>1361</v>
      </c>
    </row>
    <row r="4117" spans="1:9" x14ac:dyDescent="0.25">
      <c r="A4117" s="40" t="s">
        <v>246</v>
      </c>
      <c r="B4117" s="28">
        <v>4323</v>
      </c>
      <c r="C4117" s="28">
        <v>5666116</v>
      </c>
      <c r="D4117" s="28"/>
      <c r="E4117" s="41">
        <v>46155</v>
      </c>
      <c r="F4117" s="47">
        <v>0.43763888888888891</v>
      </c>
      <c r="G4117" s="44">
        <v>6.3</v>
      </c>
      <c r="H4117" s="43" t="s">
        <v>1360</v>
      </c>
      <c r="I4117" s="40" t="s">
        <v>1361</v>
      </c>
    </row>
    <row r="4118" spans="1:9" x14ac:dyDescent="0.25">
      <c r="A4118" s="40" t="s">
        <v>246</v>
      </c>
      <c r="B4118" s="28">
        <v>4323</v>
      </c>
      <c r="C4118" s="28">
        <v>5666116</v>
      </c>
      <c r="D4118" s="28"/>
      <c r="E4118" s="41">
        <v>46155</v>
      </c>
      <c r="F4118" s="47">
        <v>0.45560185185185187</v>
      </c>
      <c r="G4118" s="44">
        <v>6.3</v>
      </c>
      <c r="H4118" s="43" t="s">
        <v>1362</v>
      </c>
      <c r="I4118" s="40" t="s">
        <v>1361</v>
      </c>
    </row>
    <row r="4119" spans="1:9" x14ac:dyDescent="0.25">
      <c r="A4119" s="40" t="s">
        <v>246</v>
      </c>
      <c r="B4119" s="28">
        <v>4323</v>
      </c>
      <c r="C4119" s="28">
        <v>5664028</v>
      </c>
      <c r="D4119" s="28"/>
      <c r="E4119" s="41">
        <v>46155</v>
      </c>
      <c r="F4119" s="47">
        <v>0.55215277777777783</v>
      </c>
      <c r="G4119" s="44">
        <v>6.3</v>
      </c>
      <c r="H4119" s="43" t="s">
        <v>1364</v>
      </c>
      <c r="I4119" s="40" t="s">
        <v>1361</v>
      </c>
    </row>
    <row r="4120" spans="1:9" x14ac:dyDescent="0.25">
      <c r="A4120" s="40" t="s">
        <v>246</v>
      </c>
      <c r="B4120" s="28">
        <v>4323</v>
      </c>
      <c r="C4120" s="28" t="s">
        <v>35</v>
      </c>
      <c r="D4120" s="28" t="s">
        <v>38</v>
      </c>
      <c r="E4120" s="41">
        <v>46156</v>
      </c>
      <c r="F4120" s="47">
        <v>0.70848379629629632</v>
      </c>
      <c r="G4120" s="44">
        <v>6.3</v>
      </c>
      <c r="H4120" s="43" t="s">
        <v>1371</v>
      </c>
      <c r="I4120" s="40" t="s">
        <v>1361</v>
      </c>
    </row>
    <row r="4121" spans="1:9" x14ac:dyDescent="0.25">
      <c r="A4121" s="40" t="s">
        <v>246</v>
      </c>
      <c r="B4121" s="28">
        <v>4323</v>
      </c>
      <c r="C4121" s="28" t="s">
        <v>35</v>
      </c>
      <c r="D4121" s="28" t="s">
        <v>38</v>
      </c>
      <c r="E4121" s="41">
        <v>46156</v>
      </c>
      <c r="F4121" s="47">
        <v>0.71796296296296291</v>
      </c>
      <c r="G4121" s="42">
        <v>6.3</v>
      </c>
      <c r="H4121" s="40" t="s">
        <v>1366</v>
      </c>
      <c r="I4121" s="40" t="s">
        <v>1361</v>
      </c>
    </row>
    <row r="4122" spans="1:9" x14ac:dyDescent="0.25">
      <c r="A4122" s="40" t="s">
        <v>246</v>
      </c>
      <c r="B4122" s="28">
        <v>4323</v>
      </c>
      <c r="C4122" s="28">
        <v>5641928</v>
      </c>
      <c r="D4122" s="28" t="s">
        <v>36</v>
      </c>
      <c r="E4122" s="41">
        <v>46156</v>
      </c>
      <c r="F4122" s="47">
        <v>0.78443287037037035</v>
      </c>
      <c r="G4122" s="42">
        <v>6.3</v>
      </c>
      <c r="H4122" s="40" t="s">
        <v>1367</v>
      </c>
      <c r="I4122" s="40" t="s">
        <v>1361</v>
      </c>
    </row>
    <row r="4123" spans="1:9" x14ac:dyDescent="0.25">
      <c r="A4123" s="40" t="s">
        <v>246</v>
      </c>
      <c r="B4123" s="28">
        <v>4323</v>
      </c>
      <c r="C4123" s="28">
        <v>5641928</v>
      </c>
      <c r="D4123" s="28" t="s">
        <v>36</v>
      </c>
      <c r="E4123" s="41">
        <v>46156</v>
      </c>
      <c r="F4123" s="47">
        <v>0.79876157407407411</v>
      </c>
      <c r="G4123" s="44">
        <v>6.3</v>
      </c>
      <c r="H4123" s="43" t="s">
        <v>1364</v>
      </c>
      <c r="I4123" s="40" t="s">
        <v>1361</v>
      </c>
    </row>
    <row r="4124" spans="1:9" x14ac:dyDescent="0.25">
      <c r="A4124" s="40" t="s">
        <v>246</v>
      </c>
      <c r="B4124" s="28">
        <v>4175</v>
      </c>
      <c r="C4124" s="28">
        <v>5671088</v>
      </c>
      <c r="D4124" s="28"/>
      <c r="E4124" s="41">
        <v>46157</v>
      </c>
      <c r="F4124" s="47">
        <v>0.97392361111111114</v>
      </c>
      <c r="G4124" s="44">
        <v>6.3</v>
      </c>
      <c r="H4124" s="43" t="s">
        <v>1360</v>
      </c>
      <c r="I4124" s="40" t="s">
        <v>1361</v>
      </c>
    </row>
    <row r="4125" spans="1:9" x14ac:dyDescent="0.25">
      <c r="A4125" s="40" t="s">
        <v>246</v>
      </c>
      <c r="B4125" s="28">
        <v>4175</v>
      </c>
      <c r="C4125" s="28">
        <v>5671088</v>
      </c>
      <c r="D4125" s="28"/>
      <c r="E4125" s="41">
        <v>46157</v>
      </c>
      <c r="F4125" s="47">
        <v>0.98357638888888888</v>
      </c>
      <c r="G4125" s="44">
        <v>6.3</v>
      </c>
      <c r="H4125" s="43" t="s">
        <v>1362</v>
      </c>
      <c r="I4125" s="40" t="s">
        <v>1361</v>
      </c>
    </row>
    <row r="4126" spans="1:9" x14ac:dyDescent="0.25">
      <c r="A4126" s="40" t="s">
        <v>246</v>
      </c>
      <c r="B4126" s="28">
        <v>4175</v>
      </c>
      <c r="C4126" s="28">
        <v>5671303</v>
      </c>
      <c r="D4126" s="28"/>
      <c r="E4126" s="41">
        <v>46159</v>
      </c>
      <c r="F4126" s="47">
        <v>0.27498842592592593</v>
      </c>
      <c r="G4126" s="44">
        <v>6.3</v>
      </c>
      <c r="H4126" s="43" t="s">
        <v>1363</v>
      </c>
      <c r="I4126" s="40" t="s">
        <v>1365</v>
      </c>
    </row>
    <row r="4127" spans="1:9" x14ac:dyDescent="0.25">
      <c r="A4127" s="40" t="s">
        <v>246</v>
      </c>
      <c r="B4127" s="28">
        <v>4175</v>
      </c>
      <c r="C4127" s="28">
        <v>5671303</v>
      </c>
      <c r="D4127" s="28"/>
      <c r="E4127" s="41">
        <v>46159</v>
      </c>
      <c r="F4127" s="47">
        <v>0.28032407407407406</v>
      </c>
      <c r="G4127" s="44">
        <v>6.3</v>
      </c>
      <c r="H4127" s="43" t="s">
        <v>1364</v>
      </c>
      <c r="I4127" s="40" t="s">
        <v>1365</v>
      </c>
    </row>
    <row r="4128" spans="1:9" x14ac:dyDescent="0.25">
      <c r="A4128" s="40" t="s">
        <v>344</v>
      </c>
      <c r="B4128" s="28">
        <v>4176</v>
      </c>
      <c r="C4128" s="28">
        <v>5661286</v>
      </c>
      <c r="D4128" s="28"/>
      <c r="E4128" s="41">
        <v>46153</v>
      </c>
      <c r="F4128" s="47">
        <v>0.1270023148148148</v>
      </c>
      <c r="G4128" s="44">
        <v>6.3</v>
      </c>
      <c r="H4128" s="43" t="s">
        <v>1369</v>
      </c>
      <c r="I4128" s="40" t="s">
        <v>1361</v>
      </c>
    </row>
    <row r="4129" spans="1:9" x14ac:dyDescent="0.25">
      <c r="A4129" s="40" t="s">
        <v>344</v>
      </c>
      <c r="B4129" s="28">
        <v>4176</v>
      </c>
      <c r="C4129" s="28">
        <v>5661286</v>
      </c>
      <c r="D4129" s="28"/>
      <c r="E4129" s="41">
        <v>46153</v>
      </c>
      <c r="F4129" s="47">
        <v>0.13217592592592592</v>
      </c>
      <c r="G4129" s="44">
        <v>6.3</v>
      </c>
      <c r="H4129" s="43" t="s">
        <v>1364</v>
      </c>
      <c r="I4129" s="40" t="s">
        <v>1361</v>
      </c>
    </row>
    <row r="4130" spans="1:9" x14ac:dyDescent="0.25">
      <c r="A4130" s="40" t="s">
        <v>344</v>
      </c>
      <c r="B4130" s="28">
        <v>4176</v>
      </c>
      <c r="C4130" s="28">
        <v>5658068</v>
      </c>
      <c r="D4130" s="28"/>
      <c r="E4130" s="41">
        <v>46153</v>
      </c>
      <c r="F4130" s="47">
        <v>0.21034722222222221</v>
      </c>
      <c r="G4130" s="44">
        <v>6.3</v>
      </c>
      <c r="H4130" s="43" t="s">
        <v>1369</v>
      </c>
      <c r="I4130" s="40" t="s">
        <v>1361</v>
      </c>
    </row>
    <row r="4131" spans="1:9" x14ac:dyDescent="0.25">
      <c r="A4131" s="40" t="s">
        <v>344</v>
      </c>
      <c r="B4131" s="28">
        <v>4176</v>
      </c>
      <c r="C4131" s="28">
        <v>5658068</v>
      </c>
      <c r="D4131" s="28"/>
      <c r="E4131" s="45">
        <v>46153</v>
      </c>
      <c r="F4131" s="48">
        <v>0.21572916666666667</v>
      </c>
      <c r="G4131" s="44">
        <v>6.3</v>
      </c>
      <c r="H4131" s="43" t="s">
        <v>1364</v>
      </c>
      <c r="I4131" s="40" t="s">
        <v>1361</v>
      </c>
    </row>
    <row r="4132" spans="1:9" x14ac:dyDescent="0.25">
      <c r="A4132" s="40" t="s">
        <v>344</v>
      </c>
      <c r="B4132" s="28">
        <v>4176</v>
      </c>
      <c r="C4132" s="28">
        <v>5660314</v>
      </c>
      <c r="D4132" s="28"/>
      <c r="E4132" s="41">
        <v>46153</v>
      </c>
      <c r="F4132" s="47">
        <v>0.32751157407407405</v>
      </c>
      <c r="G4132" s="44">
        <v>6.3</v>
      </c>
      <c r="H4132" s="43" t="s">
        <v>1364</v>
      </c>
      <c r="I4132" s="40" t="s">
        <v>1361</v>
      </c>
    </row>
    <row r="4133" spans="1:9" x14ac:dyDescent="0.25">
      <c r="A4133" s="40" t="s">
        <v>344</v>
      </c>
      <c r="B4133" s="28">
        <v>4176</v>
      </c>
      <c r="C4133" s="28">
        <v>5663175</v>
      </c>
      <c r="D4133" s="28"/>
      <c r="E4133" s="41">
        <v>46154</v>
      </c>
      <c r="F4133" s="47">
        <v>0.15388888888888888</v>
      </c>
      <c r="G4133" s="44">
        <v>6.3</v>
      </c>
      <c r="H4133" s="43" t="s">
        <v>1363</v>
      </c>
      <c r="I4133" s="40" t="s">
        <v>1361</v>
      </c>
    </row>
    <row r="4134" spans="1:9" x14ac:dyDescent="0.25">
      <c r="A4134" s="40" t="s">
        <v>344</v>
      </c>
      <c r="B4134" s="28">
        <v>4176</v>
      </c>
      <c r="C4134" s="28">
        <v>5663175</v>
      </c>
      <c r="D4134" s="28"/>
      <c r="E4134" s="41">
        <v>46154</v>
      </c>
      <c r="F4134" s="47">
        <v>0.15962962962962962</v>
      </c>
      <c r="G4134" s="44">
        <v>6.3</v>
      </c>
      <c r="H4134" s="43" t="s">
        <v>1364</v>
      </c>
      <c r="I4134" s="40" t="s">
        <v>1361</v>
      </c>
    </row>
    <row r="4135" spans="1:9" x14ac:dyDescent="0.25">
      <c r="A4135" s="40" t="s">
        <v>344</v>
      </c>
      <c r="B4135" s="28">
        <v>4176</v>
      </c>
      <c r="C4135" s="28">
        <v>5658027</v>
      </c>
      <c r="D4135" s="28"/>
      <c r="E4135" s="41">
        <v>46155</v>
      </c>
      <c r="F4135" s="47">
        <v>2.7199074074074074E-3</v>
      </c>
      <c r="G4135" s="44">
        <v>6.3</v>
      </c>
      <c r="H4135" s="43" t="s">
        <v>1360</v>
      </c>
      <c r="I4135" s="40" t="s">
        <v>1361</v>
      </c>
    </row>
    <row r="4136" spans="1:9" x14ac:dyDescent="0.25">
      <c r="A4136" s="40" t="s">
        <v>344</v>
      </c>
      <c r="B4136" s="28">
        <v>4176</v>
      </c>
      <c r="C4136" s="28">
        <v>5658027</v>
      </c>
      <c r="D4136" s="28"/>
      <c r="E4136" s="45">
        <v>46155</v>
      </c>
      <c r="F4136" s="48">
        <v>8.5995370370370375E-3</v>
      </c>
      <c r="G4136" s="44">
        <v>6.3</v>
      </c>
      <c r="H4136" s="43" t="s">
        <v>1366</v>
      </c>
      <c r="I4136" s="40" t="s">
        <v>1361</v>
      </c>
    </row>
    <row r="4137" spans="1:9" x14ac:dyDescent="0.25">
      <c r="A4137" s="40" t="s">
        <v>344</v>
      </c>
      <c r="B4137" s="28">
        <v>4176</v>
      </c>
      <c r="C4137" s="28" t="s">
        <v>35</v>
      </c>
      <c r="D4137" s="28" t="s">
        <v>38</v>
      </c>
      <c r="E4137" s="41">
        <v>46155</v>
      </c>
      <c r="F4137" s="47">
        <v>6.4178240740740744E-2</v>
      </c>
      <c r="G4137" s="44">
        <v>6.3</v>
      </c>
      <c r="H4137" s="43" t="s">
        <v>1362</v>
      </c>
      <c r="I4137" s="40" t="s">
        <v>1361</v>
      </c>
    </row>
    <row r="4138" spans="1:9" x14ac:dyDescent="0.25">
      <c r="A4138" s="40" t="s">
        <v>344</v>
      </c>
      <c r="B4138" s="28">
        <v>4176</v>
      </c>
      <c r="C4138" s="28">
        <v>5665674</v>
      </c>
      <c r="D4138" s="28"/>
      <c r="E4138" s="41">
        <v>46155</v>
      </c>
      <c r="F4138" s="47">
        <v>0.12468750000000001</v>
      </c>
      <c r="G4138" s="44">
        <v>6.3</v>
      </c>
      <c r="H4138" s="43" t="s">
        <v>1363</v>
      </c>
      <c r="I4138" s="40" t="s">
        <v>1361</v>
      </c>
    </row>
    <row r="4139" spans="1:9" x14ac:dyDescent="0.25">
      <c r="A4139" s="40" t="s">
        <v>344</v>
      </c>
      <c r="B4139" s="28">
        <v>4176</v>
      </c>
      <c r="C4139" s="28">
        <v>5665674</v>
      </c>
      <c r="D4139" s="28"/>
      <c r="E4139" s="41">
        <v>46155</v>
      </c>
      <c r="F4139" s="47">
        <v>0.12973379629629631</v>
      </c>
      <c r="G4139" s="44">
        <v>6.3</v>
      </c>
      <c r="H4139" s="43" t="s">
        <v>1364</v>
      </c>
      <c r="I4139" s="40" t="s">
        <v>1361</v>
      </c>
    </row>
    <row r="4140" spans="1:9" x14ac:dyDescent="0.25">
      <c r="A4140" s="40" t="s">
        <v>344</v>
      </c>
      <c r="B4140" s="28">
        <v>4176</v>
      </c>
      <c r="C4140" s="28">
        <v>5664026</v>
      </c>
      <c r="D4140" s="28"/>
      <c r="E4140" s="41">
        <v>46155</v>
      </c>
      <c r="F4140" s="47">
        <v>0.24605324074074075</v>
      </c>
      <c r="G4140" s="44">
        <v>6.3</v>
      </c>
      <c r="H4140" s="43" t="s">
        <v>1363</v>
      </c>
      <c r="I4140" s="40" t="s">
        <v>1361</v>
      </c>
    </row>
    <row r="4141" spans="1:9" x14ac:dyDescent="0.25">
      <c r="A4141" s="40" t="s">
        <v>344</v>
      </c>
      <c r="B4141" s="28">
        <v>4176</v>
      </c>
      <c r="C4141" s="28">
        <v>5664026</v>
      </c>
      <c r="D4141" s="28"/>
      <c r="E4141" s="41">
        <v>46155</v>
      </c>
      <c r="F4141" s="47">
        <v>0.25608796296296299</v>
      </c>
      <c r="G4141" s="44">
        <v>6.3</v>
      </c>
      <c r="H4141" s="43" t="s">
        <v>1364</v>
      </c>
      <c r="I4141" s="40" t="s">
        <v>1361</v>
      </c>
    </row>
    <row r="4142" spans="1:9" x14ac:dyDescent="0.25">
      <c r="A4142" s="40" t="s">
        <v>344</v>
      </c>
      <c r="B4142" s="28">
        <v>4176</v>
      </c>
      <c r="C4142" s="28">
        <v>5666128</v>
      </c>
      <c r="D4142" s="28"/>
      <c r="E4142" s="41">
        <v>46155</v>
      </c>
      <c r="F4142" s="47">
        <v>0.36097222222222225</v>
      </c>
      <c r="G4142" s="44">
        <v>6.3</v>
      </c>
      <c r="H4142" s="43" t="s">
        <v>1360</v>
      </c>
      <c r="I4142" s="40" t="s">
        <v>1361</v>
      </c>
    </row>
    <row r="4143" spans="1:9" x14ac:dyDescent="0.25">
      <c r="A4143" s="40" t="s">
        <v>344</v>
      </c>
      <c r="B4143" s="28">
        <v>4176</v>
      </c>
      <c r="C4143" s="28">
        <v>5666128</v>
      </c>
      <c r="D4143" s="28"/>
      <c r="E4143" s="41">
        <v>46155</v>
      </c>
      <c r="F4143" s="47">
        <v>0.39230324074074074</v>
      </c>
      <c r="G4143" s="44">
        <v>6.3</v>
      </c>
      <c r="H4143" s="43" t="s">
        <v>1368</v>
      </c>
      <c r="I4143" s="40" t="s">
        <v>1361</v>
      </c>
    </row>
    <row r="4144" spans="1:9" x14ac:dyDescent="0.25">
      <c r="A4144" s="40" t="s">
        <v>344</v>
      </c>
      <c r="B4144" s="28">
        <v>4176</v>
      </c>
      <c r="C4144" s="28">
        <v>5667663</v>
      </c>
      <c r="D4144" s="28" t="s">
        <v>37</v>
      </c>
      <c r="E4144" s="41">
        <v>46156</v>
      </c>
      <c r="F4144" s="47">
        <v>0.11203703703703703</v>
      </c>
      <c r="G4144" s="44">
        <v>6.3</v>
      </c>
      <c r="H4144" s="43" t="s">
        <v>1363</v>
      </c>
      <c r="I4144" s="40" t="s">
        <v>1361</v>
      </c>
    </row>
    <row r="4145" spans="1:9" x14ac:dyDescent="0.25">
      <c r="A4145" s="40" t="s">
        <v>344</v>
      </c>
      <c r="B4145" s="28">
        <v>4176</v>
      </c>
      <c r="C4145" s="28">
        <v>5667663</v>
      </c>
      <c r="D4145" s="28" t="s">
        <v>37</v>
      </c>
      <c r="E4145" s="41">
        <v>46156</v>
      </c>
      <c r="F4145" s="47">
        <v>0.11770833333333333</v>
      </c>
      <c r="G4145" s="44">
        <v>6.3</v>
      </c>
      <c r="H4145" s="43" t="s">
        <v>1364</v>
      </c>
      <c r="I4145" s="40" t="s">
        <v>1361</v>
      </c>
    </row>
    <row r="4146" spans="1:9" x14ac:dyDescent="0.25">
      <c r="A4146" s="40" t="s">
        <v>344</v>
      </c>
      <c r="B4146" s="28">
        <v>4176</v>
      </c>
      <c r="C4146" s="28" t="s">
        <v>35</v>
      </c>
      <c r="D4146" s="28" t="s">
        <v>38</v>
      </c>
      <c r="E4146" s="41">
        <v>46156</v>
      </c>
      <c r="F4146" s="47">
        <v>0.26339120370370372</v>
      </c>
      <c r="G4146" s="44">
        <v>6.3</v>
      </c>
      <c r="H4146" s="43" t="s">
        <v>1360</v>
      </c>
      <c r="I4146" s="40" t="s">
        <v>1361</v>
      </c>
    </row>
    <row r="4147" spans="1:9" x14ac:dyDescent="0.25">
      <c r="A4147" s="40" t="s">
        <v>344</v>
      </c>
      <c r="B4147" s="28">
        <v>4176</v>
      </c>
      <c r="C4147" s="28" t="s">
        <v>35</v>
      </c>
      <c r="D4147" s="28" t="s">
        <v>38</v>
      </c>
      <c r="E4147" s="41">
        <v>46156</v>
      </c>
      <c r="F4147" s="47">
        <v>0.28020833333333334</v>
      </c>
      <c r="G4147" s="44">
        <v>6.3</v>
      </c>
      <c r="H4147" s="43" t="s">
        <v>1362</v>
      </c>
      <c r="I4147" s="40" t="s">
        <v>1361</v>
      </c>
    </row>
    <row r="4148" spans="1:9" x14ac:dyDescent="0.25">
      <c r="A4148" s="40" t="s">
        <v>344</v>
      </c>
      <c r="B4148" s="28">
        <v>4176</v>
      </c>
      <c r="C4148" s="28">
        <v>5666455</v>
      </c>
      <c r="D4148" s="28"/>
      <c r="E4148" s="41">
        <v>46156</v>
      </c>
      <c r="F4148" s="47">
        <v>0.32664351851851853</v>
      </c>
      <c r="G4148" s="44">
        <v>6.3</v>
      </c>
      <c r="H4148" s="43" t="s">
        <v>1363</v>
      </c>
      <c r="I4148" s="40" t="s">
        <v>1361</v>
      </c>
    </row>
    <row r="4149" spans="1:9" x14ac:dyDescent="0.25">
      <c r="A4149" s="40" t="s">
        <v>344</v>
      </c>
      <c r="B4149" s="28">
        <v>4176</v>
      </c>
      <c r="C4149" s="28">
        <v>5666455</v>
      </c>
      <c r="D4149" s="28"/>
      <c r="E4149" s="41">
        <v>46156</v>
      </c>
      <c r="F4149" s="47">
        <v>0.33349537037037036</v>
      </c>
      <c r="G4149" s="44">
        <v>6.3</v>
      </c>
      <c r="H4149" s="43" t="s">
        <v>1364</v>
      </c>
      <c r="I4149" s="40" t="s">
        <v>1361</v>
      </c>
    </row>
    <row r="4150" spans="1:9" x14ac:dyDescent="0.25">
      <c r="A4150" s="40" t="s">
        <v>344</v>
      </c>
      <c r="B4150" s="28">
        <v>4176</v>
      </c>
      <c r="C4150" s="28">
        <v>5669318</v>
      </c>
      <c r="D4150" s="28"/>
      <c r="E4150" s="41">
        <v>46156</v>
      </c>
      <c r="F4150" s="47">
        <v>0.95196759259259256</v>
      </c>
      <c r="G4150" s="44">
        <v>6.3</v>
      </c>
      <c r="H4150" s="43" t="s">
        <v>1360</v>
      </c>
      <c r="I4150" s="40" t="s">
        <v>1361</v>
      </c>
    </row>
    <row r="4151" spans="1:9" x14ac:dyDescent="0.25">
      <c r="A4151" s="40" t="s">
        <v>344</v>
      </c>
      <c r="B4151" s="28">
        <v>4176</v>
      </c>
      <c r="C4151" s="28">
        <v>5669318</v>
      </c>
      <c r="D4151" s="28"/>
      <c r="E4151" s="41">
        <v>46156</v>
      </c>
      <c r="F4151" s="47">
        <v>0.96037037037037032</v>
      </c>
      <c r="G4151" s="44">
        <v>6.3</v>
      </c>
      <c r="H4151" s="43" t="s">
        <v>1362</v>
      </c>
      <c r="I4151" s="40" t="s">
        <v>1361</v>
      </c>
    </row>
    <row r="4152" spans="1:9" x14ac:dyDescent="0.25">
      <c r="A4152" s="40" t="s">
        <v>344</v>
      </c>
      <c r="B4152" s="28">
        <v>4176</v>
      </c>
      <c r="C4152" s="28">
        <v>5669350</v>
      </c>
      <c r="D4152" s="28"/>
      <c r="E4152" s="41">
        <v>46157</v>
      </c>
      <c r="F4152" s="47">
        <v>2.6898148148148147E-2</v>
      </c>
      <c r="G4152" s="42">
        <v>6.3</v>
      </c>
      <c r="H4152" s="40" t="s">
        <v>1364</v>
      </c>
      <c r="I4152" s="40" t="s">
        <v>1361</v>
      </c>
    </row>
    <row r="4153" spans="1:9" x14ac:dyDescent="0.25">
      <c r="A4153" s="40" t="s">
        <v>344</v>
      </c>
      <c r="B4153" s="28">
        <v>4176</v>
      </c>
      <c r="C4153" s="28" t="s">
        <v>35</v>
      </c>
      <c r="D4153" s="28" t="s">
        <v>38</v>
      </c>
      <c r="E4153" s="45">
        <v>46157</v>
      </c>
      <c r="F4153" s="48">
        <v>0.18303240740740739</v>
      </c>
      <c r="G4153" s="42">
        <v>6.3</v>
      </c>
      <c r="H4153" s="40" t="s">
        <v>1360</v>
      </c>
      <c r="I4153" s="40" t="s">
        <v>1361</v>
      </c>
    </row>
    <row r="4154" spans="1:9" x14ac:dyDescent="0.25">
      <c r="A4154" s="40" t="s">
        <v>344</v>
      </c>
      <c r="B4154" s="28">
        <v>4176</v>
      </c>
      <c r="C4154" s="28" t="s">
        <v>35</v>
      </c>
      <c r="D4154" s="28" t="s">
        <v>38</v>
      </c>
      <c r="E4154" s="41">
        <v>46157</v>
      </c>
      <c r="F4154" s="47">
        <v>0.18896990740740741</v>
      </c>
      <c r="G4154" s="44">
        <v>6.3</v>
      </c>
      <c r="H4154" s="43" t="s">
        <v>1366</v>
      </c>
      <c r="I4154" s="40" t="s">
        <v>1361</v>
      </c>
    </row>
    <row r="4155" spans="1:9" x14ac:dyDescent="0.25">
      <c r="A4155" s="40" t="s">
        <v>344</v>
      </c>
      <c r="B4155" s="28">
        <v>4176</v>
      </c>
      <c r="C4155" s="28">
        <v>5641947</v>
      </c>
      <c r="D4155" s="28"/>
      <c r="E4155" s="41">
        <v>46157</v>
      </c>
      <c r="F4155" s="47">
        <v>0.22892361111111112</v>
      </c>
      <c r="G4155" s="44">
        <v>6.3</v>
      </c>
      <c r="H4155" s="43" t="s">
        <v>1367</v>
      </c>
      <c r="I4155" s="40" t="s">
        <v>1361</v>
      </c>
    </row>
    <row r="4156" spans="1:9" x14ac:dyDescent="0.25">
      <c r="A4156" s="40" t="s">
        <v>344</v>
      </c>
      <c r="B4156" s="28">
        <v>4176</v>
      </c>
      <c r="C4156" s="28">
        <v>5641947</v>
      </c>
      <c r="D4156" s="28"/>
      <c r="E4156" s="41">
        <v>46157</v>
      </c>
      <c r="F4156" s="47">
        <v>0.23218749999999999</v>
      </c>
      <c r="G4156" s="44">
        <v>6.3</v>
      </c>
      <c r="H4156" s="43" t="s">
        <v>1364</v>
      </c>
      <c r="I4156" s="40" t="s">
        <v>1361</v>
      </c>
    </row>
    <row r="4157" spans="1:9" x14ac:dyDescent="0.25">
      <c r="A4157" s="40" t="s">
        <v>453</v>
      </c>
      <c r="B4157" s="28">
        <v>4181</v>
      </c>
      <c r="C4157" s="28" t="s">
        <v>35</v>
      </c>
      <c r="D4157" s="28" t="s">
        <v>38</v>
      </c>
      <c r="E4157" s="41">
        <v>46157</v>
      </c>
      <c r="F4157" s="47">
        <v>0.8978356481481482</v>
      </c>
      <c r="G4157" s="44">
        <v>6.3</v>
      </c>
      <c r="H4157" s="43" t="s">
        <v>1370</v>
      </c>
      <c r="I4157" s="40" t="s">
        <v>1361</v>
      </c>
    </row>
    <row r="4158" spans="1:9" x14ac:dyDescent="0.25">
      <c r="A4158" s="40" t="s">
        <v>453</v>
      </c>
      <c r="B4158" s="28">
        <v>4181</v>
      </c>
      <c r="C4158" s="28" t="s">
        <v>35</v>
      </c>
      <c r="D4158" s="28" t="s">
        <v>38</v>
      </c>
      <c r="E4158" s="41">
        <v>46157</v>
      </c>
      <c r="F4158" s="47">
        <v>0.90246527777777774</v>
      </c>
      <c r="G4158" s="42">
        <v>6.3</v>
      </c>
      <c r="H4158" s="40" t="s">
        <v>1364</v>
      </c>
      <c r="I4158" s="40" t="s">
        <v>1361</v>
      </c>
    </row>
    <row r="4159" spans="1:9" x14ac:dyDescent="0.25">
      <c r="A4159" s="40" t="s">
        <v>453</v>
      </c>
      <c r="B4159" s="28">
        <v>4181</v>
      </c>
      <c r="C4159" s="28" t="s">
        <v>35</v>
      </c>
      <c r="D4159" s="28" t="s">
        <v>38</v>
      </c>
      <c r="E4159" s="41">
        <v>46158</v>
      </c>
      <c r="F4159" s="47">
        <v>0.61710648148148151</v>
      </c>
      <c r="G4159" s="42">
        <v>6.3</v>
      </c>
      <c r="H4159" s="40" t="s">
        <v>1370</v>
      </c>
      <c r="I4159" s="40" t="s">
        <v>1365</v>
      </c>
    </row>
    <row r="4160" spans="1:9" x14ac:dyDescent="0.25">
      <c r="A4160" s="40" t="s">
        <v>453</v>
      </c>
      <c r="B4160" s="28">
        <v>4181</v>
      </c>
      <c r="C4160" s="28" t="s">
        <v>1156</v>
      </c>
      <c r="D4160" s="28"/>
      <c r="E4160" s="41">
        <v>46158</v>
      </c>
      <c r="F4160" s="47">
        <v>0.70755787037037032</v>
      </c>
      <c r="G4160" s="44">
        <v>6.3</v>
      </c>
      <c r="H4160" s="43" t="s">
        <v>1360</v>
      </c>
      <c r="I4160" s="40" t="s">
        <v>1365</v>
      </c>
    </row>
    <row r="4161" spans="1:9" x14ac:dyDescent="0.25">
      <c r="A4161" s="40" t="s">
        <v>453</v>
      </c>
      <c r="B4161" s="28">
        <v>4181</v>
      </c>
      <c r="C4161" s="28" t="s">
        <v>1156</v>
      </c>
      <c r="D4161" s="28"/>
      <c r="E4161" s="41">
        <v>46158</v>
      </c>
      <c r="F4161" s="47">
        <v>0.71461805555555558</v>
      </c>
      <c r="G4161" s="44">
        <v>6.3</v>
      </c>
      <c r="H4161" s="43" t="s">
        <v>1362</v>
      </c>
      <c r="I4161" s="40" t="s">
        <v>1365</v>
      </c>
    </row>
    <row r="4162" spans="1:9" x14ac:dyDescent="0.25">
      <c r="A4162" s="40" t="s">
        <v>453</v>
      </c>
      <c r="B4162" s="28">
        <v>4181</v>
      </c>
      <c r="C4162" s="28" t="s">
        <v>35</v>
      </c>
      <c r="D4162" s="28" t="s">
        <v>38</v>
      </c>
      <c r="E4162" s="41">
        <v>46158</v>
      </c>
      <c r="F4162" s="47">
        <v>0.9185416666666667</v>
      </c>
      <c r="G4162" s="44">
        <v>6.3</v>
      </c>
      <c r="H4162" s="43" t="s">
        <v>1371</v>
      </c>
      <c r="I4162" s="40" t="s">
        <v>1365</v>
      </c>
    </row>
    <row r="4163" spans="1:9" x14ac:dyDescent="0.25">
      <c r="A4163" s="40" t="s">
        <v>453</v>
      </c>
      <c r="B4163" s="28">
        <v>4181</v>
      </c>
      <c r="C4163" s="28" t="s">
        <v>35</v>
      </c>
      <c r="D4163" s="28" t="s">
        <v>38</v>
      </c>
      <c r="E4163" s="41">
        <v>46158</v>
      </c>
      <c r="F4163" s="47">
        <v>0.92591435185185189</v>
      </c>
      <c r="G4163" s="44">
        <v>6.3</v>
      </c>
      <c r="H4163" s="43" t="s">
        <v>1362</v>
      </c>
      <c r="I4163" s="40" t="s">
        <v>1365</v>
      </c>
    </row>
    <row r="4164" spans="1:9" x14ac:dyDescent="0.25">
      <c r="A4164" s="40" t="s">
        <v>453</v>
      </c>
      <c r="B4164" s="28">
        <v>4181</v>
      </c>
      <c r="C4164" s="28" t="s">
        <v>35</v>
      </c>
      <c r="D4164" s="28" t="s">
        <v>38</v>
      </c>
      <c r="E4164" s="41">
        <v>46159</v>
      </c>
      <c r="F4164" s="47">
        <v>0.28954861111111113</v>
      </c>
      <c r="G4164" s="44">
        <v>6.3</v>
      </c>
      <c r="H4164" s="43" t="s">
        <v>1370</v>
      </c>
      <c r="I4164" s="40" t="s">
        <v>1365</v>
      </c>
    </row>
    <row r="4165" spans="1:9" x14ac:dyDescent="0.25">
      <c r="A4165" s="40" t="s">
        <v>453</v>
      </c>
      <c r="B4165" s="28">
        <v>4181</v>
      </c>
      <c r="C4165" s="28" t="s">
        <v>35</v>
      </c>
      <c r="D4165" s="28" t="s">
        <v>38</v>
      </c>
      <c r="E4165" s="41">
        <v>46159</v>
      </c>
      <c r="F4165" s="47">
        <v>0.37491898148148151</v>
      </c>
      <c r="G4165" s="44">
        <v>6.3</v>
      </c>
      <c r="H4165" s="43" t="s">
        <v>1362</v>
      </c>
      <c r="I4165" s="40" t="s">
        <v>1365</v>
      </c>
    </row>
    <row r="4166" spans="1:9" x14ac:dyDescent="0.25">
      <c r="A4166" s="40" t="s">
        <v>454</v>
      </c>
      <c r="B4166" s="28">
        <v>4183</v>
      </c>
      <c r="C4166" s="28">
        <v>5662219</v>
      </c>
      <c r="D4166" s="28" t="s">
        <v>37</v>
      </c>
      <c r="E4166" s="41">
        <v>46153</v>
      </c>
      <c r="F4166" s="47">
        <v>8.2592592592592592E-2</v>
      </c>
      <c r="G4166" s="44">
        <v>6.3</v>
      </c>
      <c r="H4166" s="43" t="s">
        <v>1360</v>
      </c>
      <c r="I4166" s="40" t="s">
        <v>1361</v>
      </c>
    </row>
    <row r="4167" spans="1:9" x14ac:dyDescent="0.25">
      <c r="A4167" s="40" t="s">
        <v>454</v>
      </c>
      <c r="B4167" s="28">
        <v>4183</v>
      </c>
      <c r="C4167" s="28">
        <v>5662219</v>
      </c>
      <c r="D4167" s="28" t="s">
        <v>37</v>
      </c>
      <c r="E4167" s="41">
        <v>46153</v>
      </c>
      <c r="F4167" s="47">
        <v>9.0543981481481475E-2</v>
      </c>
      <c r="G4167" s="44">
        <v>6.3</v>
      </c>
      <c r="H4167" s="43" t="s">
        <v>1362</v>
      </c>
      <c r="I4167" s="40" t="s">
        <v>1361</v>
      </c>
    </row>
    <row r="4168" spans="1:9" x14ac:dyDescent="0.25">
      <c r="A4168" s="40" t="s">
        <v>454</v>
      </c>
      <c r="B4168" s="28">
        <v>4183</v>
      </c>
      <c r="C4168" s="28">
        <v>5661707</v>
      </c>
      <c r="D4168" s="28" t="s">
        <v>37</v>
      </c>
      <c r="E4168" s="41">
        <v>46153</v>
      </c>
      <c r="F4168" s="47">
        <v>0.16878472222222221</v>
      </c>
      <c r="G4168" s="44">
        <v>6.3</v>
      </c>
      <c r="H4168" s="43" t="s">
        <v>1363</v>
      </c>
      <c r="I4168" s="40" t="s">
        <v>1361</v>
      </c>
    </row>
    <row r="4169" spans="1:9" x14ac:dyDescent="0.25">
      <c r="A4169" s="40" t="s">
        <v>454</v>
      </c>
      <c r="B4169" s="28">
        <v>4183</v>
      </c>
      <c r="C4169" s="28">
        <v>5661707</v>
      </c>
      <c r="D4169" s="28" t="s">
        <v>37</v>
      </c>
      <c r="E4169" s="41">
        <v>46153</v>
      </c>
      <c r="F4169" s="47">
        <v>0.17370370370370369</v>
      </c>
      <c r="G4169" s="44">
        <v>6.3</v>
      </c>
      <c r="H4169" s="43" t="s">
        <v>1364</v>
      </c>
      <c r="I4169" s="40" t="s">
        <v>1361</v>
      </c>
    </row>
    <row r="4170" spans="1:9" x14ac:dyDescent="0.25">
      <c r="A4170" s="40" t="s">
        <v>454</v>
      </c>
      <c r="B4170" s="28">
        <v>4183</v>
      </c>
      <c r="C4170" s="28" t="s">
        <v>1157</v>
      </c>
      <c r="D4170" s="28"/>
      <c r="E4170" s="41">
        <v>46153</v>
      </c>
      <c r="F4170" s="47">
        <v>0.66533564814814816</v>
      </c>
      <c r="G4170" s="44">
        <v>6.3</v>
      </c>
      <c r="H4170" s="43" t="s">
        <v>1360</v>
      </c>
      <c r="I4170" s="40" t="s">
        <v>1361</v>
      </c>
    </row>
    <row r="4171" spans="1:9" x14ac:dyDescent="0.25">
      <c r="A4171" s="40" t="s">
        <v>454</v>
      </c>
      <c r="B4171" s="28">
        <v>4183</v>
      </c>
      <c r="C4171" s="28" t="s">
        <v>1157</v>
      </c>
      <c r="D4171" s="28"/>
      <c r="E4171" s="41">
        <v>46153</v>
      </c>
      <c r="F4171" s="47">
        <v>0.67374999999999996</v>
      </c>
      <c r="G4171" s="44">
        <v>6.3</v>
      </c>
      <c r="H4171" s="43" t="s">
        <v>1362</v>
      </c>
      <c r="I4171" s="40" t="s">
        <v>1361</v>
      </c>
    </row>
    <row r="4172" spans="1:9" x14ac:dyDescent="0.25">
      <c r="A4172" s="40" t="s">
        <v>454</v>
      </c>
      <c r="B4172" s="28">
        <v>4183</v>
      </c>
      <c r="C4172" s="28" t="s">
        <v>1158</v>
      </c>
      <c r="D4172" s="28"/>
      <c r="E4172" s="41">
        <v>46155</v>
      </c>
      <c r="F4172" s="47">
        <v>0.81358796296296299</v>
      </c>
      <c r="G4172" s="44">
        <v>6.3</v>
      </c>
      <c r="H4172" s="43" t="s">
        <v>1360</v>
      </c>
      <c r="I4172" s="40" t="s">
        <v>1361</v>
      </c>
    </row>
    <row r="4173" spans="1:9" x14ac:dyDescent="0.25">
      <c r="A4173" s="40" t="s">
        <v>454</v>
      </c>
      <c r="B4173" s="28">
        <v>4183</v>
      </c>
      <c r="C4173" s="28" t="s">
        <v>1158</v>
      </c>
      <c r="D4173" s="28"/>
      <c r="E4173" s="41">
        <v>46155</v>
      </c>
      <c r="F4173" s="47">
        <v>0.83229166666666665</v>
      </c>
      <c r="G4173" s="44">
        <v>6.3</v>
      </c>
      <c r="H4173" s="43" t="s">
        <v>1362</v>
      </c>
      <c r="I4173" s="40" t="s">
        <v>1361</v>
      </c>
    </row>
    <row r="4174" spans="1:9" x14ac:dyDescent="0.25">
      <c r="A4174" s="40" t="s">
        <v>454</v>
      </c>
      <c r="B4174" s="28">
        <v>4183</v>
      </c>
      <c r="C4174" s="28" t="s">
        <v>1159</v>
      </c>
      <c r="D4174" s="28"/>
      <c r="E4174" s="41">
        <v>46157</v>
      </c>
      <c r="F4174" s="47">
        <v>9.723379629629629E-2</v>
      </c>
      <c r="G4174" s="44">
        <v>6.3</v>
      </c>
      <c r="H4174" s="43" t="s">
        <v>1360</v>
      </c>
      <c r="I4174" s="40" t="s">
        <v>1361</v>
      </c>
    </row>
    <row r="4175" spans="1:9" x14ac:dyDescent="0.25">
      <c r="A4175" s="40" t="s">
        <v>454</v>
      </c>
      <c r="B4175" s="28">
        <v>4183</v>
      </c>
      <c r="C4175" s="28" t="s">
        <v>1159</v>
      </c>
      <c r="D4175" s="28"/>
      <c r="E4175" s="41">
        <v>46157</v>
      </c>
      <c r="F4175" s="47">
        <v>0.10516203703703704</v>
      </c>
      <c r="G4175" s="44">
        <v>6.3</v>
      </c>
      <c r="H4175" s="43" t="s">
        <v>1362</v>
      </c>
      <c r="I4175" s="40" t="s">
        <v>1361</v>
      </c>
    </row>
    <row r="4176" spans="1:9" x14ac:dyDescent="0.25">
      <c r="A4176" s="40" t="s">
        <v>454</v>
      </c>
      <c r="B4176" s="28">
        <v>4183</v>
      </c>
      <c r="C4176" s="28">
        <v>5670187</v>
      </c>
      <c r="D4176" s="28"/>
      <c r="E4176" s="41">
        <v>46157</v>
      </c>
      <c r="F4176" s="47">
        <v>0.94467592592592597</v>
      </c>
      <c r="G4176" s="44">
        <v>6.3</v>
      </c>
      <c r="H4176" s="43" t="s">
        <v>1360</v>
      </c>
      <c r="I4176" s="40" t="s">
        <v>1365</v>
      </c>
    </row>
    <row r="4177" spans="1:9" x14ac:dyDescent="0.25">
      <c r="A4177" s="40" t="s">
        <v>454</v>
      </c>
      <c r="B4177" s="28">
        <v>4183</v>
      </c>
      <c r="C4177" s="28">
        <v>5670187</v>
      </c>
      <c r="D4177" s="28"/>
      <c r="E4177" s="41">
        <v>46157</v>
      </c>
      <c r="F4177" s="47">
        <v>0.95173611111111112</v>
      </c>
      <c r="G4177" s="44">
        <v>6.3</v>
      </c>
      <c r="H4177" s="43" t="s">
        <v>1362</v>
      </c>
      <c r="I4177" s="40" t="s">
        <v>1361</v>
      </c>
    </row>
    <row r="4178" spans="1:9" x14ac:dyDescent="0.25">
      <c r="A4178" s="40" t="s">
        <v>455</v>
      </c>
      <c r="B4178" s="28">
        <v>4186</v>
      </c>
      <c r="C4178" s="28">
        <v>5660742</v>
      </c>
      <c r="D4178" s="28"/>
      <c r="E4178" s="41">
        <v>46154</v>
      </c>
      <c r="F4178" s="47">
        <v>0.31373842592592593</v>
      </c>
      <c r="G4178" s="44">
        <v>6.3</v>
      </c>
      <c r="H4178" s="43" t="s">
        <v>1360</v>
      </c>
      <c r="I4178" s="40" t="s">
        <v>1361</v>
      </c>
    </row>
    <row r="4179" spans="1:9" x14ac:dyDescent="0.25">
      <c r="A4179" s="40" t="s">
        <v>455</v>
      </c>
      <c r="B4179" s="28">
        <v>4186</v>
      </c>
      <c r="C4179" s="28">
        <v>5660742</v>
      </c>
      <c r="D4179" s="28"/>
      <c r="E4179" s="41">
        <v>46154</v>
      </c>
      <c r="F4179" s="47">
        <v>0.33149305555555558</v>
      </c>
      <c r="G4179" s="44">
        <v>6.3</v>
      </c>
      <c r="H4179" s="43" t="s">
        <v>1362</v>
      </c>
      <c r="I4179" s="40" t="s">
        <v>1361</v>
      </c>
    </row>
    <row r="4180" spans="1:9" x14ac:dyDescent="0.25">
      <c r="A4180" s="40" t="s">
        <v>455</v>
      </c>
      <c r="B4180" s="28">
        <v>4186</v>
      </c>
      <c r="C4180" s="28" t="s">
        <v>35</v>
      </c>
      <c r="D4180" s="28" t="s">
        <v>38</v>
      </c>
      <c r="E4180" s="41">
        <v>46155</v>
      </c>
      <c r="F4180" s="47">
        <v>0.48266203703703703</v>
      </c>
      <c r="G4180" s="44">
        <v>6.3</v>
      </c>
      <c r="H4180" s="43" t="s">
        <v>1362</v>
      </c>
      <c r="I4180" s="40" t="s">
        <v>1361</v>
      </c>
    </row>
    <row r="4181" spans="1:9" x14ac:dyDescent="0.25">
      <c r="A4181" s="40" t="s">
        <v>455</v>
      </c>
      <c r="B4181" s="28">
        <v>4186</v>
      </c>
      <c r="C4181" s="28">
        <v>5666685</v>
      </c>
      <c r="D4181" s="28" t="s">
        <v>36</v>
      </c>
      <c r="E4181" s="41">
        <v>46155</v>
      </c>
      <c r="F4181" s="47">
        <v>0.67415509259259254</v>
      </c>
      <c r="G4181" s="42">
        <v>6.3</v>
      </c>
      <c r="H4181" s="40" t="s">
        <v>1364</v>
      </c>
      <c r="I4181" s="40" t="s">
        <v>1361</v>
      </c>
    </row>
    <row r="4182" spans="1:9" x14ac:dyDescent="0.25">
      <c r="A4182" s="40" t="s">
        <v>455</v>
      </c>
      <c r="B4182" s="28">
        <v>4186</v>
      </c>
      <c r="C4182" s="28">
        <v>5660745</v>
      </c>
      <c r="D4182" s="28"/>
      <c r="E4182" s="41">
        <v>46157</v>
      </c>
      <c r="F4182" s="47">
        <v>0.30908564814814815</v>
      </c>
      <c r="G4182" s="42">
        <v>6.3</v>
      </c>
      <c r="H4182" s="40" t="s">
        <v>1360</v>
      </c>
      <c r="I4182" s="40" t="s">
        <v>1361</v>
      </c>
    </row>
    <row r="4183" spans="1:9" x14ac:dyDescent="0.25">
      <c r="A4183" s="40" t="s">
        <v>456</v>
      </c>
      <c r="B4183" s="28">
        <v>4196</v>
      </c>
      <c r="C4183" s="28">
        <v>10645913</v>
      </c>
      <c r="D4183" s="28"/>
      <c r="E4183" s="41">
        <v>46154</v>
      </c>
      <c r="F4183" s="47">
        <v>0.27790509259259261</v>
      </c>
      <c r="G4183" s="42">
        <v>6.3</v>
      </c>
      <c r="H4183" s="40" t="s">
        <v>1364</v>
      </c>
      <c r="I4183" s="40" t="s">
        <v>1361</v>
      </c>
    </row>
    <row r="4184" spans="1:9" x14ac:dyDescent="0.25">
      <c r="A4184" s="40" t="s">
        <v>456</v>
      </c>
      <c r="B4184" s="28">
        <v>4196</v>
      </c>
      <c r="C4184" s="28">
        <v>5666543</v>
      </c>
      <c r="D4184" s="28"/>
      <c r="E4184" s="41">
        <v>46156</v>
      </c>
      <c r="F4184" s="47">
        <v>0.20451388888888888</v>
      </c>
      <c r="G4184" s="42">
        <v>6.3</v>
      </c>
      <c r="H4184" s="40" t="s">
        <v>1364</v>
      </c>
      <c r="I4184" s="40" t="s">
        <v>1361</v>
      </c>
    </row>
    <row r="4185" spans="1:9" x14ac:dyDescent="0.25">
      <c r="A4185" s="40" t="s">
        <v>456</v>
      </c>
      <c r="B4185" s="28">
        <v>4196</v>
      </c>
      <c r="C4185" s="28">
        <v>5666530</v>
      </c>
      <c r="D4185" s="28"/>
      <c r="E4185" s="41">
        <v>46156</v>
      </c>
      <c r="F4185" s="47">
        <v>0.59979166666666661</v>
      </c>
      <c r="G4185" s="44">
        <v>6.3</v>
      </c>
      <c r="H4185" s="43" t="s">
        <v>1360</v>
      </c>
      <c r="I4185" s="40" t="s">
        <v>1361</v>
      </c>
    </row>
    <row r="4186" spans="1:9" x14ac:dyDescent="0.25">
      <c r="A4186" s="40" t="s">
        <v>456</v>
      </c>
      <c r="B4186" s="28">
        <v>4196</v>
      </c>
      <c r="C4186" s="28">
        <v>5668289</v>
      </c>
      <c r="D4186" s="28"/>
      <c r="E4186" s="41">
        <v>46157</v>
      </c>
      <c r="F4186" s="47">
        <v>0.32928240740740738</v>
      </c>
      <c r="G4186" s="44">
        <v>6.3</v>
      </c>
      <c r="H4186" s="43" t="s">
        <v>1364</v>
      </c>
      <c r="I4186" s="40" t="s">
        <v>1361</v>
      </c>
    </row>
    <row r="4187" spans="1:9" x14ac:dyDescent="0.25">
      <c r="A4187" s="40" t="s">
        <v>456</v>
      </c>
      <c r="B4187" s="28">
        <v>4196</v>
      </c>
      <c r="C4187" s="28" t="s">
        <v>1160</v>
      </c>
      <c r="D4187" s="28"/>
      <c r="E4187" s="41">
        <v>46157</v>
      </c>
      <c r="F4187" s="47">
        <v>0.66976851851851849</v>
      </c>
      <c r="G4187" s="44">
        <v>6.3</v>
      </c>
      <c r="H4187" s="43" t="s">
        <v>1360</v>
      </c>
      <c r="I4187" s="40" t="s">
        <v>1361</v>
      </c>
    </row>
    <row r="4188" spans="1:9" x14ac:dyDescent="0.25">
      <c r="A4188" s="40" t="s">
        <v>456</v>
      </c>
      <c r="B4188" s="28">
        <v>4196</v>
      </c>
      <c r="C4188" s="28">
        <v>5672448</v>
      </c>
      <c r="D4188" s="28"/>
      <c r="E4188" s="41">
        <v>46159</v>
      </c>
      <c r="F4188" s="47">
        <v>0.61456018518518518</v>
      </c>
      <c r="G4188" s="44">
        <v>6.3</v>
      </c>
      <c r="H4188" s="43" t="s">
        <v>1363</v>
      </c>
      <c r="I4188" s="40" t="s">
        <v>1365</v>
      </c>
    </row>
    <row r="4189" spans="1:9" x14ac:dyDescent="0.25">
      <c r="A4189" s="40" t="s">
        <v>456</v>
      </c>
      <c r="B4189" s="28">
        <v>4196</v>
      </c>
      <c r="C4189" s="28">
        <v>5672448</v>
      </c>
      <c r="D4189" s="28"/>
      <c r="E4189" s="41">
        <v>46159</v>
      </c>
      <c r="F4189" s="47">
        <v>0.62013888888888891</v>
      </c>
      <c r="G4189" s="44">
        <v>6.3</v>
      </c>
      <c r="H4189" s="43" t="s">
        <v>1364</v>
      </c>
      <c r="I4189" s="40" t="s">
        <v>1365</v>
      </c>
    </row>
    <row r="4190" spans="1:9" x14ac:dyDescent="0.25">
      <c r="A4190" s="40" t="s">
        <v>456</v>
      </c>
      <c r="B4190" s="28">
        <v>4196</v>
      </c>
      <c r="C4190" s="28" t="s">
        <v>1161</v>
      </c>
      <c r="D4190" s="28"/>
      <c r="E4190" s="45">
        <v>46159</v>
      </c>
      <c r="F4190" s="48">
        <v>0.6702893518518519</v>
      </c>
      <c r="G4190" s="44">
        <v>6.3</v>
      </c>
      <c r="H4190" s="43" t="s">
        <v>1360</v>
      </c>
      <c r="I4190" s="40" t="s">
        <v>1365</v>
      </c>
    </row>
    <row r="4191" spans="1:9" x14ac:dyDescent="0.25">
      <c r="A4191" s="40" t="s">
        <v>342</v>
      </c>
      <c r="B4191" s="28">
        <v>4201</v>
      </c>
      <c r="C4191" s="28">
        <v>5661057</v>
      </c>
      <c r="D4191" s="28"/>
      <c r="E4191" s="41">
        <v>46153</v>
      </c>
      <c r="F4191" s="47">
        <v>0.15157407407407408</v>
      </c>
      <c r="G4191" s="44">
        <v>6.3</v>
      </c>
      <c r="H4191" s="43" t="s">
        <v>1364</v>
      </c>
      <c r="I4191" s="40" t="s">
        <v>1361</v>
      </c>
    </row>
    <row r="4192" spans="1:9" x14ac:dyDescent="0.25">
      <c r="A4192" s="40" t="s">
        <v>342</v>
      </c>
      <c r="B4192" s="28">
        <v>4201</v>
      </c>
      <c r="C4192" s="28">
        <v>5661783</v>
      </c>
      <c r="D4192" s="28" t="s">
        <v>37</v>
      </c>
      <c r="E4192" s="41">
        <v>46153</v>
      </c>
      <c r="F4192" s="47">
        <v>0.22547453703703704</v>
      </c>
      <c r="G4192" s="44">
        <v>6.3</v>
      </c>
      <c r="H4192" s="43" t="s">
        <v>1363</v>
      </c>
      <c r="I4192" s="40" t="s">
        <v>1361</v>
      </c>
    </row>
    <row r="4193" spans="1:9" x14ac:dyDescent="0.25">
      <c r="A4193" s="40" t="s">
        <v>342</v>
      </c>
      <c r="B4193" s="28">
        <v>4201</v>
      </c>
      <c r="C4193" s="28">
        <v>5661783</v>
      </c>
      <c r="D4193" s="28" t="s">
        <v>37</v>
      </c>
      <c r="E4193" s="41">
        <v>46153</v>
      </c>
      <c r="F4193" s="47">
        <v>0.23086805555555556</v>
      </c>
      <c r="G4193" s="44">
        <v>6.3</v>
      </c>
      <c r="H4193" s="43" t="s">
        <v>1364</v>
      </c>
      <c r="I4193" s="40" t="s">
        <v>1361</v>
      </c>
    </row>
    <row r="4194" spans="1:9" x14ac:dyDescent="0.25">
      <c r="A4194" s="40" t="s">
        <v>342</v>
      </c>
      <c r="B4194" s="28">
        <v>4201</v>
      </c>
      <c r="C4194" s="28">
        <v>5664076</v>
      </c>
      <c r="D4194" s="28"/>
      <c r="E4194" s="41">
        <v>46153</v>
      </c>
      <c r="F4194" s="47">
        <v>0.99046296296296299</v>
      </c>
      <c r="G4194" s="44">
        <v>6.3</v>
      </c>
      <c r="H4194" s="43" t="s">
        <v>1360</v>
      </c>
      <c r="I4194" s="40" t="s">
        <v>1361</v>
      </c>
    </row>
    <row r="4195" spans="1:9" x14ac:dyDescent="0.25">
      <c r="A4195" s="40" t="s">
        <v>342</v>
      </c>
      <c r="B4195" s="28">
        <v>4201</v>
      </c>
      <c r="C4195" s="28">
        <v>5664076</v>
      </c>
      <c r="D4195" s="28"/>
      <c r="E4195" s="41">
        <v>46153</v>
      </c>
      <c r="F4195" s="47">
        <v>0.99853009259259262</v>
      </c>
      <c r="G4195" s="44">
        <v>6.3</v>
      </c>
      <c r="H4195" s="43" t="s">
        <v>1362</v>
      </c>
      <c r="I4195" s="40" t="s">
        <v>1361</v>
      </c>
    </row>
    <row r="4196" spans="1:9" x14ac:dyDescent="0.25">
      <c r="A4196" s="40" t="s">
        <v>342</v>
      </c>
      <c r="B4196" s="28">
        <v>4201</v>
      </c>
      <c r="C4196" s="28">
        <v>5645355</v>
      </c>
      <c r="D4196" s="28"/>
      <c r="E4196" s="45">
        <v>46154</v>
      </c>
      <c r="F4196" s="48">
        <v>0.2713888888888889</v>
      </c>
      <c r="G4196" s="44">
        <v>6.3</v>
      </c>
      <c r="H4196" s="43" t="s">
        <v>1364</v>
      </c>
      <c r="I4196" s="40" t="s">
        <v>1361</v>
      </c>
    </row>
    <row r="4197" spans="1:9" x14ac:dyDescent="0.25">
      <c r="A4197" s="40" t="s">
        <v>342</v>
      </c>
      <c r="B4197" s="28">
        <v>4201</v>
      </c>
      <c r="C4197" s="28">
        <v>5667515</v>
      </c>
      <c r="D4197" s="28" t="s">
        <v>37</v>
      </c>
      <c r="E4197" s="41">
        <v>46155</v>
      </c>
      <c r="F4197" s="47">
        <v>0.93306712962962968</v>
      </c>
      <c r="G4197" s="44">
        <v>6.3</v>
      </c>
      <c r="H4197" s="43" t="s">
        <v>1360</v>
      </c>
      <c r="I4197" s="40" t="s">
        <v>1361</v>
      </c>
    </row>
    <row r="4198" spans="1:9" x14ac:dyDescent="0.25">
      <c r="A4198" s="40" t="s">
        <v>342</v>
      </c>
      <c r="B4198" s="28">
        <v>4201</v>
      </c>
      <c r="C4198" s="28">
        <v>5668729</v>
      </c>
      <c r="D4198" s="28"/>
      <c r="E4198" s="41">
        <v>46156</v>
      </c>
      <c r="F4198" s="47">
        <v>0.88188657407407411</v>
      </c>
      <c r="G4198" s="44">
        <v>6.3</v>
      </c>
      <c r="H4198" s="43" t="s">
        <v>1360</v>
      </c>
      <c r="I4198" s="40" t="s">
        <v>1361</v>
      </c>
    </row>
    <row r="4199" spans="1:9" x14ac:dyDescent="0.25">
      <c r="A4199" s="40" t="s">
        <v>342</v>
      </c>
      <c r="B4199" s="28">
        <v>4201</v>
      </c>
      <c r="C4199" s="28">
        <v>5668729</v>
      </c>
      <c r="D4199" s="28"/>
      <c r="E4199" s="41">
        <v>46156</v>
      </c>
      <c r="F4199" s="47">
        <v>0.88980324074074069</v>
      </c>
      <c r="G4199" s="44">
        <v>6.3</v>
      </c>
      <c r="H4199" s="43" t="s">
        <v>1362</v>
      </c>
      <c r="I4199" s="40" t="s">
        <v>1361</v>
      </c>
    </row>
    <row r="4200" spans="1:9" x14ac:dyDescent="0.25">
      <c r="A4200" s="40" t="s">
        <v>342</v>
      </c>
      <c r="B4200" s="28">
        <v>4201</v>
      </c>
      <c r="C4200" s="28">
        <v>5664904</v>
      </c>
      <c r="D4200" s="28"/>
      <c r="E4200" s="41">
        <v>46157</v>
      </c>
      <c r="F4200" s="47">
        <v>0.15450231481481483</v>
      </c>
      <c r="G4200" s="44">
        <v>6.3</v>
      </c>
      <c r="H4200" s="43" t="s">
        <v>1363</v>
      </c>
      <c r="I4200" s="40" t="s">
        <v>1361</v>
      </c>
    </row>
    <row r="4201" spans="1:9" x14ac:dyDescent="0.25">
      <c r="A4201" s="40" t="s">
        <v>342</v>
      </c>
      <c r="B4201" s="28">
        <v>4201</v>
      </c>
      <c r="C4201" s="28">
        <v>5664904</v>
      </c>
      <c r="D4201" s="28"/>
      <c r="E4201" s="41">
        <v>46157</v>
      </c>
      <c r="F4201" s="47">
        <v>0.16012731481481482</v>
      </c>
      <c r="G4201" s="44">
        <v>6.3</v>
      </c>
      <c r="H4201" s="43" t="s">
        <v>1364</v>
      </c>
      <c r="I4201" s="40" t="s">
        <v>1361</v>
      </c>
    </row>
    <row r="4202" spans="1:9" x14ac:dyDescent="0.25">
      <c r="A4202" s="40" t="s">
        <v>342</v>
      </c>
      <c r="B4202" s="28">
        <v>4201</v>
      </c>
      <c r="C4202" s="28">
        <v>5669292</v>
      </c>
      <c r="D4202" s="28" t="s">
        <v>36</v>
      </c>
      <c r="E4202" s="45">
        <v>46157</v>
      </c>
      <c r="F4202" s="48">
        <v>0.31677083333333333</v>
      </c>
      <c r="G4202" s="44">
        <v>6.3</v>
      </c>
      <c r="H4202" s="43" t="s">
        <v>1363</v>
      </c>
      <c r="I4202" s="40" t="s">
        <v>1361</v>
      </c>
    </row>
    <row r="4203" spans="1:9" x14ac:dyDescent="0.25">
      <c r="A4203" s="40" t="s">
        <v>342</v>
      </c>
      <c r="B4203" s="28">
        <v>4201</v>
      </c>
      <c r="C4203" s="28">
        <v>5669292</v>
      </c>
      <c r="D4203" s="28" t="s">
        <v>36</v>
      </c>
      <c r="E4203" s="41">
        <v>46157</v>
      </c>
      <c r="F4203" s="47">
        <v>0.32453703703703701</v>
      </c>
      <c r="G4203" s="42">
        <v>6.3</v>
      </c>
      <c r="H4203" s="40" t="s">
        <v>1364</v>
      </c>
      <c r="I4203" s="40" t="s">
        <v>1361</v>
      </c>
    </row>
    <row r="4204" spans="1:9" x14ac:dyDescent="0.25">
      <c r="A4204" s="40" t="s">
        <v>504</v>
      </c>
      <c r="B4204" s="28">
        <v>4205</v>
      </c>
      <c r="C4204" s="28" t="s">
        <v>35</v>
      </c>
      <c r="D4204" s="28" t="s">
        <v>38</v>
      </c>
      <c r="E4204" s="45">
        <v>46153</v>
      </c>
      <c r="F4204" s="48">
        <v>0.18703703703703703</v>
      </c>
      <c r="G4204" s="42">
        <v>6.3</v>
      </c>
      <c r="H4204" s="40" t="s">
        <v>1363</v>
      </c>
      <c r="I4204" s="40" t="s">
        <v>1361</v>
      </c>
    </row>
    <row r="4205" spans="1:9" x14ac:dyDescent="0.25">
      <c r="A4205" s="40" t="s">
        <v>504</v>
      </c>
      <c r="B4205" s="28">
        <v>4205</v>
      </c>
      <c r="C4205" s="28" t="s">
        <v>35</v>
      </c>
      <c r="D4205" s="28" t="s">
        <v>38</v>
      </c>
      <c r="E4205" s="41">
        <v>46153</v>
      </c>
      <c r="F4205" s="47">
        <v>0.19231481481481483</v>
      </c>
      <c r="G4205" s="42">
        <v>6.3</v>
      </c>
      <c r="H4205" s="40" t="s">
        <v>1364</v>
      </c>
      <c r="I4205" s="40" t="s">
        <v>1361</v>
      </c>
    </row>
    <row r="4206" spans="1:9" x14ac:dyDescent="0.25">
      <c r="A4206" s="40" t="s">
        <v>504</v>
      </c>
      <c r="B4206" s="28">
        <v>4205</v>
      </c>
      <c r="C4206" s="28" t="s">
        <v>35</v>
      </c>
      <c r="D4206" s="28" t="s">
        <v>38</v>
      </c>
      <c r="E4206" s="41">
        <v>46153</v>
      </c>
      <c r="F4206" s="47">
        <v>0.25666666666666665</v>
      </c>
      <c r="G4206" s="42">
        <v>6.3</v>
      </c>
      <c r="H4206" s="40" t="s">
        <v>1363</v>
      </c>
      <c r="I4206" s="40" t="s">
        <v>1361</v>
      </c>
    </row>
    <row r="4207" spans="1:9" x14ac:dyDescent="0.25">
      <c r="A4207" s="40" t="s">
        <v>504</v>
      </c>
      <c r="B4207" s="28">
        <v>4205</v>
      </c>
      <c r="C4207" s="28" t="s">
        <v>35</v>
      </c>
      <c r="D4207" s="28" t="s">
        <v>38</v>
      </c>
      <c r="E4207" s="41">
        <v>46153</v>
      </c>
      <c r="F4207" s="47">
        <v>0.26265046296296296</v>
      </c>
      <c r="G4207" s="42">
        <v>6.3</v>
      </c>
      <c r="H4207" s="40" t="s">
        <v>1364</v>
      </c>
      <c r="I4207" s="40" t="s">
        <v>1361</v>
      </c>
    </row>
    <row r="4208" spans="1:9" x14ac:dyDescent="0.25">
      <c r="A4208" s="40" t="s">
        <v>504</v>
      </c>
      <c r="B4208" s="28">
        <v>4205</v>
      </c>
      <c r="C4208" s="28" t="s">
        <v>35</v>
      </c>
      <c r="D4208" s="28" t="s">
        <v>38</v>
      </c>
      <c r="E4208" s="41">
        <v>46156</v>
      </c>
      <c r="F4208" s="47">
        <v>4.1793981481481481E-2</v>
      </c>
      <c r="G4208" s="44">
        <v>6.3</v>
      </c>
      <c r="H4208" s="43" t="s">
        <v>1360</v>
      </c>
      <c r="I4208" s="40" t="s">
        <v>1361</v>
      </c>
    </row>
    <row r="4209" spans="1:9" x14ac:dyDescent="0.25">
      <c r="A4209" s="40" t="s">
        <v>504</v>
      </c>
      <c r="B4209" s="28">
        <v>4205</v>
      </c>
      <c r="C4209" s="28" t="s">
        <v>35</v>
      </c>
      <c r="D4209" s="28" t="s">
        <v>38</v>
      </c>
      <c r="E4209" s="41">
        <v>46156</v>
      </c>
      <c r="F4209" s="47">
        <v>5.0219907407407408E-2</v>
      </c>
      <c r="G4209" s="44">
        <v>6.3</v>
      </c>
      <c r="H4209" s="43" t="s">
        <v>1362</v>
      </c>
      <c r="I4209" s="40" t="s">
        <v>1361</v>
      </c>
    </row>
    <row r="4210" spans="1:9" x14ac:dyDescent="0.25">
      <c r="A4210" s="40" t="s">
        <v>504</v>
      </c>
      <c r="B4210" s="28">
        <v>4205</v>
      </c>
      <c r="C4210" s="28" t="s">
        <v>35</v>
      </c>
      <c r="D4210" s="28" t="s">
        <v>38</v>
      </c>
      <c r="E4210" s="45">
        <v>46156</v>
      </c>
      <c r="F4210" s="48">
        <v>0.23721064814814816</v>
      </c>
      <c r="G4210" s="44">
        <v>6.3</v>
      </c>
      <c r="H4210" s="43" t="s">
        <v>1364</v>
      </c>
      <c r="I4210" s="40" t="s">
        <v>1361</v>
      </c>
    </row>
    <row r="4211" spans="1:9" x14ac:dyDescent="0.25">
      <c r="A4211" s="40" t="s">
        <v>504</v>
      </c>
      <c r="B4211" s="28">
        <v>4205</v>
      </c>
      <c r="C4211" s="28" t="s">
        <v>35</v>
      </c>
      <c r="D4211" s="28" t="s">
        <v>38</v>
      </c>
      <c r="E4211" s="41">
        <v>46156</v>
      </c>
      <c r="F4211" s="47">
        <v>0.89003472222222224</v>
      </c>
      <c r="G4211" s="44">
        <v>6.3</v>
      </c>
      <c r="H4211" s="43" t="s">
        <v>1360</v>
      </c>
      <c r="I4211" s="40" t="s">
        <v>1361</v>
      </c>
    </row>
    <row r="4212" spans="1:9" x14ac:dyDescent="0.25">
      <c r="A4212" s="40" t="s">
        <v>504</v>
      </c>
      <c r="B4212" s="28">
        <v>4205</v>
      </c>
      <c r="C4212" s="28" t="s">
        <v>35</v>
      </c>
      <c r="D4212" s="28" t="s">
        <v>38</v>
      </c>
      <c r="E4212" s="41">
        <v>46156</v>
      </c>
      <c r="F4212" s="47">
        <v>0.89817129629629633</v>
      </c>
      <c r="G4212" s="44">
        <v>6.3</v>
      </c>
      <c r="H4212" s="43" t="s">
        <v>1362</v>
      </c>
      <c r="I4212" s="40" t="s">
        <v>1361</v>
      </c>
    </row>
    <row r="4213" spans="1:9" x14ac:dyDescent="0.25">
      <c r="A4213" s="40" t="s">
        <v>504</v>
      </c>
      <c r="B4213" s="28">
        <v>4205</v>
      </c>
      <c r="C4213" s="28" t="s">
        <v>35</v>
      </c>
      <c r="D4213" s="28" t="s">
        <v>38</v>
      </c>
      <c r="E4213" s="41">
        <v>46157</v>
      </c>
      <c r="F4213" s="47">
        <v>7.4305555555555557E-3</v>
      </c>
      <c r="G4213" s="44">
        <v>6.3</v>
      </c>
      <c r="H4213" s="43" t="s">
        <v>1360</v>
      </c>
      <c r="I4213" s="40" t="s">
        <v>1361</v>
      </c>
    </row>
    <row r="4214" spans="1:9" x14ac:dyDescent="0.25">
      <c r="A4214" s="40" t="s">
        <v>504</v>
      </c>
      <c r="B4214" s="28">
        <v>4205</v>
      </c>
      <c r="C4214" s="28" t="s">
        <v>35</v>
      </c>
      <c r="D4214" s="28" t="s">
        <v>38</v>
      </c>
      <c r="E4214" s="41">
        <v>46157</v>
      </c>
      <c r="F4214" s="47">
        <v>0.14108796296296297</v>
      </c>
      <c r="G4214" s="44">
        <v>6.3</v>
      </c>
      <c r="H4214" s="43" t="s">
        <v>1363</v>
      </c>
      <c r="I4214" s="40" t="s">
        <v>1361</v>
      </c>
    </row>
    <row r="4215" spans="1:9" x14ac:dyDescent="0.25">
      <c r="A4215" s="40" t="s">
        <v>504</v>
      </c>
      <c r="B4215" s="28">
        <v>4205</v>
      </c>
      <c r="C4215" s="28" t="s">
        <v>35</v>
      </c>
      <c r="D4215" s="28" t="s">
        <v>38</v>
      </c>
      <c r="E4215" s="41">
        <v>46157</v>
      </c>
      <c r="F4215" s="47">
        <v>0.14681712962962962</v>
      </c>
      <c r="G4215" s="42">
        <v>6.3</v>
      </c>
      <c r="H4215" s="40" t="s">
        <v>1364</v>
      </c>
      <c r="I4215" s="40" t="s">
        <v>1361</v>
      </c>
    </row>
    <row r="4216" spans="1:9" x14ac:dyDescent="0.25">
      <c r="A4216" s="40" t="s">
        <v>504</v>
      </c>
      <c r="B4216" s="28">
        <v>4205</v>
      </c>
      <c r="C4216" s="28" t="s">
        <v>35</v>
      </c>
      <c r="D4216" s="28" t="s">
        <v>38</v>
      </c>
      <c r="E4216" s="41">
        <v>46157</v>
      </c>
      <c r="F4216" s="47">
        <v>0.24336805555555555</v>
      </c>
      <c r="G4216" s="42">
        <v>6.3</v>
      </c>
      <c r="H4216" s="40" t="s">
        <v>1363</v>
      </c>
      <c r="I4216" s="40" t="s">
        <v>1361</v>
      </c>
    </row>
    <row r="4217" spans="1:9" x14ac:dyDescent="0.25">
      <c r="A4217" s="40" t="s">
        <v>504</v>
      </c>
      <c r="B4217" s="28">
        <v>4205</v>
      </c>
      <c r="C4217" s="28" t="s">
        <v>35</v>
      </c>
      <c r="D4217" s="28" t="s">
        <v>38</v>
      </c>
      <c r="E4217" s="41">
        <v>46157</v>
      </c>
      <c r="F4217" s="47">
        <v>0.24972222222222223</v>
      </c>
      <c r="G4217" s="42">
        <v>6.3</v>
      </c>
      <c r="H4217" s="40" t="s">
        <v>1364</v>
      </c>
      <c r="I4217" s="40" t="s">
        <v>1361</v>
      </c>
    </row>
    <row r="4218" spans="1:9" x14ac:dyDescent="0.25">
      <c r="A4218" s="40" t="s">
        <v>504</v>
      </c>
      <c r="B4218" s="28">
        <v>4205</v>
      </c>
      <c r="C4218" s="28" t="s">
        <v>35</v>
      </c>
      <c r="D4218" s="28" t="s">
        <v>38</v>
      </c>
      <c r="E4218" s="41">
        <v>46157</v>
      </c>
      <c r="F4218" s="47">
        <v>0.3298726851851852</v>
      </c>
      <c r="G4218" s="42">
        <v>6.3</v>
      </c>
      <c r="H4218" s="40" t="s">
        <v>1362</v>
      </c>
      <c r="I4218" s="40" t="s">
        <v>1361</v>
      </c>
    </row>
    <row r="4219" spans="1:9" x14ac:dyDescent="0.25">
      <c r="A4219" s="40" t="s">
        <v>504</v>
      </c>
      <c r="B4219" s="28">
        <v>4205</v>
      </c>
      <c r="C4219" s="28" t="s">
        <v>35</v>
      </c>
      <c r="D4219" s="28" t="s">
        <v>38</v>
      </c>
      <c r="E4219" s="41">
        <v>46158</v>
      </c>
      <c r="F4219" s="47">
        <v>0.33501157407407406</v>
      </c>
      <c r="G4219" s="44">
        <v>6.3</v>
      </c>
      <c r="H4219" s="43" t="s">
        <v>1360</v>
      </c>
      <c r="I4219" s="40" t="s">
        <v>1365</v>
      </c>
    </row>
    <row r="4220" spans="1:9" x14ac:dyDescent="0.25">
      <c r="A4220" s="40" t="s">
        <v>504</v>
      </c>
      <c r="B4220" s="28">
        <v>4205</v>
      </c>
      <c r="C4220" s="28" t="s">
        <v>35</v>
      </c>
      <c r="D4220" s="28" t="s">
        <v>38</v>
      </c>
      <c r="E4220" s="41">
        <v>46158</v>
      </c>
      <c r="F4220" s="47">
        <v>0.34800925925925924</v>
      </c>
      <c r="G4220" s="44">
        <v>6.3</v>
      </c>
      <c r="H4220" s="43" t="s">
        <v>1362</v>
      </c>
      <c r="I4220" s="40" t="s">
        <v>1365</v>
      </c>
    </row>
    <row r="4221" spans="1:9" x14ac:dyDescent="0.25">
      <c r="A4221" s="40" t="s">
        <v>504</v>
      </c>
      <c r="B4221" s="28">
        <v>4205</v>
      </c>
      <c r="C4221" s="28" t="s">
        <v>35</v>
      </c>
      <c r="D4221" s="28" t="s">
        <v>38</v>
      </c>
      <c r="E4221" s="41">
        <v>46158</v>
      </c>
      <c r="F4221" s="47">
        <v>0.41288194444444443</v>
      </c>
      <c r="G4221" s="44">
        <v>6.3</v>
      </c>
      <c r="H4221" s="43" t="s">
        <v>1364</v>
      </c>
      <c r="I4221" s="40" t="s">
        <v>1365</v>
      </c>
    </row>
    <row r="4222" spans="1:9" x14ac:dyDescent="0.25">
      <c r="A4222" s="40" t="s">
        <v>504</v>
      </c>
      <c r="B4222" s="28">
        <v>4205</v>
      </c>
      <c r="C4222" s="28" t="s">
        <v>35</v>
      </c>
      <c r="D4222" s="28" t="s">
        <v>38</v>
      </c>
      <c r="E4222" s="41">
        <v>46158</v>
      </c>
      <c r="F4222" s="47">
        <v>0.70719907407407412</v>
      </c>
      <c r="G4222" s="44">
        <v>6.3</v>
      </c>
      <c r="H4222" s="43" t="s">
        <v>1360</v>
      </c>
      <c r="I4222" s="40" t="s">
        <v>1365</v>
      </c>
    </row>
    <row r="4223" spans="1:9" x14ac:dyDescent="0.25">
      <c r="A4223" s="40" t="s">
        <v>504</v>
      </c>
      <c r="B4223" s="28">
        <v>4205</v>
      </c>
      <c r="C4223" s="28" t="s">
        <v>35</v>
      </c>
      <c r="D4223" s="28" t="s">
        <v>38</v>
      </c>
      <c r="E4223" s="41">
        <v>46158</v>
      </c>
      <c r="F4223" s="47">
        <v>0.71452546296296293</v>
      </c>
      <c r="G4223" s="44">
        <v>6.3</v>
      </c>
      <c r="H4223" s="43" t="s">
        <v>1362</v>
      </c>
      <c r="I4223" s="40" t="s">
        <v>1365</v>
      </c>
    </row>
    <row r="4224" spans="1:9" x14ac:dyDescent="0.25">
      <c r="A4224" s="40" t="s">
        <v>504</v>
      </c>
      <c r="B4224" s="28">
        <v>4205</v>
      </c>
      <c r="C4224" s="28" t="s">
        <v>35</v>
      </c>
      <c r="D4224" s="28" t="s">
        <v>38</v>
      </c>
      <c r="E4224" s="41">
        <v>46158</v>
      </c>
      <c r="F4224" s="47">
        <v>0.74247685185185186</v>
      </c>
      <c r="G4224" s="44">
        <v>6.3</v>
      </c>
      <c r="H4224" s="43" t="s">
        <v>1363</v>
      </c>
      <c r="I4224" s="40" t="s">
        <v>1365</v>
      </c>
    </row>
    <row r="4225" spans="1:9" x14ac:dyDescent="0.25">
      <c r="A4225" s="40" t="s">
        <v>504</v>
      </c>
      <c r="B4225" s="28">
        <v>4205</v>
      </c>
      <c r="C4225" s="28" t="s">
        <v>35</v>
      </c>
      <c r="D4225" s="28" t="s">
        <v>38</v>
      </c>
      <c r="E4225" s="41">
        <v>46158</v>
      </c>
      <c r="F4225" s="47">
        <v>0.75159722222222225</v>
      </c>
      <c r="G4225" s="44">
        <v>6.3</v>
      </c>
      <c r="H4225" s="43" t="s">
        <v>1364</v>
      </c>
      <c r="I4225" s="40" t="s">
        <v>1365</v>
      </c>
    </row>
    <row r="4226" spans="1:9" x14ac:dyDescent="0.25">
      <c r="A4226" s="40" t="s">
        <v>504</v>
      </c>
      <c r="B4226" s="28">
        <v>4205</v>
      </c>
      <c r="C4226" s="28" t="s">
        <v>35</v>
      </c>
      <c r="D4226" s="28" t="s">
        <v>38</v>
      </c>
      <c r="E4226" s="41">
        <v>46159</v>
      </c>
      <c r="F4226" s="47">
        <v>0.35035879629629629</v>
      </c>
      <c r="G4226" s="44">
        <v>6.3</v>
      </c>
      <c r="H4226" s="43" t="s">
        <v>1360</v>
      </c>
      <c r="I4226" s="40" t="s">
        <v>1365</v>
      </c>
    </row>
    <row r="4227" spans="1:9" x14ac:dyDescent="0.25">
      <c r="A4227" s="40" t="s">
        <v>504</v>
      </c>
      <c r="B4227" s="28">
        <v>4205</v>
      </c>
      <c r="C4227" s="28" t="s">
        <v>35</v>
      </c>
      <c r="D4227" s="28" t="s">
        <v>38</v>
      </c>
      <c r="E4227" s="41">
        <v>46159</v>
      </c>
      <c r="F4227" s="47">
        <v>0.35928240740740741</v>
      </c>
      <c r="G4227" s="42">
        <v>6.3</v>
      </c>
      <c r="H4227" s="40" t="s">
        <v>1362</v>
      </c>
      <c r="I4227" s="40" t="s">
        <v>1365</v>
      </c>
    </row>
    <row r="4228" spans="1:9" x14ac:dyDescent="0.25">
      <c r="A4228" s="40" t="s">
        <v>504</v>
      </c>
      <c r="B4228" s="28">
        <v>4205</v>
      </c>
      <c r="C4228" s="28" t="s">
        <v>35</v>
      </c>
      <c r="D4228" s="28" t="s">
        <v>38</v>
      </c>
      <c r="E4228" s="41">
        <v>46159</v>
      </c>
      <c r="F4228" s="47">
        <v>0.57732638888888888</v>
      </c>
      <c r="G4228" s="42">
        <v>6.3</v>
      </c>
      <c r="H4228" s="40" t="s">
        <v>1363</v>
      </c>
      <c r="I4228" s="40" t="s">
        <v>1365</v>
      </c>
    </row>
    <row r="4229" spans="1:9" x14ac:dyDescent="0.25">
      <c r="A4229" s="40" t="s">
        <v>504</v>
      </c>
      <c r="B4229" s="28">
        <v>4205</v>
      </c>
      <c r="C4229" s="28" t="s">
        <v>35</v>
      </c>
      <c r="D4229" s="28" t="s">
        <v>38</v>
      </c>
      <c r="E4229" s="41">
        <v>46159</v>
      </c>
      <c r="F4229" s="47">
        <v>0.58288194444444441</v>
      </c>
      <c r="G4229" s="42">
        <v>6.3</v>
      </c>
      <c r="H4229" s="40" t="s">
        <v>1364</v>
      </c>
      <c r="I4229" s="40" t="s">
        <v>1365</v>
      </c>
    </row>
    <row r="4230" spans="1:9" x14ac:dyDescent="0.25">
      <c r="A4230" s="40" t="s">
        <v>504</v>
      </c>
      <c r="B4230" s="28">
        <v>4205</v>
      </c>
      <c r="C4230" s="28" t="s">
        <v>35</v>
      </c>
      <c r="D4230" s="28" t="s">
        <v>38</v>
      </c>
      <c r="E4230" s="41">
        <v>46159</v>
      </c>
      <c r="F4230" s="47">
        <v>0.68034722222222221</v>
      </c>
      <c r="G4230" s="42">
        <v>6.3</v>
      </c>
      <c r="H4230" s="40" t="s">
        <v>1360</v>
      </c>
      <c r="I4230" s="40" t="s">
        <v>1365</v>
      </c>
    </row>
    <row r="4231" spans="1:9" x14ac:dyDescent="0.25">
      <c r="A4231" s="40" t="s">
        <v>504</v>
      </c>
      <c r="B4231" s="28">
        <v>4205</v>
      </c>
      <c r="C4231" s="28" t="s">
        <v>35</v>
      </c>
      <c r="D4231" s="28" t="s">
        <v>38</v>
      </c>
      <c r="E4231" s="41">
        <v>46159</v>
      </c>
      <c r="F4231" s="47">
        <v>0.68836805555555558</v>
      </c>
      <c r="G4231" s="42">
        <v>6.3</v>
      </c>
      <c r="H4231" s="40" t="s">
        <v>1368</v>
      </c>
      <c r="I4231" s="40" t="s">
        <v>1365</v>
      </c>
    </row>
    <row r="4232" spans="1:9" x14ac:dyDescent="0.25">
      <c r="A4232" s="40" t="s">
        <v>233</v>
      </c>
      <c r="B4232" s="28">
        <v>4206</v>
      </c>
      <c r="C4232" s="28" t="s">
        <v>35</v>
      </c>
      <c r="D4232" s="28" t="s">
        <v>38</v>
      </c>
      <c r="E4232" s="41">
        <v>46155</v>
      </c>
      <c r="F4232" s="47">
        <v>0.94252314814814819</v>
      </c>
      <c r="G4232" s="42">
        <v>6.3</v>
      </c>
      <c r="H4232" s="40" t="s">
        <v>1360</v>
      </c>
      <c r="I4232" s="40" t="s">
        <v>1361</v>
      </c>
    </row>
    <row r="4233" spans="1:9" x14ac:dyDescent="0.25">
      <c r="A4233" s="40" t="s">
        <v>233</v>
      </c>
      <c r="B4233" s="28">
        <v>4206</v>
      </c>
      <c r="C4233" s="28" t="s">
        <v>35</v>
      </c>
      <c r="D4233" s="28" t="s">
        <v>38</v>
      </c>
      <c r="E4233" s="45">
        <v>46156</v>
      </c>
      <c r="F4233" s="48">
        <v>4.0787037037037038E-2</v>
      </c>
      <c r="G4233" s="42">
        <v>6.3</v>
      </c>
      <c r="H4233" s="40" t="s">
        <v>1360</v>
      </c>
      <c r="I4233" s="40" t="s">
        <v>1361</v>
      </c>
    </row>
    <row r="4234" spans="1:9" x14ac:dyDescent="0.25">
      <c r="A4234" s="40" t="s">
        <v>233</v>
      </c>
      <c r="B4234" s="28">
        <v>4206</v>
      </c>
      <c r="C4234" s="28" t="s">
        <v>35</v>
      </c>
      <c r="D4234" s="28" t="s">
        <v>38</v>
      </c>
      <c r="E4234" s="45">
        <v>46156</v>
      </c>
      <c r="F4234" s="48">
        <v>4.9849537037037039E-2</v>
      </c>
      <c r="G4234" s="42">
        <v>6.3</v>
      </c>
      <c r="H4234" s="40" t="s">
        <v>1362</v>
      </c>
      <c r="I4234" s="40" t="s">
        <v>1361</v>
      </c>
    </row>
    <row r="4235" spans="1:9" x14ac:dyDescent="0.25">
      <c r="A4235" s="40" t="s">
        <v>233</v>
      </c>
      <c r="B4235" s="28">
        <v>4206</v>
      </c>
      <c r="C4235" s="28" t="s">
        <v>35</v>
      </c>
      <c r="D4235" s="28" t="s">
        <v>38</v>
      </c>
      <c r="E4235" s="41">
        <v>46156</v>
      </c>
      <c r="F4235" s="47">
        <v>0.12601851851851853</v>
      </c>
      <c r="G4235" s="42">
        <v>6.3</v>
      </c>
      <c r="H4235" s="40" t="s">
        <v>1363</v>
      </c>
      <c r="I4235" s="40" t="s">
        <v>1361</v>
      </c>
    </row>
    <row r="4236" spans="1:9" x14ac:dyDescent="0.25">
      <c r="A4236" s="40" t="s">
        <v>233</v>
      </c>
      <c r="B4236" s="28">
        <v>4206</v>
      </c>
      <c r="C4236" s="28" t="s">
        <v>35</v>
      </c>
      <c r="D4236" s="28" t="s">
        <v>38</v>
      </c>
      <c r="E4236" s="41">
        <v>46156</v>
      </c>
      <c r="F4236" s="47">
        <v>0.13172453703703704</v>
      </c>
      <c r="G4236" s="44">
        <v>6.3</v>
      </c>
      <c r="H4236" s="43" t="s">
        <v>1364</v>
      </c>
      <c r="I4236" s="40" t="s">
        <v>1361</v>
      </c>
    </row>
    <row r="4237" spans="1:9" x14ac:dyDescent="0.25">
      <c r="A4237" s="40" t="s">
        <v>233</v>
      </c>
      <c r="B4237" s="28">
        <v>4206</v>
      </c>
      <c r="C4237" s="28" t="s">
        <v>35</v>
      </c>
      <c r="D4237" s="28" t="s">
        <v>38</v>
      </c>
      <c r="E4237" s="41">
        <v>46156</v>
      </c>
      <c r="F4237" s="47">
        <v>0.32074074074074072</v>
      </c>
      <c r="G4237" s="44">
        <v>6.3</v>
      </c>
      <c r="H4237" s="43" t="s">
        <v>1364</v>
      </c>
      <c r="I4237" s="40" t="s">
        <v>1361</v>
      </c>
    </row>
    <row r="4238" spans="1:9" x14ac:dyDescent="0.25">
      <c r="A4238" s="40" t="s">
        <v>233</v>
      </c>
      <c r="B4238" s="28">
        <v>4206</v>
      </c>
      <c r="C4238" s="28">
        <v>5660967</v>
      </c>
      <c r="D4238" s="28" t="s">
        <v>37</v>
      </c>
      <c r="E4238" s="41">
        <v>46156</v>
      </c>
      <c r="F4238" s="47">
        <v>0.59391203703703699</v>
      </c>
      <c r="G4238" s="44">
        <v>6.3</v>
      </c>
      <c r="H4238" s="43" t="s">
        <v>1364</v>
      </c>
      <c r="I4238" s="40" t="s">
        <v>1361</v>
      </c>
    </row>
    <row r="4239" spans="1:9" x14ac:dyDescent="0.25">
      <c r="A4239" s="40" t="s">
        <v>233</v>
      </c>
      <c r="B4239" s="28">
        <v>4206</v>
      </c>
      <c r="C4239" s="28">
        <v>5668132</v>
      </c>
      <c r="D4239" s="28"/>
      <c r="E4239" s="41">
        <v>46156</v>
      </c>
      <c r="F4239" s="47">
        <v>0.75310185185185186</v>
      </c>
      <c r="G4239" s="44">
        <v>6.3</v>
      </c>
      <c r="H4239" s="43" t="s">
        <v>1360</v>
      </c>
      <c r="I4239" s="40" t="s">
        <v>1361</v>
      </c>
    </row>
    <row r="4240" spans="1:9" x14ac:dyDescent="0.25">
      <c r="A4240" s="40" t="s">
        <v>233</v>
      </c>
      <c r="B4240" s="28">
        <v>4206</v>
      </c>
      <c r="C4240" s="28">
        <v>5668132</v>
      </c>
      <c r="D4240" s="28"/>
      <c r="E4240" s="41">
        <v>46156</v>
      </c>
      <c r="F4240" s="47">
        <v>0.771087962962963</v>
      </c>
      <c r="G4240" s="44">
        <v>6.3</v>
      </c>
      <c r="H4240" s="43" t="s">
        <v>1362</v>
      </c>
      <c r="I4240" s="40" t="s">
        <v>1361</v>
      </c>
    </row>
    <row r="4241" spans="1:9" x14ac:dyDescent="0.25">
      <c r="A4241" s="40" t="s">
        <v>233</v>
      </c>
      <c r="B4241" s="28">
        <v>4206</v>
      </c>
      <c r="C4241" s="28">
        <v>5667944</v>
      </c>
      <c r="D4241" s="28"/>
      <c r="E4241" s="41">
        <v>46156</v>
      </c>
      <c r="F4241" s="47">
        <v>0.84325231481481477</v>
      </c>
      <c r="G4241" s="44">
        <v>6.3</v>
      </c>
      <c r="H4241" s="43" t="s">
        <v>1369</v>
      </c>
      <c r="I4241" s="40" t="s">
        <v>1361</v>
      </c>
    </row>
    <row r="4242" spans="1:9" x14ac:dyDescent="0.25">
      <c r="A4242" s="40" t="s">
        <v>233</v>
      </c>
      <c r="B4242" s="28">
        <v>4206</v>
      </c>
      <c r="C4242" s="28">
        <v>5667944</v>
      </c>
      <c r="D4242" s="28"/>
      <c r="E4242" s="41">
        <v>46156</v>
      </c>
      <c r="F4242" s="47">
        <v>0.85509259259259263</v>
      </c>
      <c r="G4242" s="44">
        <v>6.3</v>
      </c>
      <c r="H4242" s="43" t="s">
        <v>1364</v>
      </c>
      <c r="I4242" s="40" t="s">
        <v>1361</v>
      </c>
    </row>
    <row r="4243" spans="1:9" x14ac:dyDescent="0.25">
      <c r="A4243" s="40" t="s">
        <v>233</v>
      </c>
      <c r="B4243" s="28">
        <v>4206</v>
      </c>
      <c r="C4243" s="28" t="s">
        <v>35</v>
      </c>
      <c r="D4243" s="28" t="s">
        <v>38</v>
      </c>
      <c r="E4243" s="41">
        <v>46156</v>
      </c>
      <c r="F4243" s="47">
        <v>0.97618055555555561</v>
      </c>
      <c r="G4243" s="44">
        <v>6.3</v>
      </c>
      <c r="H4243" s="43" t="s">
        <v>1360</v>
      </c>
      <c r="I4243" s="40" t="s">
        <v>1361</v>
      </c>
    </row>
    <row r="4244" spans="1:9" x14ac:dyDescent="0.25">
      <c r="A4244" s="40" t="s">
        <v>233</v>
      </c>
      <c r="B4244" s="28">
        <v>4206</v>
      </c>
      <c r="C4244" s="28" t="s">
        <v>35</v>
      </c>
      <c r="D4244" s="28" t="s">
        <v>38</v>
      </c>
      <c r="E4244" s="45">
        <v>46156</v>
      </c>
      <c r="F4244" s="48">
        <v>0.98506944444444444</v>
      </c>
      <c r="G4244" s="44">
        <v>6.3</v>
      </c>
      <c r="H4244" s="43" t="s">
        <v>1362</v>
      </c>
      <c r="I4244" s="40" t="s">
        <v>1361</v>
      </c>
    </row>
    <row r="4245" spans="1:9" x14ac:dyDescent="0.25">
      <c r="A4245" s="40" t="s">
        <v>233</v>
      </c>
      <c r="B4245" s="28">
        <v>4206</v>
      </c>
      <c r="C4245" s="28" t="s">
        <v>35</v>
      </c>
      <c r="D4245" s="28" t="s">
        <v>38</v>
      </c>
      <c r="E4245" s="41">
        <v>46157</v>
      </c>
      <c r="F4245" s="47">
        <v>0.22354166666666667</v>
      </c>
      <c r="G4245" s="44">
        <v>6.3</v>
      </c>
      <c r="H4245" s="43" t="s">
        <v>1364</v>
      </c>
      <c r="I4245" s="40" t="s">
        <v>1361</v>
      </c>
    </row>
    <row r="4246" spans="1:9" x14ac:dyDescent="0.25">
      <c r="A4246" s="40" t="s">
        <v>233</v>
      </c>
      <c r="B4246" s="28">
        <v>4206</v>
      </c>
      <c r="C4246" s="28">
        <v>5672985</v>
      </c>
      <c r="D4246" s="28"/>
      <c r="E4246" s="41">
        <v>46159</v>
      </c>
      <c r="F4246" s="47">
        <v>0.62384259259259256</v>
      </c>
      <c r="G4246" s="44">
        <v>6.3</v>
      </c>
      <c r="H4246" s="43" t="s">
        <v>1360</v>
      </c>
      <c r="I4246" s="40" t="s">
        <v>1365</v>
      </c>
    </row>
    <row r="4247" spans="1:9" x14ac:dyDescent="0.25">
      <c r="A4247" s="40" t="s">
        <v>233</v>
      </c>
      <c r="B4247" s="28">
        <v>4206</v>
      </c>
      <c r="C4247" s="28">
        <v>5668222</v>
      </c>
      <c r="D4247" s="28"/>
      <c r="E4247" s="41">
        <v>46159</v>
      </c>
      <c r="F4247" s="47">
        <v>0.74504629629629626</v>
      </c>
      <c r="G4247" s="44">
        <v>6.3</v>
      </c>
      <c r="H4247" s="43" t="s">
        <v>1363</v>
      </c>
      <c r="I4247" s="40" t="s">
        <v>1365</v>
      </c>
    </row>
    <row r="4248" spans="1:9" x14ac:dyDescent="0.25">
      <c r="A4248" s="40" t="s">
        <v>233</v>
      </c>
      <c r="B4248" s="28">
        <v>4206</v>
      </c>
      <c r="C4248" s="28">
        <v>5668222</v>
      </c>
      <c r="D4248" s="28"/>
      <c r="E4248" s="41">
        <v>46159</v>
      </c>
      <c r="F4248" s="47">
        <v>0.75277777777777777</v>
      </c>
      <c r="G4248" s="44">
        <v>6.3</v>
      </c>
      <c r="H4248" s="43" t="s">
        <v>1364</v>
      </c>
      <c r="I4248" s="40" t="s">
        <v>1365</v>
      </c>
    </row>
    <row r="4249" spans="1:9" x14ac:dyDescent="0.25">
      <c r="A4249" s="40" t="s">
        <v>233</v>
      </c>
      <c r="B4249" s="28">
        <v>4206</v>
      </c>
      <c r="C4249" s="28" t="s">
        <v>35</v>
      </c>
      <c r="D4249" s="28" t="s">
        <v>38</v>
      </c>
      <c r="E4249" s="41">
        <v>46159</v>
      </c>
      <c r="F4249" s="47">
        <v>0.93103009259259262</v>
      </c>
      <c r="G4249" s="44">
        <v>6.3</v>
      </c>
      <c r="H4249" s="43" t="s">
        <v>1360</v>
      </c>
      <c r="I4249" s="40" t="s">
        <v>1365</v>
      </c>
    </row>
    <row r="4250" spans="1:9" x14ac:dyDescent="0.25">
      <c r="A4250" s="40" t="s">
        <v>233</v>
      </c>
      <c r="B4250" s="28">
        <v>4206</v>
      </c>
      <c r="C4250" s="28" t="s">
        <v>35</v>
      </c>
      <c r="D4250" s="28" t="s">
        <v>38</v>
      </c>
      <c r="E4250" s="41">
        <v>46159</v>
      </c>
      <c r="F4250" s="47">
        <v>0.93731481481481482</v>
      </c>
      <c r="G4250" s="44">
        <v>6.3</v>
      </c>
      <c r="H4250" s="43" t="s">
        <v>1368</v>
      </c>
      <c r="I4250" s="40" t="s">
        <v>1365</v>
      </c>
    </row>
    <row r="4251" spans="1:9" x14ac:dyDescent="0.25">
      <c r="A4251" s="40" t="s">
        <v>244</v>
      </c>
      <c r="B4251" s="28">
        <v>4211</v>
      </c>
      <c r="C4251" s="28" t="s">
        <v>35</v>
      </c>
      <c r="D4251" s="28" t="s">
        <v>38</v>
      </c>
      <c r="E4251" s="41">
        <v>46153</v>
      </c>
      <c r="F4251" s="47">
        <v>7.4999999999999997E-3</v>
      </c>
      <c r="G4251" s="44">
        <v>6.3</v>
      </c>
      <c r="H4251" s="43" t="s">
        <v>1369</v>
      </c>
      <c r="I4251" s="40" t="s">
        <v>1361</v>
      </c>
    </row>
    <row r="4252" spans="1:9" x14ac:dyDescent="0.25">
      <c r="A4252" s="40" t="s">
        <v>244</v>
      </c>
      <c r="B4252" s="28">
        <v>4211</v>
      </c>
      <c r="C4252" s="28" t="s">
        <v>35</v>
      </c>
      <c r="D4252" s="28" t="s">
        <v>38</v>
      </c>
      <c r="E4252" s="41">
        <v>46153</v>
      </c>
      <c r="F4252" s="47">
        <v>1.2662037037037038E-2</v>
      </c>
      <c r="G4252" s="44">
        <v>6.3</v>
      </c>
      <c r="H4252" s="43" t="s">
        <v>1364</v>
      </c>
      <c r="I4252" s="40" t="s">
        <v>1361</v>
      </c>
    </row>
    <row r="4253" spans="1:9" x14ac:dyDescent="0.25">
      <c r="A4253" s="40" t="s">
        <v>244</v>
      </c>
      <c r="B4253" s="28">
        <v>4211</v>
      </c>
      <c r="C4253" s="28" t="s">
        <v>35</v>
      </c>
      <c r="D4253" s="28" t="s">
        <v>38</v>
      </c>
      <c r="E4253" s="41">
        <v>46153</v>
      </c>
      <c r="F4253" s="47">
        <v>0.12140046296296296</v>
      </c>
      <c r="G4253" s="42">
        <v>6.3</v>
      </c>
      <c r="H4253" s="40" t="s">
        <v>1363</v>
      </c>
      <c r="I4253" s="40" t="s">
        <v>1361</v>
      </c>
    </row>
    <row r="4254" spans="1:9" x14ac:dyDescent="0.25">
      <c r="A4254" s="40" t="s">
        <v>244</v>
      </c>
      <c r="B4254" s="28">
        <v>4211</v>
      </c>
      <c r="C4254" s="28" t="s">
        <v>35</v>
      </c>
      <c r="D4254" s="28" t="s">
        <v>38</v>
      </c>
      <c r="E4254" s="41">
        <v>46153</v>
      </c>
      <c r="F4254" s="47">
        <v>0.1260300925925926</v>
      </c>
      <c r="G4254" s="42">
        <v>6.3</v>
      </c>
      <c r="H4254" s="40" t="s">
        <v>1364</v>
      </c>
      <c r="I4254" s="40" t="s">
        <v>1361</v>
      </c>
    </row>
    <row r="4255" spans="1:9" x14ac:dyDescent="0.25">
      <c r="A4255" s="40" t="s">
        <v>244</v>
      </c>
      <c r="B4255" s="28">
        <v>4211</v>
      </c>
      <c r="C4255" s="28" t="s">
        <v>35</v>
      </c>
      <c r="D4255" s="28" t="s">
        <v>38</v>
      </c>
      <c r="E4255" s="45">
        <v>46153</v>
      </c>
      <c r="F4255" s="48">
        <v>0.21167824074074074</v>
      </c>
      <c r="G4255" s="42">
        <v>6.3</v>
      </c>
      <c r="H4255" s="40" t="s">
        <v>1363</v>
      </c>
      <c r="I4255" s="40" t="s">
        <v>1361</v>
      </c>
    </row>
    <row r="4256" spans="1:9" x14ac:dyDescent="0.25">
      <c r="A4256" s="40" t="s">
        <v>244</v>
      </c>
      <c r="B4256" s="28">
        <v>4211</v>
      </c>
      <c r="C4256" s="28" t="s">
        <v>35</v>
      </c>
      <c r="D4256" s="28" t="s">
        <v>38</v>
      </c>
      <c r="E4256" s="45">
        <v>46153</v>
      </c>
      <c r="F4256" s="48">
        <v>0.21671296296296297</v>
      </c>
      <c r="G4256" s="42">
        <v>6.3</v>
      </c>
      <c r="H4256" s="40" t="s">
        <v>1364</v>
      </c>
      <c r="I4256" s="40" t="s">
        <v>1361</v>
      </c>
    </row>
    <row r="4257" spans="1:9" x14ac:dyDescent="0.25">
      <c r="A4257" s="40" t="s">
        <v>244</v>
      </c>
      <c r="B4257" s="28">
        <v>4211</v>
      </c>
      <c r="C4257" s="28" t="s">
        <v>35</v>
      </c>
      <c r="D4257" s="28" t="s">
        <v>38</v>
      </c>
      <c r="E4257" s="41">
        <v>46153</v>
      </c>
      <c r="F4257" s="47">
        <v>0.24774305555555556</v>
      </c>
      <c r="G4257" s="42">
        <v>6.3</v>
      </c>
      <c r="H4257" s="40" t="s">
        <v>1360</v>
      </c>
      <c r="I4257" s="40" t="s">
        <v>1361</v>
      </c>
    </row>
    <row r="4258" spans="1:9" x14ac:dyDescent="0.25">
      <c r="A4258" s="40" t="s">
        <v>244</v>
      </c>
      <c r="B4258" s="28">
        <v>4211</v>
      </c>
      <c r="C4258" s="28" t="s">
        <v>35</v>
      </c>
      <c r="D4258" s="28" t="s">
        <v>38</v>
      </c>
      <c r="E4258" s="41">
        <v>46153</v>
      </c>
      <c r="F4258" s="47">
        <v>0.26472222222222225</v>
      </c>
      <c r="G4258" s="42">
        <v>6.3</v>
      </c>
      <c r="H4258" s="40" t="s">
        <v>1362</v>
      </c>
      <c r="I4258" s="40" t="s">
        <v>1361</v>
      </c>
    </row>
    <row r="4259" spans="1:9" x14ac:dyDescent="0.25">
      <c r="A4259" s="40" t="s">
        <v>244</v>
      </c>
      <c r="B4259" s="28">
        <v>4211</v>
      </c>
      <c r="C4259" s="28" t="s">
        <v>35</v>
      </c>
      <c r="D4259" s="28" t="s">
        <v>38</v>
      </c>
      <c r="E4259" s="41">
        <v>46153</v>
      </c>
      <c r="F4259" s="47">
        <v>0.2873263888888889</v>
      </c>
      <c r="G4259" s="42">
        <v>6.3</v>
      </c>
      <c r="H4259" s="40" t="s">
        <v>1363</v>
      </c>
      <c r="I4259" s="40" t="s">
        <v>1361</v>
      </c>
    </row>
    <row r="4260" spans="1:9" x14ac:dyDescent="0.25">
      <c r="A4260" s="40" t="s">
        <v>244</v>
      </c>
      <c r="B4260" s="28">
        <v>4211</v>
      </c>
      <c r="C4260" s="28" t="s">
        <v>35</v>
      </c>
      <c r="D4260" s="28" t="s">
        <v>38</v>
      </c>
      <c r="E4260" s="45">
        <v>46153</v>
      </c>
      <c r="F4260" s="48">
        <v>0.29644675925925928</v>
      </c>
      <c r="G4260" s="42">
        <v>6.3</v>
      </c>
      <c r="H4260" s="40" t="s">
        <v>1364</v>
      </c>
      <c r="I4260" s="40" t="s">
        <v>1361</v>
      </c>
    </row>
    <row r="4261" spans="1:9" x14ac:dyDescent="0.25">
      <c r="A4261" s="40" t="s">
        <v>244</v>
      </c>
      <c r="B4261" s="28">
        <v>4208</v>
      </c>
      <c r="C4261" s="28">
        <v>5662494</v>
      </c>
      <c r="D4261" s="28"/>
      <c r="E4261" s="41">
        <v>46153</v>
      </c>
      <c r="F4261" s="47">
        <v>0.84422453703703704</v>
      </c>
      <c r="G4261" s="42">
        <v>6.3</v>
      </c>
      <c r="H4261" s="40" t="s">
        <v>1363</v>
      </c>
      <c r="I4261" s="40" t="s">
        <v>1361</v>
      </c>
    </row>
    <row r="4262" spans="1:9" x14ac:dyDescent="0.25">
      <c r="A4262" s="40" t="s">
        <v>244</v>
      </c>
      <c r="B4262" s="28">
        <v>4208</v>
      </c>
      <c r="C4262" s="28">
        <v>5662494</v>
      </c>
      <c r="D4262" s="28"/>
      <c r="E4262" s="41">
        <v>46153</v>
      </c>
      <c r="F4262" s="47">
        <v>0.84995370370370371</v>
      </c>
      <c r="G4262" s="42">
        <v>6.3</v>
      </c>
      <c r="H4262" s="40" t="s">
        <v>1364</v>
      </c>
      <c r="I4262" s="40" t="s">
        <v>1361</v>
      </c>
    </row>
    <row r="4263" spans="1:9" x14ac:dyDescent="0.25">
      <c r="A4263" s="40" t="s">
        <v>244</v>
      </c>
      <c r="B4263" s="28">
        <v>4211</v>
      </c>
      <c r="C4263" s="28" t="s">
        <v>35</v>
      </c>
      <c r="D4263" s="28" t="s">
        <v>38</v>
      </c>
      <c r="E4263" s="41">
        <v>46154</v>
      </c>
      <c r="F4263" s="47">
        <v>1.273148148148148E-4</v>
      </c>
      <c r="G4263" s="42">
        <v>6.3</v>
      </c>
      <c r="H4263" s="40" t="s">
        <v>1360</v>
      </c>
      <c r="I4263" s="40" t="s">
        <v>1361</v>
      </c>
    </row>
    <row r="4264" spans="1:9" x14ac:dyDescent="0.25">
      <c r="A4264" s="40" t="s">
        <v>244</v>
      </c>
      <c r="B4264" s="28">
        <v>4211</v>
      </c>
      <c r="C4264" s="28" t="s">
        <v>35</v>
      </c>
      <c r="D4264" s="28" t="s">
        <v>38</v>
      </c>
      <c r="E4264" s="41">
        <v>46154</v>
      </c>
      <c r="F4264" s="47">
        <v>7.3379629629629628E-3</v>
      </c>
      <c r="G4264" s="44">
        <v>6.3</v>
      </c>
      <c r="H4264" s="43" t="s">
        <v>1362</v>
      </c>
      <c r="I4264" s="40" t="s">
        <v>1361</v>
      </c>
    </row>
    <row r="4265" spans="1:9" x14ac:dyDescent="0.25">
      <c r="A4265" s="40" t="s">
        <v>244</v>
      </c>
      <c r="B4265" s="28">
        <v>4211</v>
      </c>
      <c r="C4265" s="28" t="s">
        <v>35</v>
      </c>
      <c r="D4265" s="28" t="s">
        <v>38</v>
      </c>
      <c r="E4265" s="41">
        <v>46155</v>
      </c>
      <c r="F4265" s="47">
        <v>0.23159722222222223</v>
      </c>
      <c r="G4265" s="44">
        <v>6.3</v>
      </c>
      <c r="H4265" s="43" t="s">
        <v>1363</v>
      </c>
      <c r="I4265" s="40" t="s">
        <v>1361</v>
      </c>
    </row>
    <row r="4266" spans="1:9" x14ac:dyDescent="0.25">
      <c r="A4266" s="40" t="s">
        <v>244</v>
      </c>
      <c r="B4266" s="28">
        <v>4211</v>
      </c>
      <c r="C4266" s="28" t="s">
        <v>35</v>
      </c>
      <c r="D4266" s="28" t="s">
        <v>38</v>
      </c>
      <c r="E4266" s="41">
        <v>46155</v>
      </c>
      <c r="F4266" s="47">
        <v>0.23666666666666666</v>
      </c>
      <c r="G4266" s="44">
        <v>6.3</v>
      </c>
      <c r="H4266" s="43" t="s">
        <v>1364</v>
      </c>
      <c r="I4266" s="40" t="s">
        <v>1361</v>
      </c>
    </row>
    <row r="4267" spans="1:9" x14ac:dyDescent="0.25">
      <c r="A4267" s="40" t="s">
        <v>244</v>
      </c>
      <c r="B4267" s="28">
        <v>4211</v>
      </c>
      <c r="C4267" s="28" t="s">
        <v>35</v>
      </c>
      <c r="D4267" s="28" t="s">
        <v>38</v>
      </c>
      <c r="E4267" s="45">
        <v>46155</v>
      </c>
      <c r="F4267" s="48">
        <v>0.90858796296296296</v>
      </c>
      <c r="G4267" s="44">
        <v>6.3</v>
      </c>
      <c r="H4267" s="43" t="s">
        <v>1360</v>
      </c>
      <c r="I4267" s="40" t="s">
        <v>1361</v>
      </c>
    </row>
    <row r="4268" spans="1:9" x14ac:dyDescent="0.25">
      <c r="A4268" s="40" t="s">
        <v>244</v>
      </c>
      <c r="B4268" s="28">
        <v>4211</v>
      </c>
      <c r="C4268" s="28" t="s">
        <v>35</v>
      </c>
      <c r="D4268" s="28" t="s">
        <v>38</v>
      </c>
      <c r="E4268" s="41">
        <v>46155</v>
      </c>
      <c r="F4268" s="47">
        <v>0.91510416666666672</v>
      </c>
      <c r="G4268" s="44">
        <v>6.3</v>
      </c>
      <c r="H4268" s="43" t="s">
        <v>1368</v>
      </c>
      <c r="I4268" s="40" t="s">
        <v>1361</v>
      </c>
    </row>
    <row r="4269" spans="1:9" x14ac:dyDescent="0.25">
      <c r="A4269" s="40" t="s">
        <v>244</v>
      </c>
      <c r="B4269" s="28">
        <v>4211</v>
      </c>
      <c r="C4269" s="28" t="s">
        <v>35</v>
      </c>
      <c r="D4269" s="28" t="s">
        <v>38</v>
      </c>
      <c r="E4269" s="41">
        <v>46155</v>
      </c>
      <c r="F4269" s="47">
        <v>0.935150462962963</v>
      </c>
      <c r="G4269" s="44">
        <v>6.3</v>
      </c>
      <c r="H4269" s="43" t="s">
        <v>1370</v>
      </c>
      <c r="I4269" s="40" t="s">
        <v>1361</v>
      </c>
    </row>
    <row r="4270" spans="1:9" x14ac:dyDescent="0.25">
      <c r="A4270" s="40" t="s">
        <v>244</v>
      </c>
      <c r="B4270" s="28">
        <v>4211</v>
      </c>
      <c r="C4270" s="28" t="s">
        <v>35</v>
      </c>
      <c r="D4270" s="28" t="s">
        <v>38</v>
      </c>
      <c r="E4270" s="41">
        <v>46155</v>
      </c>
      <c r="F4270" s="47">
        <v>0.93944444444444442</v>
      </c>
      <c r="G4270" s="44">
        <v>6.3</v>
      </c>
      <c r="H4270" s="43" t="s">
        <v>1364</v>
      </c>
      <c r="I4270" s="40" t="s">
        <v>1361</v>
      </c>
    </row>
    <row r="4271" spans="1:9" x14ac:dyDescent="0.25">
      <c r="A4271" s="40" t="s">
        <v>244</v>
      </c>
      <c r="B4271" s="28">
        <v>4211</v>
      </c>
      <c r="C4271" s="28" t="s">
        <v>35</v>
      </c>
      <c r="D4271" s="28" t="s">
        <v>38</v>
      </c>
      <c r="E4271" s="41">
        <v>46156</v>
      </c>
      <c r="F4271" s="47">
        <v>0.1421412037037037</v>
      </c>
      <c r="G4271" s="44">
        <v>6.3</v>
      </c>
      <c r="H4271" s="43" t="s">
        <v>1360</v>
      </c>
      <c r="I4271" s="40" t="s">
        <v>1361</v>
      </c>
    </row>
    <row r="4272" spans="1:9" x14ac:dyDescent="0.25">
      <c r="A4272" s="40" t="s">
        <v>244</v>
      </c>
      <c r="B4272" s="28">
        <v>4211</v>
      </c>
      <c r="C4272" s="28" t="s">
        <v>35</v>
      </c>
      <c r="D4272" s="28" t="s">
        <v>38</v>
      </c>
      <c r="E4272" s="41">
        <v>46156</v>
      </c>
      <c r="F4272" s="47">
        <v>0.15118055555555557</v>
      </c>
      <c r="G4272" s="44">
        <v>6.3</v>
      </c>
      <c r="H4272" s="43" t="s">
        <v>1362</v>
      </c>
      <c r="I4272" s="40" t="s">
        <v>1361</v>
      </c>
    </row>
    <row r="4273" spans="1:9" x14ac:dyDescent="0.25">
      <c r="A4273" s="40" t="s">
        <v>244</v>
      </c>
      <c r="B4273" s="28">
        <v>4211</v>
      </c>
      <c r="C4273" s="28" t="s">
        <v>35</v>
      </c>
      <c r="D4273" s="28" t="s">
        <v>38</v>
      </c>
      <c r="E4273" s="41">
        <v>46156</v>
      </c>
      <c r="F4273" s="47">
        <v>0.19752314814814814</v>
      </c>
      <c r="G4273" s="44">
        <v>6.3</v>
      </c>
      <c r="H4273" s="43" t="s">
        <v>1363</v>
      </c>
      <c r="I4273" s="40" t="s">
        <v>1361</v>
      </c>
    </row>
    <row r="4274" spans="1:9" x14ac:dyDescent="0.25">
      <c r="A4274" s="40" t="s">
        <v>244</v>
      </c>
      <c r="B4274" s="28">
        <v>4211</v>
      </c>
      <c r="C4274" s="28" t="s">
        <v>35</v>
      </c>
      <c r="D4274" s="28" t="s">
        <v>38</v>
      </c>
      <c r="E4274" s="41">
        <v>46156</v>
      </c>
      <c r="F4274" s="47">
        <v>0.20278935185185185</v>
      </c>
      <c r="G4274" s="44">
        <v>6.3</v>
      </c>
      <c r="H4274" s="43" t="s">
        <v>1364</v>
      </c>
      <c r="I4274" s="40" t="s">
        <v>1361</v>
      </c>
    </row>
    <row r="4275" spans="1:9" x14ac:dyDescent="0.25">
      <c r="A4275" s="40" t="s">
        <v>244</v>
      </c>
      <c r="B4275" s="28">
        <v>4208</v>
      </c>
      <c r="C4275" s="28">
        <v>5669700</v>
      </c>
      <c r="D4275" s="28"/>
      <c r="E4275" s="45">
        <v>46157</v>
      </c>
      <c r="F4275" s="48">
        <v>0.41395833333333332</v>
      </c>
      <c r="G4275" s="44">
        <v>6.3</v>
      </c>
      <c r="H4275" s="43" t="s">
        <v>1360</v>
      </c>
      <c r="I4275" s="40" t="s">
        <v>1361</v>
      </c>
    </row>
    <row r="4276" spans="1:9" x14ac:dyDescent="0.25">
      <c r="A4276" s="40" t="s">
        <v>244</v>
      </c>
      <c r="B4276" s="28">
        <v>4208</v>
      </c>
      <c r="C4276" s="28">
        <v>5669743</v>
      </c>
      <c r="D4276" s="28" t="s">
        <v>37</v>
      </c>
      <c r="E4276" s="41">
        <v>46157</v>
      </c>
      <c r="F4276" s="47">
        <v>0.46728009259259257</v>
      </c>
      <c r="G4276" s="44">
        <v>6.3</v>
      </c>
      <c r="H4276" s="43" t="s">
        <v>1363</v>
      </c>
      <c r="I4276" s="40" t="s">
        <v>1361</v>
      </c>
    </row>
    <row r="4277" spans="1:9" x14ac:dyDescent="0.25">
      <c r="A4277" s="40" t="s">
        <v>244</v>
      </c>
      <c r="B4277" s="28">
        <v>4208</v>
      </c>
      <c r="C4277" s="28">
        <v>5669743</v>
      </c>
      <c r="D4277" s="28" t="s">
        <v>37</v>
      </c>
      <c r="E4277" s="41">
        <v>46157</v>
      </c>
      <c r="F4277" s="47">
        <v>0.47390046296296295</v>
      </c>
      <c r="G4277" s="44">
        <v>6.3</v>
      </c>
      <c r="H4277" s="43" t="s">
        <v>1364</v>
      </c>
      <c r="I4277" s="40" t="s">
        <v>1361</v>
      </c>
    </row>
    <row r="4278" spans="1:9" x14ac:dyDescent="0.25">
      <c r="A4278" s="40" t="s">
        <v>244</v>
      </c>
      <c r="B4278" s="28">
        <v>4208</v>
      </c>
      <c r="C4278" s="28">
        <v>5654202</v>
      </c>
      <c r="D4278" s="28"/>
      <c r="E4278" s="41">
        <v>46157</v>
      </c>
      <c r="F4278" s="47">
        <v>0.67120370370370375</v>
      </c>
      <c r="G4278" s="44">
        <v>6.3</v>
      </c>
      <c r="H4278" s="43" t="s">
        <v>1364</v>
      </c>
      <c r="I4278" s="40" t="s">
        <v>1361</v>
      </c>
    </row>
    <row r="4279" spans="1:9" x14ac:dyDescent="0.25">
      <c r="A4279" s="40" t="s">
        <v>244</v>
      </c>
      <c r="B4279" s="28">
        <v>4211</v>
      </c>
      <c r="C4279" s="28" t="s">
        <v>35</v>
      </c>
      <c r="D4279" s="28" t="s">
        <v>38</v>
      </c>
      <c r="E4279" s="41">
        <v>46159</v>
      </c>
      <c r="F4279" s="47">
        <v>0.92679398148148151</v>
      </c>
      <c r="G4279" s="44">
        <v>6.3</v>
      </c>
      <c r="H4279" s="43" t="s">
        <v>1360</v>
      </c>
      <c r="I4279" s="40" t="s">
        <v>1365</v>
      </c>
    </row>
    <row r="4280" spans="1:9" x14ac:dyDescent="0.25">
      <c r="A4280" s="40" t="s">
        <v>244</v>
      </c>
      <c r="B4280" s="28">
        <v>4211</v>
      </c>
      <c r="C4280" s="28" t="s">
        <v>35</v>
      </c>
      <c r="D4280" s="28" t="s">
        <v>38</v>
      </c>
      <c r="E4280" s="41">
        <v>46159</v>
      </c>
      <c r="F4280" s="47">
        <v>0.93374999999999997</v>
      </c>
      <c r="G4280" s="44">
        <v>6.3</v>
      </c>
      <c r="H4280" s="43" t="s">
        <v>1368</v>
      </c>
      <c r="I4280" s="40" t="s">
        <v>1365</v>
      </c>
    </row>
    <row r="4281" spans="1:9" x14ac:dyDescent="0.25">
      <c r="A4281" s="40" t="s">
        <v>457</v>
      </c>
      <c r="B4281" s="28">
        <v>4251</v>
      </c>
      <c r="C4281" s="28" t="s">
        <v>1162</v>
      </c>
      <c r="D4281" s="28"/>
      <c r="E4281" s="41">
        <v>46153</v>
      </c>
      <c r="F4281" s="47">
        <v>0.98553240740740744</v>
      </c>
      <c r="G4281" s="44">
        <v>6.3</v>
      </c>
      <c r="H4281" s="43" t="s">
        <v>1360</v>
      </c>
      <c r="I4281" s="40" t="s">
        <v>1361</v>
      </c>
    </row>
    <row r="4282" spans="1:9" x14ac:dyDescent="0.25">
      <c r="A4282" s="40" t="s">
        <v>457</v>
      </c>
      <c r="B4282" s="28">
        <v>4251</v>
      </c>
      <c r="C4282" s="28" t="s">
        <v>1162</v>
      </c>
      <c r="D4282" s="28"/>
      <c r="E4282" s="41">
        <v>46153</v>
      </c>
      <c r="F4282" s="47">
        <v>0.9914236111111111</v>
      </c>
      <c r="G4282" s="44">
        <v>6.3</v>
      </c>
      <c r="H4282" s="43" t="s">
        <v>1368</v>
      </c>
      <c r="I4282" s="40" t="s">
        <v>1361</v>
      </c>
    </row>
    <row r="4283" spans="1:9" x14ac:dyDescent="0.25">
      <c r="A4283" s="40" t="s">
        <v>457</v>
      </c>
      <c r="B4283" s="28">
        <v>4251</v>
      </c>
      <c r="C4283" s="28" t="s">
        <v>1163</v>
      </c>
      <c r="D4283" s="28"/>
      <c r="E4283" s="41">
        <v>46154</v>
      </c>
      <c r="F4283" s="47">
        <v>0.10276620370370371</v>
      </c>
      <c r="G4283" s="44">
        <v>6.3</v>
      </c>
      <c r="H4283" s="43" t="s">
        <v>1360</v>
      </c>
      <c r="I4283" s="40" t="s">
        <v>1361</v>
      </c>
    </row>
    <row r="4284" spans="1:9" x14ac:dyDescent="0.25">
      <c r="A4284" s="40" t="s">
        <v>457</v>
      </c>
      <c r="B4284" s="28">
        <v>4251</v>
      </c>
      <c r="C4284" s="28" t="s">
        <v>1163</v>
      </c>
      <c r="D4284" s="28"/>
      <c r="E4284" s="41">
        <v>46154</v>
      </c>
      <c r="F4284" s="47">
        <v>0.10906250000000001</v>
      </c>
      <c r="G4284" s="44">
        <v>6.3</v>
      </c>
      <c r="H4284" s="43" t="s">
        <v>1362</v>
      </c>
      <c r="I4284" s="40" t="s">
        <v>1361</v>
      </c>
    </row>
    <row r="4285" spans="1:9" x14ac:dyDescent="0.25">
      <c r="A4285" s="40" t="s">
        <v>457</v>
      </c>
      <c r="B4285" s="28">
        <v>4251</v>
      </c>
      <c r="C4285" s="28" t="s">
        <v>1164</v>
      </c>
      <c r="D4285" s="28"/>
      <c r="E4285" s="41">
        <v>46154</v>
      </c>
      <c r="F4285" s="47">
        <v>0.1461574074074074</v>
      </c>
      <c r="G4285" s="44">
        <v>6.3</v>
      </c>
      <c r="H4285" s="43" t="s">
        <v>1363</v>
      </c>
      <c r="I4285" s="40" t="s">
        <v>1361</v>
      </c>
    </row>
    <row r="4286" spans="1:9" x14ac:dyDescent="0.25">
      <c r="A4286" s="40" t="s">
        <v>457</v>
      </c>
      <c r="B4286" s="28">
        <v>4251</v>
      </c>
      <c r="C4286" s="28" t="s">
        <v>1164</v>
      </c>
      <c r="D4286" s="28"/>
      <c r="E4286" s="45">
        <v>46154</v>
      </c>
      <c r="F4286" s="48">
        <v>0.15060185185185185</v>
      </c>
      <c r="G4286" s="44">
        <v>6.3</v>
      </c>
      <c r="H4286" s="43" t="s">
        <v>1364</v>
      </c>
      <c r="I4286" s="40" t="s">
        <v>1361</v>
      </c>
    </row>
    <row r="4287" spans="1:9" x14ac:dyDescent="0.25">
      <c r="A4287" s="40" t="s">
        <v>457</v>
      </c>
      <c r="B4287" s="28">
        <v>4251</v>
      </c>
      <c r="C4287" s="28" t="s">
        <v>1165</v>
      </c>
      <c r="D4287" s="28"/>
      <c r="E4287" s="41">
        <v>46154</v>
      </c>
      <c r="F4287" s="47">
        <v>0.95577546296296301</v>
      </c>
      <c r="G4287" s="44">
        <v>6.3</v>
      </c>
      <c r="H4287" s="43" t="s">
        <v>1360</v>
      </c>
      <c r="I4287" s="40" t="s">
        <v>1361</v>
      </c>
    </row>
    <row r="4288" spans="1:9" x14ac:dyDescent="0.25">
      <c r="A4288" s="40" t="s">
        <v>457</v>
      </c>
      <c r="B4288" s="28">
        <v>4251</v>
      </c>
      <c r="C4288" s="28" t="s">
        <v>1165</v>
      </c>
      <c r="D4288" s="28"/>
      <c r="E4288" s="41">
        <v>46154</v>
      </c>
      <c r="F4288" s="47">
        <v>0.96006944444444442</v>
      </c>
      <c r="G4288" s="44">
        <v>6.3</v>
      </c>
      <c r="H4288" s="43" t="s">
        <v>1366</v>
      </c>
      <c r="I4288" s="40" t="s">
        <v>1361</v>
      </c>
    </row>
    <row r="4289" spans="1:9" x14ac:dyDescent="0.25">
      <c r="A4289" s="40" t="s">
        <v>457</v>
      </c>
      <c r="B4289" s="28">
        <v>4251</v>
      </c>
      <c r="C4289" s="28" t="s">
        <v>1166</v>
      </c>
      <c r="D4289" s="28"/>
      <c r="E4289" s="41">
        <v>46155</v>
      </c>
      <c r="F4289" s="47">
        <v>0.78778935185185184</v>
      </c>
      <c r="G4289" s="44">
        <v>6.3</v>
      </c>
      <c r="H4289" s="43" t="s">
        <v>1360</v>
      </c>
      <c r="I4289" s="40" t="s">
        <v>1361</v>
      </c>
    </row>
    <row r="4290" spans="1:9" x14ac:dyDescent="0.25">
      <c r="A4290" s="40" t="s">
        <v>457</v>
      </c>
      <c r="B4290" s="28">
        <v>4251</v>
      </c>
      <c r="C4290" s="28" t="s">
        <v>1167</v>
      </c>
      <c r="D4290" s="28"/>
      <c r="E4290" s="41">
        <v>46155</v>
      </c>
      <c r="F4290" s="47">
        <v>0.86722222222222223</v>
      </c>
      <c r="G4290" s="44">
        <v>6.3</v>
      </c>
      <c r="H4290" s="43" t="s">
        <v>1363</v>
      </c>
      <c r="I4290" s="40" t="s">
        <v>1361</v>
      </c>
    </row>
    <row r="4291" spans="1:9" x14ac:dyDescent="0.25">
      <c r="A4291" s="40" t="s">
        <v>457</v>
      </c>
      <c r="B4291" s="28">
        <v>4251</v>
      </c>
      <c r="C4291" s="28" t="s">
        <v>1167</v>
      </c>
      <c r="D4291" s="28"/>
      <c r="E4291" s="45">
        <v>46155</v>
      </c>
      <c r="F4291" s="48">
        <v>0.87597222222222226</v>
      </c>
      <c r="G4291" s="44">
        <v>6.3</v>
      </c>
      <c r="H4291" s="43" t="s">
        <v>1364</v>
      </c>
      <c r="I4291" s="40" t="s">
        <v>1361</v>
      </c>
    </row>
    <row r="4292" spans="1:9" x14ac:dyDescent="0.25">
      <c r="A4292" s="40" t="s">
        <v>457</v>
      </c>
      <c r="B4292" s="28">
        <v>4251</v>
      </c>
      <c r="C4292" s="28" t="s">
        <v>1168</v>
      </c>
      <c r="D4292" s="28"/>
      <c r="E4292" s="45">
        <v>46156</v>
      </c>
      <c r="F4292" s="48">
        <v>2.4340277777777777E-2</v>
      </c>
      <c r="G4292" s="44">
        <v>6.3</v>
      </c>
      <c r="H4292" s="43" t="s">
        <v>1360</v>
      </c>
      <c r="I4292" s="40" t="s">
        <v>1361</v>
      </c>
    </row>
    <row r="4293" spans="1:9" x14ac:dyDescent="0.25">
      <c r="A4293" s="40" t="s">
        <v>457</v>
      </c>
      <c r="B4293" s="28">
        <v>4251</v>
      </c>
      <c r="C4293" s="28" t="s">
        <v>1168</v>
      </c>
      <c r="D4293" s="28"/>
      <c r="E4293" s="41">
        <v>46156</v>
      </c>
      <c r="F4293" s="47">
        <v>3.3148148148148149E-2</v>
      </c>
      <c r="G4293" s="44">
        <v>6.3</v>
      </c>
      <c r="H4293" s="43" t="s">
        <v>1362</v>
      </c>
      <c r="I4293" s="40" t="s">
        <v>1361</v>
      </c>
    </row>
    <row r="4294" spans="1:9" x14ac:dyDescent="0.25">
      <c r="A4294" s="40" t="s">
        <v>458</v>
      </c>
      <c r="B4294" s="28">
        <v>4266</v>
      </c>
      <c r="C4294" s="28">
        <v>5662809</v>
      </c>
      <c r="D4294" s="28"/>
      <c r="E4294" s="41">
        <v>46153</v>
      </c>
      <c r="F4294" s="47">
        <v>0.54833333333333334</v>
      </c>
      <c r="G4294" s="44">
        <v>6.3</v>
      </c>
      <c r="H4294" s="43" t="s">
        <v>1360</v>
      </c>
      <c r="I4294" s="40" t="s">
        <v>1361</v>
      </c>
    </row>
    <row r="4295" spans="1:9" x14ac:dyDescent="0.25">
      <c r="A4295" s="40" t="s">
        <v>458</v>
      </c>
      <c r="B4295" s="28">
        <v>4266</v>
      </c>
      <c r="C4295" s="28">
        <v>5662809</v>
      </c>
      <c r="D4295" s="28"/>
      <c r="E4295" s="41">
        <v>46153</v>
      </c>
      <c r="F4295" s="47">
        <v>0.55836805555555558</v>
      </c>
      <c r="G4295" s="44">
        <v>6.3</v>
      </c>
      <c r="H4295" s="43" t="s">
        <v>1362</v>
      </c>
      <c r="I4295" s="40" t="s">
        <v>1361</v>
      </c>
    </row>
    <row r="4296" spans="1:9" x14ac:dyDescent="0.25">
      <c r="A4296" s="40" t="s">
        <v>458</v>
      </c>
      <c r="B4296" s="28">
        <v>4266</v>
      </c>
      <c r="C4296" s="28">
        <v>5662732</v>
      </c>
      <c r="D4296" s="28"/>
      <c r="E4296" s="45">
        <v>46153</v>
      </c>
      <c r="F4296" s="48">
        <v>0.62665509259259256</v>
      </c>
      <c r="G4296" s="44">
        <v>6.3</v>
      </c>
      <c r="H4296" s="43" t="s">
        <v>1363</v>
      </c>
      <c r="I4296" s="40" t="s">
        <v>1361</v>
      </c>
    </row>
    <row r="4297" spans="1:9" x14ac:dyDescent="0.25">
      <c r="A4297" s="40" t="s">
        <v>458</v>
      </c>
      <c r="B4297" s="28">
        <v>4266</v>
      </c>
      <c r="C4297" s="28">
        <v>5662732</v>
      </c>
      <c r="D4297" s="28"/>
      <c r="E4297" s="41">
        <v>46153</v>
      </c>
      <c r="F4297" s="47">
        <v>0.63278935185185181</v>
      </c>
      <c r="G4297" s="44">
        <v>6.3</v>
      </c>
      <c r="H4297" s="43" t="s">
        <v>1364</v>
      </c>
      <c r="I4297" s="40" t="s">
        <v>1361</v>
      </c>
    </row>
    <row r="4298" spans="1:9" x14ac:dyDescent="0.25">
      <c r="A4298" s="40" t="s">
        <v>458</v>
      </c>
      <c r="B4298" s="28">
        <v>4266</v>
      </c>
      <c r="C4298" s="28">
        <v>5641909</v>
      </c>
      <c r="D4298" s="28"/>
      <c r="E4298" s="41">
        <v>46153</v>
      </c>
      <c r="F4298" s="47">
        <v>0.69034722222222222</v>
      </c>
      <c r="G4298" s="44">
        <v>6.3</v>
      </c>
      <c r="H4298" s="43" t="s">
        <v>1360</v>
      </c>
      <c r="I4298" s="40" t="s">
        <v>1361</v>
      </c>
    </row>
    <row r="4299" spans="1:9" x14ac:dyDescent="0.25">
      <c r="A4299" s="40" t="s">
        <v>458</v>
      </c>
      <c r="B4299" s="28">
        <v>4266</v>
      </c>
      <c r="C4299" s="28">
        <v>5641909</v>
      </c>
      <c r="D4299" s="28"/>
      <c r="E4299" s="41">
        <v>46153</v>
      </c>
      <c r="F4299" s="47">
        <v>0.69821759259259264</v>
      </c>
      <c r="G4299" s="44">
        <v>6.3</v>
      </c>
      <c r="H4299" s="43" t="s">
        <v>1366</v>
      </c>
      <c r="I4299" s="40" t="s">
        <v>1361</v>
      </c>
    </row>
    <row r="4300" spans="1:9" x14ac:dyDescent="0.25">
      <c r="A4300" s="40" t="s">
        <v>458</v>
      </c>
      <c r="B4300" s="28">
        <v>4266</v>
      </c>
      <c r="C4300" s="28">
        <v>5663371</v>
      </c>
      <c r="D4300" s="28"/>
      <c r="E4300" s="41">
        <v>46153</v>
      </c>
      <c r="F4300" s="47">
        <v>0.82434027777777774</v>
      </c>
      <c r="G4300" s="44">
        <v>6.3</v>
      </c>
      <c r="H4300" s="43" t="s">
        <v>1370</v>
      </c>
      <c r="I4300" s="40" t="s">
        <v>1361</v>
      </c>
    </row>
    <row r="4301" spans="1:9" x14ac:dyDescent="0.25">
      <c r="A4301" s="40" t="s">
        <v>458</v>
      </c>
      <c r="B4301" s="28">
        <v>4266</v>
      </c>
      <c r="C4301" s="28">
        <v>5663371</v>
      </c>
      <c r="D4301" s="28"/>
      <c r="E4301" s="41">
        <v>46153</v>
      </c>
      <c r="F4301" s="47">
        <v>0.83688657407407407</v>
      </c>
      <c r="G4301" s="44">
        <v>6.3</v>
      </c>
      <c r="H4301" s="43" t="s">
        <v>1364</v>
      </c>
      <c r="I4301" s="40" t="s">
        <v>1361</v>
      </c>
    </row>
    <row r="4302" spans="1:9" x14ac:dyDescent="0.25">
      <c r="A4302" s="40" t="s">
        <v>458</v>
      </c>
      <c r="B4302" s="28">
        <v>4266</v>
      </c>
      <c r="C4302" s="28">
        <v>5668001</v>
      </c>
      <c r="D4302" s="28"/>
      <c r="E4302" s="41">
        <v>46156</v>
      </c>
      <c r="F4302" s="47">
        <v>0.41704861111111113</v>
      </c>
      <c r="G4302" s="44">
        <v>6.3</v>
      </c>
      <c r="H4302" s="43" t="s">
        <v>1360</v>
      </c>
      <c r="I4302" s="40" t="s">
        <v>1361</v>
      </c>
    </row>
    <row r="4303" spans="1:9" x14ac:dyDescent="0.25">
      <c r="A4303" s="40" t="s">
        <v>458</v>
      </c>
      <c r="B4303" s="28">
        <v>4266</v>
      </c>
      <c r="C4303" s="28">
        <v>5668001</v>
      </c>
      <c r="D4303" s="28"/>
      <c r="E4303" s="45">
        <v>46156</v>
      </c>
      <c r="F4303" s="48">
        <v>0.42809027777777775</v>
      </c>
      <c r="G4303" s="44">
        <v>6.3</v>
      </c>
      <c r="H4303" s="43" t="s">
        <v>1368</v>
      </c>
      <c r="I4303" s="40" t="s">
        <v>1361</v>
      </c>
    </row>
    <row r="4304" spans="1:9" x14ac:dyDescent="0.25">
      <c r="A4304" s="40" t="s">
        <v>458</v>
      </c>
      <c r="B4304" s="28">
        <v>4266</v>
      </c>
      <c r="C4304" s="28" t="s">
        <v>35</v>
      </c>
      <c r="D4304" s="28" t="s">
        <v>38</v>
      </c>
      <c r="E4304" s="41">
        <v>46156</v>
      </c>
      <c r="F4304" s="47">
        <v>0.46910879629629632</v>
      </c>
      <c r="G4304" s="44">
        <v>6.3</v>
      </c>
      <c r="H4304" s="43" t="s">
        <v>1370</v>
      </c>
      <c r="I4304" s="40" t="s">
        <v>1361</v>
      </c>
    </row>
    <row r="4305" spans="1:9" x14ac:dyDescent="0.25">
      <c r="A4305" s="40" t="s">
        <v>458</v>
      </c>
      <c r="B4305" s="28">
        <v>4266</v>
      </c>
      <c r="C4305" s="28">
        <v>5668788</v>
      </c>
      <c r="D4305" s="28"/>
      <c r="E4305" s="41">
        <v>46156</v>
      </c>
      <c r="F4305" s="47">
        <v>0.85288194444444443</v>
      </c>
      <c r="G4305" s="44">
        <v>6.3</v>
      </c>
      <c r="H4305" s="43" t="s">
        <v>1360</v>
      </c>
      <c r="I4305" s="40" t="s">
        <v>1361</v>
      </c>
    </row>
    <row r="4306" spans="1:9" x14ac:dyDescent="0.25">
      <c r="A4306" s="40" t="s">
        <v>458</v>
      </c>
      <c r="B4306" s="28">
        <v>4266</v>
      </c>
      <c r="C4306" s="28">
        <v>5668788</v>
      </c>
      <c r="D4306" s="28"/>
      <c r="E4306" s="45">
        <v>46156</v>
      </c>
      <c r="F4306" s="48">
        <v>0.86055555555555552</v>
      </c>
      <c r="G4306" s="44">
        <v>6.3</v>
      </c>
      <c r="H4306" s="43" t="s">
        <v>1362</v>
      </c>
      <c r="I4306" s="40" t="s">
        <v>1361</v>
      </c>
    </row>
    <row r="4307" spans="1:9" x14ac:dyDescent="0.25">
      <c r="A4307" s="40" t="s">
        <v>459</v>
      </c>
      <c r="B4307" s="28">
        <v>4278</v>
      </c>
      <c r="C4307" s="28" t="s">
        <v>1169</v>
      </c>
      <c r="D4307" s="28"/>
      <c r="E4307" s="41">
        <v>46153</v>
      </c>
      <c r="F4307" s="47">
        <v>0.69135416666666671</v>
      </c>
      <c r="G4307" s="44">
        <v>6.3</v>
      </c>
      <c r="H4307" s="43" t="s">
        <v>1364</v>
      </c>
      <c r="I4307" s="40" t="s">
        <v>1361</v>
      </c>
    </row>
    <row r="4308" spans="1:9" x14ac:dyDescent="0.25">
      <c r="A4308" s="40" t="s">
        <v>459</v>
      </c>
      <c r="B4308" s="28">
        <v>4278</v>
      </c>
      <c r="C4308" s="28" t="s">
        <v>1170</v>
      </c>
      <c r="D4308" s="28"/>
      <c r="E4308" s="41">
        <v>46153</v>
      </c>
      <c r="F4308" s="47">
        <v>0.75043981481481481</v>
      </c>
      <c r="G4308" s="44">
        <v>6.3</v>
      </c>
      <c r="H4308" s="43" t="s">
        <v>1360</v>
      </c>
      <c r="I4308" s="40" t="s">
        <v>1361</v>
      </c>
    </row>
    <row r="4309" spans="1:9" x14ac:dyDescent="0.25">
      <c r="A4309" s="40" t="s">
        <v>459</v>
      </c>
      <c r="B4309" s="28">
        <v>4278</v>
      </c>
      <c r="C4309" s="28" t="s">
        <v>1171</v>
      </c>
      <c r="D4309" s="28"/>
      <c r="E4309" s="41">
        <v>46154</v>
      </c>
      <c r="F4309" s="47">
        <v>0.62508101851851849</v>
      </c>
      <c r="G4309" s="44">
        <v>6.3</v>
      </c>
      <c r="H4309" s="43" t="s">
        <v>1360</v>
      </c>
      <c r="I4309" s="40" t="s">
        <v>1361</v>
      </c>
    </row>
    <row r="4310" spans="1:9" x14ac:dyDescent="0.25">
      <c r="A4310" s="40" t="s">
        <v>459</v>
      </c>
      <c r="B4310" s="28">
        <v>4278</v>
      </c>
      <c r="C4310" s="28" t="s">
        <v>1171</v>
      </c>
      <c r="D4310" s="28"/>
      <c r="E4310" s="41">
        <v>46154</v>
      </c>
      <c r="F4310" s="47">
        <v>0.63520833333333337</v>
      </c>
      <c r="G4310" s="44">
        <v>6.3</v>
      </c>
      <c r="H4310" s="43" t="s">
        <v>1362</v>
      </c>
      <c r="I4310" s="40" t="s">
        <v>1361</v>
      </c>
    </row>
    <row r="4311" spans="1:9" x14ac:dyDescent="0.25">
      <c r="A4311" s="40" t="s">
        <v>459</v>
      </c>
      <c r="B4311" s="28">
        <v>4278</v>
      </c>
      <c r="C4311" s="28" t="s">
        <v>1172</v>
      </c>
      <c r="D4311" s="28"/>
      <c r="E4311" s="41">
        <v>46154</v>
      </c>
      <c r="F4311" s="47">
        <v>0.86752314814814813</v>
      </c>
      <c r="G4311" s="44">
        <v>6.3</v>
      </c>
      <c r="H4311" s="43" t="s">
        <v>1363</v>
      </c>
      <c r="I4311" s="40" t="s">
        <v>1361</v>
      </c>
    </row>
    <row r="4312" spans="1:9" x14ac:dyDescent="0.25">
      <c r="A4312" s="40" t="s">
        <v>459</v>
      </c>
      <c r="B4312" s="28">
        <v>4278</v>
      </c>
      <c r="C4312" s="28" t="s">
        <v>1172</v>
      </c>
      <c r="D4312" s="28"/>
      <c r="E4312" s="41">
        <v>46154</v>
      </c>
      <c r="F4312" s="47">
        <v>0.87465277777777772</v>
      </c>
      <c r="G4312" s="42">
        <v>6.3</v>
      </c>
      <c r="H4312" s="40" t="s">
        <v>1364</v>
      </c>
      <c r="I4312" s="40" t="s">
        <v>1361</v>
      </c>
    </row>
    <row r="4313" spans="1:9" x14ac:dyDescent="0.25">
      <c r="A4313" s="40" t="s">
        <v>459</v>
      </c>
      <c r="B4313" s="28">
        <v>4278</v>
      </c>
      <c r="C4313" s="28" t="s">
        <v>1173</v>
      </c>
      <c r="D4313" s="28"/>
      <c r="E4313" s="45">
        <v>46155</v>
      </c>
      <c r="F4313" s="48">
        <v>0.25777777777777777</v>
      </c>
      <c r="G4313" s="42">
        <v>6.3</v>
      </c>
      <c r="H4313" s="40" t="s">
        <v>1364</v>
      </c>
      <c r="I4313" s="40" t="s">
        <v>1361</v>
      </c>
    </row>
    <row r="4314" spans="1:9" x14ac:dyDescent="0.25">
      <c r="A4314" s="40" t="s">
        <v>459</v>
      </c>
      <c r="B4314" s="28">
        <v>4278</v>
      </c>
      <c r="C4314" s="28" t="s">
        <v>1174</v>
      </c>
      <c r="D4314" s="28"/>
      <c r="E4314" s="41">
        <v>46155</v>
      </c>
      <c r="F4314" s="47">
        <v>0.56322916666666667</v>
      </c>
      <c r="G4314" s="44">
        <v>6.3</v>
      </c>
      <c r="H4314" s="43" t="s">
        <v>1360</v>
      </c>
      <c r="I4314" s="40" t="s">
        <v>1361</v>
      </c>
    </row>
    <row r="4315" spans="1:9" x14ac:dyDescent="0.25">
      <c r="A4315" s="40" t="s">
        <v>459</v>
      </c>
      <c r="B4315" s="28">
        <v>4278</v>
      </c>
      <c r="C4315" s="28" t="s">
        <v>1174</v>
      </c>
      <c r="D4315" s="28"/>
      <c r="E4315" s="45">
        <v>46155</v>
      </c>
      <c r="F4315" s="48">
        <v>0.57465277777777779</v>
      </c>
      <c r="G4315" s="44">
        <v>6.3</v>
      </c>
      <c r="H4315" s="43" t="s">
        <v>1362</v>
      </c>
      <c r="I4315" s="40" t="s">
        <v>1361</v>
      </c>
    </row>
    <row r="4316" spans="1:9" x14ac:dyDescent="0.25">
      <c r="A4316" s="40" t="s">
        <v>459</v>
      </c>
      <c r="B4316" s="28">
        <v>4278</v>
      </c>
      <c r="C4316" s="28" t="s">
        <v>1175</v>
      </c>
      <c r="D4316" s="28"/>
      <c r="E4316" s="41">
        <v>46155</v>
      </c>
      <c r="F4316" s="47">
        <v>0.69041666666666668</v>
      </c>
      <c r="G4316" s="44">
        <v>6.3</v>
      </c>
      <c r="H4316" s="43" t="s">
        <v>1363</v>
      </c>
      <c r="I4316" s="40" t="s">
        <v>1361</v>
      </c>
    </row>
    <row r="4317" spans="1:9" x14ac:dyDescent="0.25">
      <c r="A4317" s="40" t="s">
        <v>459</v>
      </c>
      <c r="B4317" s="28">
        <v>4278</v>
      </c>
      <c r="C4317" s="28" t="s">
        <v>1175</v>
      </c>
      <c r="D4317" s="28"/>
      <c r="E4317" s="41">
        <v>46155</v>
      </c>
      <c r="F4317" s="47">
        <v>0.69887731481481485</v>
      </c>
      <c r="G4317" s="44">
        <v>6.3</v>
      </c>
      <c r="H4317" s="43" t="s">
        <v>1364</v>
      </c>
      <c r="I4317" s="40" t="s">
        <v>1361</v>
      </c>
    </row>
    <row r="4318" spans="1:9" x14ac:dyDescent="0.25">
      <c r="A4318" s="40" t="s">
        <v>459</v>
      </c>
      <c r="B4318" s="28">
        <v>4278</v>
      </c>
      <c r="C4318" s="28" t="s">
        <v>1176</v>
      </c>
      <c r="D4318" s="28"/>
      <c r="E4318" s="41">
        <v>46156</v>
      </c>
      <c r="F4318" s="47">
        <v>3.8078703703703705E-2</v>
      </c>
      <c r="G4318" s="44">
        <v>6.3</v>
      </c>
      <c r="H4318" s="43" t="s">
        <v>1360</v>
      </c>
      <c r="I4318" s="40" t="s">
        <v>1361</v>
      </c>
    </row>
    <row r="4319" spans="1:9" x14ac:dyDescent="0.25">
      <c r="A4319" s="40" t="s">
        <v>459</v>
      </c>
      <c r="B4319" s="28">
        <v>4278</v>
      </c>
      <c r="C4319" s="28" t="s">
        <v>1176</v>
      </c>
      <c r="D4319" s="28"/>
      <c r="E4319" s="41">
        <v>46156</v>
      </c>
      <c r="F4319" s="47">
        <v>4.5335648148148146E-2</v>
      </c>
      <c r="G4319" s="44">
        <v>6.3</v>
      </c>
      <c r="H4319" s="43" t="s">
        <v>1362</v>
      </c>
      <c r="I4319" s="40" t="s">
        <v>1361</v>
      </c>
    </row>
    <row r="4320" spans="1:9" x14ac:dyDescent="0.25">
      <c r="A4320" s="40" t="s">
        <v>459</v>
      </c>
      <c r="B4320" s="28">
        <v>4278</v>
      </c>
      <c r="C4320" s="28">
        <v>5668060</v>
      </c>
      <c r="D4320" s="28"/>
      <c r="E4320" s="41">
        <v>46156</v>
      </c>
      <c r="F4320" s="47">
        <v>0.61141203703703706</v>
      </c>
      <c r="G4320" s="44">
        <v>6.3</v>
      </c>
      <c r="H4320" s="43" t="s">
        <v>1362</v>
      </c>
      <c r="I4320" s="40" t="s">
        <v>1361</v>
      </c>
    </row>
    <row r="4321" spans="1:9" x14ac:dyDescent="0.25">
      <c r="A4321" s="40" t="s">
        <v>459</v>
      </c>
      <c r="B4321" s="28">
        <v>4278</v>
      </c>
      <c r="C4321" s="28">
        <v>5667635</v>
      </c>
      <c r="D4321" s="28"/>
      <c r="E4321" s="41">
        <v>46156</v>
      </c>
      <c r="F4321" s="47">
        <v>0.7213194444444444</v>
      </c>
      <c r="G4321" s="44">
        <v>6.3</v>
      </c>
      <c r="H4321" s="43" t="s">
        <v>1363</v>
      </c>
      <c r="I4321" s="40" t="s">
        <v>1361</v>
      </c>
    </row>
    <row r="4322" spans="1:9" x14ac:dyDescent="0.25">
      <c r="A4322" s="40" t="s">
        <v>459</v>
      </c>
      <c r="B4322" s="28">
        <v>4278</v>
      </c>
      <c r="C4322" s="28">
        <v>5668948</v>
      </c>
      <c r="D4322" s="28" t="s">
        <v>37</v>
      </c>
      <c r="E4322" s="41">
        <v>46156</v>
      </c>
      <c r="F4322" s="47">
        <v>0.9113310185185185</v>
      </c>
      <c r="G4322" s="44">
        <v>6.3</v>
      </c>
      <c r="H4322" s="43" t="s">
        <v>1363</v>
      </c>
      <c r="I4322" s="40" t="s">
        <v>1361</v>
      </c>
    </row>
    <row r="4323" spans="1:9" x14ac:dyDescent="0.25">
      <c r="A4323" s="40" t="s">
        <v>459</v>
      </c>
      <c r="B4323" s="28">
        <v>4278</v>
      </c>
      <c r="C4323" s="28">
        <v>5668948</v>
      </c>
      <c r="D4323" s="28" t="s">
        <v>37</v>
      </c>
      <c r="E4323" s="41">
        <v>46156</v>
      </c>
      <c r="F4323" s="47">
        <v>0.91690972222222222</v>
      </c>
      <c r="G4323" s="44">
        <v>6.3</v>
      </c>
      <c r="H4323" s="43" t="s">
        <v>1364</v>
      </c>
      <c r="I4323" s="40" t="s">
        <v>1361</v>
      </c>
    </row>
    <row r="4324" spans="1:9" x14ac:dyDescent="0.25">
      <c r="A4324" s="40" t="s">
        <v>459</v>
      </c>
      <c r="B4324" s="28">
        <v>4278</v>
      </c>
      <c r="C4324" s="28" t="s">
        <v>1177</v>
      </c>
      <c r="D4324" s="28"/>
      <c r="E4324" s="45">
        <v>46157</v>
      </c>
      <c r="F4324" s="48">
        <v>0.70583333333333331</v>
      </c>
      <c r="G4324" s="44">
        <v>6.3</v>
      </c>
      <c r="H4324" s="43" t="s">
        <v>1363</v>
      </c>
      <c r="I4324" s="40" t="s">
        <v>1361</v>
      </c>
    </row>
    <row r="4325" spans="1:9" x14ac:dyDescent="0.25">
      <c r="A4325" s="40" t="s">
        <v>459</v>
      </c>
      <c r="B4325" s="28">
        <v>4278</v>
      </c>
      <c r="C4325" s="28" t="s">
        <v>1177</v>
      </c>
      <c r="D4325" s="28"/>
      <c r="E4325" s="45">
        <v>46157</v>
      </c>
      <c r="F4325" s="48">
        <v>0.72567129629629634</v>
      </c>
      <c r="G4325" s="44">
        <v>6.3</v>
      </c>
      <c r="H4325" s="43" t="s">
        <v>1364</v>
      </c>
      <c r="I4325" s="40" t="s">
        <v>1361</v>
      </c>
    </row>
    <row r="4326" spans="1:9" x14ac:dyDescent="0.25">
      <c r="A4326" s="40" t="s">
        <v>459</v>
      </c>
      <c r="B4326" s="28">
        <v>4278</v>
      </c>
      <c r="C4326" s="28" t="s">
        <v>1178</v>
      </c>
      <c r="D4326" s="28"/>
      <c r="E4326" s="41">
        <v>46158</v>
      </c>
      <c r="F4326" s="47">
        <v>0.6039930555555556</v>
      </c>
      <c r="G4326" s="44">
        <v>6.3</v>
      </c>
      <c r="H4326" s="43" t="s">
        <v>1364</v>
      </c>
      <c r="I4326" s="40" t="s">
        <v>1365</v>
      </c>
    </row>
    <row r="4327" spans="1:9" x14ac:dyDescent="0.25">
      <c r="A4327" s="40" t="s">
        <v>459</v>
      </c>
      <c r="B4327" s="28">
        <v>4278</v>
      </c>
      <c r="C4327" s="28" t="s">
        <v>1179</v>
      </c>
      <c r="D4327" s="28"/>
      <c r="E4327" s="41">
        <v>46158</v>
      </c>
      <c r="F4327" s="47">
        <v>0.67072916666666671</v>
      </c>
      <c r="G4327" s="44">
        <v>6.3</v>
      </c>
      <c r="H4327" s="43" t="s">
        <v>1360</v>
      </c>
      <c r="I4327" s="40" t="s">
        <v>1365</v>
      </c>
    </row>
    <row r="4328" spans="1:9" x14ac:dyDescent="0.25">
      <c r="A4328" s="40" t="s">
        <v>459</v>
      </c>
      <c r="B4328" s="28">
        <v>4278</v>
      </c>
      <c r="C4328" s="28" t="s">
        <v>1179</v>
      </c>
      <c r="D4328" s="28"/>
      <c r="E4328" s="41">
        <v>46158</v>
      </c>
      <c r="F4328" s="47">
        <v>0.68541666666666667</v>
      </c>
      <c r="G4328" s="44">
        <v>6.3</v>
      </c>
      <c r="H4328" s="43" t="s">
        <v>1366</v>
      </c>
      <c r="I4328" s="40" t="s">
        <v>1365</v>
      </c>
    </row>
    <row r="4329" spans="1:9" x14ac:dyDescent="0.25">
      <c r="A4329" s="40" t="s">
        <v>459</v>
      </c>
      <c r="B4329" s="28">
        <v>4278</v>
      </c>
      <c r="C4329" s="28" t="s">
        <v>1180</v>
      </c>
      <c r="D4329" s="28"/>
      <c r="E4329" s="41">
        <v>46158</v>
      </c>
      <c r="F4329" s="47">
        <v>0.80653935185185188</v>
      </c>
      <c r="G4329" s="44">
        <v>6.3</v>
      </c>
      <c r="H4329" s="43" t="s">
        <v>1369</v>
      </c>
      <c r="I4329" s="40" t="s">
        <v>1365</v>
      </c>
    </row>
    <row r="4330" spans="1:9" x14ac:dyDescent="0.25">
      <c r="A4330" s="40" t="s">
        <v>459</v>
      </c>
      <c r="B4330" s="28">
        <v>4278</v>
      </c>
      <c r="C4330" s="28" t="s">
        <v>1180</v>
      </c>
      <c r="D4330" s="28"/>
      <c r="E4330" s="41">
        <v>46158</v>
      </c>
      <c r="F4330" s="47">
        <v>0.81218749999999995</v>
      </c>
      <c r="G4330" s="44">
        <v>6.3</v>
      </c>
      <c r="H4330" s="43" t="s">
        <v>1364</v>
      </c>
      <c r="I4330" s="40" t="s">
        <v>1365</v>
      </c>
    </row>
    <row r="4331" spans="1:9" x14ac:dyDescent="0.25">
      <c r="A4331" s="40" t="s">
        <v>459</v>
      </c>
      <c r="B4331" s="28">
        <v>4278</v>
      </c>
      <c r="C4331" s="28" t="s">
        <v>1181</v>
      </c>
      <c r="D4331" s="28"/>
      <c r="E4331" s="41">
        <v>46158</v>
      </c>
      <c r="F4331" s="47">
        <v>0.97311342592592598</v>
      </c>
      <c r="G4331" s="44">
        <v>6.3</v>
      </c>
      <c r="H4331" s="43" t="s">
        <v>1360</v>
      </c>
      <c r="I4331" s="40" t="s">
        <v>1365</v>
      </c>
    </row>
    <row r="4332" spans="1:9" x14ac:dyDescent="0.25">
      <c r="A4332" s="40" t="s">
        <v>459</v>
      </c>
      <c r="B4332" s="28">
        <v>4278</v>
      </c>
      <c r="C4332" s="28" t="s">
        <v>1181</v>
      </c>
      <c r="D4332" s="28"/>
      <c r="E4332" s="45">
        <v>46158</v>
      </c>
      <c r="F4332" s="48">
        <v>0.97971064814814812</v>
      </c>
      <c r="G4332" s="44">
        <v>6.3</v>
      </c>
      <c r="H4332" s="43" t="s">
        <v>1362</v>
      </c>
      <c r="I4332" s="40" t="s">
        <v>1365</v>
      </c>
    </row>
    <row r="4333" spans="1:9" x14ac:dyDescent="0.25">
      <c r="A4333" s="40" t="s">
        <v>459</v>
      </c>
      <c r="B4333" s="28">
        <v>4278</v>
      </c>
      <c r="C4333" s="28" t="s">
        <v>1182</v>
      </c>
      <c r="D4333" s="28"/>
      <c r="E4333" s="41">
        <v>46159</v>
      </c>
      <c r="F4333" s="47">
        <v>0.72379629629629627</v>
      </c>
      <c r="G4333" s="42">
        <v>6.3</v>
      </c>
      <c r="H4333" s="40" t="s">
        <v>1364</v>
      </c>
      <c r="I4333" s="40" t="s">
        <v>1365</v>
      </c>
    </row>
    <row r="4334" spans="1:9" x14ac:dyDescent="0.25">
      <c r="A4334" s="40" t="s">
        <v>85</v>
      </c>
      <c r="B4334" s="28">
        <v>4286</v>
      </c>
      <c r="C4334" s="28">
        <v>5646118</v>
      </c>
      <c r="D4334" s="28" t="s">
        <v>37</v>
      </c>
      <c r="E4334" s="41">
        <v>46153</v>
      </c>
      <c r="F4334" s="47">
        <v>0.12798611111111111</v>
      </c>
      <c r="G4334" s="42">
        <v>6.3</v>
      </c>
      <c r="H4334" s="40" t="s">
        <v>1369</v>
      </c>
      <c r="I4334" s="40" t="s">
        <v>1361</v>
      </c>
    </row>
    <row r="4335" spans="1:9" x14ac:dyDescent="0.25">
      <c r="A4335" s="40" t="s">
        <v>85</v>
      </c>
      <c r="B4335" s="28">
        <v>4286</v>
      </c>
      <c r="C4335" s="28">
        <v>5646118</v>
      </c>
      <c r="D4335" s="28" t="s">
        <v>37</v>
      </c>
      <c r="E4335" s="41">
        <v>46153</v>
      </c>
      <c r="F4335" s="47">
        <v>0.13339120370370369</v>
      </c>
      <c r="G4335" s="42">
        <v>6.3</v>
      </c>
      <c r="H4335" s="40" t="s">
        <v>1364</v>
      </c>
      <c r="I4335" s="40" t="s">
        <v>1361</v>
      </c>
    </row>
    <row r="4336" spans="1:9" x14ac:dyDescent="0.25">
      <c r="A4336" s="40" t="s">
        <v>85</v>
      </c>
      <c r="B4336" s="28">
        <v>4286</v>
      </c>
      <c r="C4336" s="28">
        <v>5661644</v>
      </c>
      <c r="D4336" s="28"/>
      <c r="E4336" s="41">
        <v>46153</v>
      </c>
      <c r="F4336" s="47">
        <v>0.23905092592592592</v>
      </c>
      <c r="G4336" s="42">
        <v>6.3</v>
      </c>
      <c r="H4336" s="40" t="s">
        <v>1364</v>
      </c>
      <c r="I4336" s="40" t="s">
        <v>1361</v>
      </c>
    </row>
    <row r="4337" spans="1:9" x14ac:dyDescent="0.25">
      <c r="A4337" s="40" t="s">
        <v>85</v>
      </c>
      <c r="B4337" s="28">
        <v>4286</v>
      </c>
      <c r="C4337" s="28" t="s">
        <v>1183</v>
      </c>
      <c r="D4337" s="28"/>
      <c r="E4337" s="41">
        <v>46153</v>
      </c>
      <c r="F4337" s="47">
        <v>0.28043981481481484</v>
      </c>
      <c r="G4337" s="44">
        <v>6.3</v>
      </c>
      <c r="H4337" s="43" t="s">
        <v>1360</v>
      </c>
      <c r="I4337" s="40" t="s">
        <v>1361</v>
      </c>
    </row>
    <row r="4338" spans="1:9" x14ac:dyDescent="0.25">
      <c r="A4338" s="40" t="s">
        <v>85</v>
      </c>
      <c r="B4338" s="28">
        <v>4286</v>
      </c>
      <c r="C4338" s="28" t="s">
        <v>1183</v>
      </c>
      <c r="D4338" s="28"/>
      <c r="E4338" s="41">
        <v>46153</v>
      </c>
      <c r="F4338" s="47">
        <v>0.29256944444444444</v>
      </c>
      <c r="G4338" s="44">
        <v>6.3</v>
      </c>
      <c r="H4338" s="43" t="s">
        <v>1368</v>
      </c>
      <c r="I4338" s="40" t="s">
        <v>1361</v>
      </c>
    </row>
    <row r="4339" spans="1:9" x14ac:dyDescent="0.25">
      <c r="A4339" s="40" t="s">
        <v>85</v>
      </c>
      <c r="B4339" s="28">
        <v>4286</v>
      </c>
      <c r="C4339" s="28">
        <v>5661909</v>
      </c>
      <c r="D4339" s="28"/>
      <c r="E4339" s="41">
        <v>46153</v>
      </c>
      <c r="F4339" s="47">
        <v>0.34387731481481482</v>
      </c>
      <c r="G4339" s="44">
        <v>6.3</v>
      </c>
      <c r="H4339" s="43" t="s">
        <v>1369</v>
      </c>
      <c r="I4339" s="40" t="s">
        <v>1361</v>
      </c>
    </row>
    <row r="4340" spans="1:9" x14ac:dyDescent="0.25">
      <c r="A4340" s="40" t="s">
        <v>85</v>
      </c>
      <c r="B4340" s="28">
        <v>4286</v>
      </c>
      <c r="C4340" s="28">
        <v>5661909</v>
      </c>
      <c r="D4340" s="28"/>
      <c r="E4340" s="41">
        <v>46153</v>
      </c>
      <c r="F4340" s="47">
        <v>0.35842592592592593</v>
      </c>
      <c r="G4340" s="44">
        <v>6.3</v>
      </c>
      <c r="H4340" s="43" t="s">
        <v>1364</v>
      </c>
      <c r="I4340" s="40" t="s">
        <v>1361</v>
      </c>
    </row>
    <row r="4341" spans="1:9" x14ac:dyDescent="0.25">
      <c r="A4341" s="40" t="s">
        <v>85</v>
      </c>
      <c r="B4341" s="28">
        <v>4286</v>
      </c>
      <c r="C4341" s="28">
        <v>5664963</v>
      </c>
      <c r="D4341" s="28" t="s">
        <v>36</v>
      </c>
      <c r="E4341" s="41">
        <v>46154</v>
      </c>
      <c r="F4341" s="47">
        <v>0.60621527777777773</v>
      </c>
      <c r="G4341" s="44">
        <v>6.3</v>
      </c>
      <c r="H4341" s="43" t="s">
        <v>1360</v>
      </c>
      <c r="I4341" s="40" t="s">
        <v>1361</v>
      </c>
    </row>
    <row r="4342" spans="1:9" x14ac:dyDescent="0.25">
      <c r="A4342" s="40" t="s">
        <v>85</v>
      </c>
      <c r="B4342" s="28">
        <v>4286</v>
      </c>
      <c r="C4342" s="28">
        <v>5667318</v>
      </c>
      <c r="D4342" s="28" t="s">
        <v>37</v>
      </c>
      <c r="E4342" s="41">
        <v>46156</v>
      </c>
      <c r="F4342" s="47">
        <v>0.32741898148148146</v>
      </c>
      <c r="G4342" s="44">
        <v>6.3</v>
      </c>
      <c r="H4342" s="43" t="s">
        <v>1363</v>
      </c>
      <c r="I4342" s="40" t="s">
        <v>1361</v>
      </c>
    </row>
    <row r="4343" spans="1:9" x14ac:dyDescent="0.25">
      <c r="A4343" s="40" t="s">
        <v>85</v>
      </c>
      <c r="B4343" s="28">
        <v>4286</v>
      </c>
      <c r="C4343" s="28">
        <v>5667318</v>
      </c>
      <c r="D4343" s="28" t="s">
        <v>37</v>
      </c>
      <c r="E4343" s="41">
        <v>46156</v>
      </c>
      <c r="F4343" s="47">
        <v>0.33393518518518517</v>
      </c>
      <c r="G4343" s="44">
        <v>6.3</v>
      </c>
      <c r="H4343" s="43" t="s">
        <v>1364</v>
      </c>
      <c r="I4343" s="40" t="s">
        <v>1361</v>
      </c>
    </row>
    <row r="4344" spans="1:9" x14ac:dyDescent="0.25">
      <c r="A4344" s="40" t="s">
        <v>85</v>
      </c>
      <c r="B4344" s="28">
        <v>4286</v>
      </c>
      <c r="C4344" s="28" t="s">
        <v>35</v>
      </c>
      <c r="D4344" s="28" t="s">
        <v>38</v>
      </c>
      <c r="E4344" s="45">
        <v>46156</v>
      </c>
      <c r="F4344" s="48">
        <v>0.57541666666666669</v>
      </c>
      <c r="G4344" s="44">
        <v>6.3</v>
      </c>
      <c r="H4344" s="43" t="s">
        <v>1363</v>
      </c>
      <c r="I4344" s="40" t="s">
        <v>1361</v>
      </c>
    </row>
    <row r="4345" spans="1:9" x14ac:dyDescent="0.25">
      <c r="A4345" s="40" t="s">
        <v>85</v>
      </c>
      <c r="B4345" s="28">
        <v>4286</v>
      </c>
      <c r="C4345" s="28">
        <v>5668615</v>
      </c>
      <c r="D4345" s="28"/>
      <c r="E4345" s="41">
        <v>46156</v>
      </c>
      <c r="F4345" s="47">
        <v>0.66535879629629635</v>
      </c>
      <c r="G4345" s="42">
        <v>6.3</v>
      </c>
      <c r="H4345" s="40" t="s">
        <v>1360</v>
      </c>
      <c r="I4345" s="40" t="s">
        <v>1361</v>
      </c>
    </row>
    <row r="4346" spans="1:9" x14ac:dyDescent="0.25">
      <c r="A4346" s="40" t="s">
        <v>85</v>
      </c>
      <c r="B4346" s="28">
        <v>4286</v>
      </c>
      <c r="C4346" s="28">
        <v>5668615</v>
      </c>
      <c r="D4346" s="28"/>
      <c r="E4346" s="41">
        <v>46156</v>
      </c>
      <c r="F4346" s="47">
        <v>0.68043981481481486</v>
      </c>
      <c r="G4346" s="42">
        <v>6.3</v>
      </c>
      <c r="H4346" s="40" t="s">
        <v>1362</v>
      </c>
      <c r="I4346" s="40" t="s">
        <v>1361</v>
      </c>
    </row>
    <row r="4347" spans="1:9" x14ac:dyDescent="0.25">
      <c r="A4347" s="40" t="s">
        <v>85</v>
      </c>
      <c r="B4347" s="28">
        <v>4286</v>
      </c>
      <c r="C4347" s="28">
        <v>5669900</v>
      </c>
      <c r="D4347" s="28"/>
      <c r="E4347" s="41">
        <v>46157</v>
      </c>
      <c r="F4347" s="47">
        <v>0.6555671296296296</v>
      </c>
      <c r="G4347" s="44">
        <v>6.3</v>
      </c>
      <c r="H4347" s="43" t="s">
        <v>1360</v>
      </c>
      <c r="I4347" s="40" t="s">
        <v>1361</v>
      </c>
    </row>
    <row r="4348" spans="1:9" x14ac:dyDescent="0.25">
      <c r="A4348" s="40" t="s">
        <v>85</v>
      </c>
      <c r="B4348" s="28">
        <v>4286</v>
      </c>
      <c r="C4348" s="28">
        <v>5669900</v>
      </c>
      <c r="D4348" s="28"/>
      <c r="E4348" s="41">
        <v>46157</v>
      </c>
      <c r="F4348" s="47">
        <v>0.66962962962962957</v>
      </c>
      <c r="G4348" s="44">
        <v>6.3</v>
      </c>
      <c r="H4348" s="43" t="s">
        <v>1362</v>
      </c>
      <c r="I4348" s="40" t="s">
        <v>1361</v>
      </c>
    </row>
    <row r="4349" spans="1:9" x14ac:dyDescent="0.25">
      <c r="A4349" s="40" t="s">
        <v>85</v>
      </c>
      <c r="B4349" s="28">
        <v>4286</v>
      </c>
      <c r="C4349" s="28">
        <v>5671014</v>
      </c>
      <c r="D4349" s="28" t="s">
        <v>36</v>
      </c>
      <c r="E4349" s="41">
        <v>46158</v>
      </c>
      <c r="F4349" s="47">
        <v>0.23923611111111112</v>
      </c>
      <c r="G4349" s="44">
        <v>6.3</v>
      </c>
      <c r="H4349" s="43" t="s">
        <v>1363</v>
      </c>
      <c r="I4349" s="40" t="s">
        <v>1365</v>
      </c>
    </row>
    <row r="4350" spans="1:9" x14ac:dyDescent="0.25">
      <c r="A4350" s="40" t="s">
        <v>85</v>
      </c>
      <c r="B4350" s="28">
        <v>4286</v>
      </c>
      <c r="C4350" s="28">
        <v>5671014</v>
      </c>
      <c r="D4350" s="28" t="s">
        <v>36</v>
      </c>
      <c r="E4350" s="41">
        <v>46158</v>
      </c>
      <c r="F4350" s="47">
        <v>0.24491898148148147</v>
      </c>
      <c r="G4350" s="44">
        <v>6.3</v>
      </c>
      <c r="H4350" s="43" t="s">
        <v>1364</v>
      </c>
      <c r="I4350" s="40" t="s">
        <v>1365</v>
      </c>
    </row>
    <row r="4351" spans="1:9" x14ac:dyDescent="0.25">
      <c r="A4351" s="40" t="s">
        <v>85</v>
      </c>
      <c r="B4351" s="28">
        <v>4286</v>
      </c>
      <c r="C4351" s="28">
        <v>5671275</v>
      </c>
      <c r="D4351" s="28"/>
      <c r="E4351" s="41">
        <v>46158</v>
      </c>
      <c r="F4351" s="47">
        <v>0.36335648148148147</v>
      </c>
      <c r="G4351" s="44">
        <v>6.3</v>
      </c>
      <c r="H4351" s="43" t="s">
        <v>1360</v>
      </c>
      <c r="I4351" s="40" t="s">
        <v>1365</v>
      </c>
    </row>
    <row r="4352" spans="1:9" x14ac:dyDescent="0.25">
      <c r="A4352" s="40" t="s">
        <v>85</v>
      </c>
      <c r="B4352" s="28">
        <v>4286</v>
      </c>
      <c r="C4352" s="28" t="s">
        <v>35</v>
      </c>
      <c r="D4352" s="28" t="s">
        <v>38</v>
      </c>
      <c r="E4352" s="41">
        <v>46158</v>
      </c>
      <c r="F4352" s="47">
        <v>0.39086805555555554</v>
      </c>
      <c r="G4352" s="42">
        <v>6.3</v>
      </c>
      <c r="H4352" s="40" t="s">
        <v>1363</v>
      </c>
      <c r="I4352" s="40" t="s">
        <v>1365</v>
      </c>
    </row>
    <row r="4353" spans="1:9" x14ac:dyDescent="0.25">
      <c r="A4353" s="40" t="s">
        <v>85</v>
      </c>
      <c r="B4353" s="28">
        <v>4286</v>
      </c>
      <c r="C4353" s="28" t="s">
        <v>1184</v>
      </c>
      <c r="D4353" s="28"/>
      <c r="E4353" s="41">
        <v>46158</v>
      </c>
      <c r="F4353" s="47">
        <v>0.57530092592592597</v>
      </c>
      <c r="G4353" s="42">
        <v>6.3</v>
      </c>
      <c r="H4353" s="40" t="s">
        <v>1360</v>
      </c>
      <c r="I4353" s="40" t="s">
        <v>1365</v>
      </c>
    </row>
    <row r="4354" spans="1:9" x14ac:dyDescent="0.25">
      <c r="A4354" s="40" t="s">
        <v>85</v>
      </c>
      <c r="B4354" s="28">
        <v>4286</v>
      </c>
      <c r="C4354" s="28" t="s">
        <v>1184</v>
      </c>
      <c r="D4354" s="28"/>
      <c r="E4354" s="41">
        <v>46158</v>
      </c>
      <c r="F4354" s="47">
        <v>0.58989583333333329</v>
      </c>
      <c r="G4354" s="42">
        <v>6.3</v>
      </c>
      <c r="H4354" s="40" t="s">
        <v>1362</v>
      </c>
      <c r="I4354" s="40" t="s">
        <v>1365</v>
      </c>
    </row>
    <row r="4355" spans="1:9" x14ac:dyDescent="0.25">
      <c r="A4355" s="40" t="s">
        <v>85</v>
      </c>
      <c r="B4355" s="28">
        <v>4286</v>
      </c>
      <c r="C4355" s="28" t="s">
        <v>1185</v>
      </c>
      <c r="D4355" s="28"/>
      <c r="E4355" s="41">
        <v>46159</v>
      </c>
      <c r="F4355" s="47">
        <v>0.31145833333333334</v>
      </c>
      <c r="G4355" s="44">
        <v>6.3</v>
      </c>
      <c r="H4355" s="43" t="s">
        <v>1360</v>
      </c>
      <c r="I4355" s="40" t="s">
        <v>1365</v>
      </c>
    </row>
    <row r="4356" spans="1:9" x14ac:dyDescent="0.25">
      <c r="A4356" s="40" t="s">
        <v>85</v>
      </c>
      <c r="B4356" s="28">
        <v>4286</v>
      </c>
      <c r="C4356" s="28" t="s">
        <v>1185</v>
      </c>
      <c r="D4356" s="28"/>
      <c r="E4356" s="45">
        <v>46159</v>
      </c>
      <c r="F4356" s="48">
        <v>0.31997685185185187</v>
      </c>
      <c r="G4356" s="44">
        <v>6.3</v>
      </c>
      <c r="H4356" s="43" t="s">
        <v>1362</v>
      </c>
      <c r="I4356" s="40" t="s">
        <v>1365</v>
      </c>
    </row>
    <row r="4357" spans="1:9" x14ac:dyDescent="0.25">
      <c r="A4357" s="40" t="s">
        <v>85</v>
      </c>
      <c r="B4357" s="28">
        <v>4286</v>
      </c>
      <c r="C4357" s="28" t="s">
        <v>35</v>
      </c>
      <c r="D4357" s="28" t="s">
        <v>38</v>
      </c>
      <c r="E4357" s="41">
        <v>46159</v>
      </c>
      <c r="F4357" s="47">
        <v>0.33778935185185183</v>
      </c>
      <c r="G4357" s="44">
        <v>6.3</v>
      </c>
      <c r="H4357" s="43" t="s">
        <v>1363</v>
      </c>
      <c r="I4357" s="40" t="s">
        <v>1365</v>
      </c>
    </row>
    <row r="4358" spans="1:9" x14ac:dyDescent="0.25">
      <c r="A4358" s="40" t="s">
        <v>85</v>
      </c>
      <c r="B4358" s="28">
        <v>4286</v>
      </c>
      <c r="C4358" s="28" t="s">
        <v>35</v>
      </c>
      <c r="D4358" s="28" t="s">
        <v>38</v>
      </c>
      <c r="E4358" s="41">
        <v>46159</v>
      </c>
      <c r="F4358" s="47">
        <v>0.66339120370370375</v>
      </c>
      <c r="G4358" s="44">
        <v>6.3</v>
      </c>
      <c r="H4358" s="43" t="s">
        <v>1368</v>
      </c>
      <c r="I4358" s="40" t="s">
        <v>1365</v>
      </c>
    </row>
    <row r="4359" spans="1:9" x14ac:dyDescent="0.25">
      <c r="A4359" s="40" t="s">
        <v>460</v>
      </c>
      <c r="B4359" s="28">
        <v>4290</v>
      </c>
      <c r="C4359" s="28">
        <v>5663170</v>
      </c>
      <c r="D4359" s="28"/>
      <c r="E4359" s="45">
        <v>46153</v>
      </c>
      <c r="F4359" s="48">
        <v>0.96723379629629624</v>
      </c>
      <c r="G4359" s="44">
        <v>6.3</v>
      </c>
      <c r="H4359" s="43" t="s">
        <v>1360</v>
      </c>
      <c r="I4359" s="40" t="s">
        <v>1361</v>
      </c>
    </row>
    <row r="4360" spans="1:9" x14ac:dyDescent="0.25">
      <c r="A4360" s="40" t="s">
        <v>460</v>
      </c>
      <c r="B4360" s="28">
        <v>4290</v>
      </c>
      <c r="C4360" s="28">
        <v>5663170</v>
      </c>
      <c r="D4360" s="28"/>
      <c r="E4360" s="41">
        <v>46153</v>
      </c>
      <c r="F4360" s="47">
        <v>0.97469907407407408</v>
      </c>
      <c r="G4360" s="44">
        <v>6.3</v>
      </c>
      <c r="H4360" s="43" t="s">
        <v>1368</v>
      </c>
      <c r="I4360" s="40" t="s">
        <v>1361</v>
      </c>
    </row>
    <row r="4361" spans="1:9" x14ac:dyDescent="0.25">
      <c r="A4361" s="40" t="s">
        <v>460</v>
      </c>
      <c r="B4361" s="28">
        <v>4290</v>
      </c>
      <c r="C4361" s="28" t="s">
        <v>1186</v>
      </c>
      <c r="D4361" s="28"/>
      <c r="E4361" s="41">
        <v>46157</v>
      </c>
      <c r="F4361" s="47">
        <v>0.13087962962962962</v>
      </c>
      <c r="G4361" s="44">
        <v>6.3</v>
      </c>
      <c r="H4361" s="43" t="s">
        <v>1360</v>
      </c>
      <c r="I4361" s="40" t="s">
        <v>1361</v>
      </c>
    </row>
    <row r="4362" spans="1:9" x14ac:dyDescent="0.25">
      <c r="A4362" s="40" t="s">
        <v>460</v>
      </c>
      <c r="B4362" s="28">
        <v>4290</v>
      </c>
      <c r="C4362" s="28" t="s">
        <v>1186</v>
      </c>
      <c r="D4362" s="28"/>
      <c r="E4362" s="45">
        <v>46157</v>
      </c>
      <c r="F4362" s="48">
        <v>0.13868055555555556</v>
      </c>
      <c r="G4362" s="44">
        <v>6.3</v>
      </c>
      <c r="H4362" s="43" t="s">
        <v>1362</v>
      </c>
      <c r="I4362" s="40" t="s">
        <v>1361</v>
      </c>
    </row>
    <row r="4363" spans="1:9" x14ac:dyDescent="0.25">
      <c r="A4363" s="40" t="s">
        <v>460</v>
      </c>
      <c r="B4363" s="28">
        <v>4290</v>
      </c>
      <c r="C4363" s="28" t="s">
        <v>1187</v>
      </c>
      <c r="D4363" s="28"/>
      <c r="E4363" s="41">
        <v>46159</v>
      </c>
      <c r="F4363" s="47">
        <v>0.93201388888888892</v>
      </c>
      <c r="G4363" s="44">
        <v>6.3</v>
      </c>
      <c r="H4363" s="43" t="s">
        <v>1360</v>
      </c>
      <c r="I4363" s="40" t="s">
        <v>1365</v>
      </c>
    </row>
    <row r="4364" spans="1:9" x14ac:dyDescent="0.25">
      <c r="A4364" s="40" t="s">
        <v>460</v>
      </c>
      <c r="B4364" s="28">
        <v>4290</v>
      </c>
      <c r="C4364" s="28" t="s">
        <v>1187</v>
      </c>
      <c r="D4364" s="28"/>
      <c r="E4364" s="41">
        <v>46159</v>
      </c>
      <c r="F4364" s="47">
        <v>0.9394675925925926</v>
      </c>
      <c r="G4364" s="44">
        <v>6.3</v>
      </c>
      <c r="H4364" s="43" t="s">
        <v>1362</v>
      </c>
      <c r="I4364" s="40" t="s">
        <v>1365</v>
      </c>
    </row>
    <row r="4365" spans="1:9" x14ac:dyDescent="0.25">
      <c r="A4365" s="40" t="s">
        <v>461</v>
      </c>
      <c r="B4365" s="28">
        <v>4294</v>
      </c>
      <c r="C4365" s="28" t="s">
        <v>1188</v>
      </c>
      <c r="D4365" s="28"/>
      <c r="E4365" s="41">
        <v>46154</v>
      </c>
      <c r="F4365" s="47">
        <v>0.26078703703703704</v>
      </c>
      <c r="G4365" s="44">
        <v>6.3</v>
      </c>
      <c r="H4365" s="43" t="s">
        <v>1364</v>
      </c>
      <c r="I4365" s="40" t="s">
        <v>1361</v>
      </c>
    </row>
    <row r="4366" spans="1:9" x14ac:dyDescent="0.25">
      <c r="A4366" s="40" t="s">
        <v>461</v>
      </c>
      <c r="B4366" s="28">
        <v>4294</v>
      </c>
      <c r="C4366" s="28" t="s">
        <v>1189</v>
      </c>
      <c r="D4366" s="28"/>
      <c r="E4366" s="45">
        <v>46155</v>
      </c>
      <c r="F4366" s="48">
        <v>0.28106481481481482</v>
      </c>
      <c r="G4366" s="44">
        <v>6.3</v>
      </c>
      <c r="H4366" s="43" t="s">
        <v>1370</v>
      </c>
      <c r="I4366" s="40" t="s">
        <v>1361</v>
      </c>
    </row>
    <row r="4367" spans="1:9" x14ac:dyDescent="0.25">
      <c r="A4367" s="40" t="s">
        <v>461</v>
      </c>
      <c r="B4367" s="28">
        <v>4294</v>
      </c>
      <c r="C4367" s="28" t="s">
        <v>1189</v>
      </c>
      <c r="D4367" s="28"/>
      <c r="E4367" s="41">
        <v>46155</v>
      </c>
      <c r="F4367" s="47">
        <v>0.29983796296296295</v>
      </c>
      <c r="G4367" s="44">
        <v>6.3</v>
      </c>
      <c r="H4367" s="43" t="s">
        <v>1364</v>
      </c>
      <c r="I4367" s="40" t="s">
        <v>1361</v>
      </c>
    </row>
    <row r="4368" spans="1:9" x14ac:dyDescent="0.25">
      <c r="A4368" s="40" t="s">
        <v>503</v>
      </c>
      <c r="B4368" s="28">
        <v>4295</v>
      </c>
      <c r="C4368" s="28" t="s">
        <v>35</v>
      </c>
      <c r="D4368" s="28" t="s">
        <v>38</v>
      </c>
      <c r="E4368" s="41">
        <v>46155</v>
      </c>
      <c r="F4368" s="47">
        <v>0.38923611111111112</v>
      </c>
      <c r="G4368" s="44">
        <v>6.3</v>
      </c>
      <c r="H4368" s="43" t="s">
        <v>1364</v>
      </c>
      <c r="I4368" s="40" t="s">
        <v>1361</v>
      </c>
    </row>
    <row r="4369" spans="1:9" x14ac:dyDescent="0.25">
      <c r="A4369" s="40" t="s">
        <v>503</v>
      </c>
      <c r="B4369" s="28">
        <v>4295</v>
      </c>
      <c r="C4369" s="28">
        <v>5673164</v>
      </c>
      <c r="D4369" s="28"/>
      <c r="E4369" s="41">
        <v>46159</v>
      </c>
      <c r="F4369" s="47">
        <v>0.98388888888888892</v>
      </c>
      <c r="G4369" s="44">
        <v>6.3</v>
      </c>
      <c r="H4369" s="43" t="s">
        <v>1363</v>
      </c>
      <c r="I4369" s="40" t="s">
        <v>1365</v>
      </c>
    </row>
    <row r="4370" spans="1:9" x14ac:dyDescent="0.25">
      <c r="A4370" s="40" t="s">
        <v>503</v>
      </c>
      <c r="B4370" s="28">
        <v>4295</v>
      </c>
      <c r="C4370" s="28">
        <v>5673164</v>
      </c>
      <c r="D4370" s="28"/>
      <c r="E4370" s="41">
        <v>46159</v>
      </c>
      <c r="F4370" s="47">
        <v>0.98976851851851855</v>
      </c>
      <c r="G4370" s="44">
        <v>6.3</v>
      </c>
      <c r="H4370" s="43" t="s">
        <v>1364</v>
      </c>
      <c r="I4370" s="40" t="s">
        <v>1365</v>
      </c>
    </row>
    <row r="4371" spans="1:9" x14ac:dyDescent="0.25">
      <c r="A4371" s="40" t="s">
        <v>462</v>
      </c>
      <c r="B4371" s="28">
        <v>4296</v>
      </c>
      <c r="C4371" s="28" t="s">
        <v>1190</v>
      </c>
      <c r="D4371" s="28"/>
      <c r="E4371" s="41">
        <v>46153</v>
      </c>
      <c r="F4371" s="47">
        <v>0.57909722222222226</v>
      </c>
      <c r="G4371" s="42">
        <v>6.3</v>
      </c>
      <c r="H4371" s="40" t="s">
        <v>1360</v>
      </c>
      <c r="I4371" s="40" t="s">
        <v>1361</v>
      </c>
    </row>
    <row r="4372" spans="1:9" x14ac:dyDescent="0.25">
      <c r="A4372" s="40" t="s">
        <v>462</v>
      </c>
      <c r="B4372" s="28">
        <v>4296</v>
      </c>
      <c r="C4372" s="28" t="s">
        <v>1191</v>
      </c>
      <c r="D4372" s="28"/>
      <c r="E4372" s="41">
        <v>46154</v>
      </c>
      <c r="F4372" s="47">
        <v>0.3253240740740741</v>
      </c>
      <c r="G4372" s="42">
        <v>6.3</v>
      </c>
      <c r="H4372" s="40" t="s">
        <v>1360</v>
      </c>
      <c r="I4372" s="40" t="s">
        <v>1361</v>
      </c>
    </row>
    <row r="4373" spans="1:9" x14ac:dyDescent="0.25">
      <c r="A4373" s="40" t="s">
        <v>462</v>
      </c>
      <c r="B4373" s="28">
        <v>4296</v>
      </c>
      <c r="C4373" s="28" t="s">
        <v>1191</v>
      </c>
      <c r="D4373" s="28"/>
      <c r="E4373" s="41">
        <v>46154</v>
      </c>
      <c r="F4373" s="47">
        <v>0.34280092592592593</v>
      </c>
      <c r="G4373" s="42">
        <v>6.3</v>
      </c>
      <c r="H4373" s="40" t="s">
        <v>1362</v>
      </c>
      <c r="I4373" s="40" t="s">
        <v>1361</v>
      </c>
    </row>
    <row r="4374" spans="1:9" x14ac:dyDescent="0.25">
      <c r="A4374" s="40" t="s">
        <v>462</v>
      </c>
      <c r="B4374" s="28">
        <v>4296</v>
      </c>
      <c r="C4374" s="28" t="s">
        <v>1192</v>
      </c>
      <c r="D4374" s="28"/>
      <c r="E4374" s="45">
        <v>46155</v>
      </c>
      <c r="F4374" s="48">
        <v>0.71739583333333334</v>
      </c>
      <c r="G4374" s="42">
        <v>6.3</v>
      </c>
      <c r="H4374" s="40" t="s">
        <v>1370</v>
      </c>
      <c r="I4374" s="40" t="s">
        <v>1361</v>
      </c>
    </row>
    <row r="4375" spans="1:9" x14ac:dyDescent="0.25">
      <c r="A4375" s="40" t="s">
        <v>462</v>
      </c>
      <c r="B4375" s="28">
        <v>4296</v>
      </c>
      <c r="C4375" s="28" t="s">
        <v>1192</v>
      </c>
      <c r="D4375" s="28"/>
      <c r="E4375" s="45">
        <v>46155</v>
      </c>
      <c r="F4375" s="48">
        <v>0.72994212962962968</v>
      </c>
      <c r="G4375" s="44">
        <v>6.3</v>
      </c>
      <c r="H4375" s="43" t="s">
        <v>1364</v>
      </c>
      <c r="I4375" s="40" t="s">
        <v>1361</v>
      </c>
    </row>
    <row r="4376" spans="1:9" x14ac:dyDescent="0.25">
      <c r="A4376" s="40" t="s">
        <v>462</v>
      </c>
      <c r="B4376" s="28">
        <v>4296</v>
      </c>
      <c r="C4376" s="28" t="s">
        <v>1193</v>
      </c>
      <c r="D4376" s="28"/>
      <c r="E4376" s="45">
        <v>46156</v>
      </c>
      <c r="F4376" s="48">
        <v>0.3308564814814815</v>
      </c>
      <c r="G4376" s="44">
        <v>6.3</v>
      </c>
      <c r="H4376" s="43" t="s">
        <v>1360</v>
      </c>
      <c r="I4376" s="40" t="s">
        <v>1361</v>
      </c>
    </row>
    <row r="4377" spans="1:9" x14ac:dyDescent="0.25">
      <c r="A4377" s="40" t="s">
        <v>462</v>
      </c>
      <c r="B4377" s="28">
        <v>4296</v>
      </c>
      <c r="C4377" s="28" t="s">
        <v>1193</v>
      </c>
      <c r="D4377" s="28"/>
      <c r="E4377" s="41">
        <v>46156</v>
      </c>
      <c r="F4377" s="47">
        <v>0.3508101851851852</v>
      </c>
      <c r="G4377" s="44">
        <v>6.3</v>
      </c>
      <c r="H4377" s="43" t="s">
        <v>1362</v>
      </c>
      <c r="I4377" s="40" t="s">
        <v>1361</v>
      </c>
    </row>
    <row r="4378" spans="1:9" x14ac:dyDescent="0.25">
      <c r="A4378" s="40" t="s">
        <v>463</v>
      </c>
      <c r="B4378" s="28">
        <v>4300</v>
      </c>
      <c r="C4378" s="28">
        <v>5661379</v>
      </c>
      <c r="D4378" s="28"/>
      <c r="E4378" s="41">
        <v>46154</v>
      </c>
      <c r="F4378" s="47">
        <v>0.80671296296296291</v>
      </c>
      <c r="G4378" s="44">
        <v>6.3</v>
      </c>
      <c r="H4378" s="43" t="s">
        <v>1360</v>
      </c>
      <c r="I4378" s="40" t="s">
        <v>1361</v>
      </c>
    </row>
    <row r="4379" spans="1:9" x14ac:dyDescent="0.25">
      <c r="A4379" s="40" t="s">
        <v>463</v>
      </c>
      <c r="B4379" s="28">
        <v>4300</v>
      </c>
      <c r="C4379" s="28">
        <v>5661379</v>
      </c>
      <c r="D4379" s="28"/>
      <c r="E4379" s="41">
        <v>46154</v>
      </c>
      <c r="F4379" s="47">
        <v>0.82317129629629626</v>
      </c>
      <c r="G4379" s="44">
        <v>6.3</v>
      </c>
      <c r="H4379" s="43" t="s">
        <v>1362</v>
      </c>
      <c r="I4379" s="40" t="s">
        <v>1361</v>
      </c>
    </row>
    <row r="4380" spans="1:9" x14ac:dyDescent="0.25">
      <c r="A4380" s="40" t="s">
        <v>463</v>
      </c>
      <c r="B4380" s="28">
        <v>4300</v>
      </c>
      <c r="C4380" s="28" t="s">
        <v>1194</v>
      </c>
      <c r="D4380" s="28"/>
      <c r="E4380" s="41">
        <v>46156</v>
      </c>
      <c r="F4380" s="47">
        <v>0.67540509259259263</v>
      </c>
      <c r="G4380" s="44">
        <v>6.3</v>
      </c>
      <c r="H4380" s="43" t="s">
        <v>1360</v>
      </c>
      <c r="I4380" s="40" t="s">
        <v>1361</v>
      </c>
    </row>
    <row r="4381" spans="1:9" x14ac:dyDescent="0.25">
      <c r="A4381" s="40" t="s">
        <v>463</v>
      </c>
      <c r="B4381" s="28">
        <v>4300</v>
      </c>
      <c r="C4381" s="28" t="s">
        <v>1194</v>
      </c>
      <c r="D4381" s="28"/>
      <c r="E4381" s="45">
        <v>46156</v>
      </c>
      <c r="F4381" s="48">
        <v>0.69157407407407412</v>
      </c>
      <c r="G4381" s="44">
        <v>6.3</v>
      </c>
      <c r="H4381" s="43" t="s">
        <v>1362</v>
      </c>
      <c r="I4381" s="40" t="s">
        <v>1361</v>
      </c>
    </row>
    <row r="4382" spans="1:9" x14ac:dyDescent="0.25">
      <c r="A4382" s="40" t="s">
        <v>463</v>
      </c>
      <c r="B4382" s="28">
        <v>4300</v>
      </c>
      <c r="C4382" s="28">
        <v>5671229</v>
      </c>
      <c r="D4382" s="28"/>
      <c r="E4382" s="41">
        <v>46158</v>
      </c>
      <c r="F4382" s="47">
        <v>0.28903935185185187</v>
      </c>
      <c r="G4382" s="42">
        <v>6.3</v>
      </c>
      <c r="H4382" s="40" t="s">
        <v>1360</v>
      </c>
      <c r="I4382" s="40" t="s">
        <v>1365</v>
      </c>
    </row>
    <row r="4383" spans="1:9" x14ac:dyDescent="0.25">
      <c r="A4383" s="40" t="s">
        <v>463</v>
      </c>
      <c r="B4383" s="28">
        <v>4300</v>
      </c>
      <c r="C4383" s="28">
        <v>5671229</v>
      </c>
      <c r="D4383" s="28"/>
      <c r="E4383" s="41">
        <v>46158</v>
      </c>
      <c r="F4383" s="47">
        <v>0.30085648148148147</v>
      </c>
      <c r="G4383" s="42">
        <v>6.3</v>
      </c>
      <c r="H4383" s="40" t="s">
        <v>1362</v>
      </c>
      <c r="I4383" s="40" t="s">
        <v>1365</v>
      </c>
    </row>
    <row r="4384" spans="1:9" x14ac:dyDescent="0.25">
      <c r="A4384" s="40" t="s">
        <v>463</v>
      </c>
      <c r="B4384" s="28">
        <v>4300</v>
      </c>
      <c r="C4384" s="28" t="s">
        <v>1195</v>
      </c>
      <c r="D4384" s="28"/>
      <c r="E4384" s="41">
        <v>46158</v>
      </c>
      <c r="F4384" s="47">
        <v>0.42042824074074076</v>
      </c>
      <c r="G4384" s="42">
        <v>6.3</v>
      </c>
      <c r="H4384" s="40" t="s">
        <v>1360</v>
      </c>
      <c r="I4384" s="40" t="s">
        <v>1365</v>
      </c>
    </row>
    <row r="4385" spans="1:9" x14ac:dyDescent="0.25">
      <c r="A4385" s="40" t="s">
        <v>463</v>
      </c>
      <c r="B4385" s="28">
        <v>4300</v>
      </c>
      <c r="C4385" s="28" t="s">
        <v>1195</v>
      </c>
      <c r="D4385" s="28"/>
      <c r="E4385" s="41">
        <v>46158</v>
      </c>
      <c r="F4385" s="47">
        <v>0.43761574074074072</v>
      </c>
      <c r="G4385" s="42">
        <v>6.3</v>
      </c>
      <c r="H4385" s="40" t="s">
        <v>1364</v>
      </c>
      <c r="I4385" s="40" t="s">
        <v>1365</v>
      </c>
    </row>
    <row r="4386" spans="1:9" x14ac:dyDescent="0.25">
      <c r="A4386" s="40" t="s">
        <v>464</v>
      </c>
      <c r="B4386" s="28">
        <v>4301</v>
      </c>
      <c r="C4386" s="28" t="s">
        <v>1196</v>
      </c>
      <c r="D4386" s="28"/>
      <c r="E4386" s="41">
        <v>46154</v>
      </c>
      <c r="F4386" s="47">
        <v>0.32451388888888888</v>
      </c>
      <c r="G4386" s="42">
        <v>6.3</v>
      </c>
      <c r="H4386" s="40" t="s">
        <v>1360</v>
      </c>
      <c r="I4386" s="40" t="s">
        <v>1361</v>
      </c>
    </row>
    <row r="4387" spans="1:9" x14ac:dyDescent="0.25">
      <c r="A4387" s="40" t="s">
        <v>464</v>
      </c>
      <c r="B4387" s="28">
        <v>4301</v>
      </c>
      <c r="C4387" s="28" t="s">
        <v>1196</v>
      </c>
      <c r="D4387" s="28"/>
      <c r="E4387" s="41">
        <v>46154</v>
      </c>
      <c r="F4387" s="47">
        <v>0.34447916666666667</v>
      </c>
      <c r="G4387" s="44">
        <v>6.3</v>
      </c>
      <c r="H4387" s="43" t="s">
        <v>1362</v>
      </c>
      <c r="I4387" s="40" t="s">
        <v>1361</v>
      </c>
    </row>
    <row r="4388" spans="1:9" x14ac:dyDescent="0.25">
      <c r="A4388" s="40" t="s">
        <v>464</v>
      </c>
      <c r="B4388" s="28">
        <v>4301</v>
      </c>
      <c r="C4388" s="28" t="s">
        <v>1197</v>
      </c>
      <c r="D4388" s="28"/>
      <c r="E4388" s="41">
        <v>46154</v>
      </c>
      <c r="F4388" s="47">
        <v>0.43400462962962966</v>
      </c>
      <c r="G4388" s="44">
        <v>6.3</v>
      </c>
      <c r="H4388" s="43" t="s">
        <v>1369</v>
      </c>
      <c r="I4388" s="40" t="s">
        <v>1361</v>
      </c>
    </row>
    <row r="4389" spans="1:9" x14ac:dyDescent="0.25">
      <c r="A4389" s="40" t="s">
        <v>464</v>
      </c>
      <c r="B4389" s="28">
        <v>4301</v>
      </c>
      <c r="C4389" s="28" t="s">
        <v>1197</v>
      </c>
      <c r="D4389" s="28"/>
      <c r="E4389" s="41">
        <v>46154</v>
      </c>
      <c r="F4389" s="47">
        <v>0.43979166666666669</v>
      </c>
      <c r="G4389" s="44">
        <v>6.3</v>
      </c>
      <c r="H4389" s="43" t="s">
        <v>1364</v>
      </c>
      <c r="I4389" s="40" t="s">
        <v>1361</v>
      </c>
    </row>
    <row r="4390" spans="1:9" x14ac:dyDescent="0.25">
      <c r="A4390" s="40" t="s">
        <v>464</v>
      </c>
      <c r="B4390" s="28">
        <v>4301</v>
      </c>
      <c r="C4390" s="28" t="s">
        <v>35</v>
      </c>
      <c r="D4390" s="28" t="s">
        <v>38</v>
      </c>
      <c r="E4390" s="41">
        <v>46156</v>
      </c>
      <c r="F4390" s="47">
        <v>0.55280092592592589</v>
      </c>
      <c r="G4390" s="44">
        <v>6.3</v>
      </c>
      <c r="H4390" s="43" t="s">
        <v>1364</v>
      </c>
      <c r="I4390" s="40" t="s">
        <v>1361</v>
      </c>
    </row>
    <row r="4391" spans="1:9" x14ac:dyDescent="0.25">
      <c r="A4391" s="40" t="s">
        <v>464</v>
      </c>
      <c r="B4391" s="28">
        <v>4301</v>
      </c>
      <c r="C4391" s="28" t="s">
        <v>35</v>
      </c>
      <c r="D4391" s="28" t="s">
        <v>38</v>
      </c>
      <c r="E4391" s="45">
        <v>46157</v>
      </c>
      <c r="F4391" s="48">
        <v>0.45170138888888889</v>
      </c>
      <c r="G4391" s="44">
        <v>6.3</v>
      </c>
      <c r="H4391" s="43" t="s">
        <v>1360</v>
      </c>
      <c r="I4391" s="40" t="s">
        <v>1361</v>
      </c>
    </row>
    <row r="4392" spans="1:9" x14ac:dyDescent="0.25">
      <c r="A4392" s="40" t="s">
        <v>465</v>
      </c>
      <c r="B4392" s="28">
        <v>4302</v>
      </c>
      <c r="C4392" s="28" t="s">
        <v>1198</v>
      </c>
      <c r="D4392" s="28"/>
      <c r="E4392" s="41">
        <v>46153</v>
      </c>
      <c r="F4392" s="47">
        <v>0.39416666666666667</v>
      </c>
      <c r="G4392" s="44">
        <v>6.3</v>
      </c>
      <c r="H4392" s="43" t="s">
        <v>1363</v>
      </c>
      <c r="I4392" s="40" t="s">
        <v>1361</v>
      </c>
    </row>
    <row r="4393" spans="1:9" x14ac:dyDescent="0.25">
      <c r="A4393" s="40" t="s">
        <v>465</v>
      </c>
      <c r="B4393" s="28">
        <v>4302</v>
      </c>
      <c r="C4393" s="28" t="s">
        <v>1198</v>
      </c>
      <c r="D4393" s="28"/>
      <c r="E4393" s="41">
        <v>46153</v>
      </c>
      <c r="F4393" s="47">
        <v>0.40229166666666666</v>
      </c>
      <c r="G4393" s="42">
        <v>6.3</v>
      </c>
      <c r="H4393" s="40" t="s">
        <v>1364</v>
      </c>
      <c r="I4393" s="40" t="s">
        <v>1361</v>
      </c>
    </row>
    <row r="4394" spans="1:9" x14ac:dyDescent="0.25">
      <c r="A4394" s="40" t="s">
        <v>465</v>
      </c>
      <c r="B4394" s="28">
        <v>4302</v>
      </c>
      <c r="C4394" s="28" t="s">
        <v>1199</v>
      </c>
      <c r="D4394" s="28"/>
      <c r="E4394" s="41">
        <v>46153</v>
      </c>
      <c r="F4394" s="47">
        <v>0.68884259259259262</v>
      </c>
      <c r="G4394" s="42">
        <v>6.3</v>
      </c>
      <c r="H4394" s="40" t="s">
        <v>1360</v>
      </c>
      <c r="I4394" s="40" t="s">
        <v>1361</v>
      </c>
    </row>
    <row r="4395" spans="1:9" x14ac:dyDescent="0.25">
      <c r="A4395" s="40" t="s">
        <v>465</v>
      </c>
      <c r="B4395" s="28">
        <v>4302</v>
      </c>
      <c r="C4395" s="28" t="s">
        <v>1199</v>
      </c>
      <c r="D4395" s="28"/>
      <c r="E4395" s="41">
        <v>46153</v>
      </c>
      <c r="F4395" s="47">
        <v>0.70193287037037033</v>
      </c>
      <c r="G4395" s="42">
        <v>6.3</v>
      </c>
      <c r="H4395" s="40" t="s">
        <v>1368</v>
      </c>
      <c r="I4395" s="40" t="s">
        <v>1361</v>
      </c>
    </row>
    <row r="4396" spans="1:9" x14ac:dyDescent="0.25">
      <c r="A4396" s="40" t="s">
        <v>465</v>
      </c>
      <c r="B4396" s="28">
        <v>4302</v>
      </c>
      <c r="C4396" s="28" t="s">
        <v>1200</v>
      </c>
      <c r="D4396" s="28"/>
      <c r="E4396" s="41">
        <v>46154</v>
      </c>
      <c r="F4396" s="47">
        <v>0.2427199074074074</v>
      </c>
      <c r="G4396" s="42">
        <v>6.3</v>
      </c>
      <c r="H4396" s="40" t="s">
        <v>1369</v>
      </c>
      <c r="I4396" s="40" t="s">
        <v>1361</v>
      </c>
    </row>
    <row r="4397" spans="1:9" x14ac:dyDescent="0.25">
      <c r="A4397" s="40" t="s">
        <v>465</v>
      </c>
      <c r="B4397" s="28">
        <v>4302</v>
      </c>
      <c r="C4397" s="28" t="s">
        <v>1200</v>
      </c>
      <c r="D4397" s="28"/>
      <c r="E4397" s="41">
        <v>46154</v>
      </c>
      <c r="F4397" s="47">
        <v>0.24872685185185187</v>
      </c>
      <c r="G4397" s="44">
        <v>6.3</v>
      </c>
      <c r="H4397" s="43" t="s">
        <v>1364</v>
      </c>
      <c r="I4397" s="40" t="s">
        <v>1361</v>
      </c>
    </row>
    <row r="4398" spans="1:9" x14ac:dyDescent="0.25">
      <c r="A4398" s="40" t="s">
        <v>465</v>
      </c>
      <c r="B4398" s="28">
        <v>4302</v>
      </c>
      <c r="C4398" s="28" t="s">
        <v>1201</v>
      </c>
      <c r="D4398" s="28"/>
      <c r="E4398" s="41">
        <v>46154</v>
      </c>
      <c r="F4398" s="47">
        <v>0.6391782407407407</v>
      </c>
      <c r="G4398" s="44">
        <v>6.3</v>
      </c>
      <c r="H4398" s="43" t="s">
        <v>1360</v>
      </c>
      <c r="I4398" s="40" t="s">
        <v>1361</v>
      </c>
    </row>
    <row r="4399" spans="1:9" x14ac:dyDescent="0.25">
      <c r="A4399" s="40" t="s">
        <v>465</v>
      </c>
      <c r="B4399" s="28">
        <v>4302</v>
      </c>
      <c r="C4399" s="28" t="s">
        <v>1201</v>
      </c>
      <c r="D4399" s="28"/>
      <c r="E4399" s="41">
        <v>46154</v>
      </c>
      <c r="F4399" s="47">
        <v>0.65201388888888889</v>
      </c>
      <c r="G4399" s="44">
        <v>6.3</v>
      </c>
      <c r="H4399" s="43" t="s">
        <v>1362</v>
      </c>
      <c r="I4399" s="40" t="s">
        <v>1361</v>
      </c>
    </row>
    <row r="4400" spans="1:9" x14ac:dyDescent="0.25">
      <c r="A4400" s="40" t="s">
        <v>465</v>
      </c>
      <c r="B4400" s="28">
        <v>4302</v>
      </c>
      <c r="C4400" s="28" t="s">
        <v>1202</v>
      </c>
      <c r="D4400" s="28"/>
      <c r="E4400" s="41">
        <v>46155</v>
      </c>
      <c r="F4400" s="47">
        <v>0.26019675925925928</v>
      </c>
      <c r="G4400" s="44">
        <v>6.3</v>
      </c>
      <c r="H4400" s="43" t="s">
        <v>1363</v>
      </c>
      <c r="I4400" s="40" t="s">
        <v>1361</v>
      </c>
    </row>
    <row r="4401" spans="1:9" x14ac:dyDescent="0.25">
      <c r="A4401" s="40" t="s">
        <v>465</v>
      </c>
      <c r="B4401" s="28">
        <v>4302</v>
      </c>
      <c r="C4401" s="28" t="s">
        <v>1202</v>
      </c>
      <c r="D4401" s="28"/>
      <c r="E4401" s="41">
        <v>46155</v>
      </c>
      <c r="F4401" s="47">
        <v>0.27118055555555554</v>
      </c>
      <c r="G4401" s="44">
        <v>6.3</v>
      </c>
      <c r="H4401" s="43" t="s">
        <v>1364</v>
      </c>
      <c r="I4401" s="40" t="s">
        <v>1361</v>
      </c>
    </row>
    <row r="4402" spans="1:9" x14ac:dyDescent="0.25">
      <c r="A4402" s="40" t="s">
        <v>465</v>
      </c>
      <c r="B4402" s="28">
        <v>4302</v>
      </c>
      <c r="C4402" s="28" t="s">
        <v>1203</v>
      </c>
      <c r="D4402" s="28"/>
      <c r="E4402" s="41">
        <v>46155</v>
      </c>
      <c r="F4402" s="47">
        <v>0.41314814814814815</v>
      </c>
      <c r="G4402" s="44">
        <v>6.3</v>
      </c>
      <c r="H4402" s="43" t="s">
        <v>1364</v>
      </c>
      <c r="I4402" s="40" t="s">
        <v>1361</v>
      </c>
    </row>
    <row r="4403" spans="1:9" x14ac:dyDescent="0.25">
      <c r="A4403" s="40" t="s">
        <v>465</v>
      </c>
      <c r="B4403" s="28">
        <v>4302</v>
      </c>
      <c r="C4403" s="28" t="s">
        <v>1204</v>
      </c>
      <c r="D4403" s="28"/>
      <c r="E4403" s="41">
        <v>46155</v>
      </c>
      <c r="F4403" s="47">
        <v>0.72144675925925927</v>
      </c>
      <c r="G4403" s="44">
        <v>6.3</v>
      </c>
      <c r="H4403" s="43" t="s">
        <v>1360</v>
      </c>
      <c r="I4403" s="40" t="s">
        <v>1361</v>
      </c>
    </row>
    <row r="4404" spans="1:9" x14ac:dyDescent="0.25">
      <c r="A4404" s="40" t="s">
        <v>465</v>
      </c>
      <c r="B4404" s="28">
        <v>4302</v>
      </c>
      <c r="C4404" s="28" t="s">
        <v>1204</v>
      </c>
      <c r="D4404" s="28"/>
      <c r="E4404" s="41">
        <v>46155</v>
      </c>
      <c r="F4404" s="47">
        <v>0.72965277777777782</v>
      </c>
      <c r="G4404" s="44">
        <v>6.3</v>
      </c>
      <c r="H4404" s="43" t="s">
        <v>1368</v>
      </c>
      <c r="I4404" s="40" t="s">
        <v>1361</v>
      </c>
    </row>
    <row r="4405" spans="1:9" x14ac:dyDescent="0.25">
      <c r="A4405" s="40" t="s">
        <v>465</v>
      </c>
      <c r="B4405" s="28">
        <v>4302</v>
      </c>
      <c r="C4405" s="28" t="s">
        <v>1205</v>
      </c>
      <c r="D4405" s="28"/>
      <c r="E4405" s="41">
        <v>46156</v>
      </c>
      <c r="F4405" s="47">
        <v>0.23699074074074075</v>
      </c>
      <c r="G4405" s="44">
        <v>6.3</v>
      </c>
      <c r="H4405" s="43" t="s">
        <v>1363</v>
      </c>
      <c r="I4405" s="40" t="s">
        <v>1361</v>
      </c>
    </row>
    <row r="4406" spans="1:9" x14ac:dyDescent="0.25">
      <c r="A4406" s="40" t="s">
        <v>465</v>
      </c>
      <c r="B4406" s="28">
        <v>4302</v>
      </c>
      <c r="C4406" s="28" t="s">
        <v>1205</v>
      </c>
      <c r="D4406" s="28"/>
      <c r="E4406" s="41">
        <v>46156</v>
      </c>
      <c r="F4406" s="47">
        <v>0.24276620370370369</v>
      </c>
      <c r="G4406" s="44">
        <v>6.3</v>
      </c>
      <c r="H4406" s="43" t="s">
        <v>1364</v>
      </c>
      <c r="I4406" s="40" t="s">
        <v>1361</v>
      </c>
    </row>
    <row r="4407" spans="1:9" x14ac:dyDescent="0.25">
      <c r="A4407" s="40" t="s">
        <v>465</v>
      </c>
      <c r="B4407" s="28">
        <v>4302</v>
      </c>
      <c r="C4407" s="28" t="s">
        <v>35</v>
      </c>
      <c r="D4407" s="28" t="s">
        <v>38</v>
      </c>
      <c r="E4407" s="41">
        <v>46156</v>
      </c>
      <c r="F4407" s="47">
        <v>0.59476851851851853</v>
      </c>
      <c r="G4407" s="44">
        <v>6.3</v>
      </c>
      <c r="H4407" s="43" t="s">
        <v>1360</v>
      </c>
      <c r="I4407" s="40" t="s">
        <v>1361</v>
      </c>
    </row>
    <row r="4408" spans="1:9" x14ac:dyDescent="0.25">
      <c r="A4408" s="40" t="s">
        <v>465</v>
      </c>
      <c r="B4408" s="28">
        <v>4302</v>
      </c>
      <c r="C4408" s="28" t="s">
        <v>1206</v>
      </c>
      <c r="D4408" s="28"/>
      <c r="E4408" s="41">
        <v>46157</v>
      </c>
      <c r="F4408" s="47">
        <v>0.33059027777777777</v>
      </c>
      <c r="G4408" s="44">
        <v>6.3</v>
      </c>
      <c r="H4408" s="43" t="s">
        <v>1363</v>
      </c>
      <c r="I4408" s="40" t="s">
        <v>1361</v>
      </c>
    </row>
    <row r="4409" spans="1:9" x14ac:dyDescent="0.25">
      <c r="A4409" s="40" t="s">
        <v>465</v>
      </c>
      <c r="B4409" s="28">
        <v>4302</v>
      </c>
      <c r="C4409" s="28" t="s">
        <v>1206</v>
      </c>
      <c r="D4409" s="28"/>
      <c r="E4409" s="41">
        <v>46157</v>
      </c>
      <c r="F4409" s="47">
        <v>0.34239583333333334</v>
      </c>
      <c r="G4409" s="44">
        <v>6.3</v>
      </c>
      <c r="H4409" s="43" t="s">
        <v>1364</v>
      </c>
      <c r="I4409" s="40" t="s">
        <v>1361</v>
      </c>
    </row>
    <row r="4410" spans="1:9" x14ac:dyDescent="0.25">
      <c r="A4410" s="40" t="s">
        <v>466</v>
      </c>
      <c r="B4410" s="28">
        <v>4306</v>
      </c>
      <c r="C4410" s="28">
        <v>5665197</v>
      </c>
      <c r="D4410" s="28"/>
      <c r="E4410" s="41">
        <v>46154</v>
      </c>
      <c r="F4410" s="47">
        <v>0.77303240740740742</v>
      </c>
      <c r="G4410" s="44">
        <v>6.3</v>
      </c>
      <c r="H4410" s="43" t="s">
        <v>1360</v>
      </c>
      <c r="I4410" s="40" t="s">
        <v>1361</v>
      </c>
    </row>
    <row r="4411" spans="1:9" x14ac:dyDescent="0.25">
      <c r="A4411" s="40" t="s">
        <v>466</v>
      </c>
      <c r="B4411" s="28">
        <v>4306</v>
      </c>
      <c r="C4411" s="28">
        <v>5665197</v>
      </c>
      <c r="D4411" s="28"/>
      <c r="E4411" s="41">
        <v>46154</v>
      </c>
      <c r="F4411" s="47">
        <v>0.79334490740740737</v>
      </c>
      <c r="G4411" s="44">
        <v>6.3</v>
      </c>
      <c r="H4411" s="43" t="s">
        <v>1362</v>
      </c>
      <c r="I4411" s="40" t="s">
        <v>1361</v>
      </c>
    </row>
    <row r="4412" spans="1:9" x14ac:dyDescent="0.25">
      <c r="A4412" s="40" t="s">
        <v>466</v>
      </c>
      <c r="B4412" s="28">
        <v>4306</v>
      </c>
      <c r="C4412" s="28">
        <v>5665786</v>
      </c>
      <c r="D4412" s="28"/>
      <c r="E4412" s="41">
        <v>46155</v>
      </c>
      <c r="F4412" s="47">
        <v>0.34217592592592594</v>
      </c>
      <c r="G4412" s="44">
        <v>6.3</v>
      </c>
      <c r="H4412" s="43" t="s">
        <v>1364</v>
      </c>
      <c r="I4412" s="40" t="s">
        <v>1361</v>
      </c>
    </row>
    <row r="4413" spans="1:9" x14ac:dyDescent="0.25">
      <c r="A4413" s="40" t="s">
        <v>466</v>
      </c>
      <c r="B4413" s="28">
        <v>4306</v>
      </c>
      <c r="C4413" s="28" t="s">
        <v>1207</v>
      </c>
      <c r="D4413" s="28"/>
      <c r="E4413" s="41">
        <v>46155</v>
      </c>
      <c r="F4413" s="47">
        <v>0.49135416666666665</v>
      </c>
      <c r="G4413" s="44">
        <v>6.3</v>
      </c>
      <c r="H4413" s="43" t="s">
        <v>1360</v>
      </c>
      <c r="I4413" s="40" t="s">
        <v>1361</v>
      </c>
    </row>
    <row r="4414" spans="1:9" x14ac:dyDescent="0.25">
      <c r="A4414" s="40" t="s">
        <v>466</v>
      </c>
      <c r="B4414" s="28">
        <v>4306</v>
      </c>
      <c r="C4414" s="28" t="s">
        <v>1207</v>
      </c>
      <c r="D4414" s="28"/>
      <c r="E4414" s="41">
        <v>46155</v>
      </c>
      <c r="F4414" s="47">
        <v>0.51023148148148145</v>
      </c>
      <c r="G4414" s="44">
        <v>6.3</v>
      </c>
      <c r="H4414" s="43" t="s">
        <v>1362</v>
      </c>
      <c r="I4414" s="40" t="s">
        <v>1361</v>
      </c>
    </row>
    <row r="4415" spans="1:9" x14ac:dyDescent="0.25">
      <c r="A4415" s="40" t="s">
        <v>466</v>
      </c>
      <c r="B4415" s="28">
        <v>4306</v>
      </c>
      <c r="C4415" s="28">
        <v>5666927</v>
      </c>
      <c r="D4415" s="28"/>
      <c r="E4415" s="41">
        <v>46155</v>
      </c>
      <c r="F4415" s="47">
        <v>0.86047453703703702</v>
      </c>
      <c r="G4415" s="44">
        <v>6.3</v>
      </c>
      <c r="H4415" s="43" t="s">
        <v>1360</v>
      </c>
      <c r="I4415" s="40" t="s">
        <v>1361</v>
      </c>
    </row>
    <row r="4416" spans="1:9" x14ac:dyDescent="0.25">
      <c r="A4416" s="40" t="s">
        <v>466</v>
      </c>
      <c r="B4416" s="28">
        <v>4306</v>
      </c>
      <c r="C4416" s="28">
        <v>5666927</v>
      </c>
      <c r="D4416" s="28"/>
      <c r="E4416" s="41">
        <v>46155</v>
      </c>
      <c r="F4416" s="47">
        <v>0.8770486111111111</v>
      </c>
      <c r="G4416" s="44">
        <v>6.3</v>
      </c>
      <c r="H4416" s="43" t="s">
        <v>1362</v>
      </c>
      <c r="I4416" s="40" t="s">
        <v>1361</v>
      </c>
    </row>
    <row r="4417" spans="1:9" x14ac:dyDescent="0.25">
      <c r="A4417" s="40" t="s">
        <v>466</v>
      </c>
      <c r="B4417" s="28">
        <v>4306</v>
      </c>
      <c r="C4417" s="28" t="s">
        <v>1208</v>
      </c>
      <c r="D4417" s="28"/>
      <c r="E4417" s="41">
        <v>46156</v>
      </c>
      <c r="F4417" s="47">
        <v>0.48173611111111109</v>
      </c>
      <c r="G4417" s="44">
        <v>6.3</v>
      </c>
      <c r="H4417" s="43" t="s">
        <v>1360</v>
      </c>
      <c r="I4417" s="40" t="s">
        <v>1361</v>
      </c>
    </row>
    <row r="4418" spans="1:9" x14ac:dyDescent="0.25">
      <c r="A4418" s="40" t="s">
        <v>466</v>
      </c>
      <c r="B4418" s="28">
        <v>4306</v>
      </c>
      <c r="C4418" s="28" t="s">
        <v>1208</v>
      </c>
      <c r="D4418" s="28"/>
      <c r="E4418" s="41">
        <v>46156</v>
      </c>
      <c r="F4418" s="47">
        <v>0.49353009259259262</v>
      </c>
      <c r="G4418" s="44">
        <v>6.3</v>
      </c>
      <c r="H4418" s="43" t="s">
        <v>1362</v>
      </c>
      <c r="I4418" s="40" t="s">
        <v>1361</v>
      </c>
    </row>
    <row r="4419" spans="1:9" x14ac:dyDescent="0.25">
      <c r="A4419" s="40" t="s">
        <v>466</v>
      </c>
      <c r="B4419" s="28">
        <v>4306</v>
      </c>
      <c r="C4419" s="28" t="s">
        <v>1209</v>
      </c>
      <c r="D4419" s="28"/>
      <c r="E4419" s="41">
        <v>46157</v>
      </c>
      <c r="F4419" s="47">
        <v>0.53320601851851857</v>
      </c>
      <c r="G4419" s="42">
        <v>6.3</v>
      </c>
      <c r="H4419" s="40" t="s">
        <v>1360</v>
      </c>
      <c r="I4419" s="40" t="s">
        <v>1361</v>
      </c>
    </row>
    <row r="4420" spans="1:9" x14ac:dyDescent="0.25">
      <c r="A4420" s="40" t="s">
        <v>466</v>
      </c>
      <c r="B4420" s="28">
        <v>4306</v>
      </c>
      <c r="C4420" s="28" t="s">
        <v>1209</v>
      </c>
      <c r="D4420" s="28"/>
      <c r="E4420" s="41">
        <v>46157</v>
      </c>
      <c r="F4420" s="47">
        <v>0.5406481481481481</v>
      </c>
      <c r="G4420" s="42">
        <v>6.3</v>
      </c>
      <c r="H4420" s="40" t="s">
        <v>1362</v>
      </c>
      <c r="I4420" s="40" t="s">
        <v>1361</v>
      </c>
    </row>
    <row r="4421" spans="1:9" x14ac:dyDescent="0.25">
      <c r="A4421" s="40" t="s">
        <v>466</v>
      </c>
      <c r="B4421" s="28">
        <v>4306</v>
      </c>
      <c r="C4421" s="28">
        <v>5672396</v>
      </c>
      <c r="D4421" s="28"/>
      <c r="E4421" s="41">
        <v>46159</v>
      </c>
      <c r="F4421" s="47">
        <v>0.57232638888888887</v>
      </c>
      <c r="G4421" s="42">
        <v>6.3</v>
      </c>
      <c r="H4421" s="40" t="s">
        <v>1363</v>
      </c>
      <c r="I4421" s="40" t="s">
        <v>1365</v>
      </c>
    </row>
    <row r="4422" spans="1:9" x14ac:dyDescent="0.25">
      <c r="A4422" s="40" t="s">
        <v>466</v>
      </c>
      <c r="B4422" s="28">
        <v>4306</v>
      </c>
      <c r="C4422" s="28">
        <v>5672396</v>
      </c>
      <c r="D4422" s="28"/>
      <c r="E4422" s="41">
        <v>46159</v>
      </c>
      <c r="F4422" s="47">
        <v>0.57737268518518514</v>
      </c>
      <c r="G4422" s="42">
        <v>6.3</v>
      </c>
      <c r="H4422" s="40" t="s">
        <v>1364</v>
      </c>
      <c r="I4422" s="40" t="s">
        <v>1365</v>
      </c>
    </row>
    <row r="4423" spans="1:9" x14ac:dyDescent="0.25">
      <c r="A4423" s="40" t="s">
        <v>467</v>
      </c>
      <c r="B4423" s="28">
        <v>4311</v>
      </c>
      <c r="C4423" s="28" t="s">
        <v>35</v>
      </c>
      <c r="D4423" s="28" t="s">
        <v>38</v>
      </c>
      <c r="E4423" s="41">
        <v>46153</v>
      </c>
      <c r="F4423" s="47">
        <v>0.23230324074074074</v>
      </c>
      <c r="G4423" s="44">
        <v>6.3</v>
      </c>
      <c r="H4423" s="43" t="s">
        <v>1360</v>
      </c>
      <c r="I4423" s="40" t="s">
        <v>1361</v>
      </c>
    </row>
    <row r="4424" spans="1:9" x14ac:dyDescent="0.25">
      <c r="A4424" s="40" t="s">
        <v>467</v>
      </c>
      <c r="B4424" s="28">
        <v>4311</v>
      </c>
      <c r="C4424" s="28" t="s">
        <v>35</v>
      </c>
      <c r="D4424" s="28" t="s">
        <v>38</v>
      </c>
      <c r="E4424" s="41">
        <v>46153</v>
      </c>
      <c r="F4424" s="47">
        <v>0.23914351851851851</v>
      </c>
      <c r="G4424" s="44">
        <v>6.3</v>
      </c>
      <c r="H4424" s="43" t="s">
        <v>1366</v>
      </c>
      <c r="I4424" s="40" t="s">
        <v>1361</v>
      </c>
    </row>
    <row r="4425" spans="1:9" x14ac:dyDescent="0.25">
      <c r="A4425" s="40" t="s">
        <v>467</v>
      </c>
      <c r="B4425" s="28">
        <v>4311</v>
      </c>
      <c r="C4425" s="28" t="s">
        <v>35</v>
      </c>
      <c r="D4425" s="28" t="s">
        <v>38</v>
      </c>
      <c r="E4425" s="41">
        <v>46153</v>
      </c>
      <c r="F4425" s="47">
        <v>0.72449074074074071</v>
      </c>
      <c r="G4425" s="44">
        <v>6.3</v>
      </c>
      <c r="H4425" s="43" t="s">
        <v>1367</v>
      </c>
      <c r="I4425" s="40" t="s">
        <v>1361</v>
      </c>
    </row>
    <row r="4426" spans="1:9" x14ac:dyDescent="0.25">
      <c r="A4426" s="40" t="s">
        <v>467</v>
      </c>
      <c r="B4426" s="28">
        <v>4311</v>
      </c>
      <c r="C4426" s="28" t="s">
        <v>35</v>
      </c>
      <c r="D4426" s="28" t="s">
        <v>38</v>
      </c>
      <c r="E4426" s="41">
        <v>46153</v>
      </c>
      <c r="F4426" s="47">
        <v>0.73008101851851848</v>
      </c>
      <c r="G4426" s="44">
        <v>6.3</v>
      </c>
      <c r="H4426" s="43" t="s">
        <v>1364</v>
      </c>
      <c r="I4426" s="40" t="s">
        <v>1361</v>
      </c>
    </row>
    <row r="4427" spans="1:9" x14ac:dyDescent="0.25">
      <c r="A4427" s="40" t="s">
        <v>467</v>
      </c>
      <c r="B4427" s="28">
        <v>4311</v>
      </c>
      <c r="C4427" s="28" t="s">
        <v>35</v>
      </c>
      <c r="D4427" s="28" t="s">
        <v>38</v>
      </c>
      <c r="E4427" s="41">
        <v>46155</v>
      </c>
      <c r="F4427" s="47">
        <v>8.3912037037037045E-3</v>
      </c>
      <c r="G4427" s="44">
        <v>6.3</v>
      </c>
      <c r="H4427" s="43" t="s">
        <v>1362</v>
      </c>
      <c r="I4427" s="40" t="s">
        <v>1361</v>
      </c>
    </row>
    <row r="4428" spans="1:9" x14ac:dyDescent="0.25">
      <c r="A4428" s="40" t="s">
        <v>467</v>
      </c>
      <c r="B4428" s="28">
        <v>4311</v>
      </c>
      <c r="C4428" s="28" t="s">
        <v>35</v>
      </c>
      <c r="D4428" s="28" t="s">
        <v>38</v>
      </c>
      <c r="E4428" s="41">
        <v>46156</v>
      </c>
      <c r="F4428" s="47">
        <v>0.72815972222222225</v>
      </c>
      <c r="G4428" s="44">
        <v>6.3</v>
      </c>
      <c r="H4428" s="43" t="s">
        <v>1362</v>
      </c>
      <c r="I4428" s="40" t="s">
        <v>1361</v>
      </c>
    </row>
    <row r="4429" spans="1:9" x14ac:dyDescent="0.25">
      <c r="A4429" s="40" t="s">
        <v>467</v>
      </c>
      <c r="B4429" s="28">
        <v>4311</v>
      </c>
      <c r="C4429" s="28" t="s">
        <v>35</v>
      </c>
      <c r="D4429" s="28" t="s">
        <v>38</v>
      </c>
      <c r="E4429" s="41">
        <v>46158</v>
      </c>
      <c r="F4429" s="47">
        <v>0.81369212962962967</v>
      </c>
      <c r="G4429" s="44">
        <v>6.3</v>
      </c>
      <c r="H4429" s="43" t="s">
        <v>1363</v>
      </c>
      <c r="I4429" s="40" t="s">
        <v>1365</v>
      </c>
    </row>
    <row r="4430" spans="1:9" x14ac:dyDescent="0.25">
      <c r="A4430" s="40" t="s">
        <v>467</v>
      </c>
      <c r="B4430" s="28">
        <v>4311</v>
      </c>
      <c r="C4430" s="28" t="s">
        <v>35</v>
      </c>
      <c r="D4430" s="28" t="s">
        <v>38</v>
      </c>
      <c r="E4430" s="41">
        <v>46158</v>
      </c>
      <c r="F4430" s="47">
        <v>0.82120370370370366</v>
      </c>
      <c r="G4430" s="44">
        <v>6.3</v>
      </c>
      <c r="H4430" s="43" t="s">
        <v>1364</v>
      </c>
      <c r="I4430" s="40" t="s">
        <v>1365</v>
      </c>
    </row>
    <row r="4431" spans="1:9" x14ac:dyDescent="0.25">
      <c r="A4431" s="40" t="s">
        <v>467</v>
      </c>
      <c r="B4431" s="28">
        <v>4311</v>
      </c>
      <c r="C4431" s="28" t="s">
        <v>35</v>
      </c>
      <c r="D4431" s="28" t="s">
        <v>38</v>
      </c>
      <c r="E4431" s="41">
        <v>46159</v>
      </c>
      <c r="F4431" s="47">
        <v>6.5486111111111106E-2</v>
      </c>
      <c r="G4431" s="44">
        <v>6.3</v>
      </c>
      <c r="H4431" s="43" t="s">
        <v>1363</v>
      </c>
      <c r="I4431" s="40" t="s">
        <v>1365</v>
      </c>
    </row>
    <row r="4432" spans="1:9" x14ac:dyDescent="0.25">
      <c r="A4432" s="40" t="s">
        <v>467</v>
      </c>
      <c r="B4432" s="28">
        <v>4311</v>
      </c>
      <c r="C4432" s="28" t="s">
        <v>35</v>
      </c>
      <c r="D4432" s="28" t="s">
        <v>38</v>
      </c>
      <c r="E4432" s="41">
        <v>46159</v>
      </c>
      <c r="F4432" s="47">
        <v>0.13009259259259259</v>
      </c>
      <c r="G4432" s="44">
        <v>6.3</v>
      </c>
      <c r="H4432" s="43" t="s">
        <v>1362</v>
      </c>
      <c r="I4432" s="40" t="s">
        <v>1365</v>
      </c>
    </row>
    <row r="4433" spans="1:9" x14ac:dyDescent="0.25">
      <c r="A4433" s="40" t="s">
        <v>468</v>
      </c>
      <c r="B4433" s="28">
        <v>4312</v>
      </c>
      <c r="C4433" s="28" t="s">
        <v>1210</v>
      </c>
      <c r="D4433" s="28"/>
      <c r="E4433" s="41">
        <v>46153</v>
      </c>
      <c r="F4433" s="47">
        <v>0.2492476851851852</v>
      </c>
      <c r="G4433" s="44">
        <v>6.3</v>
      </c>
      <c r="H4433" s="43" t="s">
        <v>1360</v>
      </c>
      <c r="I4433" s="40" t="s">
        <v>1361</v>
      </c>
    </row>
    <row r="4434" spans="1:9" x14ac:dyDescent="0.25">
      <c r="A4434" s="40" t="s">
        <v>468</v>
      </c>
      <c r="B4434" s="28">
        <v>4312</v>
      </c>
      <c r="C4434" s="28" t="s">
        <v>1210</v>
      </c>
      <c r="D4434" s="28"/>
      <c r="E4434" s="41">
        <v>46153</v>
      </c>
      <c r="F4434" s="47">
        <v>0.26070601851851855</v>
      </c>
      <c r="G4434" s="44">
        <v>6.3</v>
      </c>
      <c r="H4434" s="43" t="s">
        <v>1368</v>
      </c>
      <c r="I4434" s="40" t="s">
        <v>1361</v>
      </c>
    </row>
    <row r="4435" spans="1:9" x14ac:dyDescent="0.25">
      <c r="A4435" s="40" t="s">
        <v>468</v>
      </c>
      <c r="B4435" s="28">
        <v>4312</v>
      </c>
      <c r="C4435" s="28" t="s">
        <v>1211</v>
      </c>
      <c r="D4435" s="28"/>
      <c r="E4435" s="41">
        <v>46154</v>
      </c>
      <c r="F4435" s="47">
        <v>0.34607638888888886</v>
      </c>
      <c r="G4435" s="44">
        <v>6.3</v>
      </c>
      <c r="H4435" s="43" t="s">
        <v>1360</v>
      </c>
      <c r="I4435" s="40" t="s">
        <v>1361</v>
      </c>
    </row>
    <row r="4436" spans="1:9" x14ac:dyDescent="0.25">
      <c r="A4436" s="40" t="s">
        <v>468</v>
      </c>
      <c r="B4436" s="28">
        <v>4312</v>
      </c>
      <c r="C4436" s="28" t="s">
        <v>1212</v>
      </c>
      <c r="D4436" s="28"/>
      <c r="E4436" s="41">
        <v>46154</v>
      </c>
      <c r="F4436" s="47">
        <v>0.41526620370370371</v>
      </c>
      <c r="G4436" s="42">
        <v>6.3</v>
      </c>
      <c r="H4436" s="40" t="s">
        <v>1363</v>
      </c>
      <c r="I4436" s="40" t="s">
        <v>1361</v>
      </c>
    </row>
    <row r="4437" spans="1:9" x14ac:dyDescent="0.25">
      <c r="A4437" s="40" t="s">
        <v>468</v>
      </c>
      <c r="B4437" s="28">
        <v>4312</v>
      </c>
      <c r="C4437" s="28" t="s">
        <v>1212</v>
      </c>
      <c r="D4437" s="28"/>
      <c r="E4437" s="41">
        <v>46154</v>
      </c>
      <c r="F4437" s="47">
        <v>0.4271875</v>
      </c>
      <c r="G4437" s="42">
        <v>6.3</v>
      </c>
      <c r="H4437" s="40" t="s">
        <v>1364</v>
      </c>
      <c r="I4437" s="40" t="s">
        <v>1361</v>
      </c>
    </row>
    <row r="4438" spans="1:9" x14ac:dyDescent="0.25">
      <c r="A4438" s="40" t="s">
        <v>468</v>
      </c>
      <c r="B4438" s="28">
        <v>4312</v>
      </c>
      <c r="C4438" s="28" t="s">
        <v>35</v>
      </c>
      <c r="D4438" s="28" t="s">
        <v>38</v>
      </c>
      <c r="E4438" s="41">
        <v>46157</v>
      </c>
      <c r="F4438" s="47">
        <v>0.50146990740740738</v>
      </c>
      <c r="G4438" s="42">
        <v>6.3</v>
      </c>
      <c r="H4438" s="40" t="s">
        <v>1360</v>
      </c>
      <c r="I4438" s="40" t="s">
        <v>1361</v>
      </c>
    </row>
    <row r="4439" spans="1:9" x14ac:dyDescent="0.25">
      <c r="A4439" s="40" t="s">
        <v>468</v>
      </c>
      <c r="B4439" s="28">
        <v>4312</v>
      </c>
      <c r="C4439" s="28" t="s">
        <v>35</v>
      </c>
      <c r="D4439" s="28" t="s">
        <v>38</v>
      </c>
      <c r="E4439" s="41">
        <v>46157</v>
      </c>
      <c r="F4439" s="47">
        <v>0.51164351851851853</v>
      </c>
      <c r="G4439" s="42">
        <v>6.3</v>
      </c>
      <c r="H4439" s="40" t="s">
        <v>1362</v>
      </c>
      <c r="I4439" s="40" t="s">
        <v>1361</v>
      </c>
    </row>
    <row r="4440" spans="1:9" x14ac:dyDescent="0.25">
      <c r="A4440" s="40" t="s">
        <v>468</v>
      </c>
      <c r="B4440" s="28">
        <v>4312</v>
      </c>
      <c r="C4440" s="28" t="s">
        <v>35</v>
      </c>
      <c r="D4440" s="28" t="s">
        <v>38</v>
      </c>
      <c r="E4440" s="41">
        <v>46159</v>
      </c>
      <c r="F4440" s="47">
        <v>0.41151620370370373</v>
      </c>
      <c r="G4440" s="42">
        <v>6.3</v>
      </c>
      <c r="H4440" s="40" t="s">
        <v>1362</v>
      </c>
      <c r="I4440" s="40" t="s">
        <v>1365</v>
      </c>
    </row>
    <row r="4441" spans="1:9" x14ac:dyDescent="0.25">
      <c r="A4441" s="40" t="s">
        <v>469</v>
      </c>
      <c r="B4441" s="28">
        <v>4331</v>
      </c>
      <c r="C4441" s="28" t="s">
        <v>1213</v>
      </c>
      <c r="D4441" s="28"/>
      <c r="E4441" s="41">
        <v>46154</v>
      </c>
      <c r="F4441" s="47">
        <v>0.72203703703703703</v>
      </c>
      <c r="G4441" s="42">
        <v>6.3</v>
      </c>
      <c r="H4441" s="40" t="s">
        <v>1360</v>
      </c>
      <c r="I4441" s="40" t="s">
        <v>1361</v>
      </c>
    </row>
    <row r="4442" spans="1:9" x14ac:dyDescent="0.25">
      <c r="A4442" s="40" t="s">
        <v>469</v>
      </c>
      <c r="B4442" s="28">
        <v>4331</v>
      </c>
      <c r="C4442" s="28" t="s">
        <v>1213</v>
      </c>
      <c r="D4442" s="28"/>
      <c r="E4442" s="41">
        <v>46154</v>
      </c>
      <c r="F4442" s="47">
        <v>0.73898148148148146</v>
      </c>
      <c r="G4442" s="44">
        <v>6.3</v>
      </c>
      <c r="H4442" s="43" t="s">
        <v>1362</v>
      </c>
      <c r="I4442" s="40" t="s">
        <v>1361</v>
      </c>
    </row>
    <row r="4443" spans="1:9" x14ac:dyDescent="0.25">
      <c r="A4443" s="40" t="s">
        <v>469</v>
      </c>
      <c r="B4443" s="28">
        <v>4331</v>
      </c>
      <c r="C4443" s="28" t="s">
        <v>35</v>
      </c>
      <c r="D4443" s="28" t="s">
        <v>38</v>
      </c>
      <c r="E4443" s="41">
        <v>46156</v>
      </c>
      <c r="F4443" s="47">
        <v>0.41677083333333331</v>
      </c>
      <c r="G4443" s="44">
        <v>6.3</v>
      </c>
      <c r="H4443" s="43" t="s">
        <v>1360</v>
      </c>
      <c r="I4443" s="40" t="s">
        <v>1361</v>
      </c>
    </row>
    <row r="4444" spans="1:9" x14ac:dyDescent="0.25">
      <c r="A4444" s="40" t="s">
        <v>469</v>
      </c>
      <c r="B4444" s="28">
        <v>4331</v>
      </c>
      <c r="C4444" s="28" t="s">
        <v>35</v>
      </c>
      <c r="D4444" s="28" t="s">
        <v>38</v>
      </c>
      <c r="E4444" s="41">
        <v>46156</v>
      </c>
      <c r="F4444" s="47">
        <v>0.42809027777777775</v>
      </c>
      <c r="G4444" s="44">
        <v>6.3</v>
      </c>
      <c r="H4444" s="43" t="s">
        <v>1362</v>
      </c>
      <c r="I4444" s="40" t="s">
        <v>1361</v>
      </c>
    </row>
    <row r="4445" spans="1:9" x14ac:dyDescent="0.25">
      <c r="A4445" s="40" t="s">
        <v>469</v>
      </c>
      <c r="B4445" s="28">
        <v>4331</v>
      </c>
      <c r="C4445" s="28">
        <v>5669013</v>
      </c>
      <c r="D4445" s="28"/>
      <c r="E4445" s="41">
        <v>46156</v>
      </c>
      <c r="F4445" s="47">
        <v>0.82548611111111114</v>
      </c>
      <c r="G4445" s="44">
        <v>6.3</v>
      </c>
      <c r="H4445" s="43" t="s">
        <v>1360</v>
      </c>
      <c r="I4445" s="40" t="s">
        <v>1361</v>
      </c>
    </row>
    <row r="4446" spans="1:9" x14ac:dyDescent="0.25">
      <c r="A4446" s="40" t="s">
        <v>469</v>
      </c>
      <c r="B4446" s="28">
        <v>4331</v>
      </c>
      <c r="C4446" s="28">
        <v>5669013</v>
      </c>
      <c r="D4446" s="28"/>
      <c r="E4446" s="41">
        <v>46156</v>
      </c>
      <c r="F4446" s="47">
        <v>0.83446759259259262</v>
      </c>
      <c r="G4446" s="44">
        <v>6.3</v>
      </c>
      <c r="H4446" s="43" t="s">
        <v>1362</v>
      </c>
      <c r="I4446" s="40" t="s">
        <v>1361</v>
      </c>
    </row>
    <row r="4447" spans="1:9" x14ac:dyDescent="0.25">
      <c r="A4447" s="40" t="s">
        <v>469</v>
      </c>
      <c r="B4447" s="28">
        <v>4331</v>
      </c>
      <c r="C4447" s="28">
        <v>5669935</v>
      </c>
      <c r="D4447" s="28"/>
      <c r="E4447" s="41">
        <v>46158</v>
      </c>
      <c r="F4447" s="47">
        <v>8.1481481481481474E-3</v>
      </c>
      <c r="G4447" s="44">
        <v>6.3</v>
      </c>
      <c r="H4447" s="43" t="s">
        <v>1360</v>
      </c>
      <c r="I4447" s="40" t="s">
        <v>1365</v>
      </c>
    </row>
    <row r="4448" spans="1:9" x14ac:dyDescent="0.25">
      <c r="A4448" s="40" t="s">
        <v>469</v>
      </c>
      <c r="B4448" s="28">
        <v>4331</v>
      </c>
      <c r="C4448" s="28">
        <v>5669935</v>
      </c>
      <c r="D4448" s="28"/>
      <c r="E4448" s="41">
        <v>46158</v>
      </c>
      <c r="F4448" s="47">
        <v>1.5150462962962963E-2</v>
      </c>
      <c r="G4448" s="44">
        <v>6.3</v>
      </c>
      <c r="H4448" s="43" t="s">
        <v>1368</v>
      </c>
      <c r="I4448" s="40" t="s">
        <v>1365</v>
      </c>
    </row>
    <row r="4449" spans="1:9" x14ac:dyDescent="0.25">
      <c r="A4449" s="40" t="s">
        <v>469</v>
      </c>
      <c r="B4449" s="28">
        <v>4331</v>
      </c>
      <c r="C4449" s="28" t="s">
        <v>1214</v>
      </c>
      <c r="D4449" s="28"/>
      <c r="E4449" s="41">
        <v>46158</v>
      </c>
      <c r="F4449" s="47">
        <v>0.84774305555555551</v>
      </c>
      <c r="G4449" s="44">
        <v>6.3</v>
      </c>
      <c r="H4449" s="43" t="s">
        <v>1360</v>
      </c>
      <c r="I4449" s="40" t="s">
        <v>1365</v>
      </c>
    </row>
    <row r="4450" spans="1:9" x14ac:dyDescent="0.25">
      <c r="A4450" s="40" t="s">
        <v>469</v>
      </c>
      <c r="B4450" s="28">
        <v>4331</v>
      </c>
      <c r="C4450" s="28" t="s">
        <v>1214</v>
      </c>
      <c r="D4450" s="28"/>
      <c r="E4450" s="41">
        <v>46158</v>
      </c>
      <c r="F4450" s="47">
        <v>0.85668981481481477</v>
      </c>
      <c r="G4450" s="44">
        <v>6.3</v>
      </c>
      <c r="H4450" s="43" t="s">
        <v>1362</v>
      </c>
      <c r="I4450" s="40" t="s">
        <v>1365</v>
      </c>
    </row>
    <row r="4451" spans="1:9" x14ac:dyDescent="0.25">
      <c r="A4451" s="40" t="s">
        <v>469</v>
      </c>
      <c r="B4451" s="28">
        <v>4331</v>
      </c>
      <c r="C4451" s="28" t="s">
        <v>1215</v>
      </c>
      <c r="D4451" s="28"/>
      <c r="E4451" s="41">
        <v>46159</v>
      </c>
      <c r="F4451" s="47">
        <v>0.23791666666666667</v>
      </c>
      <c r="G4451" s="44">
        <v>6.3</v>
      </c>
      <c r="H4451" s="43" t="s">
        <v>1360</v>
      </c>
      <c r="I4451" s="40" t="s">
        <v>1365</v>
      </c>
    </row>
    <row r="4452" spans="1:9" x14ac:dyDescent="0.25">
      <c r="A4452" s="40" t="s">
        <v>469</v>
      </c>
      <c r="B4452" s="28">
        <v>4331</v>
      </c>
      <c r="C4452" s="28" t="s">
        <v>1215</v>
      </c>
      <c r="D4452" s="28"/>
      <c r="E4452" s="41">
        <v>46159</v>
      </c>
      <c r="F4452" s="47">
        <v>0.24549768518518519</v>
      </c>
      <c r="G4452" s="44">
        <v>6.3</v>
      </c>
      <c r="H4452" s="43" t="s">
        <v>1368</v>
      </c>
      <c r="I4452" s="40" t="s">
        <v>1365</v>
      </c>
    </row>
    <row r="4453" spans="1:9" x14ac:dyDescent="0.25">
      <c r="A4453" s="40" t="s">
        <v>469</v>
      </c>
      <c r="B4453" s="28">
        <v>4331</v>
      </c>
      <c r="C4453" s="28" t="s">
        <v>1216</v>
      </c>
      <c r="D4453" s="28"/>
      <c r="E4453" s="41">
        <v>46159</v>
      </c>
      <c r="F4453" s="47">
        <v>0.72247685185185184</v>
      </c>
      <c r="G4453" s="44">
        <v>6.3</v>
      </c>
      <c r="H4453" s="43" t="s">
        <v>1360</v>
      </c>
      <c r="I4453" s="40" t="s">
        <v>1365</v>
      </c>
    </row>
    <row r="4454" spans="1:9" x14ac:dyDescent="0.25">
      <c r="A4454" s="40" t="s">
        <v>469</v>
      </c>
      <c r="B4454" s="28">
        <v>4331</v>
      </c>
      <c r="C4454" s="28" t="s">
        <v>1216</v>
      </c>
      <c r="D4454" s="28"/>
      <c r="E4454" s="41">
        <v>46159</v>
      </c>
      <c r="F4454" s="47">
        <v>0.73026620370370365</v>
      </c>
      <c r="G4454" s="44">
        <v>6.3</v>
      </c>
      <c r="H4454" s="43" t="s">
        <v>1362</v>
      </c>
      <c r="I4454" s="40" t="s">
        <v>1365</v>
      </c>
    </row>
    <row r="4455" spans="1:9" x14ac:dyDescent="0.25">
      <c r="A4455" s="40" t="s">
        <v>469</v>
      </c>
      <c r="B4455" s="28">
        <v>4331</v>
      </c>
      <c r="C4455" s="28" t="s">
        <v>35</v>
      </c>
      <c r="D4455" s="28" t="s">
        <v>38</v>
      </c>
      <c r="E4455" s="41">
        <v>46159</v>
      </c>
      <c r="F4455" s="47">
        <v>0.77891203703703704</v>
      </c>
      <c r="G4455" s="44">
        <v>6.3</v>
      </c>
      <c r="H4455" s="43" t="s">
        <v>1364</v>
      </c>
      <c r="I4455" s="40" t="s">
        <v>1365</v>
      </c>
    </row>
    <row r="4456" spans="1:9" x14ac:dyDescent="0.25">
      <c r="A4456" s="40" t="s">
        <v>470</v>
      </c>
      <c r="B4456" s="28">
        <v>4334</v>
      </c>
      <c r="C4456" s="28">
        <v>5668109</v>
      </c>
      <c r="D4456" s="28"/>
      <c r="E4456" s="41">
        <v>46157</v>
      </c>
      <c r="F4456" s="47">
        <v>0.64532407407407411</v>
      </c>
      <c r="G4456" s="44">
        <v>6.3</v>
      </c>
      <c r="H4456" s="43" t="s">
        <v>1362</v>
      </c>
      <c r="I4456" s="40" t="s">
        <v>1361</v>
      </c>
    </row>
    <row r="4457" spans="1:9" x14ac:dyDescent="0.25">
      <c r="A4457" s="40" t="s">
        <v>470</v>
      </c>
      <c r="B4457" s="28">
        <v>4334</v>
      </c>
      <c r="C4457" s="28" t="s">
        <v>1217</v>
      </c>
      <c r="D4457" s="28"/>
      <c r="E4457" s="41">
        <v>46158</v>
      </c>
      <c r="F4457" s="47">
        <v>0.62375000000000003</v>
      </c>
      <c r="G4457" s="44">
        <v>6.3</v>
      </c>
      <c r="H4457" s="43" t="s">
        <v>1360</v>
      </c>
      <c r="I4457" s="40" t="s">
        <v>1365</v>
      </c>
    </row>
    <row r="4458" spans="1:9" x14ac:dyDescent="0.25">
      <c r="A4458" s="40" t="s">
        <v>470</v>
      </c>
      <c r="B4458" s="28">
        <v>4334</v>
      </c>
      <c r="C4458" s="28" t="s">
        <v>1217</v>
      </c>
      <c r="D4458" s="28"/>
      <c r="E4458" s="41">
        <v>46158</v>
      </c>
      <c r="F4458" s="47">
        <v>0.63340277777777776</v>
      </c>
      <c r="G4458" s="44">
        <v>6.3</v>
      </c>
      <c r="H4458" s="43" t="s">
        <v>1362</v>
      </c>
      <c r="I4458" s="40" t="s">
        <v>1365</v>
      </c>
    </row>
    <row r="4459" spans="1:9" x14ac:dyDescent="0.25">
      <c r="A4459" s="40" t="s">
        <v>471</v>
      </c>
      <c r="B4459" s="28">
        <v>4337</v>
      </c>
      <c r="C4459" s="28" t="s">
        <v>35</v>
      </c>
      <c r="D4459" s="28" t="s">
        <v>38</v>
      </c>
      <c r="E4459" s="41">
        <v>46153</v>
      </c>
      <c r="F4459" s="47">
        <v>0.71348379629629632</v>
      </c>
      <c r="G4459" s="44">
        <v>6.3</v>
      </c>
      <c r="H4459" s="43" t="s">
        <v>1364</v>
      </c>
      <c r="I4459" s="40" t="s">
        <v>1361</v>
      </c>
    </row>
    <row r="4460" spans="1:9" x14ac:dyDescent="0.25">
      <c r="A4460" s="40" t="s">
        <v>471</v>
      </c>
      <c r="B4460" s="28">
        <v>4337</v>
      </c>
      <c r="C4460" s="28" t="s">
        <v>35</v>
      </c>
      <c r="D4460" s="28" t="s">
        <v>38</v>
      </c>
      <c r="E4460" s="41">
        <v>46154</v>
      </c>
      <c r="F4460" s="47">
        <v>0.45701388888888889</v>
      </c>
      <c r="G4460" s="44">
        <v>6.3</v>
      </c>
      <c r="H4460" s="43" t="s">
        <v>1364</v>
      </c>
      <c r="I4460" s="40" t="s">
        <v>1361</v>
      </c>
    </row>
    <row r="4461" spans="1:9" x14ac:dyDescent="0.25">
      <c r="A4461" s="40" t="s">
        <v>471</v>
      </c>
      <c r="B4461" s="28">
        <v>4337</v>
      </c>
      <c r="C4461" s="28">
        <v>5666960</v>
      </c>
      <c r="D4461" s="28"/>
      <c r="E4461" s="41">
        <v>46155</v>
      </c>
      <c r="F4461" s="47">
        <v>0.76591435185185186</v>
      </c>
      <c r="G4461" s="44">
        <v>6.3</v>
      </c>
      <c r="H4461" s="43" t="s">
        <v>1360</v>
      </c>
      <c r="I4461" s="40" t="s">
        <v>1361</v>
      </c>
    </row>
    <row r="4462" spans="1:9" x14ac:dyDescent="0.25">
      <c r="A4462" s="40" t="s">
        <v>471</v>
      </c>
      <c r="B4462" s="28">
        <v>4337</v>
      </c>
      <c r="C4462" s="28">
        <v>5667447</v>
      </c>
      <c r="D4462" s="28"/>
      <c r="E4462" s="41">
        <v>46155</v>
      </c>
      <c r="F4462" s="47">
        <v>0.97057870370370369</v>
      </c>
      <c r="G4462" s="44">
        <v>6.3</v>
      </c>
      <c r="H4462" s="43" t="s">
        <v>1360</v>
      </c>
      <c r="I4462" s="40" t="s">
        <v>1361</v>
      </c>
    </row>
    <row r="4463" spans="1:9" x14ac:dyDescent="0.25">
      <c r="A4463" s="40" t="s">
        <v>471</v>
      </c>
      <c r="B4463" s="28">
        <v>4337</v>
      </c>
      <c r="C4463" s="28" t="s">
        <v>35</v>
      </c>
      <c r="D4463" s="28" t="s">
        <v>38</v>
      </c>
      <c r="E4463" s="41">
        <v>46157</v>
      </c>
      <c r="F4463" s="47">
        <v>0.44018518518518518</v>
      </c>
      <c r="G4463" s="44">
        <v>6.3</v>
      </c>
      <c r="H4463" s="43" t="s">
        <v>1360</v>
      </c>
      <c r="I4463" s="40" t="s">
        <v>1361</v>
      </c>
    </row>
    <row r="4464" spans="1:9" x14ac:dyDescent="0.25">
      <c r="A4464" s="40" t="s">
        <v>471</v>
      </c>
      <c r="B4464" s="28">
        <v>4337</v>
      </c>
      <c r="C4464" s="28" t="s">
        <v>35</v>
      </c>
      <c r="D4464" s="28" t="s">
        <v>38</v>
      </c>
      <c r="E4464" s="41">
        <v>46157</v>
      </c>
      <c r="F4464" s="47">
        <v>0.45369212962962963</v>
      </c>
      <c r="G4464" s="44">
        <v>6.3</v>
      </c>
      <c r="H4464" s="43" t="s">
        <v>1362</v>
      </c>
      <c r="I4464" s="40" t="s">
        <v>1361</v>
      </c>
    </row>
    <row r="4465" spans="1:9" x14ac:dyDescent="0.25">
      <c r="A4465" s="40" t="s">
        <v>471</v>
      </c>
      <c r="B4465" s="28">
        <v>4337</v>
      </c>
      <c r="C4465" s="28" t="s">
        <v>35</v>
      </c>
      <c r="D4465" s="28" t="s">
        <v>38</v>
      </c>
      <c r="E4465" s="41">
        <v>46157</v>
      </c>
      <c r="F4465" s="47">
        <v>0.79425925925925922</v>
      </c>
      <c r="G4465" s="44">
        <v>6.3</v>
      </c>
      <c r="H4465" s="43" t="s">
        <v>1364</v>
      </c>
      <c r="I4465" s="40" t="s">
        <v>1361</v>
      </c>
    </row>
    <row r="4466" spans="1:9" x14ac:dyDescent="0.25">
      <c r="A4466" s="40" t="s">
        <v>471</v>
      </c>
      <c r="B4466" s="28">
        <v>4337</v>
      </c>
      <c r="C4466" s="28" t="s">
        <v>35</v>
      </c>
      <c r="D4466" s="28" t="s">
        <v>38</v>
      </c>
      <c r="E4466" s="41">
        <v>46157</v>
      </c>
      <c r="F4466" s="47">
        <v>0.99306712962962962</v>
      </c>
      <c r="G4466" s="42">
        <v>6.3</v>
      </c>
      <c r="H4466" s="40" t="s">
        <v>1360</v>
      </c>
      <c r="I4466" s="40" t="s">
        <v>1365</v>
      </c>
    </row>
    <row r="4467" spans="1:9" x14ac:dyDescent="0.25">
      <c r="A4467" s="40" t="s">
        <v>471</v>
      </c>
      <c r="B4467" s="28">
        <v>4337</v>
      </c>
      <c r="C4467" s="28" t="s">
        <v>35</v>
      </c>
      <c r="D4467" s="28" t="s">
        <v>38</v>
      </c>
      <c r="E4467" s="41">
        <v>46158</v>
      </c>
      <c r="F4467" s="47">
        <v>2.2337962962962962E-3</v>
      </c>
      <c r="G4467" s="42">
        <v>6.3</v>
      </c>
      <c r="H4467" s="40" t="s">
        <v>1362</v>
      </c>
      <c r="I4467" s="40" t="s">
        <v>1365</v>
      </c>
    </row>
    <row r="4468" spans="1:9" x14ac:dyDescent="0.25">
      <c r="A4468" s="40" t="s">
        <v>471</v>
      </c>
      <c r="B4468" s="28">
        <v>4337</v>
      </c>
      <c r="C4468" s="28">
        <v>5671449</v>
      </c>
      <c r="D4468" s="28"/>
      <c r="E4468" s="41">
        <v>46158</v>
      </c>
      <c r="F4468" s="47">
        <v>0.7298958333333333</v>
      </c>
      <c r="G4468" s="42">
        <v>6.3</v>
      </c>
      <c r="H4468" s="40" t="s">
        <v>1360</v>
      </c>
      <c r="I4468" s="40" t="s">
        <v>1365</v>
      </c>
    </row>
    <row r="4469" spans="1:9" x14ac:dyDescent="0.25">
      <c r="A4469" s="40" t="s">
        <v>471</v>
      </c>
      <c r="B4469" s="28">
        <v>4337</v>
      </c>
      <c r="C4469" s="28">
        <v>5671449</v>
      </c>
      <c r="D4469" s="28"/>
      <c r="E4469" s="41">
        <v>46158</v>
      </c>
      <c r="F4469" s="47">
        <v>0.73797453703703708</v>
      </c>
      <c r="G4469" s="42">
        <v>6.3</v>
      </c>
      <c r="H4469" s="40" t="s">
        <v>1362</v>
      </c>
      <c r="I4469" s="40" t="s">
        <v>1365</v>
      </c>
    </row>
    <row r="4470" spans="1:9" x14ac:dyDescent="0.25">
      <c r="A4470" s="40" t="s">
        <v>471</v>
      </c>
      <c r="B4470" s="28">
        <v>4337</v>
      </c>
      <c r="C4470" s="28">
        <v>5671880</v>
      </c>
      <c r="D4470" s="28"/>
      <c r="E4470" s="41">
        <v>46158</v>
      </c>
      <c r="F4470" s="47">
        <v>0.92718750000000005</v>
      </c>
      <c r="G4470" s="44">
        <v>6.3</v>
      </c>
      <c r="H4470" s="43" t="s">
        <v>1360</v>
      </c>
      <c r="I4470" s="40" t="s">
        <v>1365</v>
      </c>
    </row>
    <row r="4471" spans="1:9" x14ac:dyDescent="0.25">
      <c r="A4471" s="40" t="s">
        <v>471</v>
      </c>
      <c r="B4471" s="28">
        <v>4337</v>
      </c>
      <c r="C4471" s="28">
        <v>5671880</v>
      </c>
      <c r="D4471" s="28"/>
      <c r="E4471" s="41">
        <v>46158</v>
      </c>
      <c r="F4471" s="47">
        <v>0.93410879629629628</v>
      </c>
      <c r="G4471" s="44">
        <v>6.3</v>
      </c>
      <c r="H4471" s="43" t="s">
        <v>1368</v>
      </c>
      <c r="I4471" s="40" t="s">
        <v>1365</v>
      </c>
    </row>
    <row r="4472" spans="1:9" x14ac:dyDescent="0.25">
      <c r="A4472" s="40" t="s">
        <v>471</v>
      </c>
      <c r="B4472" s="28">
        <v>4337</v>
      </c>
      <c r="C4472" s="28">
        <v>5673205</v>
      </c>
      <c r="D4472" s="28"/>
      <c r="E4472" s="41">
        <v>46159</v>
      </c>
      <c r="F4472" s="47">
        <v>0.83359953703703704</v>
      </c>
      <c r="G4472" s="44">
        <v>6.3</v>
      </c>
      <c r="H4472" s="43" t="s">
        <v>1360</v>
      </c>
      <c r="I4472" s="40" t="s">
        <v>1365</v>
      </c>
    </row>
    <row r="4473" spans="1:9" x14ac:dyDescent="0.25">
      <c r="A4473" s="40" t="s">
        <v>471</v>
      </c>
      <c r="B4473" s="28">
        <v>4337</v>
      </c>
      <c r="C4473" s="28">
        <v>5673205</v>
      </c>
      <c r="D4473" s="28"/>
      <c r="E4473" s="41">
        <v>46159</v>
      </c>
      <c r="F4473" s="47">
        <v>0.84109953703703699</v>
      </c>
      <c r="G4473" s="44">
        <v>6.3</v>
      </c>
      <c r="H4473" s="43" t="s">
        <v>1362</v>
      </c>
      <c r="I4473" s="40" t="s">
        <v>1365</v>
      </c>
    </row>
    <row r="4474" spans="1:9" x14ac:dyDescent="0.25">
      <c r="A4474" s="40" t="s">
        <v>472</v>
      </c>
      <c r="B4474" s="28">
        <v>4354</v>
      </c>
      <c r="C4474" s="28">
        <v>5661109</v>
      </c>
      <c r="D4474" s="28"/>
      <c r="E4474" s="41">
        <v>46153</v>
      </c>
      <c r="F4474" s="47">
        <v>0.64429398148148154</v>
      </c>
      <c r="G4474" s="44">
        <v>6.3</v>
      </c>
      <c r="H4474" s="43" t="s">
        <v>1360</v>
      </c>
      <c r="I4474" s="40" t="s">
        <v>1361</v>
      </c>
    </row>
    <row r="4475" spans="1:9" x14ac:dyDescent="0.25">
      <c r="A4475" s="40" t="s">
        <v>472</v>
      </c>
      <c r="B4475" s="28">
        <v>4354</v>
      </c>
      <c r="C4475" s="28" t="s">
        <v>35</v>
      </c>
      <c r="D4475" s="28" t="s">
        <v>38</v>
      </c>
      <c r="E4475" s="41">
        <v>46155</v>
      </c>
      <c r="F4475" s="47">
        <v>0.46124999999999999</v>
      </c>
      <c r="G4475" s="44">
        <v>6.3</v>
      </c>
      <c r="H4475" s="43" t="s">
        <v>1364</v>
      </c>
      <c r="I4475" s="40" t="s">
        <v>1361</v>
      </c>
    </row>
    <row r="4476" spans="1:9" x14ac:dyDescent="0.25">
      <c r="A4476" s="40" t="s">
        <v>472</v>
      </c>
      <c r="B4476" s="28">
        <v>4354</v>
      </c>
      <c r="C4476" s="28" t="s">
        <v>1218</v>
      </c>
      <c r="D4476" s="28"/>
      <c r="E4476" s="41">
        <v>46157</v>
      </c>
      <c r="F4476" s="47">
        <v>0.42804398148148148</v>
      </c>
      <c r="G4476" s="44">
        <v>6.3</v>
      </c>
      <c r="H4476" s="43" t="s">
        <v>1360</v>
      </c>
      <c r="I4476" s="40" t="s">
        <v>1361</v>
      </c>
    </row>
    <row r="4477" spans="1:9" x14ac:dyDescent="0.25">
      <c r="A4477" s="40" t="s">
        <v>472</v>
      </c>
      <c r="B4477" s="28">
        <v>4354</v>
      </c>
      <c r="C4477" s="28" t="s">
        <v>1218</v>
      </c>
      <c r="D4477" s="28"/>
      <c r="E4477" s="41">
        <v>46157</v>
      </c>
      <c r="F4477" s="47">
        <v>0.44041666666666668</v>
      </c>
      <c r="G4477" s="42">
        <v>6.3</v>
      </c>
      <c r="H4477" s="40" t="s">
        <v>1368</v>
      </c>
      <c r="I4477" s="40" t="s">
        <v>1361</v>
      </c>
    </row>
    <row r="4478" spans="1:9" x14ac:dyDescent="0.25">
      <c r="A4478" s="40" t="s">
        <v>472</v>
      </c>
      <c r="B4478" s="28">
        <v>4354</v>
      </c>
      <c r="C4478" s="28" t="s">
        <v>35</v>
      </c>
      <c r="D4478" s="28" t="s">
        <v>38</v>
      </c>
      <c r="E4478" s="41">
        <v>46157</v>
      </c>
      <c r="F4478" s="47">
        <v>0.47268518518518521</v>
      </c>
      <c r="G4478" s="42">
        <v>6.3</v>
      </c>
      <c r="H4478" s="40" t="s">
        <v>1369</v>
      </c>
      <c r="I4478" s="40" t="s">
        <v>1361</v>
      </c>
    </row>
    <row r="4479" spans="1:9" x14ac:dyDescent="0.25">
      <c r="A4479" s="40" t="s">
        <v>472</v>
      </c>
      <c r="B4479" s="28">
        <v>4354</v>
      </c>
      <c r="C4479" s="28" t="s">
        <v>35</v>
      </c>
      <c r="D4479" s="28" t="s">
        <v>38</v>
      </c>
      <c r="E4479" s="41">
        <v>46157</v>
      </c>
      <c r="F4479" s="47">
        <v>0.47858796296296297</v>
      </c>
      <c r="G4479" s="44">
        <v>6.3</v>
      </c>
      <c r="H4479" s="43" t="s">
        <v>1364</v>
      </c>
      <c r="I4479" s="40" t="s">
        <v>1361</v>
      </c>
    </row>
    <row r="4480" spans="1:9" x14ac:dyDescent="0.25">
      <c r="A4480" s="40" t="s">
        <v>472</v>
      </c>
      <c r="B4480" s="28">
        <v>4354</v>
      </c>
      <c r="C4480" s="28">
        <v>5671847</v>
      </c>
      <c r="D4480" s="28"/>
      <c r="E4480" s="41">
        <v>46159</v>
      </c>
      <c r="F4480" s="47">
        <v>1.8368055555555554E-2</v>
      </c>
      <c r="G4480" s="44">
        <v>6.3</v>
      </c>
      <c r="H4480" s="43" t="s">
        <v>1360</v>
      </c>
      <c r="I4480" s="40" t="s">
        <v>1365</v>
      </c>
    </row>
    <row r="4481" spans="1:9" x14ac:dyDescent="0.25">
      <c r="A4481" s="40" t="s">
        <v>472</v>
      </c>
      <c r="B4481" s="28">
        <v>4354</v>
      </c>
      <c r="C4481" s="28">
        <v>5671847</v>
      </c>
      <c r="D4481" s="28"/>
      <c r="E4481" s="41">
        <v>46159</v>
      </c>
      <c r="F4481" s="47">
        <v>2.5706018518518517E-2</v>
      </c>
      <c r="G4481" s="44">
        <v>6.3</v>
      </c>
      <c r="H4481" s="43" t="s">
        <v>1362</v>
      </c>
      <c r="I4481" s="40" t="s">
        <v>1365</v>
      </c>
    </row>
    <row r="4482" spans="1:9" x14ac:dyDescent="0.25">
      <c r="A4482" s="40" t="s">
        <v>472</v>
      </c>
      <c r="B4482" s="28">
        <v>4354</v>
      </c>
      <c r="C4482" s="28" t="s">
        <v>35</v>
      </c>
      <c r="D4482" s="28" t="s">
        <v>38</v>
      </c>
      <c r="E4482" s="41">
        <v>46159</v>
      </c>
      <c r="F4482" s="47">
        <v>0.1184375</v>
      </c>
      <c r="G4482" s="44">
        <v>6.3</v>
      </c>
      <c r="H4482" s="43" t="s">
        <v>1363</v>
      </c>
      <c r="I4482" s="40" t="s">
        <v>1365</v>
      </c>
    </row>
    <row r="4483" spans="1:9" x14ac:dyDescent="0.25">
      <c r="A4483" s="40" t="s">
        <v>472</v>
      </c>
      <c r="B4483" s="28">
        <v>4354</v>
      </c>
      <c r="C4483" s="28">
        <v>5673181</v>
      </c>
      <c r="D4483" s="28"/>
      <c r="E4483" s="41">
        <v>46159</v>
      </c>
      <c r="F4483" s="47">
        <v>0.78260416666666666</v>
      </c>
      <c r="G4483" s="44">
        <v>6.3</v>
      </c>
      <c r="H4483" s="43" t="s">
        <v>1360</v>
      </c>
      <c r="I4483" s="40" t="s">
        <v>1365</v>
      </c>
    </row>
    <row r="4484" spans="1:9" x14ac:dyDescent="0.25">
      <c r="A4484" s="40" t="s">
        <v>472</v>
      </c>
      <c r="B4484" s="28">
        <v>4354</v>
      </c>
      <c r="C4484" s="28">
        <v>5673181</v>
      </c>
      <c r="D4484" s="28"/>
      <c r="E4484" s="41">
        <v>46159</v>
      </c>
      <c r="F4484" s="47">
        <v>0.79057870370370376</v>
      </c>
      <c r="G4484" s="44">
        <v>6.3</v>
      </c>
      <c r="H4484" s="43" t="s">
        <v>1362</v>
      </c>
      <c r="I4484" s="40" t="s">
        <v>1365</v>
      </c>
    </row>
    <row r="4485" spans="1:9" x14ac:dyDescent="0.25">
      <c r="A4485" s="40" t="s">
        <v>473</v>
      </c>
      <c r="B4485" s="28">
        <v>4356</v>
      </c>
      <c r="C4485" s="28" t="s">
        <v>1219</v>
      </c>
      <c r="D4485" s="28"/>
      <c r="E4485" s="41">
        <v>46153</v>
      </c>
      <c r="F4485" s="47">
        <v>0.64151620370370366</v>
      </c>
      <c r="G4485" s="44">
        <v>6.3</v>
      </c>
      <c r="H4485" s="43" t="s">
        <v>1360</v>
      </c>
      <c r="I4485" s="40" t="s">
        <v>1361</v>
      </c>
    </row>
    <row r="4486" spans="1:9" x14ac:dyDescent="0.25">
      <c r="A4486" s="40" t="s">
        <v>473</v>
      </c>
      <c r="B4486" s="28">
        <v>4356</v>
      </c>
      <c r="C4486" s="28" t="s">
        <v>35</v>
      </c>
      <c r="D4486" s="28" t="s">
        <v>38</v>
      </c>
      <c r="E4486" s="41">
        <v>46153</v>
      </c>
      <c r="F4486" s="47">
        <v>0.90451388888888884</v>
      </c>
      <c r="G4486" s="44">
        <v>6.3</v>
      </c>
      <c r="H4486" s="43" t="s">
        <v>1369</v>
      </c>
      <c r="I4486" s="40" t="s">
        <v>1361</v>
      </c>
    </row>
    <row r="4487" spans="1:9" x14ac:dyDescent="0.25">
      <c r="A4487" s="40" t="s">
        <v>473</v>
      </c>
      <c r="B4487" s="28">
        <v>4356</v>
      </c>
      <c r="C4487" s="28" t="s">
        <v>35</v>
      </c>
      <c r="D4487" s="28" t="s">
        <v>38</v>
      </c>
      <c r="E4487" s="41">
        <v>46153</v>
      </c>
      <c r="F4487" s="47">
        <v>0.90954861111111107</v>
      </c>
      <c r="G4487" s="44">
        <v>6.3</v>
      </c>
      <c r="H4487" s="43" t="s">
        <v>1364</v>
      </c>
      <c r="I4487" s="40" t="s">
        <v>1361</v>
      </c>
    </row>
    <row r="4488" spans="1:9" x14ac:dyDescent="0.25">
      <c r="A4488" s="40" t="s">
        <v>473</v>
      </c>
      <c r="B4488" s="28">
        <v>4356</v>
      </c>
      <c r="C4488" s="28">
        <v>5671420</v>
      </c>
      <c r="D4488" s="28" t="s">
        <v>36</v>
      </c>
      <c r="E4488" s="41">
        <v>46158</v>
      </c>
      <c r="F4488" s="47">
        <v>0.71910879629629632</v>
      </c>
      <c r="G4488" s="44">
        <v>6.3</v>
      </c>
      <c r="H4488" s="43" t="s">
        <v>1360</v>
      </c>
      <c r="I4488" s="40" t="s">
        <v>1365</v>
      </c>
    </row>
    <row r="4489" spans="1:9" x14ac:dyDescent="0.25">
      <c r="A4489" s="40" t="s">
        <v>473</v>
      </c>
      <c r="B4489" s="28">
        <v>4356</v>
      </c>
      <c r="C4489" s="28">
        <v>5671420</v>
      </c>
      <c r="D4489" s="28" t="s">
        <v>36</v>
      </c>
      <c r="E4489" s="41">
        <v>46158</v>
      </c>
      <c r="F4489" s="47">
        <v>0.7258796296296296</v>
      </c>
      <c r="G4489" s="44">
        <v>6.3</v>
      </c>
      <c r="H4489" s="43" t="s">
        <v>1362</v>
      </c>
      <c r="I4489" s="40" t="s">
        <v>1365</v>
      </c>
    </row>
    <row r="4490" spans="1:9" x14ac:dyDescent="0.25">
      <c r="A4490" s="40" t="s">
        <v>474</v>
      </c>
      <c r="B4490" s="28">
        <v>4357</v>
      </c>
      <c r="C4490" s="28">
        <v>5664258</v>
      </c>
      <c r="D4490" s="28"/>
      <c r="E4490" s="41">
        <v>46154</v>
      </c>
      <c r="F4490" s="47">
        <v>0.27839120370370368</v>
      </c>
      <c r="G4490" s="44">
        <v>6.3</v>
      </c>
      <c r="H4490" s="43" t="s">
        <v>1360</v>
      </c>
      <c r="I4490" s="40" t="s">
        <v>1361</v>
      </c>
    </row>
    <row r="4491" spans="1:9" x14ac:dyDescent="0.25">
      <c r="A4491" s="40" t="s">
        <v>474</v>
      </c>
      <c r="B4491" s="28">
        <v>4357</v>
      </c>
      <c r="C4491" s="28">
        <v>5666333</v>
      </c>
      <c r="D4491" s="28"/>
      <c r="E4491" s="41">
        <v>46155</v>
      </c>
      <c r="F4491" s="47">
        <v>0.43152777777777779</v>
      </c>
      <c r="G4491" s="44">
        <v>6.3</v>
      </c>
      <c r="H4491" s="43" t="s">
        <v>1360</v>
      </c>
      <c r="I4491" s="40" t="s">
        <v>1361</v>
      </c>
    </row>
    <row r="4492" spans="1:9" x14ac:dyDescent="0.25">
      <c r="A4492" s="40" t="s">
        <v>474</v>
      </c>
      <c r="B4492" s="28">
        <v>4357</v>
      </c>
      <c r="C4492" s="28">
        <v>5666333</v>
      </c>
      <c r="D4492" s="28"/>
      <c r="E4492" s="41">
        <v>46155</v>
      </c>
      <c r="F4492" s="47">
        <v>0.45144675925925926</v>
      </c>
      <c r="G4492" s="44">
        <v>6.3</v>
      </c>
      <c r="H4492" s="43" t="s">
        <v>1362</v>
      </c>
      <c r="I4492" s="40" t="s">
        <v>1361</v>
      </c>
    </row>
    <row r="4493" spans="1:9" x14ac:dyDescent="0.25">
      <c r="A4493" s="40" t="s">
        <v>474</v>
      </c>
      <c r="B4493" s="28">
        <v>4357</v>
      </c>
      <c r="C4493" s="28" t="s">
        <v>35</v>
      </c>
      <c r="D4493" s="28" t="s">
        <v>38</v>
      </c>
      <c r="E4493" s="41">
        <v>46155</v>
      </c>
      <c r="F4493" s="47">
        <v>0.46983796296296299</v>
      </c>
      <c r="G4493" s="44">
        <v>6.3</v>
      </c>
      <c r="H4493" s="43" t="s">
        <v>1363</v>
      </c>
      <c r="I4493" s="40" t="s">
        <v>1361</v>
      </c>
    </row>
    <row r="4494" spans="1:9" x14ac:dyDescent="0.25">
      <c r="A4494" s="40" t="s">
        <v>474</v>
      </c>
      <c r="B4494" s="28">
        <v>4357</v>
      </c>
      <c r="C4494" s="28" t="s">
        <v>35</v>
      </c>
      <c r="D4494" s="28" t="s">
        <v>38</v>
      </c>
      <c r="E4494" s="41">
        <v>46155</v>
      </c>
      <c r="F4494" s="47">
        <v>0.47614583333333332</v>
      </c>
      <c r="G4494" s="44">
        <v>6.3</v>
      </c>
      <c r="H4494" s="43" t="s">
        <v>1364</v>
      </c>
      <c r="I4494" s="40" t="s">
        <v>1361</v>
      </c>
    </row>
    <row r="4495" spans="1:9" x14ac:dyDescent="0.25">
      <c r="A4495" s="40" t="s">
        <v>474</v>
      </c>
      <c r="B4495" s="28">
        <v>4357</v>
      </c>
      <c r="C4495" s="28">
        <v>5666416</v>
      </c>
      <c r="D4495" s="28"/>
      <c r="E4495" s="41">
        <v>46155</v>
      </c>
      <c r="F4495" s="47">
        <v>0.67113425925925929</v>
      </c>
      <c r="G4495" s="44">
        <v>6.3</v>
      </c>
      <c r="H4495" s="43" t="s">
        <v>1360</v>
      </c>
      <c r="I4495" s="40" t="s">
        <v>1361</v>
      </c>
    </row>
    <row r="4496" spans="1:9" x14ac:dyDescent="0.25">
      <c r="A4496" s="40" t="s">
        <v>474</v>
      </c>
      <c r="B4496" s="28">
        <v>4357</v>
      </c>
      <c r="C4496" s="28">
        <v>5666416</v>
      </c>
      <c r="D4496" s="28"/>
      <c r="E4496" s="41">
        <v>46155</v>
      </c>
      <c r="F4496" s="47">
        <v>0.6807523148148148</v>
      </c>
      <c r="G4496" s="44">
        <v>6.3</v>
      </c>
      <c r="H4496" s="43" t="s">
        <v>1362</v>
      </c>
      <c r="I4496" s="40" t="s">
        <v>1361</v>
      </c>
    </row>
    <row r="4497" spans="1:9" x14ac:dyDescent="0.25">
      <c r="A4497" s="40" t="s">
        <v>474</v>
      </c>
      <c r="B4497" s="28">
        <v>4357</v>
      </c>
      <c r="C4497" s="28" t="s">
        <v>35</v>
      </c>
      <c r="D4497" s="28" t="s">
        <v>38</v>
      </c>
      <c r="E4497" s="41">
        <v>46156</v>
      </c>
      <c r="F4497" s="47">
        <v>0.57212962962962965</v>
      </c>
      <c r="G4497" s="44">
        <v>6.3</v>
      </c>
      <c r="H4497" s="43" t="s">
        <v>1360</v>
      </c>
      <c r="I4497" s="40" t="s">
        <v>1361</v>
      </c>
    </row>
    <row r="4498" spans="1:9" x14ac:dyDescent="0.25">
      <c r="A4498" s="40" t="s">
        <v>474</v>
      </c>
      <c r="B4498" s="28">
        <v>4357</v>
      </c>
      <c r="C4498" s="28" t="s">
        <v>35</v>
      </c>
      <c r="D4498" s="28" t="s">
        <v>38</v>
      </c>
      <c r="E4498" s="41">
        <v>46156</v>
      </c>
      <c r="F4498" s="47">
        <v>0.63947916666666671</v>
      </c>
      <c r="G4498" s="44">
        <v>6.3</v>
      </c>
      <c r="H4498" s="43" t="s">
        <v>1369</v>
      </c>
      <c r="I4498" s="40" t="s">
        <v>1361</v>
      </c>
    </row>
    <row r="4499" spans="1:9" x14ac:dyDescent="0.25">
      <c r="A4499" s="40" t="s">
        <v>474</v>
      </c>
      <c r="B4499" s="28">
        <v>4357</v>
      </c>
      <c r="C4499" s="28" t="s">
        <v>35</v>
      </c>
      <c r="D4499" s="28" t="s">
        <v>38</v>
      </c>
      <c r="E4499" s="41">
        <v>46156</v>
      </c>
      <c r="F4499" s="47">
        <v>0.64635416666666667</v>
      </c>
      <c r="G4499" s="44">
        <v>6.3</v>
      </c>
      <c r="H4499" s="43" t="s">
        <v>1364</v>
      </c>
      <c r="I4499" s="40" t="s">
        <v>1361</v>
      </c>
    </row>
    <row r="4500" spans="1:9" x14ac:dyDescent="0.25">
      <c r="A4500" s="40" t="s">
        <v>474</v>
      </c>
      <c r="B4500" s="28">
        <v>4357</v>
      </c>
      <c r="C4500" s="28" t="s">
        <v>1220</v>
      </c>
      <c r="D4500" s="28"/>
      <c r="E4500" s="41">
        <v>46158</v>
      </c>
      <c r="F4500" s="47">
        <v>0.4974884259259259</v>
      </c>
      <c r="G4500" s="44">
        <v>6.3</v>
      </c>
      <c r="H4500" s="43" t="s">
        <v>1360</v>
      </c>
      <c r="I4500" s="40" t="s">
        <v>1365</v>
      </c>
    </row>
    <row r="4501" spans="1:9" x14ac:dyDescent="0.25">
      <c r="A4501" s="40" t="s">
        <v>474</v>
      </c>
      <c r="B4501" s="28">
        <v>4357</v>
      </c>
      <c r="C4501" s="28" t="s">
        <v>1220</v>
      </c>
      <c r="D4501" s="28"/>
      <c r="E4501" s="41">
        <v>46158</v>
      </c>
      <c r="F4501" s="47">
        <v>0.51081018518518517</v>
      </c>
      <c r="G4501" s="44">
        <v>6.3</v>
      </c>
      <c r="H4501" s="43" t="s">
        <v>1362</v>
      </c>
      <c r="I4501" s="40" t="s">
        <v>1365</v>
      </c>
    </row>
    <row r="4502" spans="1:9" x14ac:dyDescent="0.25">
      <c r="A4502" s="40" t="s">
        <v>475</v>
      </c>
      <c r="B4502" s="28">
        <v>4364</v>
      </c>
      <c r="C4502" s="28" t="s">
        <v>1221</v>
      </c>
      <c r="D4502" s="28"/>
      <c r="E4502" s="41">
        <v>46155</v>
      </c>
      <c r="F4502" s="47">
        <v>0.78986111111111112</v>
      </c>
      <c r="G4502" s="42">
        <v>6.3</v>
      </c>
      <c r="H4502" s="40" t="s">
        <v>1360</v>
      </c>
      <c r="I4502" s="40" t="s">
        <v>1361</v>
      </c>
    </row>
    <row r="4503" spans="1:9" x14ac:dyDescent="0.25">
      <c r="A4503" s="40" t="s">
        <v>475</v>
      </c>
      <c r="B4503" s="28">
        <v>4364</v>
      </c>
      <c r="C4503" s="28" t="s">
        <v>1222</v>
      </c>
      <c r="D4503" s="28"/>
      <c r="E4503" s="41">
        <v>46158</v>
      </c>
      <c r="F4503" s="47">
        <v>0.72721064814814818</v>
      </c>
      <c r="G4503" s="44">
        <v>6.3</v>
      </c>
      <c r="H4503" s="43" t="s">
        <v>1360</v>
      </c>
      <c r="I4503" s="40" t="s">
        <v>1365</v>
      </c>
    </row>
    <row r="4504" spans="1:9" x14ac:dyDescent="0.25">
      <c r="A4504" s="40" t="s">
        <v>475</v>
      </c>
      <c r="B4504" s="28">
        <v>4364</v>
      </c>
      <c r="C4504" s="28" t="s">
        <v>1222</v>
      </c>
      <c r="D4504" s="28"/>
      <c r="E4504" s="41">
        <v>46158</v>
      </c>
      <c r="F4504" s="47">
        <v>0.73498842592592595</v>
      </c>
      <c r="G4504" s="44">
        <v>6.3</v>
      </c>
      <c r="H4504" s="43" t="s">
        <v>1362</v>
      </c>
      <c r="I4504" s="40" t="s">
        <v>1365</v>
      </c>
    </row>
    <row r="4505" spans="1:9" x14ac:dyDescent="0.25">
      <c r="A4505" s="40" t="s">
        <v>475</v>
      </c>
      <c r="B4505" s="28">
        <v>4364</v>
      </c>
      <c r="C4505" s="28" t="s">
        <v>1222</v>
      </c>
      <c r="D4505" s="28"/>
      <c r="E4505" s="41">
        <v>46158</v>
      </c>
      <c r="F4505" s="47">
        <v>0.73857638888888888</v>
      </c>
      <c r="G4505" s="44">
        <v>6.3</v>
      </c>
      <c r="H4505" s="43" t="s">
        <v>1362</v>
      </c>
      <c r="I4505" s="40" t="s">
        <v>1365</v>
      </c>
    </row>
    <row r="4506" spans="1:9" x14ac:dyDescent="0.25">
      <c r="A4506" s="40" t="s">
        <v>475</v>
      </c>
      <c r="B4506" s="28">
        <v>4364</v>
      </c>
      <c r="C4506" s="28" t="s">
        <v>1223</v>
      </c>
      <c r="D4506" s="28"/>
      <c r="E4506" s="41">
        <v>46158</v>
      </c>
      <c r="F4506" s="47">
        <v>0.81196759259259255</v>
      </c>
      <c r="G4506" s="44">
        <v>6.3</v>
      </c>
      <c r="H4506" s="43" t="s">
        <v>1363</v>
      </c>
      <c r="I4506" s="40" t="s">
        <v>1365</v>
      </c>
    </row>
    <row r="4507" spans="1:9" x14ac:dyDescent="0.25">
      <c r="A4507" s="40" t="s">
        <v>475</v>
      </c>
      <c r="B4507" s="28">
        <v>4364</v>
      </c>
      <c r="C4507" s="28" t="s">
        <v>1223</v>
      </c>
      <c r="D4507" s="28"/>
      <c r="E4507" s="41">
        <v>46158</v>
      </c>
      <c r="F4507" s="47">
        <v>0.81967592592592597</v>
      </c>
      <c r="G4507" s="42">
        <v>6.3</v>
      </c>
      <c r="H4507" s="40" t="s">
        <v>1364</v>
      </c>
      <c r="I4507" s="40" t="s">
        <v>1365</v>
      </c>
    </row>
    <row r="4508" spans="1:9" x14ac:dyDescent="0.25">
      <c r="A4508" s="40" t="s">
        <v>476</v>
      </c>
      <c r="B4508" s="28">
        <v>4365</v>
      </c>
      <c r="C4508" s="28" t="s">
        <v>1224</v>
      </c>
      <c r="D4508" s="28"/>
      <c r="E4508" s="41">
        <v>46153</v>
      </c>
      <c r="F4508" s="47">
        <v>0.55815972222222221</v>
      </c>
      <c r="G4508" s="42">
        <v>6.3</v>
      </c>
      <c r="H4508" s="40" t="s">
        <v>1363</v>
      </c>
      <c r="I4508" s="40" t="s">
        <v>1361</v>
      </c>
    </row>
    <row r="4509" spans="1:9" x14ac:dyDescent="0.25">
      <c r="A4509" s="40" t="s">
        <v>476</v>
      </c>
      <c r="B4509" s="28">
        <v>4365</v>
      </c>
      <c r="C4509" s="28" t="s">
        <v>1224</v>
      </c>
      <c r="D4509" s="28"/>
      <c r="E4509" s="41">
        <v>46153</v>
      </c>
      <c r="F4509" s="47">
        <v>0.56379629629629635</v>
      </c>
      <c r="G4509" s="42">
        <v>6.3</v>
      </c>
      <c r="H4509" s="40" t="s">
        <v>1364</v>
      </c>
      <c r="I4509" s="40" t="s">
        <v>1361</v>
      </c>
    </row>
    <row r="4510" spans="1:9" x14ac:dyDescent="0.25">
      <c r="A4510" s="40" t="s">
        <v>476</v>
      </c>
      <c r="B4510" s="28">
        <v>4365</v>
      </c>
      <c r="C4510" s="28" t="s">
        <v>1225</v>
      </c>
      <c r="D4510" s="28"/>
      <c r="E4510" s="41">
        <v>46153</v>
      </c>
      <c r="F4510" s="47">
        <v>0.64300925925925922</v>
      </c>
      <c r="G4510" s="42">
        <v>6.3</v>
      </c>
      <c r="H4510" s="40" t="s">
        <v>1360</v>
      </c>
      <c r="I4510" s="40" t="s">
        <v>1361</v>
      </c>
    </row>
    <row r="4511" spans="1:9" x14ac:dyDescent="0.25">
      <c r="A4511" s="40" t="s">
        <v>476</v>
      </c>
      <c r="B4511" s="28">
        <v>4365</v>
      </c>
      <c r="C4511" s="28" t="s">
        <v>1226</v>
      </c>
      <c r="D4511" s="28"/>
      <c r="E4511" s="41">
        <v>46154</v>
      </c>
      <c r="F4511" s="47">
        <v>0.30319444444444443</v>
      </c>
      <c r="G4511" s="44">
        <v>6.3</v>
      </c>
      <c r="H4511" s="43" t="s">
        <v>1360</v>
      </c>
      <c r="I4511" s="40" t="s">
        <v>1361</v>
      </c>
    </row>
    <row r="4512" spans="1:9" x14ac:dyDescent="0.25">
      <c r="A4512" s="40" t="s">
        <v>476</v>
      </c>
      <c r="B4512" s="28">
        <v>4365</v>
      </c>
      <c r="C4512" s="28" t="s">
        <v>1226</v>
      </c>
      <c r="D4512" s="28"/>
      <c r="E4512" s="41">
        <v>46154</v>
      </c>
      <c r="F4512" s="47">
        <v>0.31753472222222223</v>
      </c>
      <c r="G4512" s="44">
        <v>6.3</v>
      </c>
      <c r="H4512" s="43" t="s">
        <v>1362</v>
      </c>
      <c r="I4512" s="40" t="s">
        <v>1361</v>
      </c>
    </row>
    <row r="4513" spans="1:9" x14ac:dyDescent="0.25">
      <c r="A4513" s="40" t="s">
        <v>476</v>
      </c>
      <c r="B4513" s="28">
        <v>4365</v>
      </c>
      <c r="C4513" s="28" t="s">
        <v>1227</v>
      </c>
      <c r="D4513" s="28"/>
      <c r="E4513" s="41">
        <v>46154</v>
      </c>
      <c r="F4513" s="47">
        <v>0.63988425925925929</v>
      </c>
      <c r="G4513" s="44">
        <v>6.3</v>
      </c>
      <c r="H4513" s="43" t="s">
        <v>1360</v>
      </c>
      <c r="I4513" s="40" t="s">
        <v>1361</v>
      </c>
    </row>
    <row r="4514" spans="1:9" x14ac:dyDescent="0.25">
      <c r="A4514" s="40" t="s">
        <v>476</v>
      </c>
      <c r="B4514" s="28">
        <v>4365</v>
      </c>
      <c r="C4514" s="28" t="s">
        <v>1227</v>
      </c>
      <c r="D4514" s="28"/>
      <c r="E4514" s="41">
        <v>46154</v>
      </c>
      <c r="F4514" s="47">
        <v>0.65299768518518519</v>
      </c>
      <c r="G4514" s="44">
        <v>6.3</v>
      </c>
      <c r="H4514" s="43" t="s">
        <v>1368</v>
      </c>
      <c r="I4514" s="40" t="s">
        <v>1361</v>
      </c>
    </row>
    <row r="4515" spans="1:9" x14ac:dyDescent="0.25">
      <c r="A4515" s="40" t="s">
        <v>476</v>
      </c>
      <c r="B4515" s="28">
        <v>4365</v>
      </c>
      <c r="C4515" s="28" t="s">
        <v>1228</v>
      </c>
      <c r="D4515" s="28"/>
      <c r="E4515" s="41">
        <v>46156</v>
      </c>
      <c r="F4515" s="47">
        <v>0.32365740740740739</v>
      </c>
      <c r="G4515" s="44">
        <v>6.3</v>
      </c>
      <c r="H4515" s="43" t="s">
        <v>1360</v>
      </c>
      <c r="I4515" s="40" t="s">
        <v>1361</v>
      </c>
    </row>
    <row r="4516" spans="1:9" x14ac:dyDescent="0.25">
      <c r="A4516" s="40" t="s">
        <v>476</v>
      </c>
      <c r="B4516" s="28">
        <v>4365</v>
      </c>
      <c r="C4516" s="28" t="s">
        <v>1228</v>
      </c>
      <c r="D4516" s="28"/>
      <c r="E4516" s="41">
        <v>46156</v>
      </c>
      <c r="F4516" s="47">
        <v>0.33932870370370372</v>
      </c>
      <c r="G4516" s="44">
        <v>6.3</v>
      </c>
      <c r="H4516" s="43" t="s">
        <v>1362</v>
      </c>
      <c r="I4516" s="40" t="s">
        <v>1361</v>
      </c>
    </row>
    <row r="4517" spans="1:9" x14ac:dyDescent="0.25">
      <c r="A4517" s="40" t="s">
        <v>476</v>
      </c>
      <c r="B4517" s="28">
        <v>4365</v>
      </c>
      <c r="C4517" s="28" t="s">
        <v>1229</v>
      </c>
      <c r="D4517" s="28"/>
      <c r="E4517" s="41">
        <v>46156</v>
      </c>
      <c r="F4517" s="47">
        <v>0.39978009259259262</v>
      </c>
      <c r="G4517" s="44">
        <v>6.3</v>
      </c>
      <c r="H4517" s="43" t="s">
        <v>1363</v>
      </c>
      <c r="I4517" s="40" t="s">
        <v>1361</v>
      </c>
    </row>
    <row r="4518" spans="1:9" x14ac:dyDescent="0.25">
      <c r="A4518" s="40" t="s">
        <v>476</v>
      </c>
      <c r="B4518" s="28">
        <v>4365</v>
      </c>
      <c r="C4518" s="28" t="s">
        <v>1229</v>
      </c>
      <c r="D4518" s="28"/>
      <c r="E4518" s="41">
        <v>46156</v>
      </c>
      <c r="F4518" s="47">
        <v>0.40967592592592594</v>
      </c>
      <c r="G4518" s="44">
        <v>6.3</v>
      </c>
      <c r="H4518" s="43" t="s">
        <v>1364</v>
      </c>
      <c r="I4518" s="40" t="s">
        <v>1361</v>
      </c>
    </row>
    <row r="4519" spans="1:9" x14ac:dyDescent="0.25">
      <c r="A4519" s="40" t="s">
        <v>476</v>
      </c>
      <c r="B4519" s="28">
        <v>4365</v>
      </c>
      <c r="C4519" s="28" t="s">
        <v>1230</v>
      </c>
      <c r="D4519" s="28"/>
      <c r="E4519" s="41">
        <v>46156</v>
      </c>
      <c r="F4519" s="47">
        <v>0.49952546296296296</v>
      </c>
      <c r="G4519" s="44">
        <v>6.3</v>
      </c>
      <c r="H4519" s="43" t="s">
        <v>1360</v>
      </c>
      <c r="I4519" s="40" t="s">
        <v>1361</v>
      </c>
    </row>
    <row r="4520" spans="1:9" x14ac:dyDescent="0.25">
      <c r="A4520" s="40" t="s">
        <v>476</v>
      </c>
      <c r="B4520" s="28">
        <v>4365</v>
      </c>
      <c r="C4520" s="28" t="s">
        <v>1230</v>
      </c>
      <c r="D4520" s="28"/>
      <c r="E4520" s="41">
        <v>46156</v>
      </c>
      <c r="F4520" s="47">
        <v>0.50988425925925929</v>
      </c>
      <c r="G4520" s="44">
        <v>6.3</v>
      </c>
      <c r="H4520" s="43" t="s">
        <v>1362</v>
      </c>
      <c r="I4520" s="40" t="s">
        <v>1361</v>
      </c>
    </row>
    <row r="4521" spans="1:9" x14ac:dyDescent="0.25">
      <c r="A4521" s="40" t="s">
        <v>476</v>
      </c>
      <c r="B4521" s="28">
        <v>4365</v>
      </c>
      <c r="C4521" s="28">
        <v>10658940</v>
      </c>
      <c r="D4521" s="28"/>
      <c r="E4521" s="41">
        <v>46156</v>
      </c>
      <c r="F4521" s="47">
        <v>0.5631018518518518</v>
      </c>
      <c r="G4521" s="44">
        <v>6.3</v>
      </c>
      <c r="H4521" s="43" t="s">
        <v>1363</v>
      </c>
      <c r="I4521" s="40" t="s">
        <v>1361</v>
      </c>
    </row>
    <row r="4522" spans="1:9" x14ac:dyDescent="0.25">
      <c r="A4522" s="40" t="s">
        <v>476</v>
      </c>
      <c r="B4522" s="28">
        <v>4365</v>
      </c>
      <c r="C4522" s="28">
        <v>10658940</v>
      </c>
      <c r="D4522" s="28"/>
      <c r="E4522" s="41">
        <v>46156</v>
      </c>
      <c r="F4522" s="47">
        <v>0.56953703703703706</v>
      </c>
      <c r="G4522" s="44">
        <v>6.3</v>
      </c>
      <c r="H4522" s="43" t="s">
        <v>1364</v>
      </c>
      <c r="I4522" s="40" t="s">
        <v>1361</v>
      </c>
    </row>
    <row r="4523" spans="1:9" x14ac:dyDescent="0.25">
      <c r="A4523" s="40" t="s">
        <v>476</v>
      </c>
      <c r="B4523" s="28">
        <v>4365</v>
      </c>
      <c r="C4523" s="28" t="s">
        <v>35</v>
      </c>
      <c r="D4523" s="28" t="s">
        <v>38</v>
      </c>
      <c r="E4523" s="41">
        <v>46156</v>
      </c>
      <c r="F4523" s="47">
        <v>0.75124999999999997</v>
      </c>
      <c r="G4523" s="44">
        <v>6.3</v>
      </c>
      <c r="H4523" s="43" t="s">
        <v>1360</v>
      </c>
      <c r="I4523" s="40" t="s">
        <v>1361</v>
      </c>
    </row>
    <row r="4524" spans="1:9" x14ac:dyDescent="0.25">
      <c r="A4524" s="40" t="s">
        <v>476</v>
      </c>
      <c r="B4524" s="28">
        <v>4365</v>
      </c>
      <c r="C4524" s="28" t="s">
        <v>35</v>
      </c>
      <c r="D4524" s="28" t="s">
        <v>38</v>
      </c>
      <c r="E4524" s="41">
        <v>46156</v>
      </c>
      <c r="F4524" s="47">
        <v>0.77008101851851851</v>
      </c>
      <c r="G4524" s="44">
        <v>6.3</v>
      </c>
      <c r="H4524" s="43" t="s">
        <v>1362</v>
      </c>
      <c r="I4524" s="40" t="s">
        <v>1361</v>
      </c>
    </row>
    <row r="4525" spans="1:9" x14ac:dyDescent="0.25">
      <c r="A4525" s="40" t="s">
        <v>476</v>
      </c>
      <c r="B4525" s="28">
        <v>4365</v>
      </c>
      <c r="C4525" s="28" t="s">
        <v>1231</v>
      </c>
      <c r="D4525" s="28"/>
      <c r="E4525" s="41">
        <v>46157</v>
      </c>
      <c r="F4525" s="47">
        <v>0.34554398148148147</v>
      </c>
      <c r="G4525" s="44">
        <v>6.3</v>
      </c>
      <c r="H4525" s="43" t="s">
        <v>1360</v>
      </c>
      <c r="I4525" s="40" t="s">
        <v>1361</v>
      </c>
    </row>
    <row r="4526" spans="1:9" x14ac:dyDescent="0.25">
      <c r="A4526" s="40" t="s">
        <v>476</v>
      </c>
      <c r="B4526" s="28">
        <v>4365</v>
      </c>
      <c r="C4526" s="28" t="s">
        <v>1231</v>
      </c>
      <c r="D4526" s="28"/>
      <c r="E4526" s="41">
        <v>46157</v>
      </c>
      <c r="F4526" s="47">
        <v>0.3616550925925926</v>
      </c>
      <c r="G4526" s="44">
        <v>6.3</v>
      </c>
      <c r="H4526" s="43" t="s">
        <v>1362</v>
      </c>
      <c r="I4526" s="40" t="s">
        <v>1361</v>
      </c>
    </row>
    <row r="4527" spans="1:9" x14ac:dyDescent="0.25">
      <c r="A4527" s="40" t="s">
        <v>476</v>
      </c>
      <c r="B4527" s="28">
        <v>4365</v>
      </c>
      <c r="C4527" s="28">
        <v>10665802</v>
      </c>
      <c r="D4527" s="28"/>
      <c r="E4527" s="41">
        <v>46157</v>
      </c>
      <c r="F4527" s="47">
        <v>0.8084837962962963</v>
      </c>
      <c r="G4527" s="44">
        <v>6.3</v>
      </c>
      <c r="H4527" s="43" t="s">
        <v>1360</v>
      </c>
      <c r="I4527" s="40" t="s">
        <v>1361</v>
      </c>
    </row>
    <row r="4528" spans="1:9" x14ac:dyDescent="0.25">
      <c r="A4528" s="40" t="s">
        <v>476</v>
      </c>
      <c r="B4528" s="28">
        <v>4365</v>
      </c>
      <c r="C4528" s="28" t="s">
        <v>35</v>
      </c>
      <c r="D4528" s="28" t="s">
        <v>38</v>
      </c>
      <c r="E4528" s="41">
        <v>46157</v>
      </c>
      <c r="F4528" s="47">
        <v>0.83317129629629627</v>
      </c>
      <c r="G4528" s="44">
        <v>6.3</v>
      </c>
      <c r="H4528" s="43" t="s">
        <v>1362</v>
      </c>
      <c r="I4528" s="40" t="s">
        <v>1361</v>
      </c>
    </row>
    <row r="4529" spans="1:9" x14ac:dyDescent="0.25">
      <c r="A4529" s="40" t="s">
        <v>476</v>
      </c>
      <c r="B4529" s="28">
        <v>4365</v>
      </c>
      <c r="C4529" s="28" t="s">
        <v>1232</v>
      </c>
      <c r="D4529" s="28"/>
      <c r="E4529" s="41">
        <v>46158</v>
      </c>
      <c r="F4529" s="47">
        <v>0.18211805555555555</v>
      </c>
      <c r="G4529" s="44">
        <v>6.3</v>
      </c>
      <c r="H4529" s="43" t="s">
        <v>1363</v>
      </c>
      <c r="I4529" s="40" t="s">
        <v>1365</v>
      </c>
    </row>
    <row r="4530" spans="1:9" x14ac:dyDescent="0.25">
      <c r="A4530" s="40" t="s">
        <v>218</v>
      </c>
      <c r="B4530" s="28">
        <v>5023</v>
      </c>
      <c r="C4530" s="28" t="s">
        <v>35</v>
      </c>
      <c r="D4530" s="28" t="s">
        <v>38</v>
      </c>
      <c r="E4530" s="41">
        <v>46153</v>
      </c>
      <c r="F4530" s="47">
        <v>0.29135416666666669</v>
      </c>
      <c r="G4530" s="44">
        <v>6.3</v>
      </c>
      <c r="H4530" s="43" t="s">
        <v>1367</v>
      </c>
      <c r="I4530" s="40" t="s">
        <v>1361</v>
      </c>
    </row>
    <row r="4531" spans="1:9" x14ac:dyDescent="0.25">
      <c r="A4531" s="40" t="s">
        <v>218</v>
      </c>
      <c r="B4531" s="28">
        <v>5023</v>
      </c>
      <c r="C4531" s="28">
        <v>5662581</v>
      </c>
      <c r="D4531" s="28"/>
      <c r="E4531" s="41">
        <v>46153</v>
      </c>
      <c r="F4531" s="47">
        <v>0.52453703703703702</v>
      </c>
      <c r="G4531" s="44">
        <v>6.3</v>
      </c>
      <c r="H4531" s="43" t="s">
        <v>1360</v>
      </c>
      <c r="I4531" s="40" t="s">
        <v>1361</v>
      </c>
    </row>
    <row r="4532" spans="1:9" x14ac:dyDescent="0.25">
      <c r="A4532" s="40" t="s">
        <v>218</v>
      </c>
      <c r="B4532" s="28">
        <v>5023</v>
      </c>
      <c r="C4532" s="28">
        <v>5662581</v>
      </c>
      <c r="D4532" s="28"/>
      <c r="E4532" s="41">
        <v>46153</v>
      </c>
      <c r="F4532" s="47">
        <v>0.53546296296296292</v>
      </c>
      <c r="G4532" s="44">
        <v>6.3</v>
      </c>
      <c r="H4532" s="43" t="s">
        <v>1362</v>
      </c>
      <c r="I4532" s="40" t="s">
        <v>1361</v>
      </c>
    </row>
    <row r="4533" spans="1:9" x14ac:dyDescent="0.25">
      <c r="A4533" s="38" t="s">
        <v>218</v>
      </c>
      <c r="B4533" s="28">
        <v>5023</v>
      </c>
      <c r="C4533" s="28">
        <v>5663952</v>
      </c>
      <c r="D4533" s="46"/>
      <c r="E4533" s="35">
        <v>46154</v>
      </c>
      <c r="F4533" s="49">
        <v>0.34974537037037035</v>
      </c>
      <c r="G4533" s="37">
        <v>6.3</v>
      </c>
      <c r="H4533" s="36" t="s">
        <v>1363</v>
      </c>
      <c r="I4533" s="36" t="s">
        <v>1361</v>
      </c>
    </row>
    <row r="4534" spans="1:9" x14ac:dyDescent="0.25">
      <c r="A4534" s="38" t="s">
        <v>218</v>
      </c>
      <c r="B4534" s="28">
        <v>5023</v>
      </c>
      <c r="C4534" s="28">
        <v>5666500</v>
      </c>
      <c r="D4534" s="46"/>
      <c r="E4534" s="35">
        <v>46155</v>
      </c>
      <c r="F4534" s="49">
        <v>0.57813657407407404</v>
      </c>
      <c r="G4534" s="37">
        <v>6.3</v>
      </c>
      <c r="H4534" s="36" t="s">
        <v>1363</v>
      </c>
      <c r="I4534" s="36" t="s">
        <v>1361</v>
      </c>
    </row>
    <row r="4535" spans="1:9" x14ac:dyDescent="0.25">
      <c r="A4535" s="38" t="s">
        <v>218</v>
      </c>
      <c r="B4535" s="28">
        <v>5023</v>
      </c>
      <c r="C4535" s="28">
        <v>5666500</v>
      </c>
      <c r="D4535" s="46"/>
      <c r="E4535" s="35">
        <v>46155</v>
      </c>
      <c r="F4535" s="49">
        <v>0.58412037037037035</v>
      </c>
      <c r="G4535" s="37">
        <v>6.3</v>
      </c>
      <c r="H4535" s="36" t="s">
        <v>1364</v>
      </c>
      <c r="I4535" s="36" t="s">
        <v>1361</v>
      </c>
    </row>
    <row r="4536" spans="1:9" x14ac:dyDescent="0.25">
      <c r="A4536" s="38" t="s">
        <v>218</v>
      </c>
      <c r="B4536" s="28">
        <v>5023</v>
      </c>
      <c r="C4536" s="28">
        <v>5668626</v>
      </c>
      <c r="D4536" s="46"/>
      <c r="E4536" s="35">
        <v>46157</v>
      </c>
      <c r="F4536" s="49">
        <v>0.19052083333333333</v>
      </c>
      <c r="G4536" s="37">
        <v>6.3</v>
      </c>
      <c r="H4536" s="36" t="s">
        <v>1367</v>
      </c>
      <c r="I4536" s="36" t="s">
        <v>1361</v>
      </c>
    </row>
    <row r="4537" spans="1:9" x14ac:dyDescent="0.25">
      <c r="A4537" s="38" t="s">
        <v>218</v>
      </c>
      <c r="B4537" s="28">
        <v>5023</v>
      </c>
      <c r="C4537" s="28">
        <v>5668626</v>
      </c>
      <c r="D4537" s="46"/>
      <c r="E4537" s="35">
        <v>46157</v>
      </c>
      <c r="F4537" s="49">
        <v>0.19306712962962963</v>
      </c>
      <c r="G4537" s="37">
        <v>6.3</v>
      </c>
      <c r="H4537" s="36" t="s">
        <v>1364</v>
      </c>
      <c r="I4537" s="36" t="s">
        <v>1361</v>
      </c>
    </row>
    <row r="4538" spans="1:9" x14ac:dyDescent="0.25">
      <c r="A4538" s="38" t="s">
        <v>218</v>
      </c>
      <c r="B4538" s="28">
        <v>5023</v>
      </c>
      <c r="C4538" s="28">
        <v>5669829</v>
      </c>
      <c r="D4538" s="46"/>
      <c r="E4538" s="35">
        <v>46157</v>
      </c>
      <c r="F4538" s="49">
        <v>0.47384259259259259</v>
      </c>
      <c r="G4538" s="37">
        <v>6.3</v>
      </c>
      <c r="H4538" s="36" t="s">
        <v>1363</v>
      </c>
      <c r="I4538" s="36" t="s">
        <v>1361</v>
      </c>
    </row>
    <row r="4539" spans="1:9" x14ac:dyDescent="0.25">
      <c r="A4539" s="38" t="s">
        <v>218</v>
      </c>
      <c r="B4539" s="28">
        <v>5023</v>
      </c>
      <c r="C4539" s="28">
        <v>5669829</v>
      </c>
      <c r="D4539" s="46"/>
      <c r="E4539" s="35">
        <v>46157</v>
      </c>
      <c r="F4539" s="49">
        <v>0.48046296296296298</v>
      </c>
      <c r="G4539" s="37">
        <v>6.3</v>
      </c>
      <c r="H4539" s="36" t="s">
        <v>1364</v>
      </c>
      <c r="I4539" s="36" t="s">
        <v>1361</v>
      </c>
    </row>
    <row r="4540" spans="1:9" x14ac:dyDescent="0.25">
      <c r="A4540" s="38" t="s">
        <v>132</v>
      </c>
      <c r="B4540" s="28">
        <v>5032</v>
      </c>
      <c r="C4540" s="28" t="s">
        <v>35</v>
      </c>
      <c r="D4540" s="46" t="s">
        <v>38</v>
      </c>
      <c r="E4540" s="35">
        <v>46155</v>
      </c>
      <c r="F4540" s="49">
        <v>0.28616898148148145</v>
      </c>
      <c r="G4540" s="37">
        <v>6.3</v>
      </c>
      <c r="H4540" s="36" t="s">
        <v>1371</v>
      </c>
      <c r="I4540" s="36" t="s">
        <v>1361</v>
      </c>
    </row>
    <row r="4541" spans="1:9" x14ac:dyDescent="0.25">
      <c r="A4541" s="38" t="s">
        <v>132</v>
      </c>
      <c r="B4541" s="28">
        <v>5032</v>
      </c>
      <c r="C4541" s="28" t="s">
        <v>35</v>
      </c>
      <c r="D4541" s="46" t="s">
        <v>38</v>
      </c>
      <c r="E4541" s="35">
        <v>46155</v>
      </c>
      <c r="F4541" s="49">
        <v>0.29605324074074074</v>
      </c>
      <c r="G4541" s="37">
        <v>6.3</v>
      </c>
      <c r="H4541" s="36" t="s">
        <v>1366</v>
      </c>
      <c r="I4541" s="36" t="s">
        <v>1361</v>
      </c>
    </row>
    <row r="4542" spans="1:9" x14ac:dyDescent="0.25">
      <c r="A4542" s="38" t="s">
        <v>132</v>
      </c>
      <c r="B4542" s="28">
        <v>5032</v>
      </c>
      <c r="C4542" s="28">
        <v>5667754</v>
      </c>
      <c r="D4542" s="46" t="s">
        <v>36</v>
      </c>
      <c r="E4542" s="35">
        <v>46156</v>
      </c>
      <c r="F4542" s="49">
        <v>0.12192129629629629</v>
      </c>
      <c r="G4542" s="37">
        <v>6.3</v>
      </c>
      <c r="H4542" s="36" t="s">
        <v>1360</v>
      </c>
      <c r="I4542" s="36" t="s">
        <v>1361</v>
      </c>
    </row>
    <row r="4543" spans="1:9" x14ac:dyDescent="0.25">
      <c r="A4543" s="38" t="s">
        <v>132</v>
      </c>
      <c r="B4543" s="28">
        <v>5032</v>
      </c>
      <c r="C4543" s="28">
        <v>5667754</v>
      </c>
      <c r="D4543" s="46" t="s">
        <v>36</v>
      </c>
      <c r="E4543" s="35">
        <v>46156</v>
      </c>
      <c r="F4543" s="49">
        <v>0.13134259259259259</v>
      </c>
      <c r="G4543" s="37">
        <v>6.3</v>
      </c>
      <c r="H4543" s="36" t="s">
        <v>1362</v>
      </c>
      <c r="I4543" s="36" t="s">
        <v>1361</v>
      </c>
    </row>
    <row r="4544" spans="1:9" x14ac:dyDescent="0.25">
      <c r="A4544" s="38" t="s">
        <v>132</v>
      </c>
      <c r="B4544" s="28">
        <v>5032</v>
      </c>
      <c r="C4544" s="28">
        <v>5667896</v>
      </c>
      <c r="D4544" s="46"/>
      <c r="E4544" s="35">
        <v>46156</v>
      </c>
      <c r="F4544" s="49">
        <v>0.37118055555555557</v>
      </c>
      <c r="G4544" s="37">
        <v>6.3</v>
      </c>
      <c r="H4544" s="36" t="s">
        <v>1363</v>
      </c>
      <c r="I4544" s="36" t="s">
        <v>1361</v>
      </c>
    </row>
    <row r="4545" spans="1:9" x14ac:dyDescent="0.25">
      <c r="A4545" s="38" t="s">
        <v>132</v>
      </c>
      <c r="B4545" s="28">
        <v>5032</v>
      </c>
      <c r="C4545" s="28">
        <v>5667896</v>
      </c>
      <c r="D4545" s="46"/>
      <c r="E4545" s="35">
        <v>46156</v>
      </c>
      <c r="F4545" s="49">
        <v>0.38116898148148148</v>
      </c>
      <c r="G4545" s="37">
        <v>6.3</v>
      </c>
      <c r="H4545" s="36" t="s">
        <v>1364</v>
      </c>
      <c r="I4545" s="36" t="s">
        <v>1361</v>
      </c>
    </row>
    <row r="4546" spans="1:9" x14ac:dyDescent="0.25">
      <c r="A4546" s="38" t="s">
        <v>132</v>
      </c>
      <c r="B4546" s="28">
        <v>5032</v>
      </c>
      <c r="C4546" s="28">
        <v>5668776</v>
      </c>
      <c r="D4546" s="46"/>
      <c r="E4546" s="35">
        <v>46157</v>
      </c>
      <c r="F4546" s="49">
        <v>0.2528009259259259</v>
      </c>
      <c r="G4546" s="37">
        <v>6.3</v>
      </c>
      <c r="H4546" s="36" t="s">
        <v>1360</v>
      </c>
      <c r="I4546" s="36" t="s">
        <v>1361</v>
      </c>
    </row>
    <row r="4547" spans="1:9" x14ac:dyDescent="0.25">
      <c r="A4547" s="38" t="s">
        <v>132</v>
      </c>
      <c r="B4547" s="28">
        <v>5032</v>
      </c>
      <c r="C4547" s="28">
        <v>5668776</v>
      </c>
      <c r="D4547" s="46"/>
      <c r="E4547" s="35">
        <v>46157</v>
      </c>
      <c r="F4547" s="49">
        <v>0.26497685185185182</v>
      </c>
      <c r="G4547" s="37">
        <v>6.3</v>
      </c>
      <c r="H4547" s="36" t="s">
        <v>1362</v>
      </c>
      <c r="I4547" s="36" t="s">
        <v>1361</v>
      </c>
    </row>
    <row r="4548" spans="1:9" x14ac:dyDescent="0.25">
      <c r="A4548" s="38" t="s">
        <v>132</v>
      </c>
      <c r="B4548" s="28">
        <v>5032</v>
      </c>
      <c r="C4548" s="28">
        <v>5668499</v>
      </c>
      <c r="D4548" s="46"/>
      <c r="E4548" s="35">
        <v>46157</v>
      </c>
      <c r="F4548" s="49">
        <v>0.33120370370370372</v>
      </c>
      <c r="G4548" s="37">
        <v>6.3</v>
      </c>
      <c r="H4548" s="36" t="s">
        <v>1363</v>
      </c>
      <c r="I4548" s="36" t="s">
        <v>1361</v>
      </c>
    </row>
    <row r="4549" spans="1:9" x14ac:dyDescent="0.25">
      <c r="A4549" s="38" t="s">
        <v>133</v>
      </c>
      <c r="B4549" s="28">
        <v>5142</v>
      </c>
      <c r="C4549" s="28">
        <v>5666078</v>
      </c>
      <c r="D4549" s="46"/>
      <c r="E4549" s="35">
        <v>46155</v>
      </c>
      <c r="F4549" s="49">
        <v>0.31431712962962965</v>
      </c>
      <c r="G4549" s="37">
        <v>6.3</v>
      </c>
      <c r="H4549" s="36" t="s">
        <v>1363</v>
      </c>
      <c r="I4549" s="36" t="s">
        <v>1361</v>
      </c>
    </row>
    <row r="4550" spans="1:9" x14ac:dyDescent="0.25">
      <c r="A4550" s="38" t="s">
        <v>133</v>
      </c>
      <c r="B4550" s="28">
        <v>5142</v>
      </c>
      <c r="C4550" s="28">
        <v>5666078</v>
      </c>
      <c r="D4550" s="46"/>
      <c r="E4550" s="35">
        <v>46155</v>
      </c>
      <c r="F4550" s="49">
        <v>0.32667824074074076</v>
      </c>
      <c r="G4550" s="37">
        <v>6.3</v>
      </c>
      <c r="H4550" s="36" t="s">
        <v>1364</v>
      </c>
      <c r="I4550" s="36" t="s">
        <v>1361</v>
      </c>
    </row>
    <row r="4551" spans="1:9" x14ac:dyDescent="0.25">
      <c r="A4551" s="38" t="s">
        <v>133</v>
      </c>
      <c r="B4551" s="28">
        <v>5142</v>
      </c>
      <c r="C4551" s="28" t="s">
        <v>35</v>
      </c>
      <c r="D4551" s="46" t="s">
        <v>38</v>
      </c>
      <c r="E4551" s="35">
        <v>46159</v>
      </c>
      <c r="F4551" s="49">
        <v>0.56140046296296298</v>
      </c>
      <c r="G4551" s="37">
        <v>6.3</v>
      </c>
      <c r="H4551" s="36" t="s">
        <v>1363</v>
      </c>
      <c r="I4551" s="36" t="s">
        <v>1365</v>
      </c>
    </row>
    <row r="4552" spans="1:9" x14ac:dyDescent="0.25">
      <c r="A4552" s="38" t="s">
        <v>133</v>
      </c>
      <c r="B4552" s="28">
        <v>5142</v>
      </c>
      <c r="C4552" s="28" t="s">
        <v>35</v>
      </c>
      <c r="D4552" s="46" t="s">
        <v>38</v>
      </c>
      <c r="E4552" s="35">
        <v>46159</v>
      </c>
      <c r="F4552" s="49">
        <v>0.64398148148148149</v>
      </c>
      <c r="G4552" s="37">
        <v>6.3</v>
      </c>
      <c r="H4552" s="36" t="s">
        <v>1362</v>
      </c>
      <c r="I4552" s="36" t="s">
        <v>1365</v>
      </c>
    </row>
    <row r="4553" spans="1:9" x14ac:dyDescent="0.25">
      <c r="A4553" s="38" t="s">
        <v>493</v>
      </c>
      <c r="B4553" s="28">
        <v>5162</v>
      </c>
      <c r="C4553" s="28">
        <v>5665936</v>
      </c>
      <c r="D4553" s="46"/>
      <c r="E4553" s="35">
        <v>46155</v>
      </c>
      <c r="F4553" s="49">
        <v>0.45414351851851853</v>
      </c>
      <c r="G4553" s="37">
        <v>6.3</v>
      </c>
      <c r="H4553" s="36" t="s">
        <v>1363</v>
      </c>
      <c r="I4553" s="36" t="s">
        <v>1361</v>
      </c>
    </row>
    <row r="4554" spans="1:9" x14ac:dyDescent="0.25">
      <c r="A4554" s="38" t="s">
        <v>493</v>
      </c>
      <c r="B4554" s="28">
        <v>5162</v>
      </c>
      <c r="C4554" s="28">
        <v>5665936</v>
      </c>
      <c r="D4554" s="46"/>
      <c r="E4554" s="35">
        <v>46155</v>
      </c>
      <c r="F4554" s="49">
        <v>0.46081018518518518</v>
      </c>
      <c r="G4554" s="37">
        <v>6.3</v>
      </c>
      <c r="H4554" s="36" t="s">
        <v>1364</v>
      </c>
      <c r="I4554" s="36" t="s">
        <v>1361</v>
      </c>
    </row>
    <row r="4555" spans="1:9" x14ac:dyDescent="0.25">
      <c r="A4555" s="38" t="s">
        <v>155</v>
      </c>
      <c r="B4555" s="28">
        <v>7027</v>
      </c>
      <c r="C4555" s="28">
        <v>5667716</v>
      </c>
      <c r="D4555" s="46" t="s">
        <v>36</v>
      </c>
      <c r="E4555" s="35">
        <v>46156</v>
      </c>
      <c r="F4555" s="49">
        <v>0.26170138888888889</v>
      </c>
      <c r="G4555" s="37">
        <v>6.3</v>
      </c>
      <c r="H4555" s="36" t="s">
        <v>1363</v>
      </c>
      <c r="I4555" s="36" t="s">
        <v>1361</v>
      </c>
    </row>
    <row r="4556" spans="1:9" x14ac:dyDescent="0.25">
      <c r="A4556" s="38" t="s">
        <v>155</v>
      </c>
      <c r="B4556" s="28">
        <v>7027</v>
      </c>
      <c r="C4556" s="28">
        <v>5667716</v>
      </c>
      <c r="D4556" s="46" t="s">
        <v>36</v>
      </c>
      <c r="E4556" s="35">
        <v>46156</v>
      </c>
      <c r="F4556" s="49">
        <v>0.26877314814814812</v>
      </c>
      <c r="G4556" s="37">
        <v>6.3</v>
      </c>
      <c r="H4556" s="36" t="s">
        <v>1364</v>
      </c>
      <c r="I4556" s="36" t="s">
        <v>1361</v>
      </c>
    </row>
    <row r="4557" spans="1:9" x14ac:dyDescent="0.25">
      <c r="A4557" s="38" t="s">
        <v>155</v>
      </c>
      <c r="B4557" s="28">
        <v>7027</v>
      </c>
      <c r="C4557" s="28" t="s">
        <v>35</v>
      </c>
      <c r="D4557" s="46" t="s">
        <v>38</v>
      </c>
      <c r="E4557" s="35">
        <v>46157</v>
      </c>
      <c r="F4557" s="49">
        <v>0.95092592592592595</v>
      </c>
      <c r="G4557" s="37">
        <v>6.3</v>
      </c>
      <c r="H4557" s="36" t="s">
        <v>1362</v>
      </c>
      <c r="I4557" s="36" t="s">
        <v>1361</v>
      </c>
    </row>
    <row r="4558" spans="1:9" x14ac:dyDescent="0.25">
      <c r="A4558" s="38" t="s">
        <v>155</v>
      </c>
      <c r="B4558" s="28">
        <v>7027</v>
      </c>
      <c r="C4558" s="28" t="s">
        <v>35</v>
      </c>
      <c r="D4558" s="46" t="s">
        <v>38</v>
      </c>
      <c r="E4558" s="35">
        <v>46158</v>
      </c>
      <c r="F4558" s="49">
        <v>0.40923611111111113</v>
      </c>
      <c r="G4558" s="37">
        <v>6.3</v>
      </c>
      <c r="H4558" s="36" t="s">
        <v>1360</v>
      </c>
      <c r="I4558" s="36" t="s">
        <v>1365</v>
      </c>
    </row>
    <row r="4559" spans="1:9" x14ac:dyDescent="0.25">
      <c r="A4559" s="38" t="s">
        <v>155</v>
      </c>
      <c r="B4559" s="28">
        <v>7027</v>
      </c>
      <c r="C4559" s="28" t="s">
        <v>35</v>
      </c>
      <c r="D4559" s="46" t="s">
        <v>38</v>
      </c>
      <c r="E4559" s="35">
        <v>46158</v>
      </c>
      <c r="F4559" s="49">
        <v>0.4201388888888889</v>
      </c>
      <c r="G4559" s="37">
        <v>6.3</v>
      </c>
      <c r="H4559" s="36" t="s">
        <v>1368</v>
      </c>
      <c r="I4559" s="36" t="s">
        <v>1365</v>
      </c>
    </row>
    <row r="4560" spans="1:9" x14ac:dyDescent="0.25">
      <c r="A4560" s="38" t="s">
        <v>155</v>
      </c>
      <c r="B4560" s="28">
        <v>7027</v>
      </c>
      <c r="C4560" s="28" t="s">
        <v>35</v>
      </c>
      <c r="D4560" s="46" t="s">
        <v>38</v>
      </c>
      <c r="E4560" s="35">
        <v>46158</v>
      </c>
      <c r="F4560" s="49">
        <v>0.94983796296296297</v>
      </c>
      <c r="G4560" s="37">
        <v>6.3</v>
      </c>
      <c r="H4560" s="36" t="s">
        <v>1362</v>
      </c>
      <c r="I4560" s="36" t="s">
        <v>1365</v>
      </c>
    </row>
    <row r="4561" spans="1:9" x14ac:dyDescent="0.25">
      <c r="A4561" s="38" t="s">
        <v>87</v>
      </c>
      <c r="B4561" s="28">
        <v>7028</v>
      </c>
      <c r="C4561" s="28">
        <v>5660547</v>
      </c>
      <c r="D4561" s="46"/>
      <c r="E4561" s="35">
        <v>46153</v>
      </c>
      <c r="F4561" s="49">
        <v>0.15278935185185186</v>
      </c>
      <c r="G4561" s="37">
        <v>6.3</v>
      </c>
      <c r="H4561" s="36" t="s">
        <v>1369</v>
      </c>
      <c r="I4561" s="36" t="s">
        <v>1361</v>
      </c>
    </row>
    <row r="4562" spans="1:9" x14ac:dyDescent="0.25">
      <c r="A4562" s="38" t="s">
        <v>87</v>
      </c>
      <c r="B4562" s="28">
        <v>7028</v>
      </c>
      <c r="C4562" s="28">
        <v>5660547</v>
      </c>
      <c r="D4562" s="46"/>
      <c r="E4562" s="35">
        <v>46153</v>
      </c>
      <c r="F4562" s="49">
        <v>0.15737268518518518</v>
      </c>
      <c r="G4562" s="37">
        <v>6.3</v>
      </c>
      <c r="H4562" s="36" t="s">
        <v>1364</v>
      </c>
      <c r="I4562" s="36" t="s">
        <v>1361</v>
      </c>
    </row>
    <row r="4563" spans="1:9" x14ac:dyDescent="0.25">
      <c r="A4563" s="38" t="s">
        <v>87</v>
      </c>
      <c r="B4563" s="28">
        <v>7028</v>
      </c>
      <c r="C4563" s="28">
        <v>5661267</v>
      </c>
      <c r="D4563" s="46" t="s">
        <v>36</v>
      </c>
      <c r="E4563" s="35">
        <v>46153</v>
      </c>
      <c r="F4563" s="49">
        <v>0.2129398148148148</v>
      </c>
      <c r="G4563" s="37">
        <v>6.3</v>
      </c>
      <c r="H4563" s="36" t="s">
        <v>1360</v>
      </c>
      <c r="I4563" s="36" t="s">
        <v>1361</v>
      </c>
    </row>
    <row r="4564" spans="1:9" x14ac:dyDescent="0.25">
      <c r="A4564" s="38" t="s">
        <v>87</v>
      </c>
      <c r="B4564" s="28">
        <v>7028</v>
      </c>
      <c r="C4564" s="28">
        <v>5663093</v>
      </c>
      <c r="D4564" s="46"/>
      <c r="E4564" s="35">
        <v>46153</v>
      </c>
      <c r="F4564" s="49">
        <v>0.65195601851851848</v>
      </c>
      <c r="G4564" s="37">
        <v>6.3</v>
      </c>
      <c r="H4564" s="36" t="s">
        <v>1360</v>
      </c>
      <c r="I4564" s="36" t="s">
        <v>1361</v>
      </c>
    </row>
    <row r="4565" spans="1:9" x14ac:dyDescent="0.25">
      <c r="A4565" s="38" t="s">
        <v>87</v>
      </c>
      <c r="B4565" s="28">
        <v>7028</v>
      </c>
      <c r="C4565" s="28">
        <v>5663093</v>
      </c>
      <c r="D4565" s="46"/>
      <c r="E4565" s="35">
        <v>46153</v>
      </c>
      <c r="F4565" s="49">
        <v>0.66046296296296292</v>
      </c>
      <c r="G4565" s="37">
        <v>6.3</v>
      </c>
      <c r="H4565" s="36" t="s">
        <v>1368</v>
      </c>
      <c r="I4565" s="36" t="s">
        <v>1361</v>
      </c>
    </row>
    <row r="4566" spans="1:9" x14ac:dyDescent="0.25">
      <c r="A4566" s="38" t="s">
        <v>87</v>
      </c>
      <c r="B4566" s="28">
        <v>7028</v>
      </c>
      <c r="C4566" s="28" t="s">
        <v>35</v>
      </c>
      <c r="D4566" s="46" t="s">
        <v>38</v>
      </c>
      <c r="E4566" s="35">
        <v>46154</v>
      </c>
      <c r="F4566" s="49">
        <v>0.63771990740740736</v>
      </c>
      <c r="G4566" s="37">
        <v>6.3</v>
      </c>
      <c r="H4566" s="36" t="s">
        <v>1362</v>
      </c>
      <c r="I4566" s="36" t="s">
        <v>1361</v>
      </c>
    </row>
    <row r="4567" spans="1:9" x14ac:dyDescent="0.25">
      <c r="A4567" s="38" t="s">
        <v>87</v>
      </c>
      <c r="B4567" s="28">
        <v>7028</v>
      </c>
      <c r="C4567" s="28" t="s">
        <v>35</v>
      </c>
      <c r="D4567" s="46" t="s">
        <v>38</v>
      </c>
      <c r="E4567" s="35">
        <v>46155</v>
      </c>
      <c r="F4567" s="49">
        <v>0.95405092592592589</v>
      </c>
      <c r="G4567" s="37">
        <v>6.3</v>
      </c>
      <c r="H4567" s="36" t="s">
        <v>1360</v>
      </c>
      <c r="I4567" s="36" t="s">
        <v>1361</v>
      </c>
    </row>
    <row r="4568" spans="1:9" x14ac:dyDescent="0.25">
      <c r="A4568" s="38" t="s">
        <v>87</v>
      </c>
      <c r="B4568" s="28">
        <v>7028</v>
      </c>
      <c r="C4568" s="28">
        <v>5669401</v>
      </c>
      <c r="D4568" s="46"/>
      <c r="E4568" s="35">
        <v>46157</v>
      </c>
      <c r="F4568" s="49">
        <v>0.25697916666666665</v>
      </c>
      <c r="G4568" s="37">
        <v>6.3</v>
      </c>
      <c r="H4568" s="36" t="s">
        <v>1363</v>
      </c>
      <c r="I4568" s="36" t="s">
        <v>1361</v>
      </c>
    </row>
    <row r="4569" spans="1:9" x14ac:dyDescent="0.25">
      <c r="A4569" s="38" t="s">
        <v>87</v>
      </c>
      <c r="B4569" s="28">
        <v>7028</v>
      </c>
      <c r="C4569" s="28">
        <v>5669401</v>
      </c>
      <c r="D4569" s="46"/>
      <c r="E4569" s="35">
        <v>46157</v>
      </c>
      <c r="F4569" s="49">
        <v>0.26250000000000001</v>
      </c>
      <c r="G4569" s="37">
        <v>6.3</v>
      </c>
      <c r="H4569" s="36" t="s">
        <v>1364</v>
      </c>
      <c r="I4569" s="36" t="s">
        <v>1361</v>
      </c>
    </row>
    <row r="4570" spans="1:9" x14ac:dyDescent="0.25">
      <c r="A4570" s="38" t="s">
        <v>87</v>
      </c>
      <c r="B4570" s="28">
        <v>7028</v>
      </c>
      <c r="C4570" s="28" t="s">
        <v>1233</v>
      </c>
      <c r="D4570" s="46"/>
      <c r="E4570" s="35">
        <v>46159</v>
      </c>
      <c r="F4570" s="49">
        <v>0.6290162037037037</v>
      </c>
      <c r="G4570" s="37">
        <v>6.3</v>
      </c>
      <c r="H4570" s="36" t="s">
        <v>1360</v>
      </c>
      <c r="I4570" s="36" t="s">
        <v>1365</v>
      </c>
    </row>
    <row r="4571" spans="1:9" x14ac:dyDescent="0.25">
      <c r="A4571" s="38" t="s">
        <v>87</v>
      </c>
      <c r="B4571" s="28">
        <v>7028</v>
      </c>
      <c r="C4571" s="28" t="s">
        <v>1233</v>
      </c>
      <c r="D4571" s="46"/>
      <c r="E4571" s="35">
        <v>46159</v>
      </c>
      <c r="F4571" s="49">
        <v>0.63518518518518519</v>
      </c>
      <c r="G4571" s="37">
        <v>6.3</v>
      </c>
      <c r="H4571" s="36" t="s">
        <v>1368</v>
      </c>
      <c r="I4571" s="36" t="s">
        <v>1365</v>
      </c>
    </row>
    <row r="4572" spans="1:9" x14ac:dyDescent="0.25">
      <c r="A4572" s="38" t="s">
        <v>355</v>
      </c>
      <c r="B4572" s="28">
        <v>7038</v>
      </c>
      <c r="C4572" s="28">
        <v>5667526</v>
      </c>
      <c r="D4572" s="46" t="s">
        <v>37</v>
      </c>
      <c r="E4572" s="35">
        <v>46155</v>
      </c>
      <c r="F4572" s="49">
        <v>0.92952546296296301</v>
      </c>
      <c r="G4572" s="37">
        <v>6.3</v>
      </c>
      <c r="H4572" s="36" t="s">
        <v>1363</v>
      </c>
      <c r="I4572" s="36" t="s">
        <v>1361</v>
      </c>
    </row>
    <row r="4573" spans="1:9" x14ac:dyDescent="0.25">
      <c r="A4573" s="38" t="s">
        <v>355</v>
      </c>
      <c r="B4573" s="28">
        <v>7038</v>
      </c>
      <c r="C4573" s="28">
        <v>5667618</v>
      </c>
      <c r="D4573" s="46"/>
      <c r="E4573" s="35">
        <v>46156</v>
      </c>
      <c r="F4573" s="49">
        <v>0.32223379629629628</v>
      </c>
      <c r="G4573" s="37">
        <v>6.3</v>
      </c>
      <c r="H4573" s="36" t="s">
        <v>1362</v>
      </c>
      <c r="I4573" s="36" t="s">
        <v>1361</v>
      </c>
    </row>
    <row r="4574" spans="1:9" x14ac:dyDescent="0.25">
      <c r="A4574" s="38" t="s">
        <v>355</v>
      </c>
      <c r="B4574" s="28">
        <v>7038</v>
      </c>
      <c r="C4574" s="28" t="s">
        <v>35</v>
      </c>
      <c r="D4574" s="46" t="s">
        <v>38</v>
      </c>
      <c r="E4574" s="35">
        <v>46156</v>
      </c>
      <c r="F4574" s="49">
        <v>0.77679398148148149</v>
      </c>
      <c r="G4574" s="37">
        <v>6.3</v>
      </c>
      <c r="H4574" s="36" t="s">
        <v>1363</v>
      </c>
      <c r="I4574" s="36" t="s">
        <v>1361</v>
      </c>
    </row>
    <row r="4575" spans="1:9" x14ac:dyDescent="0.25">
      <c r="A4575" s="38" t="s">
        <v>355</v>
      </c>
      <c r="B4575" s="28">
        <v>7038</v>
      </c>
      <c r="C4575" s="28" t="s">
        <v>35</v>
      </c>
      <c r="D4575" s="46" t="s">
        <v>38</v>
      </c>
      <c r="E4575" s="35">
        <v>46157</v>
      </c>
      <c r="F4575" s="49">
        <v>0.98751157407407408</v>
      </c>
      <c r="G4575" s="37">
        <v>6.3</v>
      </c>
      <c r="H4575" s="36" t="s">
        <v>1363</v>
      </c>
      <c r="I4575" s="36" t="s">
        <v>1361</v>
      </c>
    </row>
    <row r="4576" spans="1:9" x14ac:dyDescent="0.25">
      <c r="A4576" s="38" t="s">
        <v>355</v>
      </c>
      <c r="B4576" s="28">
        <v>7038</v>
      </c>
      <c r="C4576" s="28">
        <v>5672429</v>
      </c>
      <c r="D4576" s="46"/>
      <c r="E4576" s="35">
        <v>46159</v>
      </c>
      <c r="F4576" s="49">
        <v>0.46636574074074072</v>
      </c>
      <c r="G4576" s="37">
        <v>6.3</v>
      </c>
      <c r="H4576" s="36" t="s">
        <v>1360</v>
      </c>
      <c r="I4576" s="36" t="s">
        <v>1365</v>
      </c>
    </row>
    <row r="4577" spans="1:9" x14ac:dyDescent="0.25">
      <c r="A4577" s="38" t="s">
        <v>355</v>
      </c>
      <c r="B4577" s="28">
        <v>7038</v>
      </c>
      <c r="C4577" s="28">
        <v>5672429</v>
      </c>
      <c r="D4577" s="46"/>
      <c r="E4577" s="35">
        <v>46159</v>
      </c>
      <c r="F4577" s="49">
        <v>0.47437499999999999</v>
      </c>
      <c r="G4577" s="37">
        <v>6.3</v>
      </c>
      <c r="H4577" s="36" t="s">
        <v>1362</v>
      </c>
      <c r="I4577" s="36" t="s">
        <v>1365</v>
      </c>
    </row>
    <row r="4578" spans="1:9" x14ac:dyDescent="0.25">
      <c r="A4578" s="38" t="s">
        <v>134</v>
      </c>
      <c r="B4578" s="28">
        <v>7065</v>
      </c>
      <c r="C4578" s="28">
        <v>5666384</v>
      </c>
      <c r="D4578" s="46"/>
      <c r="E4578" s="35">
        <v>46155</v>
      </c>
      <c r="F4578" s="49">
        <v>0.56079861111111107</v>
      </c>
      <c r="G4578" s="37">
        <v>6.3</v>
      </c>
      <c r="H4578" s="36" t="s">
        <v>1363</v>
      </c>
      <c r="I4578" s="36" t="s">
        <v>1361</v>
      </c>
    </row>
    <row r="4579" spans="1:9" x14ac:dyDescent="0.25">
      <c r="A4579" s="38" t="s">
        <v>134</v>
      </c>
      <c r="B4579" s="28">
        <v>7065</v>
      </c>
      <c r="C4579" s="28">
        <v>5670911</v>
      </c>
      <c r="D4579" s="46"/>
      <c r="E4579" s="35">
        <v>46158</v>
      </c>
      <c r="F4579" s="49">
        <v>0.54959490740740746</v>
      </c>
      <c r="G4579" s="37">
        <v>6.3</v>
      </c>
      <c r="H4579" s="36" t="s">
        <v>1364</v>
      </c>
      <c r="I4579" s="36" t="s">
        <v>1365</v>
      </c>
    </row>
    <row r="4580" spans="1:9" x14ac:dyDescent="0.25">
      <c r="A4580" s="38" t="s">
        <v>134</v>
      </c>
      <c r="B4580" s="28">
        <v>7065</v>
      </c>
      <c r="C4580" s="28" t="s">
        <v>35</v>
      </c>
      <c r="D4580" s="28" t="s">
        <v>38</v>
      </c>
      <c r="E4580" s="35">
        <v>46158</v>
      </c>
      <c r="F4580" s="49">
        <v>0.69627314814814811</v>
      </c>
      <c r="G4580" s="37">
        <v>6.3</v>
      </c>
      <c r="H4580" s="36" t="s">
        <v>1362</v>
      </c>
      <c r="I4580" s="36" t="s">
        <v>1365</v>
      </c>
    </row>
    <row r="4581" spans="1:9" x14ac:dyDescent="0.25">
      <c r="A4581" s="38" t="s">
        <v>134</v>
      </c>
      <c r="B4581" s="28">
        <v>7065</v>
      </c>
      <c r="C4581" s="28">
        <v>5669826</v>
      </c>
      <c r="D4581" s="28"/>
      <c r="E4581" s="35">
        <v>46158</v>
      </c>
      <c r="F4581" s="49">
        <v>0.75585648148148143</v>
      </c>
      <c r="G4581" s="37">
        <v>6.3</v>
      </c>
      <c r="H4581" s="36" t="s">
        <v>1369</v>
      </c>
      <c r="I4581" s="36" t="s">
        <v>1365</v>
      </c>
    </row>
    <row r="4582" spans="1:9" x14ac:dyDescent="0.25">
      <c r="A4582" s="38" t="s">
        <v>134</v>
      </c>
      <c r="B4582" s="28">
        <v>7065</v>
      </c>
      <c r="C4582" s="28" t="s">
        <v>35</v>
      </c>
      <c r="D4582" s="46" t="s">
        <v>38</v>
      </c>
      <c r="E4582" s="35">
        <v>46159</v>
      </c>
      <c r="F4582" s="49">
        <v>2.2314814814814815E-2</v>
      </c>
      <c r="G4582" s="37">
        <v>6.3</v>
      </c>
      <c r="H4582" s="36" t="s">
        <v>1362</v>
      </c>
      <c r="I4582" s="36" t="s">
        <v>1365</v>
      </c>
    </row>
    <row r="4583" spans="1:9" x14ac:dyDescent="0.25">
      <c r="A4583" s="38" t="s">
        <v>134</v>
      </c>
      <c r="B4583" s="28">
        <v>7065</v>
      </c>
      <c r="C4583" s="28" t="s">
        <v>35</v>
      </c>
      <c r="D4583" s="46" t="s">
        <v>38</v>
      </c>
      <c r="E4583" s="35">
        <v>46159</v>
      </c>
      <c r="F4583" s="49">
        <v>0.41665509259259259</v>
      </c>
      <c r="G4583" s="37">
        <v>6.3</v>
      </c>
      <c r="H4583" s="36" t="s">
        <v>1363</v>
      </c>
      <c r="I4583" s="36" t="s">
        <v>1365</v>
      </c>
    </row>
    <row r="4584" spans="1:9" x14ac:dyDescent="0.25">
      <c r="A4584" s="38" t="s">
        <v>134</v>
      </c>
      <c r="B4584" s="28">
        <v>7065</v>
      </c>
      <c r="C4584" s="28" t="s">
        <v>35</v>
      </c>
      <c r="D4584" s="46" t="s">
        <v>38</v>
      </c>
      <c r="E4584" s="35">
        <v>46159</v>
      </c>
      <c r="F4584" s="49">
        <v>0.51174768518518521</v>
      </c>
      <c r="G4584" s="37">
        <v>6.3</v>
      </c>
      <c r="H4584" s="36" t="s">
        <v>1362</v>
      </c>
      <c r="I4584" s="36" t="s">
        <v>1365</v>
      </c>
    </row>
    <row r="4585" spans="1:9" x14ac:dyDescent="0.25">
      <c r="A4585" s="38" t="s">
        <v>138</v>
      </c>
      <c r="B4585" s="28">
        <v>7085</v>
      </c>
      <c r="C4585" s="28" t="s">
        <v>35</v>
      </c>
      <c r="D4585" s="46" t="s">
        <v>38</v>
      </c>
      <c r="E4585" s="35">
        <v>46153</v>
      </c>
      <c r="F4585" s="49">
        <v>0.42151620370370368</v>
      </c>
      <c r="G4585" s="37">
        <v>6.3</v>
      </c>
      <c r="H4585" s="36" t="s">
        <v>1362</v>
      </c>
      <c r="I4585" s="36" t="s">
        <v>1361</v>
      </c>
    </row>
    <row r="4586" spans="1:9" x14ac:dyDescent="0.25">
      <c r="A4586" s="38" t="s">
        <v>138</v>
      </c>
      <c r="B4586" s="28">
        <v>7085</v>
      </c>
      <c r="C4586" s="28">
        <v>5663353</v>
      </c>
      <c r="D4586" s="46" t="s">
        <v>36</v>
      </c>
      <c r="E4586" s="35">
        <v>46153</v>
      </c>
      <c r="F4586" s="49">
        <v>0.72908564814814814</v>
      </c>
      <c r="G4586" s="37">
        <v>6.3</v>
      </c>
      <c r="H4586" s="36" t="s">
        <v>1363</v>
      </c>
      <c r="I4586" s="36" t="s">
        <v>1361</v>
      </c>
    </row>
    <row r="4587" spans="1:9" x14ac:dyDescent="0.25">
      <c r="A4587" s="38" t="s">
        <v>138</v>
      </c>
      <c r="B4587" s="28">
        <v>7085</v>
      </c>
      <c r="C4587" s="28">
        <v>5663353</v>
      </c>
      <c r="D4587" s="46" t="s">
        <v>36</v>
      </c>
      <c r="E4587" s="35">
        <v>46153</v>
      </c>
      <c r="F4587" s="49">
        <v>0.73844907407407412</v>
      </c>
      <c r="G4587" s="37">
        <v>6.3</v>
      </c>
      <c r="H4587" s="36" t="s">
        <v>1364</v>
      </c>
      <c r="I4587" s="36" t="s">
        <v>1361</v>
      </c>
    </row>
    <row r="4588" spans="1:9" x14ac:dyDescent="0.25">
      <c r="A4588" s="38" t="s">
        <v>138</v>
      </c>
      <c r="B4588" s="28">
        <v>7085</v>
      </c>
      <c r="C4588" s="28" t="s">
        <v>35</v>
      </c>
      <c r="D4588" s="46" t="s">
        <v>38</v>
      </c>
      <c r="E4588" s="35">
        <v>46153</v>
      </c>
      <c r="F4588" s="49">
        <v>0.79822916666666666</v>
      </c>
      <c r="G4588" s="37">
        <v>6.3</v>
      </c>
      <c r="H4588" s="36" t="s">
        <v>1360</v>
      </c>
      <c r="I4588" s="36" t="s">
        <v>1361</v>
      </c>
    </row>
    <row r="4589" spans="1:9" x14ac:dyDescent="0.25">
      <c r="A4589" s="38" t="s">
        <v>138</v>
      </c>
      <c r="B4589" s="28">
        <v>7085</v>
      </c>
      <c r="C4589" s="28" t="s">
        <v>35</v>
      </c>
      <c r="D4589" s="46" t="s">
        <v>38</v>
      </c>
      <c r="E4589" s="35">
        <v>46153</v>
      </c>
      <c r="F4589" s="49">
        <v>0.81032407407407403</v>
      </c>
      <c r="G4589" s="37">
        <v>6.3</v>
      </c>
      <c r="H4589" s="36" t="s">
        <v>1362</v>
      </c>
      <c r="I4589" s="36" t="s">
        <v>1361</v>
      </c>
    </row>
    <row r="4590" spans="1:9" x14ac:dyDescent="0.25">
      <c r="A4590" s="38" t="s">
        <v>138</v>
      </c>
      <c r="B4590" s="28">
        <v>7085</v>
      </c>
      <c r="C4590" s="28" t="s">
        <v>35</v>
      </c>
      <c r="D4590" s="46" t="s">
        <v>38</v>
      </c>
      <c r="E4590" s="35">
        <v>46154</v>
      </c>
      <c r="F4590" s="49">
        <v>0.75949074074074074</v>
      </c>
      <c r="G4590" s="37">
        <v>6.3</v>
      </c>
      <c r="H4590" s="36" t="s">
        <v>1369</v>
      </c>
      <c r="I4590" s="36" t="s">
        <v>1361</v>
      </c>
    </row>
    <row r="4591" spans="1:9" x14ac:dyDescent="0.25">
      <c r="A4591" s="38" t="s">
        <v>138</v>
      </c>
      <c r="B4591" s="28">
        <v>7085</v>
      </c>
      <c r="C4591" s="28" t="s">
        <v>35</v>
      </c>
      <c r="D4591" s="46" t="s">
        <v>38</v>
      </c>
      <c r="E4591" s="35">
        <v>46156</v>
      </c>
      <c r="F4591" s="49">
        <v>0.96182870370370366</v>
      </c>
      <c r="G4591" s="37">
        <v>6.3</v>
      </c>
      <c r="H4591" s="36" t="s">
        <v>1363</v>
      </c>
      <c r="I4591" s="36" t="s">
        <v>1361</v>
      </c>
    </row>
    <row r="4592" spans="1:9" x14ac:dyDescent="0.25">
      <c r="A4592" s="38" t="s">
        <v>138</v>
      </c>
      <c r="B4592" s="28">
        <v>7085</v>
      </c>
      <c r="C4592" s="28" t="s">
        <v>35</v>
      </c>
      <c r="D4592" s="46" t="s">
        <v>38</v>
      </c>
      <c r="E4592" s="35">
        <v>46157</v>
      </c>
      <c r="F4592" s="49">
        <v>0.64435185185185184</v>
      </c>
      <c r="G4592" s="37">
        <v>6.3</v>
      </c>
      <c r="H4592" s="36" t="s">
        <v>1362</v>
      </c>
      <c r="I4592" s="36" t="s">
        <v>1361</v>
      </c>
    </row>
    <row r="4593" spans="1:9" x14ac:dyDescent="0.25">
      <c r="A4593" s="38" t="s">
        <v>138</v>
      </c>
      <c r="B4593" s="28">
        <v>7085</v>
      </c>
      <c r="C4593" s="28" t="s">
        <v>35</v>
      </c>
      <c r="D4593" s="46" t="s">
        <v>38</v>
      </c>
      <c r="E4593" s="35">
        <v>46158</v>
      </c>
      <c r="F4593" s="49">
        <v>0.51776620370370374</v>
      </c>
      <c r="G4593" s="37">
        <v>6.3</v>
      </c>
      <c r="H4593" s="36" t="s">
        <v>1362</v>
      </c>
      <c r="I4593" s="36" t="s">
        <v>1365</v>
      </c>
    </row>
    <row r="4594" spans="1:9" x14ac:dyDescent="0.25">
      <c r="A4594" s="38" t="s">
        <v>173</v>
      </c>
      <c r="B4594" s="28">
        <v>7090</v>
      </c>
      <c r="C4594" s="28" t="s">
        <v>1234</v>
      </c>
      <c r="D4594" s="46"/>
      <c r="E4594" s="35">
        <v>46153</v>
      </c>
      <c r="F4594" s="49">
        <v>0.3757523148148148</v>
      </c>
      <c r="G4594" s="37">
        <v>6.3</v>
      </c>
      <c r="H4594" s="36" t="s">
        <v>1360</v>
      </c>
      <c r="I4594" s="36" t="s">
        <v>1361</v>
      </c>
    </row>
    <row r="4595" spans="1:9" x14ac:dyDescent="0.25">
      <c r="A4595" s="38" t="s">
        <v>173</v>
      </c>
      <c r="B4595" s="28">
        <v>7090</v>
      </c>
      <c r="C4595" s="28" t="s">
        <v>1234</v>
      </c>
      <c r="D4595" s="46"/>
      <c r="E4595" s="35">
        <v>46153</v>
      </c>
      <c r="F4595" s="49">
        <v>0.39045138888888886</v>
      </c>
      <c r="G4595" s="37">
        <v>6.3</v>
      </c>
      <c r="H4595" s="36" t="s">
        <v>1362</v>
      </c>
      <c r="I4595" s="36" t="s">
        <v>1361</v>
      </c>
    </row>
    <row r="4596" spans="1:9" x14ac:dyDescent="0.25">
      <c r="A4596" s="38" t="s">
        <v>173</v>
      </c>
      <c r="B4596" s="28">
        <v>7090</v>
      </c>
      <c r="C4596" s="28">
        <v>5661125</v>
      </c>
      <c r="D4596" s="46"/>
      <c r="E4596" s="35">
        <v>46153</v>
      </c>
      <c r="F4596" s="49">
        <v>0.46569444444444447</v>
      </c>
      <c r="G4596" s="37">
        <v>6.3</v>
      </c>
      <c r="H4596" s="36" t="s">
        <v>1369</v>
      </c>
      <c r="I4596" s="36" t="s">
        <v>1361</v>
      </c>
    </row>
    <row r="4597" spans="1:9" x14ac:dyDescent="0.25">
      <c r="A4597" s="38" t="s">
        <v>173</v>
      </c>
      <c r="B4597" s="28">
        <v>7090</v>
      </c>
      <c r="C4597" s="28">
        <v>5661125</v>
      </c>
      <c r="D4597" s="46"/>
      <c r="E4597" s="35">
        <v>46153</v>
      </c>
      <c r="F4597" s="49">
        <v>0.47138888888888891</v>
      </c>
      <c r="G4597" s="37">
        <v>6.3</v>
      </c>
      <c r="H4597" s="36" t="s">
        <v>1364</v>
      </c>
      <c r="I4597" s="36" t="s">
        <v>1361</v>
      </c>
    </row>
    <row r="4598" spans="1:9" x14ac:dyDescent="0.25">
      <c r="A4598" s="38" t="s">
        <v>173</v>
      </c>
      <c r="B4598" s="28">
        <v>7090</v>
      </c>
      <c r="C4598" s="28">
        <v>10644879</v>
      </c>
      <c r="D4598" s="46"/>
      <c r="E4598" s="35">
        <v>46154</v>
      </c>
      <c r="F4598" s="49">
        <v>0.3112847222222222</v>
      </c>
      <c r="G4598" s="37">
        <v>6.3</v>
      </c>
      <c r="H4598" s="36" t="s">
        <v>1363</v>
      </c>
      <c r="I4598" s="36" t="s">
        <v>1361</v>
      </c>
    </row>
    <row r="4599" spans="1:9" x14ac:dyDescent="0.25">
      <c r="A4599" s="38" t="s">
        <v>173</v>
      </c>
      <c r="B4599" s="28">
        <v>7090</v>
      </c>
      <c r="C4599" s="28">
        <v>10644879</v>
      </c>
      <c r="D4599" s="46"/>
      <c r="E4599" s="35">
        <v>46154</v>
      </c>
      <c r="F4599" s="49">
        <v>0.32219907407407405</v>
      </c>
      <c r="G4599" s="37">
        <v>6.3</v>
      </c>
      <c r="H4599" s="36" t="s">
        <v>1364</v>
      </c>
      <c r="I4599" s="36" t="s">
        <v>1361</v>
      </c>
    </row>
    <row r="4600" spans="1:9" x14ac:dyDescent="0.25">
      <c r="A4600" s="38" t="s">
        <v>173</v>
      </c>
      <c r="B4600" s="28">
        <v>7090</v>
      </c>
      <c r="C4600" s="28">
        <v>10651917</v>
      </c>
      <c r="D4600" s="46"/>
      <c r="E4600" s="35">
        <v>46155</v>
      </c>
      <c r="F4600" s="49">
        <v>0.33304398148148145</v>
      </c>
      <c r="G4600" s="37">
        <v>6.3</v>
      </c>
      <c r="H4600" s="36" t="s">
        <v>1363</v>
      </c>
      <c r="I4600" s="36" t="s">
        <v>1361</v>
      </c>
    </row>
    <row r="4601" spans="1:9" x14ac:dyDescent="0.25">
      <c r="A4601" s="38" t="s">
        <v>173</v>
      </c>
      <c r="B4601" s="28">
        <v>7090</v>
      </c>
      <c r="C4601" s="28" t="s">
        <v>1235</v>
      </c>
      <c r="D4601" s="46"/>
      <c r="E4601" s="35">
        <v>46155</v>
      </c>
      <c r="F4601" s="49">
        <v>0.5997569444444445</v>
      </c>
      <c r="G4601" s="37">
        <v>6.3</v>
      </c>
      <c r="H4601" s="36" t="s">
        <v>1360</v>
      </c>
      <c r="I4601" s="36" t="s">
        <v>1361</v>
      </c>
    </row>
    <row r="4602" spans="1:9" x14ac:dyDescent="0.25">
      <c r="A4602" s="38" t="s">
        <v>173</v>
      </c>
      <c r="B4602" s="28">
        <v>7090</v>
      </c>
      <c r="C4602" s="28" t="s">
        <v>1235</v>
      </c>
      <c r="D4602" s="46"/>
      <c r="E4602" s="35">
        <v>46155</v>
      </c>
      <c r="F4602" s="49">
        <v>0.60908564814814814</v>
      </c>
      <c r="G4602" s="37">
        <v>6.3</v>
      </c>
      <c r="H4602" s="36" t="s">
        <v>1362</v>
      </c>
      <c r="I4602" s="36" t="s">
        <v>1361</v>
      </c>
    </row>
    <row r="4603" spans="1:9" x14ac:dyDescent="0.25">
      <c r="A4603" s="38" t="s">
        <v>173</v>
      </c>
      <c r="B4603" s="28">
        <v>7090</v>
      </c>
      <c r="C4603" s="28">
        <v>5667403</v>
      </c>
      <c r="D4603" s="46"/>
      <c r="E4603" s="35">
        <v>46156</v>
      </c>
      <c r="F4603" s="49">
        <v>0.34583333333333333</v>
      </c>
      <c r="G4603" s="37">
        <v>6.3</v>
      </c>
      <c r="H4603" s="36" t="s">
        <v>1364</v>
      </c>
      <c r="I4603" s="36" t="s">
        <v>1361</v>
      </c>
    </row>
    <row r="4604" spans="1:9" x14ac:dyDescent="0.25">
      <c r="A4604" s="38" t="s">
        <v>173</v>
      </c>
      <c r="B4604" s="28">
        <v>7090</v>
      </c>
      <c r="C4604" s="28">
        <v>5668405</v>
      </c>
      <c r="D4604" s="46"/>
      <c r="E4604" s="35">
        <v>46156</v>
      </c>
      <c r="F4604" s="49">
        <v>0.56888888888888889</v>
      </c>
      <c r="G4604" s="37">
        <v>6.3</v>
      </c>
      <c r="H4604" s="36" t="s">
        <v>1360</v>
      </c>
      <c r="I4604" s="36" t="s">
        <v>1361</v>
      </c>
    </row>
    <row r="4605" spans="1:9" x14ac:dyDescent="0.25">
      <c r="A4605" s="38" t="s">
        <v>173</v>
      </c>
      <c r="B4605" s="28">
        <v>7090</v>
      </c>
      <c r="C4605" s="28">
        <v>5668405</v>
      </c>
      <c r="D4605" s="46"/>
      <c r="E4605" s="35">
        <v>46156</v>
      </c>
      <c r="F4605" s="49">
        <v>0.57886574074074071</v>
      </c>
      <c r="G4605" s="37">
        <v>6.3</v>
      </c>
      <c r="H4605" s="36" t="s">
        <v>1362</v>
      </c>
      <c r="I4605" s="36" t="s">
        <v>1361</v>
      </c>
    </row>
    <row r="4606" spans="1:9" x14ac:dyDescent="0.25">
      <c r="A4606" s="38" t="s">
        <v>173</v>
      </c>
      <c r="B4606" s="28">
        <v>7090</v>
      </c>
      <c r="C4606" s="28">
        <v>10667197</v>
      </c>
      <c r="D4606" s="46"/>
      <c r="E4606" s="35">
        <v>46157</v>
      </c>
      <c r="F4606" s="49">
        <v>0.31432870370370369</v>
      </c>
      <c r="G4606" s="37">
        <v>6.3</v>
      </c>
      <c r="H4606" s="36" t="s">
        <v>1363</v>
      </c>
      <c r="I4606" s="36" t="s">
        <v>1361</v>
      </c>
    </row>
    <row r="4607" spans="1:9" x14ac:dyDescent="0.25">
      <c r="A4607" s="38" t="s">
        <v>173</v>
      </c>
      <c r="B4607" s="28">
        <v>7090</v>
      </c>
      <c r="C4607" s="28">
        <v>10667197</v>
      </c>
      <c r="D4607" s="46"/>
      <c r="E4607" s="35">
        <v>46157</v>
      </c>
      <c r="F4607" s="49">
        <v>0.32310185185185186</v>
      </c>
      <c r="G4607" s="37">
        <v>6.3</v>
      </c>
      <c r="H4607" s="36" t="s">
        <v>1364</v>
      </c>
      <c r="I4607" s="36" t="s">
        <v>1361</v>
      </c>
    </row>
    <row r="4608" spans="1:9" x14ac:dyDescent="0.25">
      <c r="A4608" s="38" t="s">
        <v>173</v>
      </c>
      <c r="B4608" s="28">
        <v>7090</v>
      </c>
      <c r="C4608" s="28" t="s">
        <v>35</v>
      </c>
      <c r="D4608" s="46" t="s">
        <v>38</v>
      </c>
      <c r="E4608" s="35">
        <v>46158</v>
      </c>
      <c r="F4608" s="49">
        <v>0.74032407407407408</v>
      </c>
      <c r="G4608" s="37">
        <v>6.3</v>
      </c>
      <c r="H4608" s="36" t="s">
        <v>1364</v>
      </c>
      <c r="I4608" s="36" t="s">
        <v>1365</v>
      </c>
    </row>
    <row r="4609" spans="1:9" x14ac:dyDescent="0.25">
      <c r="A4609" s="38" t="s">
        <v>173</v>
      </c>
      <c r="B4609" s="28">
        <v>7090</v>
      </c>
      <c r="C4609" s="28">
        <v>10682520</v>
      </c>
      <c r="D4609" s="46"/>
      <c r="E4609" s="35">
        <v>46158</v>
      </c>
      <c r="F4609" s="49">
        <v>0.86701388888888886</v>
      </c>
      <c r="G4609" s="37">
        <v>6.3</v>
      </c>
      <c r="H4609" s="36" t="s">
        <v>1360</v>
      </c>
      <c r="I4609" s="36" t="s">
        <v>1365</v>
      </c>
    </row>
    <row r="4610" spans="1:9" x14ac:dyDescent="0.25">
      <c r="A4610" s="38" t="s">
        <v>173</v>
      </c>
      <c r="B4610" s="28">
        <v>7090</v>
      </c>
      <c r="C4610" s="28">
        <v>10682520</v>
      </c>
      <c r="D4610" s="46"/>
      <c r="E4610" s="35">
        <v>46158</v>
      </c>
      <c r="F4610" s="49">
        <v>0.87344907407407413</v>
      </c>
      <c r="G4610" s="37">
        <v>6.3</v>
      </c>
      <c r="H4610" s="36" t="s">
        <v>1366</v>
      </c>
      <c r="I4610" s="36" t="s">
        <v>1365</v>
      </c>
    </row>
    <row r="4611" spans="1:9" x14ac:dyDescent="0.25">
      <c r="A4611" s="38" t="s">
        <v>173</v>
      </c>
      <c r="B4611" s="28">
        <v>7090</v>
      </c>
      <c r="C4611" s="28" t="s">
        <v>35</v>
      </c>
      <c r="D4611" s="46" t="s">
        <v>38</v>
      </c>
      <c r="E4611" s="35">
        <v>46158</v>
      </c>
      <c r="F4611" s="49">
        <v>0.89937500000000004</v>
      </c>
      <c r="G4611" s="37">
        <v>6.3</v>
      </c>
      <c r="H4611" s="36" t="s">
        <v>1362</v>
      </c>
      <c r="I4611" s="36" t="s">
        <v>1365</v>
      </c>
    </row>
    <row r="4612" spans="1:9" x14ac:dyDescent="0.25">
      <c r="A4612" s="38" t="s">
        <v>173</v>
      </c>
      <c r="B4612" s="28">
        <v>7090</v>
      </c>
      <c r="C4612" s="28" t="s">
        <v>35</v>
      </c>
      <c r="D4612" s="46" t="s">
        <v>38</v>
      </c>
      <c r="E4612" s="35">
        <v>46159</v>
      </c>
      <c r="F4612" s="49">
        <v>0.41122685185185187</v>
      </c>
      <c r="G4612" s="37">
        <v>6.3</v>
      </c>
      <c r="H4612" s="36" t="s">
        <v>1363</v>
      </c>
      <c r="I4612" s="36" t="s">
        <v>1365</v>
      </c>
    </row>
    <row r="4613" spans="1:9" x14ac:dyDescent="0.25">
      <c r="A4613" s="38" t="s">
        <v>382</v>
      </c>
      <c r="B4613" s="28">
        <v>7106</v>
      </c>
      <c r="C4613" s="28" t="s">
        <v>35</v>
      </c>
      <c r="D4613" s="46" t="s">
        <v>38</v>
      </c>
      <c r="E4613" s="35">
        <v>46153</v>
      </c>
      <c r="F4613" s="49">
        <v>0.62657407407407406</v>
      </c>
      <c r="G4613" s="37">
        <v>6.3</v>
      </c>
      <c r="H4613" s="36" t="s">
        <v>1370</v>
      </c>
      <c r="I4613" s="36" t="s">
        <v>1361</v>
      </c>
    </row>
    <row r="4614" spans="1:9" x14ac:dyDescent="0.25">
      <c r="A4614" s="38" t="s">
        <v>382</v>
      </c>
      <c r="B4614" s="28">
        <v>7106</v>
      </c>
      <c r="C4614" s="28" t="s">
        <v>35</v>
      </c>
      <c r="D4614" s="46" t="s">
        <v>38</v>
      </c>
      <c r="E4614" s="35">
        <v>46155</v>
      </c>
      <c r="F4614" s="49">
        <v>0.86359953703703707</v>
      </c>
      <c r="G4614" s="37">
        <v>6.3</v>
      </c>
      <c r="H4614" s="36" t="s">
        <v>1362</v>
      </c>
      <c r="I4614" s="36" t="s">
        <v>1361</v>
      </c>
    </row>
    <row r="4615" spans="1:9" x14ac:dyDescent="0.25">
      <c r="A4615" s="38" t="s">
        <v>477</v>
      </c>
      <c r="B4615" s="28">
        <v>7109</v>
      </c>
      <c r="C4615" s="28" t="s">
        <v>35</v>
      </c>
      <c r="D4615" s="46" t="s">
        <v>38</v>
      </c>
      <c r="E4615" s="35">
        <v>46155</v>
      </c>
      <c r="F4615" s="49">
        <v>1.5972222222222223E-3</v>
      </c>
      <c r="G4615" s="37">
        <v>6.3</v>
      </c>
      <c r="H4615" s="36" t="s">
        <v>1362</v>
      </c>
      <c r="I4615" s="36" t="s">
        <v>1361</v>
      </c>
    </row>
    <row r="4616" spans="1:9" x14ac:dyDescent="0.25">
      <c r="A4616" s="38" t="s">
        <v>477</v>
      </c>
      <c r="B4616" s="28">
        <v>7109</v>
      </c>
      <c r="C4616" s="28" t="s">
        <v>35</v>
      </c>
      <c r="D4616" s="46" t="s">
        <v>38</v>
      </c>
      <c r="E4616" s="35">
        <v>46158</v>
      </c>
      <c r="F4616" s="49">
        <v>3.8541666666666668E-3</v>
      </c>
      <c r="G4616" s="37">
        <v>6.3</v>
      </c>
      <c r="H4616" s="36" t="s">
        <v>1360</v>
      </c>
      <c r="I4616" s="36" t="s">
        <v>1365</v>
      </c>
    </row>
    <row r="4617" spans="1:9" x14ac:dyDescent="0.25">
      <c r="A4617" s="38" t="s">
        <v>477</v>
      </c>
      <c r="B4617" s="28">
        <v>7109</v>
      </c>
      <c r="C4617" s="28" t="s">
        <v>35</v>
      </c>
      <c r="D4617" s="46" t="s">
        <v>38</v>
      </c>
      <c r="E4617" s="35">
        <v>46158</v>
      </c>
      <c r="F4617" s="49">
        <v>1.0659722222222221E-2</v>
      </c>
      <c r="G4617" s="37">
        <v>6.3</v>
      </c>
      <c r="H4617" s="36" t="s">
        <v>1362</v>
      </c>
      <c r="I4617" s="36" t="s">
        <v>1365</v>
      </c>
    </row>
    <row r="4618" spans="1:9" x14ac:dyDescent="0.25">
      <c r="A4618" s="38" t="s">
        <v>477</v>
      </c>
      <c r="B4618" s="28">
        <v>7109</v>
      </c>
      <c r="C4618" s="28" t="s">
        <v>35</v>
      </c>
      <c r="D4618" s="46" t="s">
        <v>38</v>
      </c>
      <c r="E4618" s="35">
        <v>46158</v>
      </c>
      <c r="F4618" s="49">
        <v>0.4380324074074074</v>
      </c>
      <c r="G4618" s="37">
        <v>6.3</v>
      </c>
      <c r="H4618" s="36" t="s">
        <v>1362</v>
      </c>
      <c r="I4618" s="36" t="s">
        <v>1365</v>
      </c>
    </row>
    <row r="4619" spans="1:9" x14ac:dyDescent="0.25">
      <c r="A4619" s="38" t="s">
        <v>477</v>
      </c>
      <c r="B4619" s="28">
        <v>7109</v>
      </c>
      <c r="C4619" s="28">
        <v>5673041</v>
      </c>
      <c r="D4619" s="28"/>
      <c r="E4619" s="35">
        <v>46159</v>
      </c>
      <c r="F4619" s="49">
        <v>0.95283564814814814</v>
      </c>
      <c r="G4619" s="37">
        <v>6.3</v>
      </c>
      <c r="H4619" s="36" t="s">
        <v>1360</v>
      </c>
      <c r="I4619" s="36" t="s">
        <v>1365</v>
      </c>
    </row>
    <row r="4620" spans="1:9" x14ac:dyDescent="0.25">
      <c r="A4620" s="38" t="s">
        <v>477</v>
      </c>
      <c r="B4620" s="28">
        <v>7109</v>
      </c>
      <c r="C4620" s="28">
        <v>5673041</v>
      </c>
      <c r="D4620" s="46"/>
      <c r="E4620" s="35">
        <v>46159</v>
      </c>
      <c r="F4620" s="49">
        <v>0.9595717592592593</v>
      </c>
      <c r="G4620" s="37">
        <v>6.3</v>
      </c>
      <c r="H4620" s="36" t="s">
        <v>1362</v>
      </c>
      <c r="I4620" s="36" t="s">
        <v>1365</v>
      </c>
    </row>
    <row r="4621" spans="1:9" x14ac:dyDescent="0.25">
      <c r="A4621" s="38" t="s">
        <v>106</v>
      </c>
      <c r="B4621" s="28">
        <v>7438</v>
      </c>
      <c r="C4621" s="28" t="s">
        <v>1236</v>
      </c>
      <c r="D4621" s="46"/>
      <c r="E4621" s="35">
        <v>46155</v>
      </c>
      <c r="F4621" s="49">
        <v>0.95989583333333328</v>
      </c>
      <c r="G4621" s="37">
        <v>6.3</v>
      </c>
      <c r="H4621" s="36" t="s">
        <v>1360</v>
      </c>
      <c r="I4621" s="36" t="s">
        <v>1361</v>
      </c>
    </row>
    <row r="4622" spans="1:9" x14ac:dyDescent="0.25">
      <c r="A4622" s="38" t="s">
        <v>106</v>
      </c>
      <c r="B4622" s="28">
        <v>7438</v>
      </c>
      <c r="C4622" s="28" t="s">
        <v>1236</v>
      </c>
      <c r="D4622" s="46"/>
      <c r="E4622" s="35">
        <v>46155</v>
      </c>
      <c r="F4622" s="49">
        <v>0.97091435185185182</v>
      </c>
      <c r="G4622" s="37">
        <v>6.3</v>
      </c>
      <c r="H4622" s="36" t="s">
        <v>1368</v>
      </c>
      <c r="I4622" s="36" t="s">
        <v>1361</v>
      </c>
    </row>
    <row r="4623" spans="1:9" x14ac:dyDescent="0.25">
      <c r="A4623" s="38" t="s">
        <v>106</v>
      </c>
      <c r="B4623" s="28">
        <v>7438</v>
      </c>
      <c r="C4623" s="28">
        <v>5666994</v>
      </c>
      <c r="D4623" s="46"/>
      <c r="E4623" s="35">
        <v>46156</v>
      </c>
      <c r="F4623" s="49">
        <v>0.92491898148148144</v>
      </c>
      <c r="G4623" s="37">
        <v>6.3</v>
      </c>
      <c r="H4623" s="36" t="s">
        <v>1360</v>
      </c>
      <c r="I4623" s="36" t="s">
        <v>1361</v>
      </c>
    </row>
    <row r="4624" spans="1:9" x14ac:dyDescent="0.25">
      <c r="A4624" s="38" t="s">
        <v>106</v>
      </c>
      <c r="B4624" s="28">
        <v>7438</v>
      </c>
      <c r="C4624" s="28">
        <v>5666994</v>
      </c>
      <c r="D4624" s="46"/>
      <c r="E4624" s="35">
        <v>46156</v>
      </c>
      <c r="F4624" s="49">
        <v>0.93251157407407403</v>
      </c>
      <c r="G4624" s="37">
        <v>6.3</v>
      </c>
      <c r="H4624" s="36" t="s">
        <v>1362</v>
      </c>
      <c r="I4624" s="36" t="s">
        <v>1361</v>
      </c>
    </row>
    <row r="4625" spans="1:9" x14ac:dyDescent="0.25">
      <c r="A4625" s="38" t="s">
        <v>106</v>
      </c>
      <c r="B4625" s="28">
        <v>7438</v>
      </c>
      <c r="C4625" s="28">
        <v>5671081</v>
      </c>
      <c r="D4625" s="46"/>
      <c r="E4625" s="35">
        <v>46157</v>
      </c>
      <c r="F4625" s="49">
        <v>0.97295138888888888</v>
      </c>
      <c r="G4625" s="37">
        <v>6.3</v>
      </c>
      <c r="H4625" s="36" t="s">
        <v>1360</v>
      </c>
      <c r="I4625" s="36" t="s">
        <v>1361</v>
      </c>
    </row>
    <row r="4626" spans="1:9" x14ac:dyDescent="0.25">
      <c r="A4626" s="38" t="s">
        <v>106</v>
      </c>
      <c r="B4626" s="28">
        <v>7438</v>
      </c>
      <c r="C4626" s="28">
        <v>5671081</v>
      </c>
      <c r="D4626" s="46"/>
      <c r="E4626" s="35">
        <v>46157</v>
      </c>
      <c r="F4626" s="49">
        <v>0.98274305555555552</v>
      </c>
      <c r="G4626" s="37">
        <v>6.3</v>
      </c>
      <c r="H4626" s="36" t="s">
        <v>1362</v>
      </c>
      <c r="I4626" s="36" t="s">
        <v>1361</v>
      </c>
    </row>
    <row r="4627" spans="1:9" x14ac:dyDescent="0.25">
      <c r="A4627" s="38" t="s">
        <v>106</v>
      </c>
      <c r="B4627" s="28">
        <v>7438</v>
      </c>
      <c r="C4627" s="28">
        <v>5671859</v>
      </c>
      <c r="D4627" s="46"/>
      <c r="E4627" s="35">
        <v>46158</v>
      </c>
      <c r="F4627" s="49">
        <v>0.87956018518518519</v>
      </c>
      <c r="G4627" s="37">
        <v>6.3</v>
      </c>
      <c r="H4627" s="36" t="s">
        <v>1360</v>
      </c>
      <c r="I4627" s="36" t="s">
        <v>1365</v>
      </c>
    </row>
    <row r="4628" spans="1:9" x14ac:dyDescent="0.25">
      <c r="A4628" s="38" t="s">
        <v>106</v>
      </c>
      <c r="B4628" s="28">
        <v>7438</v>
      </c>
      <c r="C4628" s="28">
        <v>5671859</v>
      </c>
      <c r="D4628" s="46"/>
      <c r="E4628" s="35">
        <v>46158</v>
      </c>
      <c r="F4628" s="49">
        <v>0.88694444444444442</v>
      </c>
      <c r="G4628" s="37">
        <v>6.3</v>
      </c>
      <c r="H4628" s="36" t="s">
        <v>1362</v>
      </c>
      <c r="I4628" s="36" t="s">
        <v>1365</v>
      </c>
    </row>
    <row r="4629" spans="1:9" x14ac:dyDescent="0.25">
      <c r="A4629" s="38" t="s">
        <v>106</v>
      </c>
      <c r="B4629" s="28">
        <v>7438</v>
      </c>
      <c r="C4629" s="28" t="s">
        <v>1237</v>
      </c>
      <c r="D4629" s="46"/>
      <c r="E4629" s="35">
        <v>46159</v>
      </c>
      <c r="F4629" s="49">
        <v>0.89076388888888891</v>
      </c>
      <c r="G4629" s="37">
        <v>6.3</v>
      </c>
      <c r="H4629" s="36" t="s">
        <v>1360</v>
      </c>
      <c r="I4629" s="36" t="s">
        <v>1365</v>
      </c>
    </row>
    <row r="4630" spans="1:9" x14ac:dyDescent="0.25">
      <c r="A4630" s="38" t="s">
        <v>106</v>
      </c>
      <c r="B4630" s="28">
        <v>7438</v>
      </c>
      <c r="C4630" s="28" t="s">
        <v>1237</v>
      </c>
      <c r="D4630" s="46"/>
      <c r="E4630" s="35">
        <v>46159</v>
      </c>
      <c r="F4630" s="49">
        <v>0.89846064814814819</v>
      </c>
      <c r="G4630" s="37">
        <v>6.3</v>
      </c>
      <c r="H4630" s="36" t="s">
        <v>1362</v>
      </c>
      <c r="I4630" s="36" t="s">
        <v>1365</v>
      </c>
    </row>
    <row r="4631" spans="1:9" x14ac:dyDescent="0.25">
      <c r="A4631" s="38" t="s">
        <v>240</v>
      </c>
      <c r="B4631" s="28">
        <v>7581</v>
      </c>
      <c r="C4631" s="28" t="s">
        <v>35</v>
      </c>
      <c r="D4631" s="46" t="s">
        <v>38</v>
      </c>
      <c r="E4631" s="35">
        <v>46154</v>
      </c>
      <c r="F4631" s="49">
        <v>0.67471064814814818</v>
      </c>
      <c r="G4631" s="37">
        <v>6.3</v>
      </c>
      <c r="H4631" s="36" t="s">
        <v>1363</v>
      </c>
      <c r="I4631" s="36" t="s">
        <v>1361</v>
      </c>
    </row>
    <row r="4632" spans="1:9" x14ac:dyDescent="0.25">
      <c r="A4632" s="38" t="s">
        <v>240</v>
      </c>
      <c r="B4632" s="28">
        <v>7581</v>
      </c>
      <c r="C4632" s="28" t="s">
        <v>35</v>
      </c>
      <c r="D4632" s="46" t="s">
        <v>38</v>
      </c>
      <c r="E4632" s="35">
        <v>46156</v>
      </c>
      <c r="F4632" s="49">
        <v>0.8268402777777778</v>
      </c>
      <c r="G4632" s="37">
        <v>6.3</v>
      </c>
      <c r="H4632" s="36" t="s">
        <v>1363</v>
      </c>
      <c r="I4632" s="36" t="s">
        <v>1361</v>
      </c>
    </row>
    <row r="4633" spans="1:9" x14ac:dyDescent="0.25">
      <c r="A4633" s="38" t="s">
        <v>240</v>
      </c>
      <c r="B4633" s="28">
        <v>7581</v>
      </c>
      <c r="C4633" s="28" t="s">
        <v>35</v>
      </c>
      <c r="D4633" s="46" t="s">
        <v>38</v>
      </c>
      <c r="E4633" s="35">
        <v>46156</v>
      </c>
      <c r="F4633" s="49">
        <v>0.83903935185185186</v>
      </c>
      <c r="G4633" s="37">
        <v>6.3</v>
      </c>
      <c r="H4633" s="36" t="s">
        <v>1364</v>
      </c>
      <c r="I4633" s="36" t="s">
        <v>1361</v>
      </c>
    </row>
    <row r="4634" spans="1:9" x14ac:dyDescent="0.25">
      <c r="A4634" s="38" t="s">
        <v>240</v>
      </c>
      <c r="B4634" s="28">
        <v>7581</v>
      </c>
      <c r="C4634" s="28">
        <v>5669123</v>
      </c>
      <c r="D4634" s="46"/>
      <c r="E4634" s="35">
        <v>46156</v>
      </c>
      <c r="F4634" s="49">
        <v>0.96569444444444441</v>
      </c>
      <c r="G4634" s="37">
        <v>6.3</v>
      </c>
      <c r="H4634" s="36" t="s">
        <v>1360</v>
      </c>
      <c r="I4634" s="36" t="s">
        <v>1361</v>
      </c>
    </row>
    <row r="4635" spans="1:9" x14ac:dyDescent="0.25">
      <c r="A4635" s="38" t="s">
        <v>240</v>
      </c>
      <c r="B4635" s="28">
        <v>7581</v>
      </c>
      <c r="C4635" s="28">
        <v>5669123</v>
      </c>
      <c r="D4635" s="46"/>
      <c r="E4635" s="35">
        <v>46156</v>
      </c>
      <c r="F4635" s="49">
        <v>0.97209490740740745</v>
      </c>
      <c r="G4635" s="37">
        <v>6.3</v>
      </c>
      <c r="H4635" s="36" t="s">
        <v>1362</v>
      </c>
      <c r="I4635" s="36" t="s">
        <v>1361</v>
      </c>
    </row>
    <row r="4636" spans="1:9" x14ac:dyDescent="0.25">
      <c r="A4636" s="38" t="s">
        <v>240</v>
      </c>
      <c r="B4636" s="28">
        <v>7581</v>
      </c>
      <c r="C4636" s="28" t="s">
        <v>1238</v>
      </c>
      <c r="D4636" s="46"/>
      <c r="E4636" s="35">
        <v>46158</v>
      </c>
      <c r="F4636" s="49">
        <v>0.24024305555555556</v>
      </c>
      <c r="G4636" s="37">
        <v>6.3</v>
      </c>
      <c r="H4636" s="36" t="s">
        <v>1363</v>
      </c>
      <c r="I4636" s="36" t="s">
        <v>1365</v>
      </c>
    </row>
    <row r="4637" spans="1:9" x14ac:dyDescent="0.25">
      <c r="A4637" s="38" t="s">
        <v>240</v>
      </c>
      <c r="B4637" s="28">
        <v>7581</v>
      </c>
      <c r="C4637" s="28" t="s">
        <v>1238</v>
      </c>
      <c r="D4637" s="46"/>
      <c r="E4637" s="35">
        <v>46158</v>
      </c>
      <c r="F4637" s="49">
        <v>0.24504629629629629</v>
      </c>
      <c r="G4637" s="37">
        <v>6.3</v>
      </c>
      <c r="H4637" s="36" t="s">
        <v>1364</v>
      </c>
      <c r="I4637" s="36" t="s">
        <v>1365</v>
      </c>
    </row>
    <row r="4638" spans="1:9" x14ac:dyDescent="0.25">
      <c r="A4638" s="38" t="s">
        <v>199</v>
      </c>
      <c r="B4638" s="28">
        <v>7606</v>
      </c>
      <c r="C4638" s="28" t="s">
        <v>35</v>
      </c>
      <c r="D4638" s="46" t="s">
        <v>38</v>
      </c>
      <c r="E4638" s="35">
        <v>46153</v>
      </c>
      <c r="F4638" s="49">
        <v>0.65192129629629625</v>
      </c>
      <c r="G4638" s="37">
        <v>6.3</v>
      </c>
      <c r="H4638" s="36" t="s">
        <v>1368</v>
      </c>
      <c r="I4638" s="36" t="s">
        <v>1361</v>
      </c>
    </row>
    <row r="4639" spans="1:9" x14ac:dyDescent="0.25">
      <c r="A4639" s="38" t="s">
        <v>199</v>
      </c>
      <c r="B4639" s="28">
        <v>7606</v>
      </c>
      <c r="C4639" s="28" t="s">
        <v>35</v>
      </c>
      <c r="D4639" s="46" t="s">
        <v>38</v>
      </c>
      <c r="E4639" s="35">
        <v>46153</v>
      </c>
      <c r="F4639" s="49">
        <v>0.89935185185185185</v>
      </c>
      <c r="G4639" s="37">
        <v>6.3</v>
      </c>
      <c r="H4639" s="36" t="s">
        <v>1370</v>
      </c>
      <c r="I4639" s="36" t="s">
        <v>1361</v>
      </c>
    </row>
    <row r="4640" spans="1:9" x14ac:dyDescent="0.25">
      <c r="A4640" s="38" t="s">
        <v>199</v>
      </c>
      <c r="B4640" s="28">
        <v>7606</v>
      </c>
      <c r="C4640" s="28" t="s">
        <v>35</v>
      </c>
      <c r="D4640" s="46" t="s">
        <v>38</v>
      </c>
      <c r="E4640" s="35">
        <v>46156</v>
      </c>
      <c r="F4640" s="49">
        <v>0.91844907407407406</v>
      </c>
      <c r="G4640" s="37">
        <v>6.3</v>
      </c>
      <c r="H4640" s="36" t="s">
        <v>1367</v>
      </c>
      <c r="I4640" s="36" t="s">
        <v>1361</v>
      </c>
    </row>
    <row r="4641" spans="1:9" x14ac:dyDescent="0.25">
      <c r="A4641" s="38" t="s">
        <v>199</v>
      </c>
      <c r="B4641" s="28">
        <v>7606</v>
      </c>
      <c r="C4641" s="28" t="s">
        <v>35</v>
      </c>
      <c r="D4641" s="46" t="s">
        <v>38</v>
      </c>
      <c r="E4641" s="35">
        <v>46156</v>
      </c>
      <c r="F4641" s="49">
        <v>0.92177083333333332</v>
      </c>
      <c r="G4641" s="37">
        <v>6.3</v>
      </c>
      <c r="H4641" s="36" t="s">
        <v>1364</v>
      </c>
      <c r="I4641" s="36" t="s">
        <v>1361</v>
      </c>
    </row>
    <row r="4642" spans="1:9" x14ac:dyDescent="0.25">
      <c r="A4642" s="38" t="s">
        <v>199</v>
      </c>
      <c r="B4642" s="28">
        <v>7606</v>
      </c>
      <c r="C4642" s="28" t="s">
        <v>35</v>
      </c>
      <c r="D4642" s="46" t="s">
        <v>38</v>
      </c>
      <c r="E4642" s="35">
        <v>46156</v>
      </c>
      <c r="F4642" s="49">
        <v>0.97002314814814816</v>
      </c>
      <c r="G4642" s="37">
        <v>6.3</v>
      </c>
      <c r="H4642" s="36" t="s">
        <v>1360</v>
      </c>
      <c r="I4642" s="36" t="s">
        <v>1361</v>
      </c>
    </row>
    <row r="4643" spans="1:9" x14ac:dyDescent="0.25">
      <c r="A4643" s="38" t="s">
        <v>199</v>
      </c>
      <c r="B4643" s="28">
        <v>7606</v>
      </c>
      <c r="C4643" s="28" t="s">
        <v>35</v>
      </c>
      <c r="D4643" s="46" t="s">
        <v>38</v>
      </c>
      <c r="E4643" s="35">
        <v>46156</v>
      </c>
      <c r="F4643" s="49">
        <v>0.97804398148148153</v>
      </c>
      <c r="G4643" s="37">
        <v>6.3</v>
      </c>
      <c r="H4643" s="36" t="s">
        <v>1362</v>
      </c>
      <c r="I4643" s="36" t="s">
        <v>1361</v>
      </c>
    </row>
    <row r="4644" spans="1:9" x14ac:dyDescent="0.25">
      <c r="A4644" s="38" t="s">
        <v>199</v>
      </c>
      <c r="B4644" s="28">
        <v>7606</v>
      </c>
      <c r="C4644" s="28" t="s">
        <v>1239</v>
      </c>
      <c r="D4644" s="46"/>
      <c r="E4644" s="35">
        <v>46159</v>
      </c>
      <c r="F4644" s="49">
        <v>0.13939814814814816</v>
      </c>
      <c r="G4644" s="37">
        <v>6.3</v>
      </c>
      <c r="H4644" s="36" t="s">
        <v>1363</v>
      </c>
      <c r="I4644" s="36" t="s">
        <v>1365</v>
      </c>
    </row>
    <row r="4645" spans="1:9" x14ac:dyDescent="0.25">
      <c r="A4645" s="38" t="s">
        <v>199</v>
      </c>
      <c r="B4645" s="28">
        <v>7606</v>
      </c>
      <c r="C4645" s="28" t="s">
        <v>1239</v>
      </c>
      <c r="D4645" s="46"/>
      <c r="E4645" s="35">
        <v>46159</v>
      </c>
      <c r="F4645" s="49">
        <v>0.14457175925925925</v>
      </c>
      <c r="G4645" s="37">
        <v>6.3</v>
      </c>
      <c r="H4645" s="36" t="s">
        <v>1364</v>
      </c>
      <c r="I4645" s="36" t="s">
        <v>1365</v>
      </c>
    </row>
    <row r="4646" spans="1:9" x14ac:dyDescent="0.25">
      <c r="A4646" s="38" t="s">
        <v>199</v>
      </c>
      <c r="B4646" s="28">
        <v>7606</v>
      </c>
      <c r="C4646" s="28" t="s">
        <v>35</v>
      </c>
      <c r="D4646" s="46" t="s">
        <v>38</v>
      </c>
      <c r="E4646" s="35">
        <v>46159</v>
      </c>
      <c r="F4646" s="49">
        <v>0.50118055555555552</v>
      </c>
      <c r="G4646" s="37">
        <v>6.3</v>
      </c>
      <c r="H4646" s="36" t="s">
        <v>1366</v>
      </c>
      <c r="I4646" s="36" t="s">
        <v>1365</v>
      </c>
    </row>
    <row r="4647" spans="1:9" x14ac:dyDescent="0.25">
      <c r="A4647" s="38" t="s">
        <v>199</v>
      </c>
      <c r="B4647" s="28">
        <v>7606</v>
      </c>
      <c r="C4647" s="28">
        <v>5673009</v>
      </c>
      <c r="D4647" s="46"/>
      <c r="E4647" s="35">
        <v>46159</v>
      </c>
      <c r="F4647" s="49">
        <v>0.6594444444444445</v>
      </c>
      <c r="G4647" s="37">
        <v>6.3</v>
      </c>
      <c r="H4647" s="36" t="s">
        <v>1369</v>
      </c>
      <c r="I4647" s="36" t="s">
        <v>1365</v>
      </c>
    </row>
    <row r="4648" spans="1:9" x14ac:dyDescent="0.25">
      <c r="A4648" s="38" t="s">
        <v>199</v>
      </c>
      <c r="B4648" s="28">
        <v>7606</v>
      </c>
      <c r="C4648" s="28">
        <v>5673009</v>
      </c>
      <c r="D4648" s="46"/>
      <c r="E4648" s="35">
        <v>46159</v>
      </c>
      <c r="F4648" s="49">
        <v>0.66478009259259263</v>
      </c>
      <c r="G4648" s="37">
        <v>6.3</v>
      </c>
      <c r="H4648" s="36" t="s">
        <v>1364</v>
      </c>
      <c r="I4648" s="36" t="s">
        <v>1365</v>
      </c>
    </row>
    <row r="4649" spans="1:9" x14ac:dyDescent="0.25">
      <c r="A4649" s="38" t="s">
        <v>199</v>
      </c>
      <c r="B4649" s="28">
        <v>7606</v>
      </c>
      <c r="C4649" s="28" t="s">
        <v>35</v>
      </c>
      <c r="D4649" s="46" t="s">
        <v>38</v>
      </c>
      <c r="E4649" s="35">
        <v>46159</v>
      </c>
      <c r="F4649" s="49">
        <v>0.72774305555555552</v>
      </c>
      <c r="G4649" s="37">
        <v>6.3</v>
      </c>
      <c r="H4649" s="36" t="s">
        <v>1360</v>
      </c>
      <c r="I4649" s="36" t="s">
        <v>1365</v>
      </c>
    </row>
    <row r="4650" spans="1:9" x14ac:dyDescent="0.25">
      <c r="A4650" s="38" t="s">
        <v>199</v>
      </c>
      <c r="B4650" s="28">
        <v>7606</v>
      </c>
      <c r="C4650" s="28" t="s">
        <v>35</v>
      </c>
      <c r="D4650" s="46" t="s">
        <v>38</v>
      </c>
      <c r="E4650" s="35">
        <v>46159</v>
      </c>
      <c r="F4650" s="49">
        <v>0.73511574074074071</v>
      </c>
      <c r="G4650" s="37">
        <v>6.3</v>
      </c>
      <c r="H4650" s="36" t="s">
        <v>1362</v>
      </c>
      <c r="I4650" s="36" t="s">
        <v>1365</v>
      </c>
    </row>
    <row r="4651" spans="1:9" x14ac:dyDescent="0.25">
      <c r="A4651" s="38" t="s">
        <v>88</v>
      </c>
      <c r="B4651" s="28">
        <v>7628</v>
      </c>
      <c r="C4651" s="28">
        <v>5664611</v>
      </c>
      <c r="D4651" s="46" t="s">
        <v>37</v>
      </c>
      <c r="E4651" s="35">
        <v>46154</v>
      </c>
      <c r="F4651" s="49">
        <v>0.50255787037037036</v>
      </c>
      <c r="G4651" s="37">
        <v>6.3</v>
      </c>
      <c r="H4651" s="36" t="s">
        <v>1362</v>
      </c>
      <c r="I4651" s="36" t="s">
        <v>1361</v>
      </c>
    </row>
    <row r="4652" spans="1:9" x14ac:dyDescent="0.25">
      <c r="A4652" s="38" t="s">
        <v>88</v>
      </c>
      <c r="B4652" s="28">
        <v>7628</v>
      </c>
      <c r="C4652" s="28" t="s">
        <v>35</v>
      </c>
      <c r="D4652" s="46" t="s">
        <v>38</v>
      </c>
      <c r="E4652" s="35">
        <v>46155</v>
      </c>
      <c r="F4652" s="49">
        <v>0.3039236111111111</v>
      </c>
      <c r="G4652" s="37">
        <v>6.3</v>
      </c>
      <c r="H4652" s="36" t="s">
        <v>1370</v>
      </c>
      <c r="I4652" s="36" t="s">
        <v>1361</v>
      </c>
    </row>
    <row r="4653" spans="1:9" x14ac:dyDescent="0.25">
      <c r="A4653" s="38" t="s">
        <v>88</v>
      </c>
      <c r="B4653" s="28">
        <v>7628</v>
      </c>
      <c r="C4653" s="28" t="s">
        <v>35</v>
      </c>
      <c r="D4653" s="46" t="s">
        <v>38</v>
      </c>
      <c r="E4653" s="35">
        <v>46155</v>
      </c>
      <c r="F4653" s="49">
        <v>0.32283564814814814</v>
      </c>
      <c r="G4653" s="37">
        <v>6.3</v>
      </c>
      <c r="H4653" s="36" t="s">
        <v>1364</v>
      </c>
      <c r="I4653" s="36" t="s">
        <v>1361</v>
      </c>
    </row>
    <row r="4654" spans="1:9" x14ac:dyDescent="0.25">
      <c r="A4654" s="38" t="s">
        <v>88</v>
      </c>
      <c r="B4654" s="28">
        <v>7628</v>
      </c>
      <c r="C4654" s="28">
        <v>5666805</v>
      </c>
      <c r="D4654" s="46"/>
      <c r="E4654" s="35">
        <v>46155</v>
      </c>
      <c r="F4654" s="49">
        <v>0.65423611111111113</v>
      </c>
      <c r="G4654" s="37">
        <v>6.3</v>
      </c>
      <c r="H4654" s="36" t="s">
        <v>1370</v>
      </c>
      <c r="I4654" s="36" t="s">
        <v>1361</v>
      </c>
    </row>
    <row r="4655" spans="1:9" x14ac:dyDescent="0.25">
      <c r="A4655" s="38" t="s">
        <v>88</v>
      </c>
      <c r="B4655" s="28">
        <v>7628</v>
      </c>
      <c r="C4655" s="28">
        <v>5666805</v>
      </c>
      <c r="D4655" s="46"/>
      <c r="E4655" s="35">
        <v>46155</v>
      </c>
      <c r="F4655" s="49">
        <v>0.66118055555555555</v>
      </c>
      <c r="G4655" s="37">
        <v>6.3</v>
      </c>
      <c r="H4655" s="36" t="s">
        <v>1364</v>
      </c>
      <c r="I4655" s="36" t="s">
        <v>1361</v>
      </c>
    </row>
    <row r="4656" spans="1:9" x14ac:dyDescent="0.25">
      <c r="A4656" s="38" t="s">
        <v>88</v>
      </c>
      <c r="B4656" s="28">
        <v>7628</v>
      </c>
      <c r="C4656" s="28" t="s">
        <v>35</v>
      </c>
      <c r="D4656" s="46" t="s">
        <v>38</v>
      </c>
      <c r="E4656" s="35">
        <v>46156</v>
      </c>
      <c r="F4656" s="49">
        <v>0.63317129629629632</v>
      </c>
      <c r="G4656" s="37">
        <v>6.3</v>
      </c>
      <c r="H4656" s="36" t="s">
        <v>1369</v>
      </c>
      <c r="I4656" s="36" t="s">
        <v>1361</v>
      </c>
    </row>
    <row r="4657" spans="1:9" x14ac:dyDescent="0.25">
      <c r="A4657" s="38" t="s">
        <v>88</v>
      </c>
      <c r="B4657" s="28">
        <v>7628</v>
      </c>
      <c r="C4657" s="28" t="s">
        <v>35</v>
      </c>
      <c r="D4657" s="46" t="s">
        <v>38</v>
      </c>
      <c r="E4657" s="35">
        <v>46156</v>
      </c>
      <c r="F4657" s="49">
        <v>0.6396412037037037</v>
      </c>
      <c r="G4657" s="37">
        <v>6.3</v>
      </c>
      <c r="H4657" s="36" t="s">
        <v>1364</v>
      </c>
      <c r="I4657" s="36" t="s">
        <v>1361</v>
      </c>
    </row>
    <row r="4658" spans="1:9" x14ac:dyDescent="0.25">
      <c r="A4658" s="38" t="s">
        <v>88</v>
      </c>
      <c r="B4658" s="28">
        <v>7628</v>
      </c>
      <c r="C4658" s="28" t="s">
        <v>1240</v>
      </c>
      <c r="D4658" s="46"/>
      <c r="E4658" s="35">
        <v>46156</v>
      </c>
      <c r="F4658" s="49">
        <v>0.72010416666666666</v>
      </c>
      <c r="G4658" s="37">
        <v>6.3</v>
      </c>
      <c r="H4658" s="36" t="s">
        <v>1360</v>
      </c>
      <c r="I4658" s="36" t="s">
        <v>1361</v>
      </c>
    </row>
    <row r="4659" spans="1:9" x14ac:dyDescent="0.25">
      <c r="A4659" s="38" t="s">
        <v>88</v>
      </c>
      <c r="B4659" s="28">
        <v>7628</v>
      </c>
      <c r="C4659" s="28" t="s">
        <v>1240</v>
      </c>
      <c r="D4659" s="46"/>
      <c r="E4659" s="35">
        <v>46156</v>
      </c>
      <c r="F4659" s="49">
        <v>0.73842592592592593</v>
      </c>
      <c r="G4659" s="37">
        <v>6.3</v>
      </c>
      <c r="H4659" s="36" t="s">
        <v>1362</v>
      </c>
      <c r="I4659" s="36" t="s">
        <v>1361</v>
      </c>
    </row>
    <row r="4660" spans="1:9" x14ac:dyDescent="0.25">
      <c r="A4660" s="38" t="s">
        <v>88</v>
      </c>
      <c r="B4660" s="28">
        <v>7628</v>
      </c>
      <c r="C4660" s="28" t="s">
        <v>35</v>
      </c>
      <c r="D4660" s="46" t="s">
        <v>38</v>
      </c>
      <c r="E4660" s="35">
        <v>46158</v>
      </c>
      <c r="F4660" s="49">
        <v>0.12731481481481483</v>
      </c>
      <c r="G4660" s="37">
        <v>6.3</v>
      </c>
      <c r="H4660" s="36" t="s">
        <v>1360</v>
      </c>
      <c r="I4660" s="36" t="s">
        <v>1365</v>
      </c>
    </row>
    <row r="4661" spans="1:9" x14ac:dyDescent="0.25">
      <c r="A4661" s="38" t="s">
        <v>88</v>
      </c>
      <c r="B4661" s="28">
        <v>7628</v>
      </c>
      <c r="C4661" s="28" t="s">
        <v>1241</v>
      </c>
      <c r="D4661" s="46"/>
      <c r="E4661" s="35">
        <v>46159</v>
      </c>
      <c r="F4661" s="49">
        <v>0.25336805555555558</v>
      </c>
      <c r="G4661" s="37">
        <v>6.3</v>
      </c>
      <c r="H4661" s="36" t="s">
        <v>1369</v>
      </c>
      <c r="I4661" s="36" t="s">
        <v>1365</v>
      </c>
    </row>
    <row r="4662" spans="1:9" x14ac:dyDescent="0.25">
      <c r="A4662" s="38" t="s">
        <v>88</v>
      </c>
      <c r="B4662" s="28">
        <v>7628</v>
      </c>
      <c r="C4662" s="28" t="s">
        <v>1241</v>
      </c>
      <c r="D4662" s="46"/>
      <c r="E4662" s="35">
        <v>46159</v>
      </c>
      <c r="F4662" s="49">
        <v>0.25819444444444445</v>
      </c>
      <c r="G4662" s="37">
        <v>6.3</v>
      </c>
      <c r="H4662" s="36" t="s">
        <v>1364</v>
      </c>
      <c r="I4662" s="36" t="s">
        <v>1365</v>
      </c>
    </row>
    <row r="4663" spans="1:9" x14ac:dyDescent="0.25">
      <c r="A4663" s="38" t="s">
        <v>88</v>
      </c>
      <c r="B4663" s="28">
        <v>7628</v>
      </c>
      <c r="C4663" s="28" t="s">
        <v>1242</v>
      </c>
      <c r="D4663" s="46"/>
      <c r="E4663" s="35">
        <v>46159</v>
      </c>
      <c r="F4663" s="49">
        <v>0.35653935185185187</v>
      </c>
      <c r="G4663" s="37">
        <v>6.3</v>
      </c>
      <c r="H4663" s="36" t="s">
        <v>1360</v>
      </c>
      <c r="I4663" s="36" t="s">
        <v>1365</v>
      </c>
    </row>
    <row r="4664" spans="1:9" x14ac:dyDescent="0.25">
      <c r="A4664" s="38" t="s">
        <v>88</v>
      </c>
      <c r="B4664" s="28">
        <v>7628</v>
      </c>
      <c r="C4664" s="28" t="s">
        <v>1242</v>
      </c>
      <c r="D4664" s="46"/>
      <c r="E4664" s="35">
        <v>46159</v>
      </c>
      <c r="F4664" s="49">
        <v>0.36258101851851854</v>
      </c>
      <c r="G4664" s="37">
        <v>6.3</v>
      </c>
      <c r="H4664" s="36" t="s">
        <v>1362</v>
      </c>
      <c r="I4664" s="36" t="s">
        <v>1365</v>
      </c>
    </row>
    <row r="4665" spans="1:9" x14ac:dyDescent="0.25">
      <c r="A4665" s="38" t="s">
        <v>478</v>
      </c>
      <c r="B4665" s="28">
        <v>7629</v>
      </c>
      <c r="C4665" s="28" t="s">
        <v>35</v>
      </c>
      <c r="D4665" s="46" t="s">
        <v>38</v>
      </c>
      <c r="E4665" s="35">
        <v>46158</v>
      </c>
      <c r="F4665" s="49">
        <v>0.4392361111111111</v>
      </c>
      <c r="G4665" s="37">
        <v>6.3</v>
      </c>
      <c r="H4665" s="36" t="s">
        <v>1369</v>
      </c>
      <c r="I4665" s="36" t="s">
        <v>1365</v>
      </c>
    </row>
    <row r="4666" spans="1:9" x14ac:dyDescent="0.25">
      <c r="A4666" s="38" t="s">
        <v>478</v>
      </c>
      <c r="B4666" s="28">
        <v>7629</v>
      </c>
      <c r="C4666" s="28" t="s">
        <v>1243</v>
      </c>
      <c r="D4666" s="46"/>
      <c r="E4666" s="35">
        <v>46159</v>
      </c>
      <c r="F4666" s="49">
        <v>0.87075231481481485</v>
      </c>
      <c r="G4666" s="37">
        <v>6.3</v>
      </c>
      <c r="H4666" s="36" t="s">
        <v>1369</v>
      </c>
      <c r="I4666" s="36" t="s">
        <v>1365</v>
      </c>
    </row>
    <row r="4667" spans="1:9" x14ac:dyDescent="0.25">
      <c r="A4667" s="38" t="s">
        <v>478</v>
      </c>
      <c r="B4667" s="28">
        <v>7629</v>
      </c>
      <c r="C4667" s="28" t="s">
        <v>1243</v>
      </c>
      <c r="D4667" s="46"/>
      <c r="E4667" s="35">
        <v>46159</v>
      </c>
      <c r="F4667" s="49">
        <v>0.87581018518518516</v>
      </c>
      <c r="G4667" s="37">
        <v>6.3</v>
      </c>
      <c r="H4667" s="36" t="s">
        <v>1364</v>
      </c>
      <c r="I4667" s="36" t="s">
        <v>1365</v>
      </c>
    </row>
    <row r="4668" spans="1:9" x14ac:dyDescent="0.25">
      <c r="A4668" s="38" t="s">
        <v>189</v>
      </c>
      <c r="B4668" s="28">
        <v>7635</v>
      </c>
      <c r="C4668" s="28" t="s">
        <v>1244</v>
      </c>
      <c r="D4668" s="46"/>
      <c r="E4668" s="35">
        <v>46153</v>
      </c>
      <c r="F4668" s="49">
        <v>0.28781250000000003</v>
      </c>
      <c r="G4668" s="37">
        <v>6.3</v>
      </c>
      <c r="H4668" s="36" t="s">
        <v>1369</v>
      </c>
      <c r="I4668" s="36" t="s">
        <v>1361</v>
      </c>
    </row>
    <row r="4669" spans="1:9" x14ac:dyDescent="0.25">
      <c r="A4669" s="38" t="s">
        <v>189</v>
      </c>
      <c r="B4669" s="28">
        <v>7635</v>
      </c>
      <c r="C4669" s="28" t="s">
        <v>1244</v>
      </c>
      <c r="D4669" s="46"/>
      <c r="E4669" s="35">
        <v>46153</v>
      </c>
      <c r="F4669" s="49">
        <v>0.29686342592592591</v>
      </c>
      <c r="G4669" s="37">
        <v>6.3</v>
      </c>
      <c r="H4669" s="36" t="s">
        <v>1364</v>
      </c>
      <c r="I4669" s="36" t="s">
        <v>1361</v>
      </c>
    </row>
    <row r="4670" spans="1:9" x14ac:dyDescent="0.25">
      <c r="A4670" s="38" t="s">
        <v>189</v>
      </c>
      <c r="B4670" s="28">
        <v>7635</v>
      </c>
      <c r="C4670" s="28" t="s">
        <v>1245</v>
      </c>
      <c r="D4670" s="46"/>
      <c r="E4670" s="35">
        <v>46154</v>
      </c>
      <c r="F4670" s="49">
        <v>0.25980324074074074</v>
      </c>
      <c r="G4670" s="37">
        <v>6.3</v>
      </c>
      <c r="H4670" s="36" t="s">
        <v>1363</v>
      </c>
      <c r="I4670" s="36" t="s">
        <v>1361</v>
      </c>
    </row>
    <row r="4671" spans="1:9" x14ac:dyDescent="0.25">
      <c r="A4671" s="38" t="s">
        <v>189</v>
      </c>
      <c r="B4671" s="28">
        <v>7635</v>
      </c>
      <c r="C4671" s="28" t="s">
        <v>1245</v>
      </c>
      <c r="D4671" s="46"/>
      <c r="E4671" s="35">
        <v>46154</v>
      </c>
      <c r="F4671" s="49">
        <v>0.26706018518518521</v>
      </c>
      <c r="G4671" s="37">
        <v>6.3</v>
      </c>
      <c r="H4671" s="36" t="s">
        <v>1364</v>
      </c>
      <c r="I4671" s="36" t="s">
        <v>1361</v>
      </c>
    </row>
    <row r="4672" spans="1:9" x14ac:dyDescent="0.25">
      <c r="A4672" s="38" t="s">
        <v>189</v>
      </c>
      <c r="B4672" s="28">
        <v>7635</v>
      </c>
      <c r="C4672" s="28">
        <v>5666180</v>
      </c>
      <c r="D4672" s="46"/>
      <c r="E4672" s="35">
        <v>46155</v>
      </c>
      <c r="F4672" s="49">
        <v>0.39871527777777777</v>
      </c>
      <c r="G4672" s="37">
        <v>6.3</v>
      </c>
      <c r="H4672" s="36" t="s">
        <v>1363</v>
      </c>
      <c r="I4672" s="36" t="s">
        <v>1361</v>
      </c>
    </row>
    <row r="4673" spans="1:9" x14ac:dyDescent="0.25">
      <c r="A4673" s="38" t="s">
        <v>189</v>
      </c>
      <c r="B4673" s="28">
        <v>7635</v>
      </c>
      <c r="C4673" s="28">
        <v>5666180</v>
      </c>
      <c r="D4673" s="46"/>
      <c r="E4673" s="35">
        <v>46155</v>
      </c>
      <c r="F4673" s="49">
        <v>0.40736111111111112</v>
      </c>
      <c r="G4673" s="37">
        <v>6.3</v>
      </c>
      <c r="H4673" s="36" t="s">
        <v>1364</v>
      </c>
      <c r="I4673" s="36" t="s">
        <v>1361</v>
      </c>
    </row>
    <row r="4674" spans="1:9" x14ac:dyDescent="0.25">
      <c r="A4674" s="38" t="s">
        <v>189</v>
      </c>
      <c r="B4674" s="28">
        <v>7635</v>
      </c>
      <c r="C4674" s="28" t="s">
        <v>1246</v>
      </c>
      <c r="D4674" s="46"/>
      <c r="E4674" s="35">
        <v>46156</v>
      </c>
      <c r="F4674" s="49">
        <v>0.2666203703703704</v>
      </c>
      <c r="G4674" s="37">
        <v>6.3</v>
      </c>
      <c r="H4674" s="36" t="s">
        <v>1363</v>
      </c>
      <c r="I4674" s="36" t="s">
        <v>1361</v>
      </c>
    </row>
    <row r="4675" spans="1:9" x14ac:dyDescent="0.25">
      <c r="A4675" s="38" t="s">
        <v>189</v>
      </c>
      <c r="B4675" s="28">
        <v>7635</v>
      </c>
      <c r="C4675" s="28" t="s">
        <v>1246</v>
      </c>
      <c r="D4675" s="46"/>
      <c r="E4675" s="35">
        <v>46156</v>
      </c>
      <c r="F4675" s="49">
        <v>0.27361111111111114</v>
      </c>
      <c r="G4675" s="37">
        <v>6.3</v>
      </c>
      <c r="H4675" s="36" t="s">
        <v>1364</v>
      </c>
      <c r="I4675" s="36" t="s">
        <v>1361</v>
      </c>
    </row>
    <row r="4676" spans="1:9" x14ac:dyDescent="0.25">
      <c r="A4676" s="38" t="s">
        <v>189</v>
      </c>
      <c r="B4676" s="28">
        <v>7635</v>
      </c>
      <c r="C4676" s="28">
        <v>5669081</v>
      </c>
      <c r="D4676" s="46"/>
      <c r="E4676" s="35">
        <v>46156</v>
      </c>
      <c r="F4676" s="49">
        <v>0.84747685185185184</v>
      </c>
      <c r="G4676" s="37">
        <v>6.3</v>
      </c>
      <c r="H4676" s="36" t="s">
        <v>1362</v>
      </c>
      <c r="I4676" s="36" t="s">
        <v>1361</v>
      </c>
    </row>
    <row r="4677" spans="1:9" x14ac:dyDescent="0.25">
      <c r="A4677" s="38" t="s">
        <v>189</v>
      </c>
      <c r="B4677" s="28">
        <v>7635</v>
      </c>
      <c r="C4677" s="28" t="s">
        <v>1247</v>
      </c>
      <c r="D4677" s="46"/>
      <c r="E4677" s="35">
        <v>46157</v>
      </c>
      <c r="F4677" s="49">
        <v>0.27193287037037039</v>
      </c>
      <c r="G4677" s="37">
        <v>6.3</v>
      </c>
      <c r="H4677" s="36" t="s">
        <v>1363</v>
      </c>
      <c r="I4677" s="36" t="s">
        <v>1361</v>
      </c>
    </row>
    <row r="4678" spans="1:9" x14ac:dyDescent="0.25">
      <c r="A4678" s="38" t="s">
        <v>189</v>
      </c>
      <c r="B4678" s="28">
        <v>7635</v>
      </c>
      <c r="C4678" s="28" t="s">
        <v>1247</v>
      </c>
      <c r="D4678" s="46"/>
      <c r="E4678" s="35">
        <v>46157</v>
      </c>
      <c r="F4678" s="49">
        <v>0.27807870370370369</v>
      </c>
      <c r="G4678" s="37">
        <v>6.3</v>
      </c>
      <c r="H4678" s="36" t="s">
        <v>1364</v>
      </c>
      <c r="I4678" s="36" t="s">
        <v>1361</v>
      </c>
    </row>
    <row r="4679" spans="1:9" x14ac:dyDescent="0.25">
      <c r="A4679" s="38" t="s">
        <v>189</v>
      </c>
      <c r="B4679" s="28">
        <v>7635</v>
      </c>
      <c r="C4679" s="28">
        <v>5669615</v>
      </c>
      <c r="D4679" s="46"/>
      <c r="E4679" s="35">
        <v>46157</v>
      </c>
      <c r="F4679" s="49">
        <v>0.38392361111111112</v>
      </c>
      <c r="G4679" s="37">
        <v>6.3</v>
      </c>
      <c r="H4679" s="36" t="s">
        <v>1360</v>
      </c>
      <c r="I4679" s="36" t="s">
        <v>1361</v>
      </c>
    </row>
    <row r="4680" spans="1:9" x14ac:dyDescent="0.25">
      <c r="A4680" s="38" t="s">
        <v>189</v>
      </c>
      <c r="B4680" s="28">
        <v>7635</v>
      </c>
      <c r="C4680" s="28">
        <v>5669615</v>
      </c>
      <c r="D4680" s="46"/>
      <c r="E4680" s="35">
        <v>46157</v>
      </c>
      <c r="F4680" s="49">
        <v>0.39527777777777778</v>
      </c>
      <c r="G4680" s="37">
        <v>6.3</v>
      </c>
      <c r="H4680" s="36" t="s">
        <v>1362</v>
      </c>
      <c r="I4680" s="36" t="s">
        <v>1361</v>
      </c>
    </row>
    <row r="4681" spans="1:9" x14ac:dyDescent="0.25">
      <c r="A4681" s="38" t="s">
        <v>189</v>
      </c>
      <c r="B4681" s="28">
        <v>7635</v>
      </c>
      <c r="C4681" s="28" t="s">
        <v>1248</v>
      </c>
      <c r="D4681" s="46"/>
      <c r="E4681" s="35">
        <v>46157</v>
      </c>
      <c r="F4681" s="49">
        <v>0.57118055555555558</v>
      </c>
      <c r="G4681" s="37">
        <v>6.3</v>
      </c>
      <c r="H4681" s="36" t="s">
        <v>1360</v>
      </c>
      <c r="I4681" s="36" t="s">
        <v>1361</v>
      </c>
    </row>
    <row r="4682" spans="1:9" x14ac:dyDescent="0.25">
      <c r="A4682" s="38" t="s">
        <v>189</v>
      </c>
      <c r="B4682" s="28">
        <v>7635</v>
      </c>
      <c r="C4682" s="28" t="s">
        <v>1248</v>
      </c>
      <c r="D4682" s="46"/>
      <c r="E4682" s="35">
        <v>46157</v>
      </c>
      <c r="F4682" s="49">
        <v>0.58241898148148152</v>
      </c>
      <c r="G4682" s="37">
        <v>6.3</v>
      </c>
      <c r="H4682" s="36" t="s">
        <v>1362</v>
      </c>
      <c r="I4682" s="36" t="s">
        <v>1361</v>
      </c>
    </row>
    <row r="4683" spans="1:9" x14ac:dyDescent="0.25">
      <c r="A4683" s="38" t="s">
        <v>189</v>
      </c>
      <c r="B4683" s="28">
        <v>7635</v>
      </c>
      <c r="C4683" s="28" t="s">
        <v>1249</v>
      </c>
      <c r="D4683" s="46"/>
      <c r="E4683" s="35">
        <v>46158</v>
      </c>
      <c r="F4683" s="49">
        <v>0.30006944444444444</v>
      </c>
      <c r="G4683" s="37">
        <v>6.3</v>
      </c>
      <c r="H4683" s="36" t="s">
        <v>1363</v>
      </c>
      <c r="I4683" s="36" t="s">
        <v>1365</v>
      </c>
    </row>
    <row r="4684" spans="1:9" x14ac:dyDescent="0.25">
      <c r="A4684" s="38" t="s">
        <v>189</v>
      </c>
      <c r="B4684" s="28">
        <v>7635</v>
      </c>
      <c r="C4684" s="28" t="s">
        <v>1249</v>
      </c>
      <c r="D4684" s="46"/>
      <c r="E4684" s="35">
        <v>46158</v>
      </c>
      <c r="F4684" s="49">
        <v>0.30621527777777779</v>
      </c>
      <c r="G4684" s="37">
        <v>6.3</v>
      </c>
      <c r="H4684" s="36" t="s">
        <v>1364</v>
      </c>
      <c r="I4684" s="36" t="s">
        <v>1365</v>
      </c>
    </row>
    <row r="4685" spans="1:9" x14ac:dyDescent="0.25">
      <c r="A4685" s="38" t="s">
        <v>189</v>
      </c>
      <c r="B4685" s="28">
        <v>7635</v>
      </c>
      <c r="C4685" s="28">
        <v>5671711</v>
      </c>
      <c r="D4685" s="46"/>
      <c r="E4685" s="35">
        <v>46158</v>
      </c>
      <c r="F4685" s="49">
        <v>0.69449074074074069</v>
      </c>
      <c r="G4685" s="37">
        <v>6.3</v>
      </c>
      <c r="H4685" s="36" t="s">
        <v>1360</v>
      </c>
      <c r="I4685" s="36" t="s">
        <v>1365</v>
      </c>
    </row>
    <row r="4686" spans="1:9" x14ac:dyDescent="0.25">
      <c r="A4686" s="38" t="s">
        <v>189</v>
      </c>
      <c r="B4686" s="28">
        <v>7635</v>
      </c>
      <c r="C4686" s="28">
        <v>5671711</v>
      </c>
      <c r="D4686" s="46"/>
      <c r="E4686" s="35">
        <v>46158</v>
      </c>
      <c r="F4686" s="49">
        <v>0.70328703703703699</v>
      </c>
      <c r="G4686" s="37">
        <v>6.3</v>
      </c>
      <c r="H4686" s="36" t="s">
        <v>1362</v>
      </c>
      <c r="I4686" s="36" t="s">
        <v>1365</v>
      </c>
    </row>
    <row r="4687" spans="1:9" x14ac:dyDescent="0.25">
      <c r="A4687" s="38" t="s">
        <v>189</v>
      </c>
      <c r="B4687" s="28">
        <v>7635</v>
      </c>
      <c r="C4687" s="28">
        <v>5672513</v>
      </c>
      <c r="D4687" s="46"/>
      <c r="E4687" s="35">
        <v>46159</v>
      </c>
      <c r="F4687" s="49">
        <v>0.53116898148148151</v>
      </c>
      <c r="G4687" s="37">
        <v>6.3</v>
      </c>
      <c r="H4687" s="36" t="s">
        <v>1360</v>
      </c>
      <c r="I4687" s="36" t="s">
        <v>1365</v>
      </c>
    </row>
    <row r="4688" spans="1:9" x14ac:dyDescent="0.25">
      <c r="A4688" s="38" t="s">
        <v>189</v>
      </c>
      <c r="B4688" s="28">
        <v>7635</v>
      </c>
      <c r="C4688" s="28">
        <v>5672513</v>
      </c>
      <c r="D4688" s="46"/>
      <c r="E4688" s="35">
        <v>46159</v>
      </c>
      <c r="F4688" s="49">
        <v>0.53886574074074078</v>
      </c>
      <c r="G4688" s="37">
        <v>6.3</v>
      </c>
      <c r="H4688" s="36" t="s">
        <v>1362</v>
      </c>
      <c r="I4688" s="36" t="s">
        <v>1365</v>
      </c>
    </row>
    <row r="4689" spans="1:9" x14ac:dyDescent="0.25">
      <c r="A4689" s="38" t="s">
        <v>189</v>
      </c>
      <c r="B4689" s="28">
        <v>7635</v>
      </c>
      <c r="C4689" s="28">
        <v>5672398</v>
      </c>
      <c r="D4689" s="46" t="s">
        <v>37</v>
      </c>
      <c r="E4689" s="35">
        <v>46159</v>
      </c>
      <c r="F4689" s="49">
        <v>0.81001157407407409</v>
      </c>
      <c r="G4689" s="37">
        <v>6.3</v>
      </c>
      <c r="H4689" s="36" t="s">
        <v>1360</v>
      </c>
      <c r="I4689" s="36" t="s">
        <v>1365</v>
      </c>
    </row>
    <row r="4690" spans="1:9" x14ac:dyDescent="0.25">
      <c r="A4690" s="38" t="s">
        <v>189</v>
      </c>
      <c r="B4690" s="28">
        <v>7635</v>
      </c>
      <c r="C4690" s="28">
        <v>5672398</v>
      </c>
      <c r="D4690" s="46" t="s">
        <v>37</v>
      </c>
      <c r="E4690" s="35">
        <v>46159</v>
      </c>
      <c r="F4690" s="49">
        <v>0.81744212962962959</v>
      </c>
      <c r="G4690" s="37">
        <v>6.3</v>
      </c>
      <c r="H4690" s="36" t="s">
        <v>1362</v>
      </c>
      <c r="I4690" s="36" t="s">
        <v>1365</v>
      </c>
    </row>
    <row r="4691" spans="1:9" x14ac:dyDescent="0.25">
      <c r="A4691" s="38" t="s">
        <v>224</v>
      </c>
      <c r="B4691" s="28">
        <v>9004</v>
      </c>
      <c r="C4691" s="28">
        <v>5662484</v>
      </c>
      <c r="D4691" s="46" t="s">
        <v>37</v>
      </c>
      <c r="E4691" s="35">
        <v>46153</v>
      </c>
      <c r="F4691" s="49">
        <v>0.56079861111111107</v>
      </c>
      <c r="G4691" s="37">
        <v>6.3</v>
      </c>
      <c r="H4691" s="36" t="s">
        <v>1363</v>
      </c>
      <c r="I4691" s="36" t="s">
        <v>1361</v>
      </c>
    </row>
    <row r="4692" spans="1:9" x14ac:dyDescent="0.25">
      <c r="A4692" s="38" t="s">
        <v>224</v>
      </c>
      <c r="B4692" s="28">
        <v>9004</v>
      </c>
      <c r="C4692" s="28">
        <v>5662484</v>
      </c>
      <c r="D4692" s="46" t="s">
        <v>37</v>
      </c>
      <c r="E4692" s="35">
        <v>46153</v>
      </c>
      <c r="F4692" s="49">
        <v>0.56725694444444441</v>
      </c>
      <c r="G4692" s="37">
        <v>6.3</v>
      </c>
      <c r="H4692" s="36" t="s">
        <v>1364</v>
      </c>
      <c r="I4692" s="36" t="s">
        <v>1361</v>
      </c>
    </row>
    <row r="4693" spans="1:9" x14ac:dyDescent="0.25">
      <c r="A4693" s="38" t="s">
        <v>224</v>
      </c>
      <c r="B4693" s="28">
        <v>9004</v>
      </c>
      <c r="C4693" s="28">
        <v>5663347</v>
      </c>
      <c r="D4693" s="46"/>
      <c r="E4693" s="35">
        <v>46154</v>
      </c>
      <c r="F4693" s="49">
        <v>0.32050925925925927</v>
      </c>
      <c r="G4693" s="37">
        <v>6.3</v>
      </c>
      <c r="H4693" s="36" t="s">
        <v>1360</v>
      </c>
      <c r="I4693" s="36" t="s">
        <v>1361</v>
      </c>
    </row>
    <row r="4694" spans="1:9" x14ac:dyDescent="0.25">
      <c r="A4694" s="38" t="s">
        <v>224</v>
      </c>
      <c r="B4694" s="28">
        <v>9004</v>
      </c>
      <c r="C4694" s="28">
        <v>5663347</v>
      </c>
      <c r="D4694" s="46"/>
      <c r="E4694" s="35">
        <v>46154</v>
      </c>
      <c r="F4694" s="49">
        <v>0.33605324074074072</v>
      </c>
      <c r="G4694" s="37">
        <v>6.3</v>
      </c>
      <c r="H4694" s="36" t="s">
        <v>1362</v>
      </c>
      <c r="I4694" s="36" t="s">
        <v>1361</v>
      </c>
    </row>
    <row r="4695" spans="1:9" x14ac:dyDescent="0.25">
      <c r="A4695" s="38" t="s">
        <v>224</v>
      </c>
      <c r="B4695" s="28">
        <v>9004</v>
      </c>
      <c r="C4695" s="28">
        <v>5640265</v>
      </c>
      <c r="D4695" s="46" t="s">
        <v>37</v>
      </c>
      <c r="E4695" s="35">
        <v>46156</v>
      </c>
      <c r="F4695" s="49">
        <v>0.77003472222222225</v>
      </c>
      <c r="G4695" s="37">
        <v>6.3</v>
      </c>
      <c r="H4695" s="36" t="s">
        <v>1363</v>
      </c>
      <c r="I4695" s="36" t="s">
        <v>1361</v>
      </c>
    </row>
    <row r="4696" spans="1:9" x14ac:dyDescent="0.25">
      <c r="A4696" s="38" t="s">
        <v>224</v>
      </c>
      <c r="B4696" s="28">
        <v>9004</v>
      </c>
      <c r="C4696" s="28">
        <v>5640265</v>
      </c>
      <c r="D4696" s="46" t="s">
        <v>37</v>
      </c>
      <c r="E4696" s="35">
        <v>46156</v>
      </c>
      <c r="F4696" s="49">
        <v>0.78631944444444446</v>
      </c>
      <c r="G4696" s="37">
        <v>6.3</v>
      </c>
      <c r="H4696" s="36" t="s">
        <v>1364</v>
      </c>
      <c r="I4696" s="36" t="s">
        <v>1361</v>
      </c>
    </row>
    <row r="4697" spans="1:9" x14ac:dyDescent="0.25">
      <c r="A4697" s="38" t="s">
        <v>224</v>
      </c>
      <c r="B4697" s="28">
        <v>9004</v>
      </c>
      <c r="C4697" s="28">
        <v>5643676</v>
      </c>
      <c r="D4697" s="46"/>
      <c r="E4697" s="35">
        <v>46157</v>
      </c>
      <c r="F4697" s="49">
        <v>0.5388425925925926</v>
      </c>
      <c r="G4697" s="37">
        <v>6.3</v>
      </c>
      <c r="H4697" s="36" t="s">
        <v>1360</v>
      </c>
      <c r="I4697" s="36" t="s">
        <v>1361</v>
      </c>
    </row>
    <row r="4698" spans="1:9" x14ac:dyDescent="0.25">
      <c r="A4698" s="38" t="s">
        <v>224</v>
      </c>
      <c r="B4698" s="28">
        <v>9004</v>
      </c>
      <c r="C4698" s="28">
        <v>5669751</v>
      </c>
      <c r="D4698" s="46" t="s">
        <v>37</v>
      </c>
      <c r="E4698" s="35">
        <v>46157</v>
      </c>
      <c r="F4698" s="49">
        <v>0.62760416666666663</v>
      </c>
      <c r="G4698" s="37">
        <v>6.3</v>
      </c>
      <c r="H4698" s="36" t="s">
        <v>1363</v>
      </c>
      <c r="I4698" s="36" t="s">
        <v>1361</v>
      </c>
    </row>
    <row r="4699" spans="1:9" x14ac:dyDescent="0.25">
      <c r="A4699" s="38" t="s">
        <v>224</v>
      </c>
      <c r="B4699" s="28">
        <v>9004</v>
      </c>
      <c r="C4699" s="28">
        <v>5669751</v>
      </c>
      <c r="D4699" s="46" t="s">
        <v>37</v>
      </c>
      <c r="E4699" s="35">
        <v>46157</v>
      </c>
      <c r="F4699" s="49">
        <v>0.63555555555555554</v>
      </c>
      <c r="G4699" s="37">
        <v>6.3</v>
      </c>
      <c r="H4699" s="36" t="s">
        <v>1364</v>
      </c>
      <c r="I4699" s="36" t="s">
        <v>1361</v>
      </c>
    </row>
    <row r="4700" spans="1:9" x14ac:dyDescent="0.25">
      <c r="A4700" s="38" t="s">
        <v>224</v>
      </c>
      <c r="B4700" s="28">
        <v>9004</v>
      </c>
      <c r="C4700" s="28">
        <v>5671230</v>
      </c>
      <c r="D4700" s="46"/>
      <c r="E4700" s="35">
        <v>46158</v>
      </c>
      <c r="F4700" s="49">
        <v>0.29003472222222221</v>
      </c>
      <c r="G4700" s="37">
        <v>6.3</v>
      </c>
      <c r="H4700" s="36" t="s">
        <v>1360</v>
      </c>
      <c r="I4700" s="36" t="s">
        <v>1365</v>
      </c>
    </row>
    <row r="4701" spans="1:9" x14ac:dyDescent="0.25">
      <c r="A4701" s="38" t="s">
        <v>224</v>
      </c>
      <c r="B4701" s="28">
        <v>9004</v>
      </c>
      <c r="C4701" s="28">
        <v>5671230</v>
      </c>
      <c r="D4701" s="46"/>
      <c r="E4701" s="35">
        <v>46158</v>
      </c>
      <c r="F4701" s="49">
        <v>0.30126157407407406</v>
      </c>
      <c r="G4701" s="37">
        <v>6.3</v>
      </c>
      <c r="H4701" s="36" t="s">
        <v>1362</v>
      </c>
      <c r="I4701" s="36" t="s">
        <v>1365</v>
      </c>
    </row>
    <row r="4702" spans="1:9" x14ac:dyDescent="0.25">
      <c r="A4702" s="38" t="s">
        <v>224</v>
      </c>
      <c r="B4702" s="28">
        <v>9004</v>
      </c>
      <c r="C4702" s="28">
        <v>5671349</v>
      </c>
      <c r="D4702" s="46"/>
      <c r="E4702" s="35">
        <v>46158</v>
      </c>
      <c r="F4702" s="49">
        <v>0.44465277777777779</v>
      </c>
      <c r="G4702" s="37">
        <v>6.3</v>
      </c>
      <c r="H4702" s="36" t="s">
        <v>1360</v>
      </c>
      <c r="I4702" s="36" t="s">
        <v>1365</v>
      </c>
    </row>
    <row r="4703" spans="1:9" x14ac:dyDescent="0.25">
      <c r="A4703" s="38" t="s">
        <v>224</v>
      </c>
      <c r="B4703" s="28">
        <v>9004</v>
      </c>
      <c r="C4703" s="28">
        <v>5671349</v>
      </c>
      <c r="D4703" s="46"/>
      <c r="E4703" s="35">
        <v>46158</v>
      </c>
      <c r="F4703" s="49">
        <v>0.45725694444444442</v>
      </c>
      <c r="G4703" s="37">
        <v>6.3</v>
      </c>
      <c r="H4703" s="36" t="s">
        <v>1362</v>
      </c>
      <c r="I4703" s="36" t="s">
        <v>1365</v>
      </c>
    </row>
    <row r="4704" spans="1:9" x14ac:dyDescent="0.25">
      <c r="A4704" s="38" t="s">
        <v>89</v>
      </c>
      <c r="B4704" s="28">
        <v>9017</v>
      </c>
      <c r="C4704" s="28" t="s">
        <v>1250</v>
      </c>
      <c r="D4704" s="46"/>
      <c r="E4704" s="35">
        <v>46153</v>
      </c>
      <c r="F4704" s="49">
        <v>0.51364583333333336</v>
      </c>
      <c r="G4704" s="37">
        <v>6.3</v>
      </c>
      <c r="H4704" s="36" t="s">
        <v>1360</v>
      </c>
      <c r="I4704" s="36" t="s">
        <v>1361</v>
      </c>
    </row>
    <row r="4705" spans="1:9" x14ac:dyDescent="0.25">
      <c r="A4705" s="38" t="s">
        <v>89</v>
      </c>
      <c r="B4705" s="28">
        <v>9017</v>
      </c>
      <c r="C4705" s="28" t="s">
        <v>1250</v>
      </c>
      <c r="D4705" s="46"/>
      <c r="E4705" s="35">
        <v>46153</v>
      </c>
      <c r="F4705" s="49">
        <v>0.52381944444444439</v>
      </c>
      <c r="G4705" s="37">
        <v>6.3</v>
      </c>
      <c r="H4705" s="36" t="s">
        <v>1362</v>
      </c>
      <c r="I4705" s="36" t="s">
        <v>1361</v>
      </c>
    </row>
    <row r="4706" spans="1:9" x14ac:dyDescent="0.25">
      <c r="A4706" s="38" t="s">
        <v>89</v>
      </c>
      <c r="B4706" s="28">
        <v>9017</v>
      </c>
      <c r="C4706" s="28" t="s">
        <v>35</v>
      </c>
      <c r="D4706" s="46" t="s">
        <v>38</v>
      </c>
      <c r="E4706" s="35">
        <v>46153</v>
      </c>
      <c r="F4706" s="49">
        <v>0.53689814814814818</v>
      </c>
      <c r="G4706" s="37">
        <v>6.3</v>
      </c>
      <c r="H4706" s="36" t="s">
        <v>1363</v>
      </c>
      <c r="I4706" s="36" t="s">
        <v>1361</v>
      </c>
    </row>
    <row r="4707" spans="1:9" x14ac:dyDescent="0.25">
      <c r="A4707" s="38" t="s">
        <v>89</v>
      </c>
      <c r="B4707" s="28">
        <v>9017</v>
      </c>
      <c r="C4707" s="28" t="s">
        <v>35</v>
      </c>
      <c r="D4707" s="46" t="s">
        <v>38</v>
      </c>
      <c r="E4707" s="35">
        <v>46154</v>
      </c>
      <c r="F4707" s="49">
        <v>0.86962962962962964</v>
      </c>
      <c r="G4707" s="37">
        <v>6.3</v>
      </c>
      <c r="H4707" s="36" t="s">
        <v>1364</v>
      </c>
      <c r="I4707" s="36" t="s">
        <v>1361</v>
      </c>
    </row>
    <row r="4708" spans="1:9" x14ac:dyDescent="0.25">
      <c r="A4708" s="38" t="s">
        <v>89</v>
      </c>
      <c r="B4708" s="28">
        <v>9017</v>
      </c>
      <c r="C4708" s="28" t="s">
        <v>1251</v>
      </c>
      <c r="D4708" s="46"/>
      <c r="E4708" s="35">
        <v>46155</v>
      </c>
      <c r="F4708" s="49">
        <v>4.5601851851851853E-3</v>
      </c>
      <c r="G4708" s="37">
        <v>6.3</v>
      </c>
      <c r="H4708" s="36" t="s">
        <v>1360</v>
      </c>
      <c r="I4708" s="36" t="s">
        <v>1361</v>
      </c>
    </row>
    <row r="4709" spans="1:9" x14ac:dyDescent="0.25">
      <c r="A4709" s="38" t="s">
        <v>89</v>
      </c>
      <c r="B4709" s="28">
        <v>9017</v>
      </c>
      <c r="C4709" s="28" t="s">
        <v>1251</v>
      </c>
      <c r="D4709" s="46"/>
      <c r="E4709" s="35">
        <v>46155</v>
      </c>
      <c r="F4709" s="49">
        <v>1.1597222222222222E-2</v>
      </c>
      <c r="G4709" s="37">
        <v>6.3</v>
      </c>
      <c r="H4709" s="36" t="s">
        <v>1362</v>
      </c>
      <c r="I4709" s="36" t="s">
        <v>1361</v>
      </c>
    </row>
    <row r="4710" spans="1:9" x14ac:dyDescent="0.25">
      <c r="A4710" s="38" t="s">
        <v>89</v>
      </c>
      <c r="B4710" s="28">
        <v>9017</v>
      </c>
      <c r="C4710" s="28">
        <v>5666305</v>
      </c>
      <c r="D4710" s="46"/>
      <c r="E4710" s="35">
        <v>46155</v>
      </c>
      <c r="F4710" s="49">
        <v>0.42096064814814815</v>
      </c>
      <c r="G4710" s="37">
        <v>6.3</v>
      </c>
      <c r="H4710" s="36" t="s">
        <v>1360</v>
      </c>
      <c r="I4710" s="36" t="s">
        <v>1361</v>
      </c>
    </row>
    <row r="4711" spans="1:9" x14ac:dyDescent="0.25">
      <c r="A4711" s="38" t="s">
        <v>89</v>
      </c>
      <c r="B4711" s="28">
        <v>9017</v>
      </c>
      <c r="C4711" s="28">
        <v>5666305</v>
      </c>
      <c r="D4711" s="46"/>
      <c r="E4711" s="35">
        <v>46155</v>
      </c>
      <c r="F4711" s="49">
        <v>0.43988425925925928</v>
      </c>
      <c r="G4711" s="37">
        <v>6.3</v>
      </c>
      <c r="H4711" s="36" t="s">
        <v>1362</v>
      </c>
      <c r="I4711" s="36" t="s">
        <v>1361</v>
      </c>
    </row>
    <row r="4712" spans="1:9" x14ac:dyDescent="0.25">
      <c r="A4712" s="38" t="s">
        <v>89</v>
      </c>
      <c r="B4712" s="28">
        <v>9017</v>
      </c>
      <c r="C4712" s="28" t="s">
        <v>35</v>
      </c>
      <c r="D4712" s="46" t="s">
        <v>38</v>
      </c>
      <c r="E4712" s="35">
        <v>46155</v>
      </c>
      <c r="F4712" s="49">
        <v>0.45577546296296295</v>
      </c>
      <c r="G4712" s="37">
        <v>6.3</v>
      </c>
      <c r="H4712" s="36" t="s">
        <v>1363</v>
      </c>
      <c r="I4712" s="36" t="s">
        <v>1361</v>
      </c>
    </row>
    <row r="4713" spans="1:9" x14ac:dyDescent="0.25">
      <c r="A4713" s="38" t="s">
        <v>89</v>
      </c>
      <c r="B4713" s="28">
        <v>9017</v>
      </c>
      <c r="C4713" s="28" t="s">
        <v>1252</v>
      </c>
      <c r="D4713" s="46"/>
      <c r="E4713" s="35">
        <v>46155</v>
      </c>
      <c r="F4713" s="49">
        <v>0.67910879629629628</v>
      </c>
      <c r="G4713" s="37">
        <v>6.3</v>
      </c>
      <c r="H4713" s="36" t="s">
        <v>1360</v>
      </c>
      <c r="I4713" s="36" t="s">
        <v>1361</v>
      </c>
    </row>
    <row r="4714" spans="1:9" x14ac:dyDescent="0.25">
      <c r="A4714" s="38" t="s">
        <v>89</v>
      </c>
      <c r="B4714" s="28">
        <v>9017</v>
      </c>
      <c r="C4714" s="28" t="s">
        <v>1252</v>
      </c>
      <c r="D4714" s="46"/>
      <c r="E4714" s="35">
        <v>46155</v>
      </c>
      <c r="F4714" s="49">
        <v>0.68795138888888885</v>
      </c>
      <c r="G4714" s="37">
        <v>6.3</v>
      </c>
      <c r="H4714" s="36" t="s">
        <v>1362</v>
      </c>
      <c r="I4714" s="36" t="s">
        <v>1361</v>
      </c>
    </row>
    <row r="4715" spans="1:9" x14ac:dyDescent="0.25">
      <c r="A4715" s="38" t="s">
        <v>89</v>
      </c>
      <c r="B4715" s="28">
        <v>9017</v>
      </c>
      <c r="C4715" s="28">
        <v>5667846</v>
      </c>
      <c r="D4715" s="46"/>
      <c r="E4715" s="35">
        <v>46156</v>
      </c>
      <c r="F4715" s="49">
        <v>0.38619212962962962</v>
      </c>
      <c r="G4715" s="37">
        <v>6.3</v>
      </c>
      <c r="H4715" s="36" t="s">
        <v>1360</v>
      </c>
      <c r="I4715" s="36" t="s">
        <v>1361</v>
      </c>
    </row>
    <row r="4716" spans="1:9" x14ac:dyDescent="0.25">
      <c r="A4716" s="38" t="s">
        <v>89</v>
      </c>
      <c r="B4716" s="28">
        <v>9017</v>
      </c>
      <c r="C4716" s="28" t="s">
        <v>1253</v>
      </c>
      <c r="D4716" s="46"/>
      <c r="E4716" s="35">
        <v>46156</v>
      </c>
      <c r="F4716" s="49">
        <v>0.74375000000000002</v>
      </c>
      <c r="G4716" s="37">
        <v>6.3</v>
      </c>
      <c r="H4716" s="36" t="s">
        <v>1360</v>
      </c>
      <c r="I4716" s="36" t="s">
        <v>1361</v>
      </c>
    </row>
    <row r="4717" spans="1:9" x14ac:dyDescent="0.25">
      <c r="A4717" s="38" t="s">
        <v>89</v>
      </c>
      <c r="B4717" s="28">
        <v>9017</v>
      </c>
      <c r="C4717" s="28" t="s">
        <v>1253</v>
      </c>
      <c r="D4717" s="46"/>
      <c r="E4717" s="35">
        <v>46156</v>
      </c>
      <c r="F4717" s="49">
        <v>0.76067129629629626</v>
      </c>
      <c r="G4717" s="37">
        <v>6.3</v>
      </c>
      <c r="H4717" s="36" t="s">
        <v>1362</v>
      </c>
      <c r="I4717" s="36" t="s">
        <v>1361</v>
      </c>
    </row>
    <row r="4718" spans="1:9" x14ac:dyDescent="0.25">
      <c r="A4718" s="38" t="s">
        <v>89</v>
      </c>
      <c r="B4718" s="28">
        <v>9017</v>
      </c>
      <c r="C4718" s="28">
        <v>5669179</v>
      </c>
      <c r="D4718" s="46"/>
      <c r="E4718" s="35">
        <v>46156</v>
      </c>
      <c r="F4718" s="49">
        <v>0.86687499999999995</v>
      </c>
      <c r="G4718" s="37">
        <v>6.3</v>
      </c>
      <c r="H4718" s="36" t="s">
        <v>1360</v>
      </c>
      <c r="I4718" s="36" t="s">
        <v>1361</v>
      </c>
    </row>
    <row r="4719" spans="1:9" x14ac:dyDescent="0.25">
      <c r="A4719" s="38" t="s">
        <v>89</v>
      </c>
      <c r="B4719" s="28">
        <v>9017</v>
      </c>
      <c r="C4719" s="28">
        <v>5669179</v>
      </c>
      <c r="D4719" s="46"/>
      <c r="E4719" s="35">
        <v>46156</v>
      </c>
      <c r="F4719" s="49">
        <v>0.87358796296296293</v>
      </c>
      <c r="G4719" s="37">
        <v>6.3</v>
      </c>
      <c r="H4719" s="36" t="s">
        <v>1362</v>
      </c>
      <c r="I4719" s="36" t="s">
        <v>1361</v>
      </c>
    </row>
    <row r="4720" spans="1:9" x14ac:dyDescent="0.25">
      <c r="A4720" s="38" t="s">
        <v>89</v>
      </c>
      <c r="B4720" s="28">
        <v>9017</v>
      </c>
      <c r="C4720" s="28">
        <v>5669251</v>
      </c>
      <c r="D4720" s="46"/>
      <c r="E4720" s="35">
        <v>46156</v>
      </c>
      <c r="F4720" s="49">
        <v>0.91831018518518515</v>
      </c>
      <c r="G4720" s="37">
        <v>6.3</v>
      </c>
      <c r="H4720" s="36" t="s">
        <v>1363</v>
      </c>
      <c r="I4720" s="36" t="s">
        <v>1361</v>
      </c>
    </row>
    <row r="4721" spans="1:9" x14ac:dyDescent="0.25">
      <c r="A4721" s="38" t="s">
        <v>89</v>
      </c>
      <c r="B4721" s="28">
        <v>9017</v>
      </c>
      <c r="C4721" s="28">
        <v>5669251</v>
      </c>
      <c r="D4721" s="46"/>
      <c r="E4721" s="35">
        <v>46156</v>
      </c>
      <c r="F4721" s="49">
        <v>0.92354166666666671</v>
      </c>
      <c r="G4721" s="37">
        <v>6.3</v>
      </c>
      <c r="H4721" s="36" t="s">
        <v>1364</v>
      </c>
      <c r="I4721" s="36" t="s">
        <v>1361</v>
      </c>
    </row>
    <row r="4722" spans="1:9" x14ac:dyDescent="0.25">
      <c r="A4722" s="38" t="s">
        <v>89</v>
      </c>
      <c r="B4722" s="28">
        <v>9017</v>
      </c>
      <c r="C4722" s="28" t="s">
        <v>1254</v>
      </c>
      <c r="D4722" s="46"/>
      <c r="E4722" s="35">
        <v>46157</v>
      </c>
      <c r="F4722" s="49">
        <v>0.75101851851851853</v>
      </c>
      <c r="G4722" s="37">
        <v>6.3</v>
      </c>
      <c r="H4722" s="36" t="s">
        <v>1360</v>
      </c>
      <c r="I4722" s="36" t="s">
        <v>1361</v>
      </c>
    </row>
    <row r="4723" spans="1:9" x14ac:dyDescent="0.25">
      <c r="A4723" s="38" t="s">
        <v>89</v>
      </c>
      <c r="B4723" s="28">
        <v>9017</v>
      </c>
      <c r="C4723" s="28" t="s">
        <v>1254</v>
      </c>
      <c r="D4723" s="46"/>
      <c r="E4723" s="35">
        <v>46157</v>
      </c>
      <c r="F4723" s="49">
        <v>0.76577546296296295</v>
      </c>
      <c r="G4723" s="37">
        <v>6.3</v>
      </c>
      <c r="H4723" s="36" t="s">
        <v>1366</v>
      </c>
      <c r="I4723" s="36" t="s">
        <v>1361</v>
      </c>
    </row>
    <row r="4724" spans="1:9" x14ac:dyDescent="0.25">
      <c r="A4724" s="38" t="s">
        <v>89</v>
      </c>
      <c r="B4724" s="28">
        <v>9017</v>
      </c>
      <c r="C4724" s="28" t="s">
        <v>35</v>
      </c>
      <c r="D4724" s="46" t="s">
        <v>38</v>
      </c>
      <c r="E4724" s="35">
        <v>46157</v>
      </c>
      <c r="F4724" s="49">
        <v>0.81368055555555552</v>
      </c>
      <c r="G4724" s="37">
        <v>6.3</v>
      </c>
      <c r="H4724" s="36" t="s">
        <v>1367</v>
      </c>
      <c r="I4724" s="36" t="s">
        <v>1361</v>
      </c>
    </row>
    <row r="4725" spans="1:9" x14ac:dyDescent="0.25">
      <c r="A4725" s="38" t="s">
        <v>89</v>
      </c>
      <c r="B4725" s="28">
        <v>9017</v>
      </c>
      <c r="C4725" s="28">
        <v>5670034</v>
      </c>
      <c r="D4725" s="46"/>
      <c r="E4725" s="35">
        <v>46157</v>
      </c>
      <c r="F4725" s="49">
        <v>0.86958333333333337</v>
      </c>
      <c r="G4725" s="37">
        <v>6.3</v>
      </c>
      <c r="H4725" s="36" t="s">
        <v>1364</v>
      </c>
      <c r="I4725" s="36" t="s">
        <v>1361</v>
      </c>
    </row>
    <row r="4726" spans="1:9" x14ac:dyDescent="0.25">
      <c r="A4726" s="38" t="s">
        <v>89</v>
      </c>
      <c r="B4726" s="28">
        <v>9017</v>
      </c>
      <c r="C4726" s="28" t="s">
        <v>1255</v>
      </c>
      <c r="D4726" s="46"/>
      <c r="E4726" s="35">
        <v>46158</v>
      </c>
      <c r="F4726" s="49">
        <v>0.65361111111111114</v>
      </c>
      <c r="G4726" s="37">
        <v>6.3</v>
      </c>
      <c r="H4726" s="36" t="s">
        <v>1360</v>
      </c>
      <c r="I4726" s="36" t="s">
        <v>1365</v>
      </c>
    </row>
    <row r="4727" spans="1:9" x14ac:dyDescent="0.25">
      <c r="A4727" s="38" t="s">
        <v>89</v>
      </c>
      <c r="B4727" s="28">
        <v>9017</v>
      </c>
      <c r="C4727" s="28" t="s">
        <v>1255</v>
      </c>
      <c r="D4727" s="46"/>
      <c r="E4727" s="35">
        <v>46158</v>
      </c>
      <c r="F4727" s="49">
        <v>0.66109953703703705</v>
      </c>
      <c r="G4727" s="37">
        <v>6.3</v>
      </c>
      <c r="H4727" s="36" t="s">
        <v>1368</v>
      </c>
      <c r="I4727" s="36" t="s">
        <v>1365</v>
      </c>
    </row>
    <row r="4728" spans="1:9" x14ac:dyDescent="0.25">
      <c r="A4728" s="38" t="s">
        <v>89</v>
      </c>
      <c r="B4728" s="28">
        <v>9017</v>
      </c>
      <c r="C4728" s="28" t="s">
        <v>1256</v>
      </c>
      <c r="D4728" s="46"/>
      <c r="E4728" s="35">
        <v>46158</v>
      </c>
      <c r="F4728" s="49">
        <v>0.74159722222222224</v>
      </c>
      <c r="G4728" s="37">
        <v>6.3</v>
      </c>
      <c r="H4728" s="36" t="s">
        <v>1364</v>
      </c>
      <c r="I4728" s="36" t="s">
        <v>1365</v>
      </c>
    </row>
    <row r="4729" spans="1:9" x14ac:dyDescent="0.25">
      <c r="A4729" s="38" t="s">
        <v>140</v>
      </c>
      <c r="B4729" s="28">
        <v>9035</v>
      </c>
      <c r="C4729" s="28">
        <v>5663372</v>
      </c>
      <c r="D4729" s="46"/>
      <c r="E4729" s="35">
        <v>46154</v>
      </c>
      <c r="F4729" s="49">
        <v>0.17108796296296297</v>
      </c>
      <c r="G4729" s="37">
        <v>6.3</v>
      </c>
      <c r="H4729" s="36" t="s">
        <v>1364</v>
      </c>
      <c r="I4729" s="36" t="s">
        <v>1361</v>
      </c>
    </row>
    <row r="4730" spans="1:9" x14ac:dyDescent="0.25">
      <c r="A4730" s="38" t="s">
        <v>140</v>
      </c>
      <c r="B4730" s="28">
        <v>9035</v>
      </c>
      <c r="C4730" s="28">
        <v>5663914</v>
      </c>
      <c r="D4730" s="46"/>
      <c r="E4730" s="35">
        <v>46154</v>
      </c>
      <c r="F4730" s="49">
        <v>0.25329861111111113</v>
      </c>
      <c r="G4730" s="37">
        <v>6.3</v>
      </c>
      <c r="H4730" s="36" t="s">
        <v>1363</v>
      </c>
      <c r="I4730" s="36" t="s">
        <v>1361</v>
      </c>
    </row>
    <row r="4731" spans="1:9" x14ac:dyDescent="0.25">
      <c r="A4731" s="38" t="s">
        <v>140</v>
      </c>
      <c r="B4731" s="28">
        <v>9035</v>
      </c>
      <c r="C4731" s="28">
        <v>5663914</v>
      </c>
      <c r="D4731" s="46"/>
      <c r="E4731" s="35">
        <v>46154</v>
      </c>
      <c r="F4731" s="49">
        <v>0.25893518518518521</v>
      </c>
      <c r="G4731" s="37">
        <v>6.3</v>
      </c>
      <c r="H4731" s="36" t="s">
        <v>1364</v>
      </c>
      <c r="I4731" s="36" t="s">
        <v>1361</v>
      </c>
    </row>
    <row r="4732" spans="1:9" x14ac:dyDescent="0.25">
      <c r="A4732" s="38" t="s">
        <v>140</v>
      </c>
      <c r="B4732" s="28">
        <v>9035</v>
      </c>
      <c r="C4732" s="28" t="s">
        <v>1257</v>
      </c>
      <c r="D4732" s="46"/>
      <c r="E4732" s="35">
        <v>46155</v>
      </c>
      <c r="F4732" s="49">
        <v>0.72571759259259261</v>
      </c>
      <c r="G4732" s="37">
        <v>6.3</v>
      </c>
      <c r="H4732" s="36" t="s">
        <v>1360</v>
      </c>
      <c r="I4732" s="36" t="s">
        <v>1361</v>
      </c>
    </row>
    <row r="4733" spans="1:9" x14ac:dyDescent="0.25">
      <c r="A4733" s="38" t="s">
        <v>140</v>
      </c>
      <c r="B4733" s="28">
        <v>9035</v>
      </c>
      <c r="C4733" s="28" t="s">
        <v>35</v>
      </c>
      <c r="D4733" s="46" t="s">
        <v>38</v>
      </c>
      <c r="E4733" s="35">
        <v>46155</v>
      </c>
      <c r="F4733" s="49">
        <v>0.81040509259259264</v>
      </c>
      <c r="G4733" s="37">
        <v>6.3</v>
      </c>
      <c r="H4733" s="36" t="s">
        <v>1363</v>
      </c>
      <c r="I4733" s="36" t="s">
        <v>1361</v>
      </c>
    </row>
    <row r="4734" spans="1:9" x14ac:dyDescent="0.25">
      <c r="A4734" s="38" t="s">
        <v>140</v>
      </c>
      <c r="B4734" s="28">
        <v>9035</v>
      </c>
      <c r="C4734" s="28">
        <v>5667416</v>
      </c>
      <c r="D4734" s="46"/>
      <c r="E4734" s="35">
        <v>46156</v>
      </c>
      <c r="F4734" s="49">
        <v>0.33121527777777776</v>
      </c>
      <c r="G4734" s="37">
        <v>6.3</v>
      </c>
      <c r="H4734" s="36" t="s">
        <v>1367</v>
      </c>
      <c r="I4734" s="36" t="s">
        <v>1361</v>
      </c>
    </row>
    <row r="4735" spans="1:9" x14ac:dyDescent="0.25">
      <c r="A4735" s="38" t="s">
        <v>140</v>
      </c>
      <c r="B4735" s="28">
        <v>9035</v>
      </c>
      <c r="C4735" s="28">
        <v>5667416</v>
      </c>
      <c r="D4735" s="46"/>
      <c r="E4735" s="35">
        <v>46156</v>
      </c>
      <c r="F4735" s="49">
        <v>0.33449074074074076</v>
      </c>
      <c r="G4735" s="37">
        <v>6.3</v>
      </c>
      <c r="H4735" s="36" t="s">
        <v>1364</v>
      </c>
      <c r="I4735" s="36" t="s">
        <v>1361</v>
      </c>
    </row>
    <row r="4736" spans="1:9" x14ac:dyDescent="0.25">
      <c r="A4736" s="38" t="s">
        <v>140</v>
      </c>
      <c r="B4736" s="28">
        <v>9035</v>
      </c>
      <c r="C4736" s="28">
        <v>5668835</v>
      </c>
      <c r="D4736" s="46"/>
      <c r="E4736" s="35">
        <v>46156</v>
      </c>
      <c r="F4736" s="49">
        <v>0.74998842592592596</v>
      </c>
      <c r="G4736" s="37">
        <v>6.3</v>
      </c>
      <c r="H4736" s="36" t="s">
        <v>1360</v>
      </c>
      <c r="I4736" s="36" t="s">
        <v>1361</v>
      </c>
    </row>
    <row r="4737" spans="1:9" x14ac:dyDescent="0.25">
      <c r="A4737" s="38" t="s">
        <v>140</v>
      </c>
      <c r="B4737" s="28">
        <v>9035</v>
      </c>
      <c r="C4737" s="28">
        <v>5668835</v>
      </c>
      <c r="D4737" s="46"/>
      <c r="E4737" s="35">
        <v>46156</v>
      </c>
      <c r="F4737" s="49">
        <v>0.76846064814814818</v>
      </c>
      <c r="G4737" s="37">
        <v>6.3</v>
      </c>
      <c r="H4737" s="36" t="s">
        <v>1362</v>
      </c>
      <c r="I4737" s="36" t="s">
        <v>1361</v>
      </c>
    </row>
    <row r="4738" spans="1:9" x14ac:dyDescent="0.25">
      <c r="A4738" s="38" t="s">
        <v>140</v>
      </c>
      <c r="B4738" s="28">
        <v>9035</v>
      </c>
      <c r="C4738" s="28" t="s">
        <v>35</v>
      </c>
      <c r="D4738" s="46" t="s">
        <v>38</v>
      </c>
      <c r="E4738" s="35">
        <v>46156</v>
      </c>
      <c r="F4738" s="49">
        <v>0.82174768518518515</v>
      </c>
      <c r="G4738" s="37">
        <v>6.3</v>
      </c>
      <c r="H4738" s="36" t="s">
        <v>1363</v>
      </c>
      <c r="I4738" s="36" t="s">
        <v>1361</v>
      </c>
    </row>
    <row r="4739" spans="1:9" x14ac:dyDescent="0.25">
      <c r="A4739" s="38" t="s">
        <v>140</v>
      </c>
      <c r="B4739" s="28">
        <v>9035</v>
      </c>
      <c r="C4739" s="28">
        <v>5671203</v>
      </c>
      <c r="D4739" s="46"/>
      <c r="E4739" s="35">
        <v>46158</v>
      </c>
      <c r="F4739" s="49">
        <v>0.38039351851851849</v>
      </c>
      <c r="G4739" s="37">
        <v>6.3</v>
      </c>
      <c r="H4739" s="36" t="s">
        <v>1360</v>
      </c>
      <c r="I4739" s="36" t="s">
        <v>1365</v>
      </c>
    </row>
    <row r="4740" spans="1:9" x14ac:dyDescent="0.25">
      <c r="A4740" s="38" t="s">
        <v>140</v>
      </c>
      <c r="B4740" s="28">
        <v>9035</v>
      </c>
      <c r="C4740" s="28">
        <v>5671203</v>
      </c>
      <c r="D4740" s="46"/>
      <c r="E4740" s="35">
        <v>46158</v>
      </c>
      <c r="F4740" s="49">
        <v>0.39131944444444444</v>
      </c>
      <c r="G4740" s="37">
        <v>6.3</v>
      </c>
      <c r="H4740" s="36" t="s">
        <v>1362</v>
      </c>
      <c r="I4740" s="36" t="s">
        <v>1365</v>
      </c>
    </row>
    <row r="4741" spans="1:9" x14ac:dyDescent="0.25">
      <c r="A4741" s="38" t="s">
        <v>1258</v>
      </c>
      <c r="B4741" s="28">
        <v>9053</v>
      </c>
      <c r="C4741" s="28" t="s">
        <v>35</v>
      </c>
      <c r="D4741" s="46" t="s">
        <v>38</v>
      </c>
      <c r="E4741" s="35">
        <v>46153</v>
      </c>
      <c r="F4741" s="49">
        <v>0.42834490740740738</v>
      </c>
      <c r="G4741" s="37">
        <v>6.3</v>
      </c>
      <c r="H4741" s="36" t="s">
        <v>1360</v>
      </c>
      <c r="I4741" s="36" t="s">
        <v>1361</v>
      </c>
    </row>
    <row r="4742" spans="1:9" x14ac:dyDescent="0.25">
      <c r="A4742" s="38" t="s">
        <v>142</v>
      </c>
      <c r="B4742" s="28">
        <v>9063</v>
      </c>
      <c r="C4742" s="28" t="s">
        <v>1259</v>
      </c>
      <c r="D4742" s="46"/>
      <c r="E4742" s="35">
        <v>46155</v>
      </c>
      <c r="F4742" s="49">
        <v>0.61510416666666667</v>
      </c>
      <c r="G4742" s="37">
        <v>6.3</v>
      </c>
      <c r="H4742" s="36" t="s">
        <v>1360</v>
      </c>
      <c r="I4742" s="36" t="s">
        <v>1361</v>
      </c>
    </row>
    <row r="4743" spans="1:9" x14ac:dyDescent="0.25">
      <c r="A4743" s="38" t="s">
        <v>142</v>
      </c>
      <c r="B4743" s="28">
        <v>9063</v>
      </c>
      <c r="C4743" s="28" t="s">
        <v>1259</v>
      </c>
      <c r="D4743" s="46"/>
      <c r="E4743" s="35">
        <v>46155</v>
      </c>
      <c r="F4743" s="49">
        <v>0.62618055555555552</v>
      </c>
      <c r="G4743" s="37">
        <v>6.3</v>
      </c>
      <c r="H4743" s="36" t="s">
        <v>1368</v>
      </c>
      <c r="I4743" s="36" t="s">
        <v>1361</v>
      </c>
    </row>
    <row r="4744" spans="1:9" x14ac:dyDescent="0.25">
      <c r="A4744" s="38" t="s">
        <v>142</v>
      </c>
      <c r="B4744" s="28">
        <v>9063</v>
      </c>
      <c r="C4744" s="28" t="s">
        <v>35</v>
      </c>
      <c r="D4744" s="46" t="s">
        <v>38</v>
      </c>
      <c r="E4744" s="35">
        <v>46155</v>
      </c>
      <c r="F4744" s="49">
        <v>0.63982638888888888</v>
      </c>
      <c r="G4744" s="37">
        <v>6.3</v>
      </c>
      <c r="H4744" s="36" t="s">
        <v>1370</v>
      </c>
      <c r="I4744" s="36" t="s">
        <v>1361</v>
      </c>
    </row>
    <row r="4745" spans="1:9" x14ac:dyDescent="0.25">
      <c r="A4745" s="38" t="s">
        <v>142</v>
      </c>
      <c r="B4745" s="28">
        <v>9063</v>
      </c>
      <c r="C4745" s="28">
        <v>5663576</v>
      </c>
      <c r="D4745" s="46"/>
      <c r="E4745" s="35">
        <v>46157</v>
      </c>
      <c r="F4745" s="49">
        <v>0.32719907407407406</v>
      </c>
      <c r="G4745" s="37">
        <v>6.3</v>
      </c>
      <c r="H4745" s="36" t="s">
        <v>1360</v>
      </c>
      <c r="I4745" s="36" t="s">
        <v>1361</v>
      </c>
    </row>
    <row r="4746" spans="1:9" x14ac:dyDescent="0.25">
      <c r="A4746" s="38" t="s">
        <v>142</v>
      </c>
      <c r="B4746" s="28">
        <v>9063</v>
      </c>
      <c r="C4746" s="28">
        <v>5663576</v>
      </c>
      <c r="D4746" s="46"/>
      <c r="E4746" s="35">
        <v>46157</v>
      </c>
      <c r="F4746" s="49">
        <v>0.34135416666666668</v>
      </c>
      <c r="G4746" s="37">
        <v>6.3</v>
      </c>
      <c r="H4746" s="36" t="s">
        <v>1362</v>
      </c>
      <c r="I4746" s="36" t="s">
        <v>1361</v>
      </c>
    </row>
    <row r="4747" spans="1:9" x14ac:dyDescent="0.25">
      <c r="A4747" s="38" t="s">
        <v>142</v>
      </c>
      <c r="B4747" s="28">
        <v>9063</v>
      </c>
      <c r="C4747" s="28" t="s">
        <v>35</v>
      </c>
      <c r="D4747" s="46" t="s">
        <v>38</v>
      </c>
      <c r="E4747" s="35">
        <v>46157</v>
      </c>
      <c r="F4747" s="49">
        <v>0.39859953703703704</v>
      </c>
      <c r="G4747" s="37">
        <v>6.3</v>
      </c>
      <c r="H4747" s="36" t="s">
        <v>1363</v>
      </c>
      <c r="I4747" s="36" t="s">
        <v>1361</v>
      </c>
    </row>
    <row r="4748" spans="1:9" x14ac:dyDescent="0.25">
      <c r="A4748" s="38" t="s">
        <v>142</v>
      </c>
      <c r="B4748" s="28">
        <v>9063</v>
      </c>
      <c r="C4748" s="28">
        <v>5669950</v>
      </c>
      <c r="D4748" s="46" t="s">
        <v>36</v>
      </c>
      <c r="E4748" s="35">
        <v>46157</v>
      </c>
      <c r="F4748" s="49">
        <v>0.54947916666666663</v>
      </c>
      <c r="G4748" s="37">
        <v>6.3</v>
      </c>
      <c r="H4748" s="36" t="s">
        <v>1360</v>
      </c>
      <c r="I4748" s="36" t="s">
        <v>1361</v>
      </c>
    </row>
    <row r="4749" spans="1:9" x14ac:dyDescent="0.25">
      <c r="A4749" s="38" t="s">
        <v>142</v>
      </c>
      <c r="B4749" s="28">
        <v>9063</v>
      </c>
      <c r="C4749" s="28" t="s">
        <v>1260</v>
      </c>
      <c r="D4749" s="46"/>
      <c r="E4749" s="35">
        <v>46159</v>
      </c>
      <c r="F4749" s="49">
        <v>0.40260416666666665</v>
      </c>
      <c r="G4749" s="37">
        <v>6.3</v>
      </c>
      <c r="H4749" s="36" t="s">
        <v>1360</v>
      </c>
      <c r="I4749" s="36" t="s">
        <v>1365</v>
      </c>
    </row>
    <row r="4750" spans="1:9" x14ac:dyDescent="0.25">
      <c r="A4750" s="38" t="s">
        <v>142</v>
      </c>
      <c r="B4750" s="28">
        <v>9063</v>
      </c>
      <c r="C4750" s="28" t="s">
        <v>1260</v>
      </c>
      <c r="D4750" s="46"/>
      <c r="E4750" s="35">
        <v>46159</v>
      </c>
      <c r="F4750" s="49">
        <v>0.4097337962962963</v>
      </c>
      <c r="G4750" s="37">
        <v>6.3</v>
      </c>
      <c r="H4750" s="36" t="s">
        <v>1362</v>
      </c>
      <c r="I4750" s="36" t="s">
        <v>1365</v>
      </c>
    </row>
    <row r="4751" spans="1:9" x14ac:dyDescent="0.25">
      <c r="A4751" s="38" t="s">
        <v>142</v>
      </c>
      <c r="B4751" s="28">
        <v>9063</v>
      </c>
      <c r="C4751" s="28">
        <v>5672362</v>
      </c>
      <c r="D4751" s="46"/>
      <c r="E4751" s="35">
        <v>46159</v>
      </c>
      <c r="F4751" s="49">
        <v>0.48880787037037038</v>
      </c>
      <c r="G4751" s="37">
        <v>6.3</v>
      </c>
      <c r="H4751" s="36" t="s">
        <v>1363</v>
      </c>
      <c r="I4751" s="36" t="s">
        <v>1365</v>
      </c>
    </row>
    <row r="4752" spans="1:9" x14ac:dyDescent="0.25">
      <c r="A4752" s="38" t="s">
        <v>142</v>
      </c>
      <c r="B4752" s="28">
        <v>9063</v>
      </c>
      <c r="C4752" s="28">
        <v>5672362</v>
      </c>
      <c r="D4752" s="46"/>
      <c r="E4752" s="35">
        <v>46159</v>
      </c>
      <c r="F4752" s="49">
        <v>0.49408564814814815</v>
      </c>
      <c r="G4752" s="37">
        <v>6.3</v>
      </c>
      <c r="H4752" s="36" t="s">
        <v>1364</v>
      </c>
      <c r="I4752" s="36" t="s">
        <v>1365</v>
      </c>
    </row>
    <row r="4753" spans="1:9" x14ac:dyDescent="0.25">
      <c r="A4753" s="38" t="s">
        <v>142</v>
      </c>
      <c r="B4753" s="28">
        <v>9063</v>
      </c>
      <c r="C4753" s="28" t="s">
        <v>1261</v>
      </c>
      <c r="D4753" s="46"/>
      <c r="E4753" s="35">
        <v>46159</v>
      </c>
      <c r="F4753" s="49">
        <v>0.56270833333333337</v>
      </c>
      <c r="G4753" s="37">
        <v>6.3</v>
      </c>
      <c r="H4753" s="36" t="s">
        <v>1360</v>
      </c>
      <c r="I4753" s="36" t="s">
        <v>1365</v>
      </c>
    </row>
    <row r="4754" spans="1:9" x14ac:dyDescent="0.25">
      <c r="A4754" s="38" t="s">
        <v>142</v>
      </c>
      <c r="B4754" s="28">
        <v>9063</v>
      </c>
      <c r="C4754" s="28" t="s">
        <v>1261</v>
      </c>
      <c r="D4754" s="46"/>
      <c r="E4754" s="35">
        <v>46159</v>
      </c>
      <c r="F4754" s="49">
        <v>0.57003472222222218</v>
      </c>
      <c r="G4754" s="37">
        <v>6.3</v>
      </c>
      <c r="H4754" s="36" t="s">
        <v>1362</v>
      </c>
      <c r="I4754" s="36" t="s">
        <v>1365</v>
      </c>
    </row>
    <row r="4755" spans="1:9" x14ac:dyDescent="0.25">
      <c r="A4755" s="38" t="s">
        <v>1262</v>
      </c>
      <c r="B4755" s="28">
        <v>9084</v>
      </c>
      <c r="C4755" s="28">
        <v>5661189</v>
      </c>
      <c r="D4755" s="46"/>
      <c r="E4755" s="35">
        <v>46154</v>
      </c>
      <c r="F4755" s="49">
        <v>0.39663194444444444</v>
      </c>
      <c r="G4755" s="37">
        <v>6.3</v>
      </c>
      <c r="H4755" s="36" t="s">
        <v>1360</v>
      </c>
      <c r="I4755" s="36" t="s">
        <v>1361</v>
      </c>
    </row>
    <row r="4756" spans="1:9" x14ac:dyDescent="0.25">
      <c r="A4756" s="38" t="s">
        <v>1262</v>
      </c>
      <c r="B4756" s="28">
        <v>9084</v>
      </c>
      <c r="C4756" s="28">
        <v>5661189</v>
      </c>
      <c r="D4756" s="46"/>
      <c r="E4756" s="35">
        <v>46154</v>
      </c>
      <c r="F4756" s="49">
        <v>0.40953703703703703</v>
      </c>
      <c r="G4756" s="37">
        <v>6.3</v>
      </c>
      <c r="H4756" s="36" t="s">
        <v>1362</v>
      </c>
      <c r="I4756" s="36" t="s">
        <v>1361</v>
      </c>
    </row>
    <row r="4757" spans="1:9" x14ac:dyDescent="0.25">
      <c r="A4757" s="38" t="s">
        <v>1262</v>
      </c>
      <c r="B4757" s="28">
        <v>9084</v>
      </c>
      <c r="C4757" s="28">
        <v>5664354</v>
      </c>
      <c r="D4757" s="46"/>
      <c r="E4757" s="35">
        <v>46154</v>
      </c>
      <c r="F4757" s="49">
        <v>0.51723379629629629</v>
      </c>
      <c r="G4757" s="37">
        <v>6.3</v>
      </c>
      <c r="H4757" s="36" t="s">
        <v>1364</v>
      </c>
      <c r="I4757" s="36" t="s">
        <v>1361</v>
      </c>
    </row>
    <row r="4758" spans="1:9" x14ac:dyDescent="0.25">
      <c r="A4758" s="38" t="s">
        <v>219</v>
      </c>
      <c r="B4758" s="28">
        <v>9099</v>
      </c>
      <c r="C4758" s="28">
        <v>10675288</v>
      </c>
      <c r="D4758" s="46"/>
      <c r="E4758" s="35">
        <v>46158</v>
      </c>
      <c r="F4758" s="49">
        <v>0.87768518518518523</v>
      </c>
      <c r="G4758" s="37">
        <v>6.3</v>
      </c>
      <c r="H4758" s="36" t="s">
        <v>1360</v>
      </c>
      <c r="I4758" s="36" t="s">
        <v>1365</v>
      </c>
    </row>
    <row r="4759" spans="1:9" x14ac:dyDescent="0.25">
      <c r="A4759" s="38" t="s">
        <v>219</v>
      </c>
      <c r="B4759" s="28">
        <v>9099</v>
      </c>
      <c r="C4759" s="28">
        <v>10675288</v>
      </c>
      <c r="D4759" s="46"/>
      <c r="E4759" s="35">
        <v>46158</v>
      </c>
      <c r="F4759" s="49">
        <v>0.88459490740740743</v>
      </c>
      <c r="G4759" s="37">
        <v>6.3</v>
      </c>
      <c r="H4759" s="36" t="s">
        <v>1362</v>
      </c>
      <c r="I4759" s="36" t="s">
        <v>1365</v>
      </c>
    </row>
    <row r="4760" spans="1:9" x14ac:dyDescent="0.25">
      <c r="A4760" s="38" t="s">
        <v>219</v>
      </c>
      <c r="B4760" s="28">
        <v>9099</v>
      </c>
      <c r="C4760" s="28" t="s">
        <v>1263</v>
      </c>
      <c r="D4760" s="46"/>
      <c r="E4760" s="35">
        <v>46158</v>
      </c>
      <c r="F4760" s="49">
        <v>0.95736111111111111</v>
      </c>
      <c r="G4760" s="37">
        <v>6.3</v>
      </c>
      <c r="H4760" s="36" t="s">
        <v>1369</v>
      </c>
      <c r="I4760" s="36" t="s">
        <v>1365</v>
      </c>
    </row>
    <row r="4761" spans="1:9" x14ac:dyDescent="0.25">
      <c r="A4761" s="38" t="s">
        <v>219</v>
      </c>
      <c r="B4761" s="28">
        <v>9099</v>
      </c>
      <c r="C4761" s="28" t="s">
        <v>1263</v>
      </c>
      <c r="D4761" s="46"/>
      <c r="E4761" s="35">
        <v>46158</v>
      </c>
      <c r="F4761" s="49">
        <v>0.96251157407407406</v>
      </c>
      <c r="G4761" s="37">
        <v>6.3</v>
      </c>
      <c r="H4761" s="36" t="s">
        <v>1364</v>
      </c>
      <c r="I4761" s="36" t="s">
        <v>1365</v>
      </c>
    </row>
    <row r="4762" spans="1:9" x14ac:dyDescent="0.25">
      <c r="A4762" s="38" t="s">
        <v>479</v>
      </c>
      <c r="B4762" s="28">
        <v>9102</v>
      </c>
      <c r="C4762" s="28">
        <v>5664020</v>
      </c>
      <c r="D4762" s="46"/>
      <c r="E4762" s="35">
        <v>46153</v>
      </c>
      <c r="F4762" s="49">
        <v>0.97076388888888887</v>
      </c>
      <c r="G4762" s="37">
        <v>6.3</v>
      </c>
      <c r="H4762" s="36" t="s">
        <v>1360</v>
      </c>
      <c r="I4762" s="36" t="s">
        <v>1361</v>
      </c>
    </row>
    <row r="4763" spans="1:9" x14ac:dyDescent="0.25">
      <c r="A4763" s="38" t="s">
        <v>479</v>
      </c>
      <c r="B4763" s="28">
        <v>9102</v>
      </c>
      <c r="C4763" s="28">
        <v>5664020</v>
      </c>
      <c r="D4763" s="46"/>
      <c r="E4763" s="35">
        <v>46153</v>
      </c>
      <c r="F4763" s="49">
        <v>0.9787731481481482</v>
      </c>
      <c r="G4763" s="37">
        <v>6.3</v>
      </c>
      <c r="H4763" s="36" t="s">
        <v>1362</v>
      </c>
      <c r="I4763" s="36" t="s">
        <v>1361</v>
      </c>
    </row>
    <row r="4764" spans="1:9" x14ac:dyDescent="0.25">
      <c r="A4764" s="38" t="s">
        <v>479</v>
      </c>
      <c r="B4764" s="28">
        <v>9102</v>
      </c>
      <c r="C4764" s="28">
        <v>5665137</v>
      </c>
      <c r="D4764" s="46"/>
      <c r="E4764" s="35">
        <v>46154</v>
      </c>
      <c r="F4764" s="49">
        <v>0.78442129629629631</v>
      </c>
      <c r="G4764" s="37">
        <v>6.3</v>
      </c>
      <c r="H4764" s="36" t="s">
        <v>1363</v>
      </c>
      <c r="I4764" s="36" t="s">
        <v>1361</v>
      </c>
    </row>
    <row r="4765" spans="1:9" x14ac:dyDescent="0.25">
      <c r="A4765" s="38" t="s">
        <v>479</v>
      </c>
      <c r="B4765" s="28">
        <v>9102</v>
      </c>
      <c r="C4765" s="28">
        <v>5662653</v>
      </c>
      <c r="D4765" s="46"/>
      <c r="E4765" s="35">
        <v>46155</v>
      </c>
      <c r="F4765" s="49">
        <v>0.37541666666666668</v>
      </c>
      <c r="G4765" s="37">
        <v>6.3</v>
      </c>
      <c r="H4765" s="36" t="s">
        <v>1363</v>
      </c>
      <c r="I4765" s="36" t="s">
        <v>1361</v>
      </c>
    </row>
    <row r="4766" spans="1:9" x14ac:dyDescent="0.25">
      <c r="A4766" s="38" t="s">
        <v>479</v>
      </c>
      <c r="B4766" s="28">
        <v>9102</v>
      </c>
      <c r="C4766" s="28">
        <v>5666761</v>
      </c>
      <c r="D4766" s="46" t="s">
        <v>37</v>
      </c>
      <c r="E4766" s="35">
        <v>46155</v>
      </c>
      <c r="F4766" s="49">
        <v>0.76065972222222222</v>
      </c>
      <c r="G4766" s="37">
        <v>6.3</v>
      </c>
      <c r="H4766" s="36" t="s">
        <v>1363</v>
      </c>
      <c r="I4766" s="36" t="s">
        <v>1361</v>
      </c>
    </row>
    <row r="4767" spans="1:9" x14ac:dyDescent="0.25">
      <c r="A4767" s="38" t="s">
        <v>479</v>
      </c>
      <c r="B4767" s="28">
        <v>9102</v>
      </c>
      <c r="C4767" s="28">
        <v>5666761</v>
      </c>
      <c r="D4767" s="46" t="s">
        <v>37</v>
      </c>
      <c r="E4767" s="35">
        <v>46155</v>
      </c>
      <c r="F4767" s="49">
        <v>0.78168981481481481</v>
      </c>
      <c r="G4767" s="37">
        <v>6.3</v>
      </c>
      <c r="H4767" s="36" t="s">
        <v>1364</v>
      </c>
      <c r="I4767" s="36" t="s">
        <v>1361</v>
      </c>
    </row>
    <row r="4768" spans="1:9" x14ac:dyDescent="0.25">
      <c r="A4768" s="38" t="s">
        <v>479</v>
      </c>
      <c r="B4768" s="28">
        <v>9102</v>
      </c>
      <c r="C4768" s="28">
        <v>5667261</v>
      </c>
      <c r="D4768" s="46"/>
      <c r="E4768" s="35">
        <v>46155</v>
      </c>
      <c r="F4768" s="49">
        <v>0.82652777777777775</v>
      </c>
      <c r="G4768" s="37">
        <v>6.3</v>
      </c>
      <c r="H4768" s="36" t="s">
        <v>1360</v>
      </c>
      <c r="I4768" s="36" t="s">
        <v>1361</v>
      </c>
    </row>
    <row r="4769" spans="1:9" x14ac:dyDescent="0.25">
      <c r="A4769" s="38" t="s">
        <v>479</v>
      </c>
      <c r="B4769" s="28">
        <v>9102</v>
      </c>
      <c r="C4769" s="28">
        <v>5667261</v>
      </c>
      <c r="D4769" s="46"/>
      <c r="E4769" s="35">
        <v>46155</v>
      </c>
      <c r="F4769" s="49">
        <v>0.83648148148148149</v>
      </c>
      <c r="G4769" s="37">
        <v>6.3</v>
      </c>
      <c r="H4769" s="36" t="s">
        <v>1368</v>
      </c>
      <c r="I4769" s="36" t="s">
        <v>1361</v>
      </c>
    </row>
    <row r="4770" spans="1:9" x14ac:dyDescent="0.25">
      <c r="A4770" s="38" t="s">
        <v>479</v>
      </c>
      <c r="B4770" s="28">
        <v>9102</v>
      </c>
      <c r="C4770" s="28">
        <v>5669776</v>
      </c>
      <c r="D4770" s="46"/>
      <c r="E4770" s="35">
        <v>46157</v>
      </c>
      <c r="F4770" s="49">
        <v>0.45717592592592593</v>
      </c>
      <c r="G4770" s="37">
        <v>6.3</v>
      </c>
      <c r="H4770" s="36" t="s">
        <v>1360</v>
      </c>
      <c r="I4770" s="36" t="s">
        <v>1361</v>
      </c>
    </row>
    <row r="4771" spans="1:9" x14ac:dyDescent="0.25">
      <c r="A4771" s="38" t="s">
        <v>479</v>
      </c>
      <c r="B4771" s="28">
        <v>9102</v>
      </c>
      <c r="C4771" s="28">
        <v>5670635</v>
      </c>
      <c r="D4771" s="46"/>
      <c r="E4771" s="35">
        <v>46157</v>
      </c>
      <c r="F4771" s="49">
        <v>0.80526620370370372</v>
      </c>
      <c r="G4771" s="37">
        <v>6.3</v>
      </c>
      <c r="H4771" s="36" t="s">
        <v>1360</v>
      </c>
      <c r="I4771" s="36" t="s">
        <v>1361</v>
      </c>
    </row>
    <row r="4772" spans="1:9" x14ac:dyDescent="0.25">
      <c r="A4772" s="38" t="s">
        <v>479</v>
      </c>
      <c r="B4772" s="28">
        <v>9102</v>
      </c>
      <c r="C4772" s="28">
        <v>5670635</v>
      </c>
      <c r="D4772" s="46"/>
      <c r="E4772" s="35">
        <v>46157</v>
      </c>
      <c r="F4772" s="49">
        <v>0.82711805555555551</v>
      </c>
      <c r="G4772" s="37">
        <v>6.3</v>
      </c>
      <c r="H4772" s="36" t="s">
        <v>1366</v>
      </c>
      <c r="I4772" s="36" t="s">
        <v>1361</v>
      </c>
    </row>
    <row r="4773" spans="1:9" x14ac:dyDescent="0.25">
      <c r="A4773" s="38" t="s">
        <v>479</v>
      </c>
      <c r="B4773" s="28">
        <v>9102</v>
      </c>
      <c r="C4773" s="28">
        <v>5671430</v>
      </c>
      <c r="D4773" s="46"/>
      <c r="E4773" s="35">
        <v>46158</v>
      </c>
      <c r="F4773" s="49">
        <v>0.52061342592592597</v>
      </c>
      <c r="G4773" s="37">
        <v>6.3</v>
      </c>
      <c r="H4773" s="36" t="s">
        <v>1360</v>
      </c>
      <c r="I4773" s="36" t="s">
        <v>1365</v>
      </c>
    </row>
    <row r="4774" spans="1:9" x14ac:dyDescent="0.25">
      <c r="A4774" s="38" t="s">
        <v>479</v>
      </c>
      <c r="B4774" s="28">
        <v>9102</v>
      </c>
      <c r="C4774" s="28">
        <v>5671430</v>
      </c>
      <c r="D4774" s="46"/>
      <c r="E4774" s="35">
        <v>46158</v>
      </c>
      <c r="F4774" s="49">
        <v>0.53303240740740743</v>
      </c>
      <c r="G4774" s="37">
        <v>6.3</v>
      </c>
      <c r="H4774" s="36" t="s">
        <v>1362</v>
      </c>
      <c r="I4774" s="36" t="s">
        <v>1365</v>
      </c>
    </row>
    <row r="4775" spans="1:9" x14ac:dyDescent="0.25">
      <c r="A4775" s="38" t="s">
        <v>479</v>
      </c>
      <c r="B4775" s="28">
        <v>9102</v>
      </c>
      <c r="C4775" s="28">
        <v>5671616</v>
      </c>
      <c r="D4775" s="46" t="s">
        <v>37</v>
      </c>
      <c r="E4775" s="35">
        <v>46158</v>
      </c>
      <c r="F4775" s="49">
        <v>0.66996527777777781</v>
      </c>
      <c r="G4775" s="37">
        <v>6.3</v>
      </c>
      <c r="H4775" s="36" t="s">
        <v>1367</v>
      </c>
      <c r="I4775" s="36" t="s">
        <v>1365</v>
      </c>
    </row>
    <row r="4776" spans="1:9" x14ac:dyDescent="0.25">
      <c r="A4776" s="38" t="s">
        <v>479</v>
      </c>
      <c r="B4776" s="28">
        <v>9102</v>
      </c>
      <c r="C4776" s="28">
        <v>5671616</v>
      </c>
      <c r="D4776" s="46" t="s">
        <v>37</v>
      </c>
      <c r="E4776" s="35">
        <v>46158</v>
      </c>
      <c r="F4776" s="49">
        <v>0.68439814814814814</v>
      </c>
      <c r="G4776" s="37">
        <v>6.3</v>
      </c>
      <c r="H4776" s="36" t="s">
        <v>1364</v>
      </c>
      <c r="I4776" s="36" t="s">
        <v>1365</v>
      </c>
    </row>
    <row r="4777" spans="1:9" x14ac:dyDescent="0.25">
      <c r="A4777" s="38" t="s">
        <v>479</v>
      </c>
      <c r="B4777" s="28">
        <v>9102</v>
      </c>
      <c r="C4777" s="28">
        <v>5671419</v>
      </c>
      <c r="D4777" s="46"/>
      <c r="E4777" s="35">
        <v>46158</v>
      </c>
      <c r="F4777" s="49">
        <v>0.89106481481481481</v>
      </c>
      <c r="G4777" s="37">
        <v>6.3</v>
      </c>
      <c r="H4777" s="36" t="s">
        <v>1363</v>
      </c>
      <c r="I4777" s="36" t="s">
        <v>1365</v>
      </c>
    </row>
    <row r="4778" spans="1:9" x14ac:dyDescent="0.25">
      <c r="A4778" s="38" t="s">
        <v>479</v>
      </c>
      <c r="B4778" s="28">
        <v>9102</v>
      </c>
      <c r="C4778" s="28">
        <v>5671419</v>
      </c>
      <c r="D4778" s="46"/>
      <c r="E4778" s="35">
        <v>46158</v>
      </c>
      <c r="F4778" s="49">
        <v>0.89752314814814815</v>
      </c>
      <c r="G4778" s="37">
        <v>6.3</v>
      </c>
      <c r="H4778" s="36" t="s">
        <v>1364</v>
      </c>
      <c r="I4778" s="36" t="s">
        <v>1365</v>
      </c>
    </row>
    <row r="4779" spans="1:9" x14ac:dyDescent="0.25">
      <c r="A4779" s="38" t="s">
        <v>479</v>
      </c>
      <c r="B4779" s="28">
        <v>9102</v>
      </c>
      <c r="C4779" s="28" t="s">
        <v>1264</v>
      </c>
      <c r="D4779" s="46"/>
      <c r="E4779" s="35">
        <v>46159</v>
      </c>
      <c r="F4779" s="49">
        <v>0.99042824074074076</v>
      </c>
      <c r="G4779" s="37">
        <v>6.3</v>
      </c>
      <c r="H4779" s="36" t="s">
        <v>1360</v>
      </c>
      <c r="I4779" s="36" t="s">
        <v>1365</v>
      </c>
    </row>
    <row r="4780" spans="1:9" x14ac:dyDescent="0.25">
      <c r="A4780" s="38" t="s">
        <v>479</v>
      </c>
      <c r="B4780" s="28">
        <v>9102</v>
      </c>
      <c r="C4780" s="28" t="s">
        <v>1264</v>
      </c>
      <c r="D4780" s="46"/>
      <c r="E4780" s="35">
        <v>46159</v>
      </c>
      <c r="F4780" s="49">
        <v>0.9974884259259259</v>
      </c>
      <c r="G4780" s="37">
        <v>6.3</v>
      </c>
      <c r="H4780" s="36" t="s">
        <v>1362</v>
      </c>
      <c r="I4780" s="36" t="s">
        <v>1365</v>
      </c>
    </row>
    <row r="4781" spans="1:9" x14ac:dyDescent="0.25">
      <c r="A4781" s="38" t="s">
        <v>262</v>
      </c>
      <c r="B4781" s="28">
        <v>9110</v>
      </c>
      <c r="C4781" s="28" t="s">
        <v>1265</v>
      </c>
      <c r="D4781" s="46"/>
      <c r="E4781" s="35">
        <v>46153</v>
      </c>
      <c r="F4781" s="49">
        <v>0.80783564814814812</v>
      </c>
      <c r="G4781" s="37">
        <v>6.3</v>
      </c>
      <c r="H4781" s="36" t="s">
        <v>1369</v>
      </c>
      <c r="I4781" s="36" t="s">
        <v>1361</v>
      </c>
    </row>
    <row r="4782" spans="1:9" x14ac:dyDescent="0.25">
      <c r="A4782" s="38" t="s">
        <v>262</v>
      </c>
      <c r="B4782" s="28">
        <v>9110</v>
      </c>
      <c r="C4782" s="28" t="s">
        <v>1265</v>
      </c>
      <c r="D4782" s="46"/>
      <c r="E4782" s="35">
        <v>46153</v>
      </c>
      <c r="F4782" s="49">
        <v>0.81847222222222227</v>
      </c>
      <c r="G4782" s="37">
        <v>6.3</v>
      </c>
      <c r="H4782" s="36" t="s">
        <v>1364</v>
      </c>
      <c r="I4782" s="36" t="s">
        <v>1361</v>
      </c>
    </row>
    <row r="4783" spans="1:9" x14ac:dyDescent="0.25">
      <c r="A4783" s="38" t="s">
        <v>262</v>
      </c>
      <c r="B4783" s="28">
        <v>9110</v>
      </c>
      <c r="C4783" s="28">
        <v>5663504</v>
      </c>
      <c r="D4783" s="46"/>
      <c r="E4783" s="35">
        <v>46153</v>
      </c>
      <c r="F4783" s="49">
        <v>0.85601851851851851</v>
      </c>
      <c r="G4783" s="37">
        <v>6.3</v>
      </c>
      <c r="H4783" s="36" t="s">
        <v>1360</v>
      </c>
      <c r="I4783" s="36" t="s">
        <v>1361</v>
      </c>
    </row>
    <row r="4784" spans="1:9" x14ac:dyDescent="0.25">
      <c r="A4784" s="38" t="s">
        <v>262</v>
      </c>
      <c r="B4784" s="28">
        <v>9110</v>
      </c>
      <c r="C4784" s="28">
        <v>5663504</v>
      </c>
      <c r="D4784" s="46"/>
      <c r="E4784" s="35">
        <v>46153</v>
      </c>
      <c r="F4784" s="49">
        <v>0.86196759259259259</v>
      </c>
      <c r="G4784" s="37">
        <v>6.3</v>
      </c>
      <c r="H4784" s="36" t="s">
        <v>1368</v>
      </c>
      <c r="I4784" s="36" t="s">
        <v>1361</v>
      </c>
    </row>
    <row r="4785" spans="1:9" x14ac:dyDescent="0.25">
      <c r="A4785" s="38" t="s">
        <v>262</v>
      </c>
      <c r="B4785" s="28">
        <v>9110</v>
      </c>
      <c r="C4785" s="28">
        <v>5664037</v>
      </c>
      <c r="D4785" s="46"/>
      <c r="E4785" s="35">
        <v>46153</v>
      </c>
      <c r="F4785" s="49">
        <v>0.9707175925925926</v>
      </c>
      <c r="G4785" s="37">
        <v>6.3</v>
      </c>
      <c r="H4785" s="36" t="s">
        <v>1360</v>
      </c>
      <c r="I4785" s="36" t="s">
        <v>1361</v>
      </c>
    </row>
    <row r="4786" spans="1:9" x14ac:dyDescent="0.25">
      <c r="A4786" s="38" t="s">
        <v>262</v>
      </c>
      <c r="B4786" s="28">
        <v>9110</v>
      </c>
      <c r="C4786" s="28">
        <v>5664037</v>
      </c>
      <c r="D4786" s="46"/>
      <c r="E4786" s="35">
        <v>46153</v>
      </c>
      <c r="F4786" s="49">
        <v>0.97723379629629625</v>
      </c>
      <c r="G4786" s="37">
        <v>6.3</v>
      </c>
      <c r="H4786" s="36" t="s">
        <v>1362</v>
      </c>
      <c r="I4786" s="36" t="s">
        <v>1361</v>
      </c>
    </row>
    <row r="4787" spans="1:9" x14ac:dyDescent="0.25">
      <c r="A4787" s="38" t="s">
        <v>262</v>
      </c>
      <c r="B4787" s="28">
        <v>9110</v>
      </c>
      <c r="C4787" s="28" t="s">
        <v>1266</v>
      </c>
      <c r="D4787" s="46"/>
      <c r="E4787" s="35">
        <v>46154</v>
      </c>
      <c r="F4787" s="49">
        <v>0.48540509259259257</v>
      </c>
      <c r="G4787" s="37">
        <v>6.3</v>
      </c>
      <c r="H4787" s="36" t="s">
        <v>1370</v>
      </c>
      <c r="I4787" s="36" t="s">
        <v>1361</v>
      </c>
    </row>
    <row r="4788" spans="1:9" x14ac:dyDescent="0.25">
      <c r="A4788" s="38" t="s">
        <v>262</v>
      </c>
      <c r="B4788" s="28">
        <v>9110</v>
      </c>
      <c r="C4788" s="28" t="s">
        <v>1266</v>
      </c>
      <c r="D4788" s="46"/>
      <c r="E4788" s="35">
        <v>46154</v>
      </c>
      <c r="F4788" s="49">
        <v>0.49019675925925926</v>
      </c>
      <c r="G4788" s="37">
        <v>6.3</v>
      </c>
      <c r="H4788" s="36" t="s">
        <v>1364</v>
      </c>
      <c r="I4788" s="36" t="s">
        <v>1361</v>
      </c>
    </row>
    <row r="4789" spans="1:9" x14ac:dyDescent="0.25">
      <c r="A4789" s="38" t="s">
        <v>262</v>
      </c>
      <c r="B4789" s="28">
        <v>9110</v>
      </c>
      <c r="C4789" s="28" t="s">
        <v>1267</v>
      </c>
      <c r="D4789" s="46"/>
      <c r="E4789" s="35">
        <v>46154</v>
      </c>
      <c r="F4789" s="49">
        <v>0.58548611111111115</v>
      </c>
      <c r="G4789" s="37">
        <v>6.3</v>
      </c>
      <c r="H4789" s="36" t="s">
        <v>1360</v>
      </c>
      <c r="I4789" s="36" t="s">
        <v>1361</v>
      </c>
    </row>
    <row r="4790" spans="1:9" x14ac:dyDescent="0.25">
      <c r="A4790" s="38" t="s">
        <v>262</v>
      </c>
      <c r="B4790" s="28">
        <v>9110</v>
      </c>
      <c r="C4790" s="28" t="s">
        <v>1267</v>
      </c>
      <c r="D4790" s="46"/>
      <c r="E4790" s="35">
        <v>46154</v>
      </c>
      <c r="F4790" s="49">
        <v>0.59665509259259264</v>
      </c>
      <c r="G4790" s="37">
        <v>6.3</v>
      </c>
      <c r="H4790" s="36" t="s">
        <v>1362</v>
      </c>
      <c r="I4790" s="36" t="s">
        <v>1361</v>
      </c>
    </row>
    <row r="4791" spans="1:9" x14ac:dyDescent="0.25">
      <c r="A4791" s="38" t="s">
        <v>262</v>
      </c>
      <c r="B4791" s="28">
        <v>9110</v>
      </c>
      <c r="C4791" s="28" t="s">
        <v>1268</v>
      </c>
      <c r="D4791" s="46"/>
      <c r="E4791" s="35">
        <v>46154</v>
      </c>
      <c r="F4791" s="49">
        <v>0.93328703703703708</v>
      </c>
      <c r="G4791" s="37">
        <v>6.3</v>
      </c>
      <c r="H4791" s="36" t="s">
        <v>1360</v>
      </c>
      <c r="I4791" s="36" t="s">
        <v>1361</v>
      </c>
    </row>
    <row r="4792" spans="1:9" x14ac:dyDescent="0.25">
      <c r="A4792" s="38" t="s">
        <v>262</v>
      </c>
      <c r="B4792" s="28">
        <v>9110</v>
      </c>
      <c r="C4792" s="28" t="s">
        <v>1269</v>
      </c>
      <c r="D4792" s="46"/>
      <c r="E4792" s="35">
        <v>46155</v>
      </c>
      <c r="F4792" s="49">
        <v>0.26501157407407405</v>
      </c>
      <c r="G4792" s="37">
        <v>6.3</v>
      </c>
      <c r="H4792" s="36" t="s">
        <v>1367</v>
      </c>
      <c r="I4792" s="36" t="s">
        <v>1361</v>
      </c>
    </row>
    <row r="4793" spans="1:9" x14ac:dyDescent="0.25">
      <c r="A4793" s="38" t="s">
        <v>262</v>
      </c>
      <c r="B4793" s="28">
        <v>9110</v>
      </c>
      <c r="C4793" s="28" t="s">
        <v>1269</v>
      </c>
      <c r="D4793" s="46"/>
      <c r="E4793" s="35">
        <v>46155</v>
      </c>
      <c r="F4793" s="49">
        <v>0.27309027777777778</v>
      </c>
      <c r="G4793" s="37">
        <v>6.3</v>
      </c>
      <c r="H4793" s="36" t="s">
        <v>1364</v>
      </c>
      <c r="I4793" s="36" t="s">
        <v>1361</v>
      </c>
    </row>
    <row r="4794" spans="1:9" x14ac:dyDescent="0.25">
      <c r="A4794" s="38" t="s">
        <v>262</v>
      </c>
      <c r="B4794" s="28">
        <v>9110</v>
      </c>
      <c r="C4794" s="28" t="s">
        <v>35</v>
      </c>
      <c r="D4794" s="46" t="s">
        <v>38</v>
      </c>
      <c r="E4794" s="35">
        <v>46155</v>
      </c>
      <c r="F4794" s="49">
        <v>0.48457175925925927</v>
      </c>
      <c r="G4794" s="37">
        <v>6.3</v>
      </c>
      <c r="H4794" s="36" t="s">
        <v>1363</v>
      </c>
      <c r="I4794" s="36" t="s">
        <v>1361</v>
      </c>
    </row>
    <row r="4795" spans="1:9" x14ac:dyDescent="0.25">
      <c r="A4795" s="38" t="s">
        <v>262</v>
      </c>
      <c r="B4795" s="28">
        <v>9110</v>
      </c>
      <c r="C4795" s="28" t="s">
        <v>35</v>
      </c>
      <c r="D4795" s="46" t="s">
        <v>38</v>
      </c>
      <c r="E4795" s="35">
        <v>46155</v>
      </c>
      <c r="F4795" s="49">
        <v>0.49025462962962962</v>
      </c>
      <c r="G4795" s="37">
        <v>6.3</v>
      </c>
      <c r="H4795" s="36" t="s">
        <v>1364</v>
      </c>
      <c r="I4795" s="36" t="s">
        <v>1361</v>
      </c>
    </row>
    <row r="4796" spans="1:9" x14ac:dyDescent="0.25">
      <c r="A4796" s="38" t="s">
        <v>262</v>
      </c>
      <c r="B4796" s="28">
        <v>9110</v>
      </c>
      <c r="C4796" s="28">
        <v>5667281</v>
      </c>
      <c r="D4796" s="46"/>
      <c r="E4796" s="35">
        <v>46156</v>
      </c>
      <c r="F4796" s="49">
        <v>0.37821759259259258</v>
      </c>
      <c r="G4796" s="37">
        <v>6.3</v>
      </c>
      <c r="H4796" s="36" t="s">
        <v>1367</v>
      </c>
      <c r="I4796" s="36" t="s">
        <v>1361</v>
      </c>
    </row>
    <row r="4797" spans="1:9" x14ac:dyDescent="0.25">
      <c r="A4797" s="38" t="s">
        <v>262</v>
      </c>
      <c r="B4797" s="28">
        <v>9110</v>
      </c>
      <c r="C4797" s="28">
        <v>5667281</v>
      </c>
      <c r="D4797" s="46"/>
      <c r="E4797" s="35">
        <v>46156</v>
      </c>
      <c r="F4797" s="49">
        <v>0.38400462962962961</v>
      </c>
      <c r="G4797" s="37">
        <v>6.3</v>
      </c>
      <c r="H4797" s="36" t="s">
        <v>1364</v>
      </c>
      <c r="I4797" s="36" t="s">
        <v>1361</v>
      </c>
    </row>
    <row r="4798" spans="1:9" x14ac:dyDescent="0.25">
      <c r="A4798" s="38" t="s">
        <v>262</v>
      </c>
      <c r="B4798" s="28">
        <v>9110</v>
      </c>
      <c r="C4798" s="28">
        <v>5669247</v>
      </c>
      <c r="D4798" s="46" t="s">
        <v>37</v>
      </c>
      <c r="E4798" s="35">
        <v>46156</v>
      </c>
      <c r="F4798" s="49">
        <v>0.91021990740740744</v>
      </c>
      <c r="G4798" s="37">
        <v>6.3</v>
      </c>
      <c r="H4798" s="36" t="s">
        <v>1360</v>
      </c>
      <c r="I4798" s="36" t="s">
        <v>1361</v>
      </c>
    </row>
    <row r="4799" spans="1:9" x14ac:dyDescent="0.25">
      <c r="A4799" s="38" t="s">
        <v>262</v>
      </c>
      <c r="B4799" s="28">
        <v>9110</v>
      </c>
      <c r="C4799" s="28">
        <v>5669247</v>
      </c>
      <c r="D4799" s="46" t="s">
        <v>37</v>
      </c>
      <c r="E4799" s="35">
        <v>46156</v>
      </c>
      <c r="F4799" s="49">
        <v>0.916875</v>
      </c>
      <c r="G4799" s="37">
        <v>6.3</v>
      </c>
      <c r="H4799" s="36" t="s">
        <v>1362</v>
      </c>
      <c r="I4799" s="36" t="s">
        <v>1361</v>
      </c>
    </row>
    <row r="4800" spans="1:9" x14ac:dyDescent="0.25">
      <c r="A4800" s="38" t="s">
        <v>262</v>
      </c>
      <c r="B4800" s="28">
        <v>9110</v>
      </c>
      <c r="C4800" s="28" t="s">
        <v>1270</v>
      </c>
      <c r="D4800" s="46"/>
      <c r="E4800" s="35">
        <v>46157</v>
      </c>
      <c r="F4800" s="49">
        <v>0.24662037037037038</v>
      </c>
      <c r="G4800" s="37">
        <v>6.3</v>
      </c>
      <c r="H4800" s="36" t="s">
        <v>1370</v>
      </c>
      <c r="I4800" s="36" t="s">
        <v>1361</v>
      </c>
    </row>
    <row r="4801" spans="1:9" x14ac:dyDescent="0.25">
      <c r="A4801" s="38" t="s">
        <v>262</v>
      </c>
      <c r="B4801" s="28">
        <v>9110</v>
      </c>
      <c r="C4801" s="28" t="s">
        <v>1270</v>
      </c>
      <c r="D4801" s="46"/>
      <c r="E4801" s="35">
        <v>46157</v>
      </c>
      <c r="F4801" s="49">
        <v>0.25124999999999997</v>
      </c>
      <c r="G4801" s="37">
        <v>6.3</v>
      </c>
      <c r="H4801" s="36" t="s">
        <v>1364</v>
      </c>
      <c r="I4801" s="36" t="s">
        <v>1361</v>
      </c>
    </row>
    <row r="4802" spans="1:9" x14ac:dyDescent="0.25">
      <c r="A4802" s="38" t="s">
        <v>262</v>
      </c>
      <c r="B4802" s="28">
        <v>9110</v>
      </c>
      <c r="C4802" s="28" t="s">
        <v>1271</v>
      </c>
      <c r="D4802" s="46"/>
      <c r="E4802" s="35">
        <v>46157</v>
      </c>
      <c r="F4802" s="49">
        <v>0.66060185185185183</v>
      </c>
      <c r="G4802" s="37">
        <v>6.3</v>
      </c>
      <c r="H4802" s="36" t="s">
        <v>1360</v>
      </c>
      <c r="I4802" s="36" t="s">
        <v>1361</v>
      </c>
    </row>
    <row r="4803" spans="1:9" x14ac:dyDescent="0.25">
      <c r="A4803" s="38" t="s">
        <v>262</v>
      </c>
      <c r="B4803" s="28">
        <v>9110</v>
      </c>
      <c r="C4803" s="28" t="s">
        <v>1271</v>
      </c>
      <c r="D4803" s="46"/>
      <c r="E4803" s="35">
        <v>46157</v>
      </c>
      <c r="F4803" s="49">
        <v>0.67393518518518514</v>
      </c>
      <c r="G4803" s="37">
        <v>6.3</v>
      </c>
      <c r="H4803" s="36" t="s">
        <v>1362</v>
      </c>
      <c r="I4803" s="36" t="s">
        <v>1361</v>
      </c>
    </row>
    <row r="4804" spans="1:9" x14ac:dyDescent="0.25">
      <c r="A4804" s="38" t="s">
        <v>262</v>
      </c>
      <c r="B4804" s="28">
        <v>9110</v>
      </c>
      <c r="C4804" s="28" t="s">
        <v>35</v>
      </c>
      <c r="D4804" s="46" t="s">
        <v>38</v>
      </c>
      <c r="E4804" s="35">
        <v>46157</v>
      </c>
      <c r="F4804" s="49">
        <v>0.70393518518518516</v>
      </c>
      <c r="G4804" s="37">
        <v>6.3</v>
      </c>
      <c r="H4804" s="36" t="s">
        <v>1363</v>
      </c>
      <c r="I4804" s="36" t="s">
        <v>1361</v>
      </c>
    </row>
    <row r="4805" spans="1:9" x14ac:dyDescent="0.25">
      <c r="A4805" s="38" t="s">
        <v>262</v>
      </c>
      <c r="B4805" s="28">
        <v>9110</v>
      </c>
      <c r="C4805" s="28" t="s">
        <v>35</v>
      </c>
      <c r="D4805" s="46" t="s">
        <v>38</v>
      </c>
      <c r="E4805" s="35">
        <v>46157</v>
      </c>
      <c r="F4805" s="49">
        <v>0.72328703703703701</v>
      </c>
      <c r="G4805" s="37">
        <v>6.3</v>
      </c>
      <c r="H4805" s="36" t="s">
        <v>1364</v>
      </c>
      <c r="I4805" s="36" t="s">
        <v>1361</v>
      </c>
    </row>
    <row r="4806" spans="1:9" x14ac:dyDescent="0.25">
      <c r="A4806" s="38" t="s">
        <v>156</v>
      </c>
      <c r="B4806" s="28">
        <v>9112</v>
      </c>
      <c r="C4806" s="28">
        <v>5665554</v>
      </c>
      <c r="D4806" s="46" t="s">
        <v>37</v>
      </c>
      <c r="E4806" s="35">
        <v>46154</v>
      </c>
      <c r="F4806" s="49">
        <v>0.83833333333333337</v>
      </c>
      <c r="G4806" s="37">
        <v>6.3</v>
      </c>
      <c r="H4806" s="36" t="s">
        <v>1360</v>
      </c>
      <c r="I4806" s="36" t="s">
        <v>1361</v>
      </c>
    </row>
    <row r="4807" spans="1:9" x14ac:dyDescent="0.25">
      <c r="A4807" s="38" t="s">
        <v>156</v>
      </c>
      <c r="B4807" s="28">
        <v>9112</v>
      </c>
      <c r="C4807" s="28">
        <v>5666654</v>
      </c>
      <c r="D4807" s="46"/>
      <c r="E4807" s="35">
        <v>46155</v>
      </c>
      <c r="F4807" s="49">
        <v>0.65172453703703703</v>
      </c>
      <c r="G4807" s="37">
        <v>6.3</v>
      </c>
      <c r="H4807" s="36" t="s">
        <v>1363</v>
      </c>
      <c r="I4807" s="36" t="s">
        <v>1361</v>
      </c>
    </row>
    <row r="4808" spans="1:9" x14ac:dyDescent="0.25">
      <c r="A4808" s="38" t="s">
        <v>156</v>
      </c>
      <c r="B4808" s="28">
        <v>9112</v>
      </c>
      <c r="C4808" s="28">
        <v>5668256</v>
      </c>
      <c r="D4808" s="46"/>
      <c r="E4808" s="35">
        <v>46156</v>
      </c>
      <c r="F4808" s="49">
        <v>0.56315972222222221</v>
      </c>
      <c r="G4808" s="37">
        <v>6.3</v>
      </c>
      <c r="H4808" s="36" t="s">
        <v>1363</v>
      </c>
      <c r="I4808" s="36" t="s">
        <v>1361</v>
      </c>
    </row>
    <row r="4809" spans="1:9" x14ac:dyDescent="0.25">
      <c r="A4809" s="38" t="s">
        <v>156</v>
      </c>
      <c r="B4809" s="28">
        <v>9112</v>
      </c>
      <c r="C4809" s="28">
        <v>5668256</v>
      </c>
      <c r="D4809" s="46"/>
      <c r="E4809" s="35">
        <v>46156</v>
      </c>
      <c r="F4809" s="49">
        <v>0.56946759259259261</v>
      </c>
      <c r="G4809" s="37">
        <v>6.3</v>
      </c>
      <c r="H4809" s="36" t="s">
        <v>1364</v>
      </c>
      <c r="I4809" s="36" t="s">
        <v>1361</v>
      </c>
    </row>
    <row r="4810" spans="1:9" x14ac:dyDescent="0.25">
      <c r="A4810" s="38" t="s">
        <v>156</v>
      </c>
      <c r="B4810" s="28">
        <v>9112</v>
      </c>
      <c r="C4810" s="28">
        <v>5673424</v>
      </c>
      <c r="D4810" s="46"/>
      <c r="E4810" s="35">
        <v>46159</v>
      </c>
      <c r="F4810" s="49">
        <v>0.94164351851851846</v>
      </c>
      <c r="G4810" s="37">
        <v>6.3</v>
      </c>
      <c r="H4810" s="36" t="s">
        <v>1360</v>
      </c>
      <c r="I4810" s="36" t="s">
        <v>1365</v>
      </c>
    </row>
    <row r="4811" spans="1:9" x14ac:dyDescent="0.25">
      <c r="A4811" s="38" t="s">
        <v>156</v>
      </c>
      <c r="B4811" s="28">
        <v>9112</v>
      </c>
      <c r="C4811" s="28">
        <v>5673424</v>
      </c>
      <c r="D4811" s="46"/>
      <c r="E4811" s="35">
        <v>46159</v>
      </c>
      <c r="F4811" s="49">
        <v>0.94851851851851854</v>
      </c>
      <c r="G4811" s="37">
        <v>6.3</v>
      </c>
      <c r="H4811" s="36" t="s">
        <v>1362</v>
      </c>
      <c r="I4811" s="36" t="s">
        <v>1365</v>
      </c>
    </row>
    <row r="4812" spans="1:9" x14ac:dyDescent="0.25">
      <c r="A4812" s="38" t="s">
        <v>293</v>
      </c>
      <c r="B4812" s="28">
        <v>9120</v>
      </c>
      <c r="C4812" s="28" t="s">
        <v>35</v>
      </c>
      <c r="D4812" s="46" t="s">
        <v>38</v>
      </c>
      <c r="E4812" s="35">
        <v>46155</v>
      </c>
      <c r="F4812" s="49">
        <v>6.3599537037037038E-2</v>
      </c>
      <c r="G4812" s="37">
        <v>6.3</v>
      </c>
      <c r="H4812" s="36" t="s">
        <v>1367</v>
      </c>
      <c r="I4812" s="36" t="s">
        <v>1361</v>
      </c>
    </row>
    <row r="4813" spans="1:9" x14ac:dyDescent="0.25">
      <c r="A4813" s="38" t="s">
        <v>293</v>
      </c>
      <c r="B4813" s="28">
        <v>9120</v>
      </c>
      <c r="C4813" s="28" t="s">
        <v>35</v>
      </c>
      <c r="D4813" s="46" t="s">
        <v>38</v>
      </c>
      <c r="E4813" s="35">
        <v>46155</v>
      </c>
      <c r="F4813" s="49">
        <v>6.8576388888888895E-2</v>
      </c>
      <c r="G4813" s="37">
        <v>6.3</v>
      </c>
      <c r="H4813" s="36" t="s">
        <v>1364</v>
      </c>
      <c r="I4813" s="36" t="s">
        <v>1361</v>
      </c>
    </row>
    <row r="4814" spans="1:9" x14ac:dyDescent="0.25">
      <c r="A4814" s="38" t="s">
        <v>293</v>
      </c>
      <c r="B4814" s="28">
        <v>9120</v>
      </c>
      <c r="C4814" s="28" t="s">
        <v>1272</v>
      </c>
      <c r="D4814" s="46"/>
      <c r="E4814" s="35">
        <v>46155</v>
      </c>
      <c r="F4814" s="49">
        <v>0.40098379629629627</v>
      </c>
      <c r="G4814" s="37">
        <v>6.3</v>
      </c>
      <c r="H4814" s="36" t="s">
        <v>1360</v>
      </c>
      <c r="I4814" s="36" t="s">
        <v>1361</v>
      </c>
    </row>
    <row r="4815" spans="1:9" x14ac:dyDescent="0.25">
      <c r="A4815" s="38" t="s">
        <v>293</v>
      </c>
      <c r="B4815" s="28">
        <v>9120</v>
      </c>
      <c r="C4815" s="28" t="s">
        <v>35</v>
      </c>
      <c r="D4815" s="46" t="s">
        <v>38</v>
      </c>
      <c r="E4815" s="35">
        <v>46155</v>
      </c>
      <c r="F4815" s="49">
        <v>0.42103009259259261</v>
      </c>
      <c r="G4815" s="37">
        <v>6.3</v>
      </c>
      <c r="H4815" s="36" t="s">
        <v>1362</v>
      </c>
      <c r="I4815" s="36" t="s">
        <v>1361</v>
      </c>
    </row>
    <row r="4816" spans="1:9" x14ac:dyDescent="0.25">
      <c r="A4816" s="38" t="s">
        <v>293</v>
      </c>
      <c r="B4816" s="28">
        <v>9120</v>
      </c>
      <c r="C4816" s="28" t="s">
        <v>35</v>
      </c>
      <c r="D4816" s="46" t="s">
        <v>38</v>
      </c>
      <c r="E4816" s="35">
        <v>46158</v>
      </c>
      <c r="F4816" s="49">
        <v>0.3326736111111111</v>
      </c>
      <c r="G4816" s="37">
        <v>6.3</v>
      </c>
      <c r="H4816" s="36" t="s">
        <v>1363</v>
      </c>
      <c r="I4816" s="36" t="s">
        <v>1365</v>
      </c>
    </row>
    <row r="4817" spans="1:9" x14ac:dyDescent="0.25">
      <c r="A4817" s="38" t="s">
        <v>293</v>
      </c>
      <c r="B4817" s="28">
        <v>9120</v>
      </c>
      <c r="C4817" s="28" t="s">
        <v>35</v>
      </c>
      <c r="D4817" s="46" t="s">
        <v>38</v>
      </c>
      <c r="E4817" s="35">
        <v>46158</v>
      </c>
      <c r="F4817" s="49">
        <v>0.33869212962962963</v>
      </c>
      <c r="G4817" s="37">
        <v>6.3</v>
      </c>
      <c r="H4817" s="36" t="s">
        <v>1364</v>
      </c>
      <c r="I4817" s="36" t="s">
        <v>1365</v>
      </c>
    </row>
    <row r="4818" spans="1:9" x14ac:dyDescent="0.25">
      <c r="A4818" s="38" t="s">
        <v>293</v>
      </c>
      <c r="B4818" s="28">
        <v>9120</v>
      </c>
      <c r="C4818" s="28">
        <v>5671386</v>
      </c>
      <c r="D4818" s="46"/>
      <c r="E4818" s="35">
        <v>46158</v>
      </c>
      <c r="F4818" s="49">
        <v>0.49509259259259258</v>
      </c>
      <c r="G4818" s="37">
        <v>6.3</v>
      </c>
      <c r="H4818" s="36" t="s">
        <v>1360</v>
      </c>
      <c r="I4818" s="36" t="s">
        <v>1365</v>
      </c>
    </row>
    <row r="4819" spans="1:9" x14ac:dyDescent="0.25">
      <c r="A4819" s="38" t="s">
        <v>293</v>
      </c>
      <c r="B4819" s="28">
        <v>9120</v>
      </c>
      <c r="C4819" s="28" t="s">
        <v>35</v>
      </c>
      <c r="D4819" s="46" t="s">
        <v>38</v>
      </c>
      <c r="E4819" s="35">
        <v>46158</v>
      </c>
      <c r="F4819" s="49">
        <v>0.55489583333333337</v>
      </c>
      <c r="G4819" s="37">
        <v>6.3</v>
      </c>
      <c r="H4819" s="36" t="s">
        <v>1362</v>
      </c>
      <c r="I4819" s="36" t="s">
        <v>1365</v>
      </c>
    </row>
    <row r="4820" spans="1:9" x14ac:dyDescent="0.25">
      <c r="A4820" s="38" t="s">
        <v>152</v>
      </c>
      <c r="B4820" s="28">
        <v>9132</v>
      </c>
      <c r="C4820" s="28">
        <v>5664700</v>
      </c>
      <c r="D4820" s="46"/>
      <c r="E4820" s="35">
        <v>46154</v>
      </c>
      <c r="F4820" s="49">
        <v>0.68248842592592596</v>
      </c>
      <c r="G4820" s="37">
        <v>6.3</v>
      </c>
      <c r="H4820" s="36" t="s">
        <v>1369</v>
      </c>
      <c r="I4820" s="36" t="s">
        <v>1361</v>
      </c>
    </row>
    <row r="4821" spans="1:9" x14ac:dyDescent="0.25">
      <c r="A4821" s="38" t="s">
        <v>152</v>
      </c>
      <c r="B4821" s="28">
        <v>9132</v>
      </c>
      <c r="C4821" s="28">
        <v>5664700</v>
      </c>
      <c r="D4821" s="46"/>
      <c r="E4821" s="35">
        <v>46154</v>
      </c>
      <c r="F4821" s="49">
        <v>0.7011574074074074</v>
      </c>
      <c r="G4821" s="37">
        <v>6.3</v>
      </c>
      <c r="H4821" s="36" t="s">
        <v>1364</v>
      </c>
      <c r="I4821" s="36" t="s">
        <v>1361</v>
      </c>
    </row>
    <row r="4822" spans="1:9" x14ac:dyDescent="0.25">
      <c r="A4822" s="38" t="s">
        <v>152</v>
      </c>
      <c r="B4822" s="28">
        <v>9132</v>
      </c>
      <c r="C4822" s="28" t="s">
        <v>1273</v>
      </c>
      <c r="D4822" s="46"/>
      <c r="E4822" s="35">
        <v>46156</v>
      </c>
      <c r="F4822" s="49">
        <v>2.9421296296296296E-2</v>
      </c>
      <c r="G4822" s="37">
        <v>6.3</v>
      </c>
      <c r="H4822" s="36" t="s">
        <v>1360</v>
      </c>
      <c r="I4822" s="36" t="s">
        <v>1361</v>
      </c>
    </row>
    <row r="4823" spans="1:9" x14ac:dyDescent="0.25">
      <c r="A4823" s="38" t="s">
        <v>152</v>
      </c>
      <c r="B4823" s="28">
        <v>9132</v>
      </c>
      <c r="C4823" s="28" t="s">
        <v>1273</v>
      </c>
      <c r="D4823" s="46"/>
      <c r="E4823" s="35">
        <v>46156</v>
      </c>
      <c r="F4823" s="49">
        <v>3.7881944444444447E-2</v>
      </c>
      <c r="G4823" s="37">
        <v>6.3</v>
      </c>
      <c r="H4823" s="36" t="s">
        <v>1362</v>
      </c>
      <c r="I4823" s="36" t="s">
        <v>1361</v>
      </c>
    </row>
    <row r="4824" spans="1:9" x14ac:dyDescent="0.25">
      <c r="A4824" s="38" t="s">
        <v>152</v>
      </c>
      <c r="B4824" s="28">
        <v>9132</v>
      </c>
      <c r="C4824" s="28" t="s">
        <v>1274</v>
      </c>
      <c r="D4824" s="46"/>
      <c r="E4824" s="35">
        <v>46156</v>
      </c>
      <c r="F4824" s="49">
        <v>0.86197916666666663</v>
      </c>
      <c r="G4824" s="37">
        <v>6.3</v>
      </c>
      <c r="H4824" s="36" t="s">
        <v>1360</v>
      </c>
      <c r="I4824" s="36" t="s">
        <v>1361</v>
      </c>
    </row>
    <row r="4825" spans="1:9" x14ac:dyDescent="0.25">
      <c r="A4825" s="38" t="s">
        <v>152</v>
      </c>
      <c r="B4825" s="28">
        <v>9132</v>
      </c>
      <c r="C4825" s="28" t="s">
        <v>1274</v>
      </c>
      <c r="D4825" s="46"/>
      <c r="E4825" s="35">
        <v>46156</v>
      </c>
      <c r="F4825" s="49">
        <v>0.86986111111111108</v>
      </c>
      <c r="G4825" s="37">
        <v>6.3</v>
      </c>
      <c r="H4825" s="36" t="s">
        <v>1362</v>
      </c>
      <c r="I4825" s="36" t="s">
        <v>1361</v>
      </c>
    </row>
    <row r="4826" spans="1:9" x14ac:dyDescent="0.25">
      <c r="A4826" s="38" t="s">
        <v>152</v>
      </c>
      <c r="B4826" s="28">
        <v>9132</v>
      </c>
      <c r="C4826" s="28" t="s">
        <v>35</v>
      </c>
      <c r="D4826" s="46" t="s">
        <v>38</v>
      </c>
      <c r="E4826" s="35">
        <v>46156</v>
      </c>
      <c r="F4826" s="49">
        <v>0.8825115740740741</v>
      </c>
      <c r="G4826" s="37">
        <v>6.3</v>
      </c>
      <c r="H4826" s="36" t="s">
        <v>1363</v>
      </c>
      <c r="I4826" s="36" t="s">
        <v>1361</v>
      </c>
    </row>
    <row r="4827" spans="1:9" x14ac:dyDescent="0.25">
      <c r="A4827" s="38" t="s">
        <v>152</v>
      </c>
      <c r="B4827" s="28">
        <v>9132</v>
      </c>
      <c r="C4827" s="28" t="s">
        <v>35</v>
      </c>
      <c r="D4827" s="46" t="s">
        <v>38</v>
      </c>
      <c r="E4827" s="35">
        <v>46156</v>
      </c>
      <c r="F4827" s="49">
        <v>0.89212962962962961</v>
      </c>
      <c r="G4827" s="37">
        <v>6.3</v>
      </c>
      <c r="H4827" s="36" t="s">
        <v>1364</v>
      </c>
      <c r="I4827" s="36" t="s">
        <v>1361</v>
      </c>
    </row>
    <row r="4828" spans="1:9" x14ac:dyDescent="0.25">
      <c r="A4828" s="38" t="s">
        <v>152</v>
      </c>
      <c r="B4828" s="28">
        <v>9132</v>
      </c>
      <c r="C4828" s="28" t="s">
        <v>1275</v>
      </c>
      <c r="D4828" s="46"/>
      <c r="E4828" s="35">
        <v>46157</v>
      </c>
      <c r="F4828" s="49">
        <v>0.65371527777777783</v>
      </c>
      <c r="G4828" s="37">
        <v>6.3</v>
      </c>
      <c r="H4828" s="36" t="s">
        <v>1360</v>
      </c>
      <c r="I4828" s="36" t="s">
        <v>1361</v>
      </c>
    </row>
    <row r="4829" spans="1:9" x14ac:dyDescent="0.25">
      <c r="A4829" s="38" t="s">
        <v>152</v>
      </c>
      <c r="B4829" s="28">
        <v>9132</v>
      </c>
      <c r="C4829" s="28" t="s">
        <v>1275</v>
      </c>
      <c r="D4829" s="46"/>
      <c r="E4829" s="35">
        <v>46157</v>
      </c>
      <c r="F4829" s="49">
        <v>0.66703703703703698</v>
      </c>
      <c r="G4829" s="37">
        <v>6.3</v>
      </c>
      <c r="H4829" s="36" t="s">
        <v>1362</v>
      </c>
      <c r="I4829" s="36" t="s">
        <v>1361</v>
      </c>
    </row>
    <row r="4830" spans="1:9" x14ac:dyDescent="0.25">
      <c r="A4830" s="38" t="s">
        <v>152</v>
      </c>
      <c r="B4830" s="28">
        <v>9132</v>
      </c>
      <c r="C4830" s="28">
        <v>5670673</v>
      </c>
      <c r="D4830" s="46"/>
      <c r="E4830" s="35">
        <v>46157</v>
      </c>
      <c r="F4830" s="49">
        <v>0.76731481481481478</v>
      </c>
      <c r="G4830" s="37">
        <v>6.3</v>
      </c>
      <c r="H4830" s="36" t="s">
        <v>1360</v>
      </c>
      <c r="I4830" s="36" t="s">
        <v>1361</v>
      </c>
    </row>
    <row r="4831" spans="1:9" x14ac:dyDescent="0.25">
      <c r="A4831" s="38" t="s">
        <v>152</v>
      </c>
      <c r="B4831" s="28">
        <v>9132</v>
      </c>
      <c r="C4831" s="28">
        <v>5670673</v>
      </c>
      <c r="D4831" s="46"/>
      <c r="E4831" s="35">
        <v>46157</v>
      </c>
      <c r="F4831" s="49">
        <v>0.78009259259259256</v>
      </c>
      <c r="G4831" s="37">
        <v>6.3</v>
      </c>
      <c r="H4831" s="36" t="s">
        <v>1362</v>
      </c>
      <c r="I4831" s="36" t="s">
        <v>1361</v>
      </c>
    </row>
    <row r="4832" spans="1:9" x14ac:dyDescent="0.25">
      <c r="A4832" s="38" t="s">
        <v>152</v>
      </c>
      <c r="B4832" s="28">
        <v>9132</v>
      </c>
      <c r="C4832" s="28">
        <v>5670184</v>
      </c>
      <c r="D4832" s="46"/>
      <c r="E4832" s="35">
        <v>46157</v>
      </c>
      <c r="F4832" s="49">
        <v>0.8624074074074074</v>
      </c>
      <c r="G4832" s="37">
        <v>6.3</v>
      </c>
      <c r="H4832" s="36" t="s">
        <v>1363</v>
      </c>
      <c r="I4832" s="36" t="s">
        <v>1361</v>
      </c>
    </row>
    <row r="4833" spans="1:9" x14ac:dyDescent="0.25">
      <c r="A4833" s="38" t="s">
        <v>152</v>
      </c>
      <c r="B4833" s="28">
        <v>9132</v>
      </c>
      <c r="C4833" s="28">
        <v>5670184</v>
      </c>
      <c r="D4833" s="46"/>
      <c r="E4833" s="35">
        <v>46157</v>
      </c>
      <c r="F4833" s="49">
        <v>0.87887731481481479</v>
      </c>
      <c r="G4833" s="37">
        <v>6.3</v>
      </c>
      <c r="H4833" s="36" t="s">
        <v>1364</v>
      </c>
      <c r="I4833" s="36" t="s">
        <v>1361</v>
      </c>
    </row>
    <row r="4834" spans="1:9" x14ac:dyDescent="0.25">
      <c r="A4834" s="38" t="s">
        <v>151</v>
      </c>
      <c r="B4834" s="28">
        <v>9134</v>
      </c>
      <c r="C4834" s="28">
        <v>5662252</v>
      </c>
      <c r="D4834" s="46"/>
      <c r="E4834" s="35">
        <v>46153</v>
      </c>
      <c r="F4834" s="49">
        <v>0.29738425925925926</v>
      </c>
      <c r="G4834" s="37">
        <v>6.3</v>
      </c>
      <c r="H4834" s="36" t="s">
        <v>1360</v>
      </c>
      <c r="I4834" s="36" t="s">
        <v>1361</v>
      </c>
    </row>
    <row r="4835" spans="1:9" x14ac:dyDescent="0.25">
      <c r="A4835" s="38" t="s">
        <v>151</v>
      </c>
      <c r="B4835" s="28">
        <v>9134</v>
      </c>
      <c r="C4835" s="28">
        <v>5662252</v>
      </c>
      <c r="D4835" s="46"/>
      <c r="E4835" s="35">
        <v>46153</v>
      </c>
      <c r="F4835" s="49">
        <v>0.31068287037037035</v>
      </c>
      <c r="G4835" s="37">
        <v>6.3</v>
      </c>
      <c r="H4835" s="36" t="s">
        <v>1362</v>
      </c>
      <c r="I4835" s="36" t="s">
        <v>1361</v>
      </c>
    </row>
    <row r="4836" spans="1:9" x14ac:dyDescent="0.25">
      <c r="A4836" s="38" t="s">
        <v>151</v>
      </c>
      <c r="B4836" s="28">
        <v>9134</v>
      </c>
      <c r="C4836" s="28">
        <v>5664190</v>
      </c>
      <c r="D4836" s="46"/>
      <c r="E4836" s="35">
        <v>46154</v>
      </c>
      <c r="F4836" s="49">
        <v>0.72343749999999996</v>
      </c>
      <c r="G4836" s="37">
        <v>6.3</v>
      </c>
      <c r="H4836" s="36" t="s">
        <v>1360</v>
      </c>
      <c r="I4836" s="36" t="s">
        <v>1361</v>
      </c>
    </row>
    <row r="4837" spans="1:9" x14ac:dyDescent="0.25">
      <c r="A4837" s="38" t="s">
        <v>151</v>
      </c>
      <c r="B4837" s="28">
        <v>9134</v>
      </c>
      <c r="C4837" s="28">
        <v>5664190</v>
      </c>
      <c r="D4837" s="46"/>
      <c r="E4837" s="35">
        <v>46154</v>
      </c>
      <c r="F4837" s="49">
        <v>0.74103009259259256</v>
      </c>
      <c r="G4837" s="37">
        <v>6.3</v>
      </c>
      <c r="H4837" s="36" t="s">
        <v>1362</v>
      </c>
      <c r="I4837" s="36" t="s">
        <v>1361</v>
      </c>
    </row>
    <row r="4838" spans="1:9" x14ac:dyDescent="0.25">
      <c r="A4838" s="38" t="s">
        <v>151</v>
      </c>
      <c r="B4838" s="28">
        <v>9134</v>
      </c>
      <c r="C4838" s="28" t="s">
        <v>1276</v>
      </c>
      <c r="D4838" s="46"/>
      <c r="E4838" s="35">
        <v>46155</v>
      </c>
      <c r="F4838" s="49">
        <v>0.48914351851851851</v>
      </c>
      <c r="G4838" s="37">
        <v>6.3</v>
      </c>
      <c r="H4838" s="36" t="s">
        <v>1360</v>
      </c>
      <c r="I4838" s="36" t="s">
        <v>1361</v>
      </c>
    </row>
    <row r="4839" spans="1:9" x14ac:dyDescent="0.25">
      <c r="A4839" s="38" t="s">
        <v>151</v>
      </c>
      <c r="B4839" s="28">
        <v>9134</v>
      </c>
      <c r="C4839" s="28" t="s">
        <v>1276</v>
      </c>
      <c r="D4839" s="46"/>
      <c r="E4839" s="35">
        <v>46155</v>
      </c>
      <c r="F4839" s="49">
        <v>0.50832175925925926</v>
      </c>
      <c r="G4839" s="37">
        <v>6.3</v>
      </c>
      <c r="H4839" s="36" t="s">
        <v>1362</v>
      </c>
      <c r="I4839" s="36" t="s">
        <v>1361</v>
      </c>
    </row>
    <row r="4840" spans="1:9" x14ac:dyDescent="0.25">
      <c r="A4840" s="38" t="s">
        <v>151</v>
      </c>
      <c r="B4840" s="28">
        <v>9134</v>
      </c>
      <c r="C4840" s="28">
        <v>5669767</v>
      </c>
      <c r="D4840" s="46" t="s">
        <v>36</v>
      </c>
      <c r="E4840" s="35">
        <v>46157</v>
      </c>
      <c r="F4840" s="49">
        <v>0.44996527777777778</v>
      </c>
      <c r="G4840" s="37">
        <v>6.3</v>
      </c>
      <c r="H4840" s="36" t="s">
        <v>1360</v>
      </c>
      <c r="I4840" s="36" t="s">
        <v>1361</v>
      </c>
    </row>
    <row r="4841" spans="1:9" x14ac:dyDescent="0.25">
      <c r="A4841" s="38" t="s">
        <v>151</v>
      </c>
      <c r="B4841" s="28">
        <v>9134</v>
      </c>
      <c r="C4841" s="28">
        <v>5669767</v>
      </c>
      <c r="D4841" s="46" t="s">
        <v>36</v>
      </c>
      <c r="E4841" s="35">
        <v>46157</v>
      </c>
      <c r="F4841" s="49">
        <v>0.45957175925925925</v>
      </c>
      <c r="G4841" s="37">
        <v>6.3</v>
      </c>
      <c r="H4841" s="36" t="s">
        <v>1362</v>
      </c>
      <c r="I4841" s="36" t="s">
        <v>1361</v>
      </c>
    </row>
    <row r="4842" spans="1:9" x14ac:dyDescent="0.25">
      <c r="A4842" s="38" t="s">
        <v>151</v>
      </c>
      <c r="B4842" s="28">
        <v>9134</v>
      </c>
      <c r="C4842" s="28" t="s">
        <v>35</v>
      </c>
      <c r="D4842" s="46" t="s">
        <v>38</v>
      </c>
      <c r="E4842" s="35">
        <v>46158</v>
      </c>
      <c r="F4842" s="49">
        <v>0.49906250000000002</v>
      </c>
      <c r="G4842" s="37">
        <v>6.3</v>
      </c>
      <c r="H4842" s="36" t="s">
        <v>1360</v>
      </c>
      <c r="I4842" s="36" t="s">
        <v>1365</v>
      </c>
    </row>
    <row r="4843" spans="1:9" x14ac:dyDescent="0.25">
      <c r="A4843" s="38" t="s">
        <v>151</v>
      </c>
      <c r="B4843" s="28">
        <v>9134</v>
      </c>
      <c r="C4843" s="28" t="s">
        <v>35</v>
      </c>
      <c r="D4843" s="46" t="s">
        <v>38</v>
      </c>
      <c r="E4843" s="35">
        <v>46158</v>
      </c>
      <c r="F4843" s="49">
        <v>0.5122916666666667</v>
      </c>
      <c r="G4843" s="37">
        <v>6.3</v>
      </c>
      <c r="H4843" s="36" t="s">
        <v>1362</v>
      </c>
      <c r="I4843" s="36" t="s">
        <v>1365</v>
      </c>
    </row>
    <row r="4844" spans="1:9" x14ac:dyDescent="0.25">
      <c r="A4844" s="38" t="s">
        <v>151</v>
      </c>
      <c r="B4844" s="28">
        <v>9134</v>
      </c>
      <c r="C4844" s="28">
        <v>5668899</v>
      </c>
      <c r="D4844" s="46"/>
      <c r="E4844" s="35">
        <v>46158</v>
      </c>
      <c r="F4844" s="49">
        <v>0.57370370370370372</v>
      </c>
      <c r="G4844" s="37">
        <v>6.3</v>
      </c>
      <c r="H4844" s="36" t="s">
        <v>1363</v>
      </c>
      <c r="I4844" s="36" t="s">
        <v>1365</v>
      </c>
    </row>
    <row r="4845" spans="1:9" x14ac:dyDescent="0.25">
      <c r="A4845" s="38" t="s">
        <v>151</v>
      </c>
      <c r="B4845" s="28">
        <v>9134</v>
      </c>
      <c r="C4845" s="28">
        <v>5668899</v>
      </c>
      <c r="D4845" s="46"/>
      <c r="E4845" s="35">
        <v>46158</v>
      </c>
      <c r="F4845" s="49">
        <v>0.58878472222222222</v>
      </c>
      <c r="G4845" s="37">
        <v>6.3</v>
      </c>
      <c r="H4845" s="36" t="s">
        <v>1364</v>
      </c>
      <c r="I4845" s="36" t="s">
        <v>1365</v>
      </c>
    </row>
    <row r="4846" spans="1:9" x14ac:dyDescent="0.25">
      <c r="A4846" s="38" t="s">
        <v>151</v>
      </c>
      <c r="B4846" s="28">
        <v>9134</v>
      </c>
      <c r="C4846" s="28">
        <v>5659982</v>
      </c>
      <c r="D4846" s="46"/>
      <c r="E4846" s="35">
        <v>46158</v>
      </c>
      <c r="F4846" s="49">
        <v>0.62502314814814819</v>
      </c>
      <c r="G4846" s="37">
        <v>6.3</v>
      </c>
      <c r="H4846" s="36" t="s">
        <v>1360</v>
      </c>
      <c r="I4846" s="36" t="s">
        <v>1365</v>
      </c>
    </row>
    <row r="4847" spans="1:9" x14ac:dyDescent="0.25">
      <c r="A4847" s="38" t="s">
        <v>151</v>
      </c>
      <c r="B4847" s="28">
        <v>9134</v>
      </c>
      <c r="C4847" s="28">
        <v>5659982</v>
      </c>
      <c r="D4847" s="46"/>
      <c r="E4847" s="35">
        <v>46158</v>
      </c>
      <c r="F4847" s="49">
        <v>0.63473379629629634</v>
      </c>
      <c r="G4847" s="37">
        <v>6.3</v>
      </c>
      <c r="H4847" s="36" t="s">
        <v>1362</v>
      </c>
      <c r="I4847" s="36" t="s">
        <v>1365</v>
      </c>
    </row>
    <row r="4848" spans="1:9" x14ac:dyDescent="0.25">
      <c r="A4848" s="38" t="s">
        <v>154</v>
      </c>
      <c r="B4848" s="28">
        <v>9152</v>
      </c>
      <c r="C4848" s="28" t="s">
        <v>35</v>
      </c>
      <c r="D4848" s="46" t="s">
        <v>38</v>
      </c>
      <c r="E4848" s="35">
        <v>46153</v>
      </c>
      <c r="F4848" s="49">
        <v>0.28034722222222225</v>
      </c>
      <c r="G4848" s="37">
        <v>6.3</v>
      </c>
      <c r="H4848" s="36" t="s">
        <v>1369</v>
      </c>
      <c r="I4848" s="36" t="s">
        <v>1361</v>
      </c>
    </row>
    <row r="4849" spans="1:9" x14ac:dyDescent="0.25">
      <c r="A4849" s="38" t="s">
        <v>154</v>
      </c>
      <c r="B4849" s="28">
        <v>9152</v>
      </c>
      <c r="C4849" s="28" t="s">
        <v>35</v>
      </c>
      <c r="D4849" s="46" t="s">
        <v>38</v>
      </c>
      <c r="E4849" s="35">
        <v>46153</v>
      </c>
      <c r="F4849" s="49">
        <v>0.28938657407407409</v>
      </c>
      <c r="G4849" s="37">
        <v>6.3</v>
      </c>
      <c r="H4849" s="36" t="s">
        <v>1364</v>
      </c>
      <c r="I4849" s="36" t="s">
        <v>1361</v>
      </c>
    </row>
    <row r="4850" spans="1:9" x14ac:dyDescent="0.25">
      <c r="A4850" s="38" t="s">
        <v>154</v>
      </c>
      <c r="B4850" s="28">
        <v>9152</v>
      </c>
      <c r="C4850" s="28">
        <v>5662349</v>
      </c>
      <c r="D4850" s="46"/>
      <c r="E4850" s="35">
        <v>46153</v>
      </c>
      <c r="F4850" s="49">
        <v>0.33946759259259257</v>
      </c>
      <c r="G4850" s="37">
        <v>6.3</v>
      </c>
      <c r="H4850" s="36" t="s">
        <v>1360</v>
      </c>
      <c r="I4850" s="36" t="s">
        <v>1361</v>
      </c>
    </row>
    <row r="4851" spans="1:9" x14ac:dyDescent="0.25">
      <c r="A4851" s="38" t="s">
        <v>154</v>
      </c>
      <c r="B4851" s="28">
        <v>9152</v>
      </c>
      <c r="C4851" s="28">
        <v>5662349</v>
      </c>
      <c r="D4851" s="46"/>
      <c r="E4851" s="35">
        <v>46153</v>
      </c>
      <c r="F4851" s="49">
        <v>0.35430555555555554</v>
      </c>
      <c r="G4851" s="37">
        <v>6.3</v>
      </c>
      <c r="H4851" s="36" t="s">
        <v>1362</v>
      </c>
      <c r="I4851" s="36" t="s">
        <v>1361</v>
      </c>
    </row>
    <row r="4852" spans="1:9" x14ac:dyDescent="0.25">
      <c r="A4852" s="38" t="s">
        <v>154</v>
      </c>
      <c r="B4852" s="28">
        <v>9152</v>
      </c>
      <c r="C4852" s="28">
        <v>5663327</v>
      </c>
      <c r="D4852" s="46" t="s">
        <v>37</v>
      </c>
      <c r="E4852" s="35">
        <v>46153</v>
      </c>
      <c r="F4852" s="49">
        <v>0.75831018518518523</v>
      </c>
      <c r="G4852" s="37">
        <v>6.3</v>
      </c>
      <c r="H4852" s="36" t="s">
        <v>1363</v>
      </c>
      <c r="I4852" s="36" t="s">
        <v>1361</v>
      </c>
    </row>
    <row r="4853" spans="1:9" x14ac:dyDescent="0.25">
      <c r="A4853" s="38" t="s">
        <v>154</v>
      </c>
      <c r="B4853" s="28">
        <v>9152</v>
      </c>
      <c r="C4853" s="28">
        <v>5663327</v>
      </c>
      <c r="D4853" s="46" t="s">
        <v>37</v>
      </c>
      <c r="E4853" s="35">
        <v>46153</v>
      </c>
      <c r="F4853" s="49">
        <v>0.77224537037037033</v>
      </c>
      <c r="G4853" s="37">
        <v>6.3</v>
      </c>
      <c r="H4853" s="36" t="s">
        <v>1364</v>
      </c>
      <c r="I4853" s="36" t="s">
        <v>1361</v>
      </c>
    </row>
    <row r="4854" spans="1:9" x14ac:dyDescent="0.25">
      <c r="A4854" s="38" t="s">
        <v>154</v>
      </c>
      <c r="B4854" s="28">
        <v>9152</v>
      </c>
      <c r="C4854" s="28" t="s">
        <v>35</v>
      </c>
      <c r="D4854" s="46" t="s">
        <v>38</v>
      </c>
      <c r="E4854" s="35">
        <v>46153</v>
      </c>
      <c r="F4854" s="49">
        <v>0.92189814814814819</v>
      </c>
      <c r="G4854" s="37">
        <v>6.3</v>
      </c>
      <c r="H4854" s="36" t="s">
        <v>1363</v>
      </c>
      <c r="I4854" s="36" t="s">
        <v>1361</v>
      </c>
    </row>
    <row r="4855" spans="1:9" x14ac:dyDescent="0.25">
      <c r="A4855" s="38" t="s">
        <v>154</v>
      </c>
      <c r="B4855" s="28">
        <v>9152</v>
      </c>
      <c r="C4855" s="28" t="s">
        <v>35</v>
      </c>
      <c r="D4855" s="46" t="s">
        <v>38</v>
      </c>
      <c r="E4855" s="35">
        <v>46153</v>
      </c>
      <c r="F4855" s="49">
        <v>0.92915509259259255</v>
      </c>
      <c r="G4855" s="37">
        <v>6.3</v>
      </c>
      <c r="H4855" s="36" t="s">
        <v>1364</v>
      </c>
      <c r="I4855" s="36" t="s">
        <v>1361</v>
      </c>
    </row>
    <row r="4856" spans="1:9" x14ac:dyDescent="0.25">
      <c r="A4856" s="38" t="s">
        <v>154</v>
      </c>
      <c r="B4856" s="28">
        <v>9152</v>
      </c>
      <c r="C4856" s="28">
        <v>5664093</v>
      </c>
      <c r="D4856" s="46"/>
      <c r="E4856" s="35">
        <v>46154</v>
      </c>
      <c r="F4856" s="49">
        <v>1.6944444444444446E-2</v>
      </c>
      <c r="G4856" s="37">
        <v>6.3</v>
      </c>
      <c r="H4856" s="36" t="s">
        <v>1360</v>
      </c>
      <c r="I4856" s="36" t="s">
        <v>1361</v>
      </c>
    </row>
    <row r="4857" spans="1:9" x14ac:dyDescent="0.25">
      <c r="A4857" s="38" t="s">
        <v>154</v>
      </c>
      <c r="B4857" s="28">
        <v>9152</v>
      </c>
      <c r="C4857" s="28">
        <v>5664093</v>
      </c>
      <c r="D4857" s="46"/>
      <c r="E4857" s="35">
        <v>46154</v>
      </c>
      <c r="F4857" s="49">
        <v>2.4606481481481483E-2</v>
      </c>
      <c r="G4857" s="37">
        <v>6.3</v>
      </c>
      <c r="H4857" s="36" t="s">
        <v>1362</v>
      </c>
      <c r="I4857" s="36" t="s">
        <v>1361</v>
      </c>
    </row>
    <row r="4858" spans="1:9" x14ac:dyDescent="0.25">
      <c r="A4858" s="38" t="s">
        <v>154</v>
      </c>
      <c r="B4858" s="28">
        <v>9152</v>
      </c>
      <c r="C4858" s="28">
        <v>10645915</v>
      </c>
      <c r="D4858" s="46"/>
      <c r="E4858" s="35">
        <v>46154</v>
      </c>
      <c r="F4858" s="49">
        <v>0.25871527777777775</v>
      </c>
      <c r="G4858" s="37">
        <v>6.3</v>
      </c>
      <c r="H4858" s="36" t="s">
        <v>1363</v>
      </c>
      <c r="I4858" s="36" t="s">
        <v>1361</v>
      </c>
    </row>
    <row r="4859" spans="1:9" x14ac:dyDescent="0.25">
      <c r="A4859" s="38" t="s">
        <v>154</v>
      </c>
      <c r="B4859" s="28">
        <v>9152</v>
      </c>
      <c r="C4859" s="28">
        <v>10645915</v>
      </c>
      <c r="D4859" s="46"/>
      <c r="E4859" s="35">
        <v>46154</v>
      </c>
      <c r="F4859" s="49">
        <v>0.26620370370370372</v>
      </c>
      <c r="G4859" s="37">
        <v>6.3</v>
      </c>
      <c r="H4859" s="36" t="s">
        <v>1364</v>
      </c>
      <c r="I4859" s="36" t="s">
        <v>1361</v>
      </c>
    </row>
    <row r="4860" spans="1:9" x14ac:dyDescent="0.25">
      <c r="A4860" s="38" t="s">
        <v>154</v>
      </c>
      <c r="B4860" s="28">
        <v>9152</v>
      </c>
      <c r="C4860" s="28" t="s">
        <v>1277</v>
      </c>
      <c r="D4860" s="46"/>
      <c r="E4860" s="35">
        <v>46156</v>
      </c>
      <c r="F4860" s="49">
        <v>0.28347222222222224</v>
      </c>
      <c r="G4860" s="37">
        <v>6.3</v>
      </c>
      <c r="H4860" s="36" t="s">
        <v>1364</v>
      </c>
      <c r="I4860" s="36" t="s">
        <v>1361</v>
      </c>
    </row>
    <row r="4861" spans="1:9" x14ac:dyDescent="0.25">
      <c r="A4861" s="38" t="s">
        <v>146</v>
      </c>
      <c r="B4861" s="28">
        <v>9154</v>
      </c>
      <c r="C4861" s="28" t="s">
        <v>1278</v>
      </c>
      <c r="D4861" s="46"/>
      <c r="E4861" s="35">
        <v>46153</v>
      </c>
      <c r="F4861" s="49">
        <v>0.91296296296296298</v>
      </c>
      <c r="G4861" s="37">
        <v>6.3</v>
      </c>
      <c r="H4861" s="36" t="s">
        <v>1360</v>
      </c>
      <c r="I4861" s="36" t="s">
        <v>1361</v>
      </c>
    </row>
    <row r="4862" spans="1:9" x14ac:dyDescent="0.25">
      <c r="A4862" s="38" t="s">
        <v>146</v>
      </c>
      <c r="B4862" s="28">
        <v>9154</v>
      </c>
      <c r="C4862" s="28" t="s">
        <v>1278</v>
      </c>
      <c r="D4862" s="46"/>
      <c r="E4862" s="35">
        <v>46153</v>
      </c>
      <c r="F4862" s="49">
        <v>0.92483796296296295</v>
      </c>
      <c r="G4862" s="37">
        <v>6.3</v>
      </c>
      <c r="H4862" s="36" t="s">
        <v>1362</v>
      </c>
      <c r="I4862" s="36" t="s">
        <v>1361</v>
      </c>
    </row>
    <row r="4863" spans="1:9" x14ac:dyDescent="0.25">
      <c r="A4863" s="38" t="s">
        <v>146</v>
      </c>
      <c r="B4863" s="28">
        <v>9154</v>
      </c>
      <c r="C4863" s="28">
        <v>5665540</v>
      </c>
      <c r="D4863" s="46"/>
      <c r="E4863" s="35">
        <v>46154</v>
      </c>
      <c r="F4863" s="49">
        <v>0.89009259259259255</v>
      </c>
      <c r="G4863" s="37">
        <v>6.3</v>
      </c>
      <c r="H4863" s="36" t="s">
        <v>1360</v>
      </c>
      <c r="I4863" s="36" t="s">
        <v>1361</v>
      </c>
    </row>
    <row r="4864" spans="1:9" x14ac:dyDescent="0.25">
      <c r="A4864" s="38" t="s">
        <v>146</v>
      </c>
      <c r="B4864" s="28">
        <v>9154</v>
      </c>
      <c r="C4864" s="28">
        <v>5665540</v>
      </c>
      <c r="D4864" s="46"/>
      <c r="E4864" s="35">
        <v>46154</v>
      </c>
      <c r="F4864" s="49">
        <v>0.89825231481481482</v>
      </c>
      <c r="G4864" s="37">
        <v>6.3</v>
      </c>
      <c r="H4864" s="36" t="s">
        <v>1362</v>
      </c>
      <c r="I4864" s="36" t="s">
        <v>1361</v>
      </c>
    </row>
    <row r="4865" spans="1:9" x14ac:dyDescent="0.25">
      <c r="A4865" s="38" t="s">
        <v>146</v>
      </c>
      <c r="B4865" s="28">
        <v>9154</v>
      </c>
      <c r="C4865" s="28">
        <v>5667042</v>
      </c>
      <c r="D4865" s="46"/>
      <c r="E4865" s="35">
        <v>46155</v>
      </c>
      <c r="F4865" s="49">
        <v>0.78908564814814819</v>
      </c>
      <c r="G4865" s="37">
        <v>6.3</v>
      </c>
      <c r="H4865" s="36" t="s">
        <v>1360</v>
      </c>
      <c r="I4865" s="36" t="s">
        <v>1361</v>
      </c>
    </row>
    <row r="4866" spans="1:9" x14ac:dyDescent="0.25">
      <c r="A4866" s="38" t="s">
        <v>146</v>
      </c>
      <c r="B4866" s="28">
        <v>9154</v>
      </c>
      <c r="C4866" s="28" t="s">
        <v>1279</v>
      </c>
      <c r="D4866" s="46"/>
      <c r="E4866" s="35">
        <v>46157</v>
      </c>
      <c r="F4866" s="49">
        <v>0.62479166666666663</v>
      </c>
      <c r="G4866" s="37">
        <v>6.3</v>
      </c>
      <c r="H4866" s="36" t="s">
        <v>1360</v>
      </c>
      <c r="I4866" s="36" t="s">
        <v>1361</v>
      </c>
    </row>
    <row r="4867" spans="1:9" x14ac:dyDescent="0.25">
      <c r="A4867" s="38" t="s">
        <v>146</v>
      </c>
      <c r="B4867" s="28">
        <v>9154</v>
      </c>
      <c r="C4867" s="28" t="s">
        <v>1279</v>
      </c>
      <c r="D4867" s="46"/>
      <c r="E4867" s="35">
        <v>46157</v>
      </c>
      <c r="F4867" s="49">
        <v>0.64020833333333338</v>
      </c>
      <c r="G4867" s="37">
        <v>6.3</v>
      </c>
      <c r="H4867" s="36" t="s">
        <v>1362</v>
      </c>
      <c r="I4867" s="36" t="s">
        <v>1361</v>
      </c>
    </row>
    <row r="4868" spans="1:9" x14ac:dyDescent="0.25">
      <c r="A4868" s="38" t="s">
        <v>146</v>
      </c>
      <c r="B4868" s="28">
        <v>9154</v>
      </c>
      <c r="C4868" s="28">
        <v>5671936</v>
      </c>
      <c r="D4868" s="46"/>
      <c r="E4868" s="35">
        <v>46158</v>
      </c>
      <c r="F4868" s="49">
        <v>0.88480324074074079</v>
      </c>
      <c r="G4868" s="37">
        <v>6.3</v>
      </c>
      <c r="H4868" s="36" t="s">
        <v>1360</v>
      </c>
      <c r="I4868" s="36" t="s">
        <v>1365</v>
      </c>
    </row>
    <row r="4869" spans="1:9" x14ac:dyDescent="0.25">
      <c r="A4869" s="38" t="s">
        <v>146</v>
      </c>
      <c r="B4869" s="28">
        <v>9154</v>
      </c>
      <c r="C4869" s="28">
        <v>5671936</v>
      </c>
      <c r="D4869" s="46"/>
      <c r="E4869" s="35">
        <v>46158</v>
      </c>
      <c r="F4869" s="49">
        <v>0.89254629629629634</v>
      </c>
      <c r="G4869" s="37">
        <v>6.3</v>
      </c>
      <c r="H4869" s="36" t="s">
        <v>1362</v>
      </c>
      <c r="I4869" s="36" t="s">
        <v>1365</v>
      </c>
    </row>
    <row r="4870" spans="1:9" x14ac:dyDescent="0.25">
      <c r="A4870" s="38" t="s">
        <v>146</v>
      </c>
      <c r="B4870" s="28">
        <v>9154</v>
      </c>
      <c r="C4870" s="28" t="s">
        <v>1280</v>
      </c>
      <c r="D4870" s="46"/>
      <c r="E4870" s="35">
        <v>46158</v>
      </c>
      <c r="F4870" s="49">
        <v>0.9797569444444445</v>
      </c>
      <c r="G4870" s="37">
        <v>6.3</v>
      </c>
      <c r="H4870" s="36" t="s">
        <v>1360</v>
      </c>
      <c r="I4870" s="36" t="s">
        <v>1365</v>
      </c>
    </row>
    <row r="4871" spans="1:9" x14ac:dyDescent="0.25">
      <c r="A4871" s="38" t="s">
        <v>146</v>
      </c>
      <c r="B4871" s="28">
        <v>9154</v>
      </c>
      <c r="C4871" s="28" t="s">
        <v>1280</v>
      </c>
      <c r="D4871" s="46"/>
      <c r="E4871" s="35">
        <v>46158</v>
      </c>
      <c r="F4871" s="49">
        <v>0.98908564814814814</v>
      </c>
      <c r="G4871" s="37">
        <v>6.3</v>
      </c>
      <c r="H4871" s="36" t="s">
        <v>1362</v>
      </c>
      <c r="I4871" s="36" t="s">
        <v>1365</v>
      </c>
    </row>
    <row r="4872" spans="1:9" x14ac:dyDescent="0.25">
      <c r="A4872" s="38" t="s">
        <v>480</v>
      </c>
      <c r="B4872" s="28">
        <v>9158</v>
      </c>
      <c r="C4872" s="28">
        <v>5667539</v>
      </c>
      <c r="D4872" s="46"/>
      <c r="E4872" s="35">
        <v>46155</v>
      </c>
      <c r="F4872" s="49">
        <v>0.93880787037037039</v>
      </c>
      <c r="G4872" s="37">
        <v>6.3</v>
      </c>
      <c r="H4872" s="36" t="s">
        <v>1360</v>
      </c>
      <c r="I4872" s="36" t="s">
        <v>1361</v>
      </c>
    </row>
    <row r="4873" spans="1:9" x14ac:dyDescent="0.25">
      <c r="A4873" s="38" t="s">
        <v>480</v>
      </c>
      <c r="B4873" s="28">
        <v>9158</v>
      </c>
      <c r="C4873" s="28">
        <v>5667539</v>
      </c>
      <c r="D4873" s="46"/>
      <c r="E4873" s="35">
        <v>46155</v>
      </c>
      <c r="F4873" s="49">
        <v>0.94657407407407412</v>
      </c>
      <c r="G4873" s="37">
        <v>6.3</v>
      </c>
      <c r="H4873" s="36" t="s">
        <v>1362</v>
      </c>
      <c r="I4873" s="36" t="s">
        <v>1361</v>
      </c>
    </row>
    <row r="4874" spans="1:9" x14ac:dyDescent="0.25">
      <c r="A4874" s="38" t="s">
        <v>480</v>
      </c>
      <c r="B4874" s="28">
        <v>9158</v>
      </c>
      <c r="C4874" s="28" t="s">
        <v>1281</v>
      </c>
      <c r="D4874" s="46"/>
      <c r="E4874" s="35">
        <v>46156</v>
      </c>
      <c r="F4874" s="49">
        <v>0.84857638888888887</v>
      </c>
      <c r="G4874" s="37">
        <v>6.3</v>
      </c>
      <c r="H4874" s="36" t="s">
        <v>1360</v>
      </c>
      <c r="I4874" s="36" t="s">
        <v>1361</v>
      </c>
    </row>
    <row r="4875" spans="1:9" x14ac:dyDescent="0.25">
      <c r="A4875" s="38" t="s">
        <v>480</v>
      </c>
      <c r="B4875" s="28">
        <v>9158</v>
      </c>
      <c r="C4875" s="28" t="s">
        <v>1281</v>
      </c>
      <c r="D4875" s="46"/>
      <c r="E4875" s="35">
        <v>46156</v>
      </c>
      <c r="F4875" s="49">
        <v>0.85652777777777778</v>
      </c>
      <c r="G4875" s="37">
        <v>6.3</v>
      </c>
      <c r="H4875" s="36" t="s">
        <v>1362</v>
      </c>
      <c r="I4875" s="36" t="s">
        <v>1361</v>
      </c>
    </row>
    <row r="4876" spans="1:9" x14ac:dyDescent="0.25">
      <c r="A4876" s="38" t="s">
        <v>480</v>
      </c>
      <c r="B4876" s="28">
        <v>9158</v>
      </c>
      <c r="C4876" s="28" t="s">
        <v>1282</v>
      </c>
      <c r="D4876" s="46"/>
      <c r="E4876" s="35">
        <v>46157</v>
      </c>
      <c r="F4876" s="49">
        <v>1.9502314814814816E-2</v>
      </c>
      <c r="G4876" s="37">
        <v>6.3</v>
      </c>
      <c r="H4876" s="36" t="s">
        <v>1360</v>
      </c>
      <c r="I4876" s="36" t="s">
        <v>1361</v>
      </c>
    </row>
    <row r="4877" spans="1:9" x14ac:dyDescent="0.25">
      <c r="A4877" s="38" t="s">
        <v>480</v>
      </c>
      <c r="B4877" s="28">
        <v>9158</v>
      </c>
      <c r="C4877" s="28" t="s">
        <v>1282</v>
      </c>
      <c r="D4877" s="46"/>
      <c r="E4877" s="35">
        <v>46157</v>
      </c>
      <c r="F4877" s="49">
        <v>2.8020833333333332E-2</v>
      </c>
      <c r="G4877" s="37">
        <v>6.3</v>
      </c>
      <c r="H4877" s="36" t="s">
        <v>1362</v>
      </c>
      <c r="I4877" s="36" t="s">
        <v>1361</v>
      </c>
    </row>
    <row r="4878" spans="1:9" x14ac:dyDescent="0.25">
      <c r="A4878" s="38" t="s">
        <v>480</v>
      </c>
      <c r="B4878" s="28">
        <v>9158</v>
      </c>
      <c r="C4878" s="28" t="s">
        <v>1283</v>
      </c>
      <c r="D4878" s="46"/>
      <c r="E4878" s="35">
        <v>46159</v>
      </c>
      <c r="F4878" s="49">
        <v>7.2685185185185188E-3</v>
      </c>
      <c r="G4878" s="37">
        <v>6.3</v>
      </c>
      <c r="H4878" s="36" t="s">
        <v>1360</v>
      </c>
      <c r="I4878" s="36" t="s">
        <v>1365</v>
      </c>
    </row>
    <row r="4879" spans="1:9" x14ac:dyDescent="0.25">
      <c r="A4879" s="38" t="s">
        <v>480</v>
      </c>
      <c r="B4879" s="28">
        <v>9158</v>
      </c>
      <c r="C4879" s="28" t="s">
        <v>1283</v>
      </c>
      <c r="D4879" s="46"/>
      <c r="E4879" s="35">
        <v>46159</v>
      </c>
      <c r="F4879" s="49">
        <v>1.40625E-2</v>
      </c>
      <c r="G4879" s="37">
        <v>6.3</v>
      </c>
      <c r="H4879" s="36" t="s">
        <v>1362</v>
      </c>
      <c r="I4879" s="36" t="s">
        <v>1365</v>
      </c>
    </row>
    <row r="4880" spans="1:9" x14ac:dyDescent="0.25">
      <c r="A4880" s="38" t="s">
        <v>238</v>
      </c>
      <c r="B4880" s="28">
        <v>9172</v>
      </c>
      <c r="C4880" s="28" t="s">
        <v>35</v>
      </c>
      <c r="D4880" s="46" t="s">
        <v>38</v>
      </c>
      <c r="E4880" s="35">
        <v>46154</v>
      </c>
      <c r="F4880" s="49">
        <v>0.78636574074074073</v>
      </c>
      <c r="G4880" s="37">
        <v>6.3</v>
      </c>
      <c r="H4880" s="36" t="s">
        <v>1362</v>
      </c>
      <c r="I4880" s="36" t="s">
        <v>1361</v>
      </c>
    </row>
    <row r="4881" spans="1:9" x14ac:dyDescent="0.25">
      <c r="A4881" s="38" t="s">
        <v>238</v>
      </c>
      <c r="B4881" s="28">
        <v>9172</v>
      </c>
      <c r="C4881" s="28" t="s">
        <v>35</v>
      </c>
      <c r="D4881" s="46" t="s">
        <v>38</v>
      </c>
      <c r="E4881" s="35">
        <v>46154</v>
      </c>
      <c r="F4881" s="49">
        <v>0.9798958333333333</v>
      </c>
      <c r="G4881" s="37">
        <v>6.3</v>
      </c>
      <c r="H4881" s="36" t="s">
        <v>1363</v>
      </c>
      <c r="I4881" s="36" t="s">
        <v>1361</v>
      </c>
    </row>
    <row r="4882" spans="1:9" x14ac:dyDescent="0.25">
      <c r="A4882" s="38" t="s">
        <v>238</v>
      </c>
      <c r="B4882" s="28">
        <v>9172</v>
      </c>
      <c r="C4882" s="28" t="s">
        <v>35</v>
      </c>
      <c r="D4882" s="46" t="s">
        <v>38</v>
      </c>
      <c r="E4882" s="35">
        <v>46155</v>
      </c>
      <c r="F4882" s="49">
        <v>0.77809027777777773</v>
      </c>
      <c r="G4882" s="37">
        <v>6.3</v>
      </c>
      <c r="H4882" s="36" t="s">
        <v>1362</v>
      </c>
      <c r="I4882" s="36" t="s">
        <v>1361</v>
      </c>
    </row>
    <row r="4883" spans="1:9" x14ac:dyDescent="0.25">
      <c r="A4883" s="38" t="s">
        <v>238</v>
      </c>
      <c r="B4883" s="28">
        <v>9172</v>
      </c>
      <c r="C4883" s="28" t="s">
        <v>35</v>
      </c>
      <c r="D4883" s="46" t="s">
        <v>38</v>
      </c>
      <c r="E4883" s="35">
        <v>46156</v>
      </c>
      <c r="F4883" s="49">
        <v>0.36493055555555554</v>
      </c>
      <c r="G4883" s="37">
        <v>6.3</v>
      </c>
      <c r="H4883" s="36" t="s">
        <v>1362</v>
      </c>
      <c r="I4883" s="36" t="s">
        <v>1361</v>
      </c>
    </row>
    <row r="4884" spans="1:9" x14ac:dyDescent="0.25">
      <c r="A4884" s="38" t="s">
        <v>238</v>
      </c>
      <c r="B4884" s="28">
        <v>9172</v>
      </c>
      <c r="C4884" s="28" t="s">
        <v>35</v>
      </c>
      <c r="D4884" s="46" t="s">
        <v>38</v>
      </c>
      <c r="E4884" s="35">
        <v>46156</v>
      </c>
      <c r="F4884" s="49">
        <v>0.39858796296296295</v>
      </c>
      <c r="G4884" s="37">
        <v>6.3</v>
      </c>
      <c r="H4884" s="36" t="s">
        <v>1363</v>
      </c>
      <c r="I4884" s="36" t="s">
        <v>1361</v>
      </c>
    </row>
    <row r="4885" spans="1:9" x14ac:dyDescent="0.25">
      <c r="A4885" s="38" t="s">
        <v>238</v>
      </c>
      <c r="B4885" s="28">
        <v>9172</v>
      </c>
      <c r="C4885" s="28" t="s">
        <v>35</v>
      </c>
      <c r="D4885" s="46" t="s">
        <v>38</v>
      </c>
      <c r="E4885" s="35">
        <v>46156</v>
      </c>
      <c r="F4885" s="49">
        <v>0.40758101851851852</v>
      </c>
      <c r="G4885" s="37">
        <v>6.3</v>
      </c>
      <c r="H4885" s="36" t="s">
        <v>1364</v>
      </c>
      <c r="I4885" s="36" t="s">
        <v>1361</v>
      </c>
    </row>
    <row r="4886" spans="1:9" x14ac:dyDescent="0.25">
      <c r="A4886" s="38" t="s">
        <v>238</v>
      </c>
      <c r="B4886" s="28">
        <v>9172</v>
      </c>
      <c r="C4886" s="28" t="s">
        <v>35</v>
      </c>
      <c r="D4886" s="46" t="s">
        <v>38</v>
      </c>
      <c r="E4886" s="35">
        <v>46158</v>
      </c>
      <c r="F4886" s="49">
        <v>0.78276620370370376</v>
      </c>
      <c r="G4886" s="37">
        <v>6.3</v>
      </c>
      <c r="H4886" s="36" t="s">
        <v>1368</v>
      </c>
      <c r="I4886" s="36" t="s">
        <v>1365</v>
      </c>
    </row>
    <row r="4887" spans="1:9" x14ac:dyDescent="0.25">
      <c r="A4887" s="38" t="s">
        <v>238</v>
      </c>
      <c r="B4887" s="28">
        <v>9172</v>
      </c>
      <c r="C4887" s="28" t="s">
        <v>35</v>
      </c>
      <c r="D4887" s="46" t="s">
        <v>38</v>
      </c>
      <c r="E4887" s="35">
        <v>46159</v>
      </c>
      <c r="F4887" s="49">
        <v>2.5231481481481483E-2</v>
      </c>
      <c r="G4887" s="37">
        <v>6.3</v>
      </c>
      <c r="H4887" s="36" t="s">
        <v>1363</v>
      </c>
      <c r="I4887" s="36" t="s">
        <v>1365</v>
      </c>
    </row>
    <row r="4888" spans="1:9" x14ac:dyDescent="0.25">
      <c r="A4888" s="38" t="s">
        <v>238</v>
      </c>
      <c r="B4888" s="28">
        <v>9172</v>
      </c>
      <c r="C4888" s="28" t="s">
        <v>35</v>
      </c>
      <c r="D4888" s="46" t="s">
        <v>38</v>
      </c>
      <c r="E4888" s="35">
        <v>46159</v>
      </c>
      <c r="F4888" s="49">
        <v>0.75002314814814819</v>
      </c>
      <c r="G4888" s="37">
        <v>6.3</v>
      </c>
      <c r="H4888" s="36" t="s">
        <v>1362</v>
      </c>
      <c r="I4888" s="36" t="s">
        <v>1365</v>
      </c>
    </row>
    <row r="4889" spans="1:9" x14ac:dyDescent="0.25">
      <c r="A4889" s="38" t="s">
        <v>391</v>
      </c>
      <c r="B4889" s="28">
        <v>9177</v>
      </c>
      <c r="C4889" s="28">
        <v>5662340</v>
      </c>
      <c r="D4889" s="46"/>
      <c r="E4889" s="35">
        <v>46153</v>
      </c>
      <c r="F4889" s="49">
        <v>0.60119212962962965</v>
      </c>
      <c r="G4889" s="37">
        <v>6.3</v>
      </c>
      <c r="H4889" s="36" t="s">
        <v>1363</v>
      </c>
      <c r="I4889" s="36" t="s">
        <v>1361</v>
      </c>
    </row>
    <row r="4890" spans="1:9" x14ac:dyDescent="0.25">
      <c r="A4890" s="38" t="s">
        <v>391</v>
      </c>
      <c r="B4890" s="28">
        <v>9177</v>
      </c>
      <c r="C4890" s="28">
        <v>5662648</v>
      </c>
      <c r="D4890" s="46"/>
      <c r="E4890" s="35">
        <v>46153</v>
      </c>
      <c r="F4890" s="49">
        <v>0.74709490740740736</v>
      </c>
      <c r="G4890" s="37">
        <v>6.3</v>
      </c>
      <c r="H4890" s="36" t="s">
        <v>1362</v>
      </c>
      <c r="I4890" s="36" t="s">
        <v>1361</v>
      </c>
    </row>
    <row r="4891" spans="1:9" x14ac:dyDescent="0.25">
      <c r="A4891" s="38" t="s">
        <v>391</v>
      </c>
      <c r="B4891" s="28">
        <v>9177</v>
      </c>
      <c r="C4891" s="28" t="s">
        <v>35</v>
      </c>
      <c r="D4891" s="46" t="s">
        <v>38</v>
      </c>
      <c r="E4891" s="35">
        <v>46155</v>
      </c>
      <c r="F4891" s="49">
        <v>0.34858796296296296</v>
      </c>
      <c r="G4891" s="37">
        <v>6.3</v>
      </c>
      <c r="H4891" s="36" t="s">
        <v>1370</v>
      </c>
      <c r="I4891" s="36" t="s">
        <v>1361</v>
      </c>
    </row>
    <row r="4892" spans="1:9" x14ac:dyDescent="0.25">
      <c r="A4892" s="38" t="s">
        <v>391</v>
      </c>
      <c r="B4892" s="28">
        <v>9177</v>
      </c>
      <c r="C4892" s="28" t="s">
        <v>35</v>
      </c>
      <c r="D4892" s="46" t="s">
        <v>38</v>
      </c>
      <c r="E4892" s="35">
        <v>46156</v>
      </c>
      <c r="F4892" s="49">
        <v>0.33501157407407406</v>
      </c>
      <c r="G4892" s="37">
        <v>6.3</v>
      </c>
      <c r="H4892" s="36" t="s">
        <v>1370</v>
      </c>
      <c r="I4892" s="36" t="s">
        <v>1361</v>
      </c>
    </row>
    <row r="4893" spans="1:9" x14ac:dyDescent="0.25">
      <c r="A4893" s="38" t="s">
        <v>391</v>
      </c>
      <c r="B4893" s="28">
        <v>9177</v>
      </c>
      <c r="C4893" s="28" t="s">
        <v>35</v>
      </c>
      <c r="D4893" s="46" t="s">
        <v>38</v>
      </c>
      <c r="E4893" s="35">
        <v>46156</v>
      </c>
      <c r="F4893" s="49">
        <v>0.34168981481481481</v>
      </c>
      <c r="G4893" s="37">
        <v>6.3</v>
      </c>
      <c r="H4893" s="36" t="s">
        <v>1364</v>
      </c>
      <c r="I4893" s="36" t="s">
        <v>1361</v>
      </c>
    </row>
    <row r="4894" spans="1:9" x14ac:dyDescent="0.25">
      <c r="A4894" s="38" t="s">
        <v>391</v>
      </c>
      <c r="B4894" s="28">
        <v>9177</v>
      </c>
      <c r="C4894" s="28">
        <v>5666798</v>
      </c>
      <c r="D4894" s="46"/>
      <c r="E4894" s="35">
        <v>46156</v>
      </c>
      <c r="F4894" s="49">
        <v>0.49266203703703704</v>
      </c>
      <c r="G4894" s="37">
        <v>6.3</v>
      </c>
      <c r="H4894" s="36" t="s">
        <v>1360</v>
      </c>
      <c r="I4894" s="36" t="s">
        <v>1361</v>
      </c>
    </row>
    <row r="4895" spans="1:9" x14ac:dyDescent="0.25">
      <c r="A4895" s="38" t="s">
        <v>391</v>
      </c>
      <c r="B4895" s="28">
        <v>9177</v>
      </c>
      <c r="C4895" s="28">
        <v>5666798</v>
      </c>
      <c r="D4895" s="46"/>
      <c r="E4895" s="35">
        <v>46156</v>
      </c>
      <c r="F4895" s="49">
        <v>0.50380787037037034</v>
      </c>
      <c r="G4895" s="37">
        <v>6.3</v>
      </c>
      <c r="H4895" s="36" t="s">
        <v>1362</v>
      </c>
      <c r="I4895" s="36" t="s">
        <v>1361</v>
      </c>
    </row>
    <row r="4896" spans="1:9" x14ac:dyDescent="0.25">
      <c r="A4896" s="38" t="s">
        <v>391</v>
      </c>
      <c r="B4896" s="28">
        <v>9177</v>
      </c>
      <c r="C4896" s="28" t="s">
        <v>35</v>
      </c>
      <c r="D4896" s="46" t="s">
        <v>38</v>
      </c>
      <c r="E4896" s="35">
        <v>46157</v>
      </c>
      <c r="F4896" s="49">
        <v>0.65329861111111109</v>
      </c>
      <c r="G4896" s="37">
        <v>6.3</v>
      </c>
      <c r="H4896" s="36" t="s">
        <v>1363</v>
      </c>
      <c r="I4896" s="36" t="s">
        <v>1361</v>
      </c>
    </row>
    <row r="4897" spans="1:9" x14ac:dyDescent="0.25">
      <c r="A4897" s="38" t="s">
        <v>391</v>
      </c>
      <c r="B4897" s="28">
        <v>9177</v>
      </c>
      <c r="C4897" s="28">
        <v>5670223</v>
      </c>
      <c r="D4897" s="46"/>
      <c r="E4897" s="35">
        <v>46157</v>
      </c>
      <c r="F4897" s="49">
        <v>0.72239583333333335</v>
      </c>
      <c r="G4897" s="37">
        <v>6.3</v>
      </c>
      <c r="H4897" s="36" t="s">
        <v>1367</v>
      </c>
      <c r="I4897" s="36" t="s">
        <v>1361</v>
      </c>
    </row>
    <row r="4898" spans="1:9" x14ac:dyDescent="0.25">
      <c r="A4898" s="38" t="s">
        <v>391</v>
      </c>
      <c r="B4898" s="28">
        <v>9177</v>
      </c>
      <c r="C4898" s="28">
        <v>5670223</v>
      </c>
      <c r="D4898" s="46"/>
      <c r="E4898" s="35">
        <v>46157</v>
      </c>
      <c r="F4898" s="49">
        <v>0.73593750000000002</v>
      </c>
      <c r="G4898" s="37">
        <v>6.3</v>
      </c>
      <c r="H4898" s="36" t="s">
        <v>1364</v>
      </c>
      <c r="I4898" s="36" t="s">
        <v>1361</v>
      </c>
    </row>
    <row r="4899" spans="1:9" x14ac:dyDescent="0.25">
      <c r="A4899" s="38" t="s">
        <v>391</v>
      </c>
      <c r="B4899" s="28">
        <v>9177</v>
      </c>
      <c r="C4899" s="28" t="s">
        <v>35</v>
      </c>
      <c r="D4899" s="46" t="s">
        <v>38</v>
      </c>
      <c r="E4899" s="35">
        <v>46157</v>
      </c>
      <c r="F4899" s="49">
        <v>0.7825347222222222</v>
      </c>
      <c r="G4899" s="37">
        <v>6.3</v>
      </c>
      <c r="H4899" s="36" t="s">
        <v>1360</v>
      </c>
      <c r="I4899" s="36" t="s">
        <v>1361</v>
      </c>
    </row>
    <row r="4900" spans="1:9" x14ac:dyDescent="0.25">
      <c r="A4900" s="38" t="s">
        <v>391</v>
      </c>
      <c r="B4900" s="28">
        <v>9177</v>
      </c>
      <c r="C4900" s="28" t="s">
        <v>35</v>
      </c>
      <c r="D4900" s="46" t="s">
        <v>38</v>
      </c>
      <c r="E4900" s="35">
        <v>46158</v>
      </c>
      <c r="F4900" s="49">
        <v>0.38310185185185186</v>
      </c>
      <c r="G4900" s="37">
        <v>6.3</v>
      </c>
      <c r="H4900" s="36" t="s">
        <v>1362</v>
      </c>
      <c r="I4900" s="36" t="s">
        <v>1365</v>
      </c>
    </row>
    <row r="4901" spans="1:9" x14ac:dyDescent="0.25">
      <c r="A4901" s="38" t="s">
        <v>391</v>
      </c>
      <c r="B4901" s="28">
        <v>9177</v>
      </c>
      <c r="C4901" s="28" t="s">
        <v>35</v>
      </c>
      <c r="D4901" s="46" t="s">
        <v>38</v>
      </c>
      <c r="E4901" s="35">
        <v>46158</v>
      </c>
      <c r="F4901" s="49">
        <v>0.60384259259259254</v>
      </c>
      <c r="G4901" s="37">
        <v>6.3</v>
      </c>
      <c r="H4901" s="36" t="s">
        <v>1366</v>
      </c>
      <c r="I4901" s="36" t="s">
        <v>1365</v>
      </c>
    </row>
    <row r="4902" spans="1:9" x14ac:dyDescent="0.25">
      <c r="A4902" s="38" t="s">
        <v>391</v>
      </c>
      <c r="B4902" s="28">
        <v>9177</v>
      </c>
      <c r="C4902" s="28" t="s">
        <v>35</v>
      </c>
      <c r="D4902" s="46" t="s">
        <v>38</v>
      </c>
      <c r="E4902" s="35">
        <v>46159</v>
      </c>
      <c r="F4902" s="49">
        <v>0.94255787037037042</v>
      </c>
      <c r="G4902" s="37">
        <v>6.3</v>
      </c>
      <c r="H4902" s="36" t="s">
        <v>1370</v>
      </c>
      <c r="I4902" s="36" t="s">
        <v>1365</v>
      </c>
    </row>
    <row r="4903" spans="1:9" x14ac:dyDescent="0.25">
      <c r="A4903" s="38" t="s">
        <v>160</v>
      </c>
      <c r="B4903" s="28">
        <v>9190</v>
      </c>
      <c r="C4903" s="28" t="s">
        <v>35</v>
      </c>
      <c r="D4903" s="46" t="s">
        <v>38</v>
      </c>
      <c r="E4903" s="35">
        <v>46153</v>
      </c>
      <c r="F4903" s="49">
        <v>0.74582175925925931</v>
      </c>
      <c r="G4903" s="37">
        <v>6.3</v>
      </c>
      <c r="H4903" s="36" t="s">
        <v>1370</v>
      </c>
      <c r="I4903" s="36" t="s">
        <v>1361</v>
      </c>
    </row>
    <row r="4904" spans="1:9" x14ac:dyDescent="0.25">
      <c r="A4904" s="38" t="s">
        <v>160</v>
      </c>
      <c r="B4904" s="28">
        <v>9190</v>
      </c>
      <c r="C4904" s="28" t="s">
        <v>35</v>
      </c>
      <c r="D4904" s="46" t="s">
        <v>38</v>
      </c>
      <c r="E4904" s="35">
        <v>46153</v>
      </c>
      <c r="F4904" s="49">
        <v>0.77765046296296292</v>
      </c>
      <c r="G4904" s="37">
        <v>6.3</v>
      </c>
      <c r="H4904" s="36" t="s">
        <v>1360</v>
      </c>
      <c r="I4904" s="36" t="s">
        <v>1361</v>
      </c>
    </row>
    <row r="4905" spans="1:9" x14ac:dyDescent="0.25">
      <c r="A4905" s="38" t="s">
        <v>195</v>
      </c>
      <c r="B4905" s="28">
        <v>9195</v>
      </c>
      <c r="C4905" s="28">
        <v>5662844</v>
      </c>
      <c r="D4905" s="46"/>
      <c r="E4905" s="35">
        <v>46154</v>
      </c>
      <c r="F4905" s="49">
        <v>0.54539351851851847</v>
      </c>
      <c r="G4905" s="37">
        <v>6.3</v>
      </c>
      <c r="H4905" s="36" t="s">
        <v>1360</v>
      </c>
      <c r="I4905" s="36" t="s">
        <v>1361</v>
      </c>
    </row>
    <row r="4906" spans="1:9" x14ac:dyDescent="0.25">
      <c r="A4906" s="38" t="s">
        <v>195</v>
      </c>
      <c r="B4906" s="28">
        <v>9195</v>
      </c>
      <c r="C4906" s="28">
        <v>5662903</v>
      </c>
      <c r="D4906" s="46"/>
      <c r="E4906" s="35">
        <v>46155</v>
      </c>
      <c r="F4906" s="49">
        <v>1.4004629629629629E-2</v>
      </c>
      <c r="G4906" s="37">
        <v>6.3</v>
      </c>
      <c r="H4906" s="36" t="s">
        <v>1360</v>
      </c>
      <c r="I4906" s="36" t="s">
        <v>1361</v>
      </c>
    </row>
    <row r="4907" spans="1:9" x14ac:dyDescent="0.25">
      <c r="A4907" s="38" t="s">
        <v>195</v>
      </c>
      <c r="B4907" s="28">
        <v>9195</v>
      </c>
      <c r="C4907" s="28">
        <v>5666547</v>
      </c>
      <c r="D4907" s="46"/>
      <c r="E4907" s="35">
        <v>46156</v>
      </c>
      <c r="F4907" s="49">
        <v>0.63859953703703709</v>
      </c>
      <c r="G4907" s="37">
        <v>6.3</v>
      </c>
      <c r="H4907" s="36" t="s">
        <v>1360</v>
      </c>
      <c r="I4907" s="36" t="s">
        <v>1361</v>
      </c>
    </row>
    <row r="4908" spans="1:9" x14ac:dyDescent="0.25">
      <c r="A4908" s="38" t="s">
        <v>169</v>
      </c>
      <c r="B4908" s="28">
        <v>9204</v>
      </c>
      <c r="C4908" s="28">
        <v>5662321</v>
      </c>
      <c r="D4908" s="46"/>
      <c r="E4908" s="35">
        <v>46153</v>
      </c>
      <c r="F4908" s="49">
        <v>0.3832638888888889</v>
      </c>
      <c r="G4908" s="37">
        <v>6.3</v>
      </c>
      <c r="H4908" s="36" t="s">
        <v>1363</v>
      </c>
      <c r="I4908" s="36" t="s">
        <v>1361</v>
      </c>
    </row>
    <row r="4909" spans="1:9" x14ac:dyDescent="0.25">
      <c r="A4909" s="38" t="s">
        <v>169</v>
      </c>
      <c r="B4909" s="28">
        <v>9204</v>
      </c>
      <c r="C4909" s="28">
        <v>5662321</v>
      </c>
      <c r="D4909" s="46"/>
      <c r="E4909" s="35">
        <v>46153</v>
      </c>
      <c r="F4909" s="49">
        <v>0.39703703703703702</v>
      </c>
      <c r="G4909" s="37">
        <v>6.3</v>
      </c>
      <c r="H4909" s="36" t="s">
        <v>1364</v>
      </c>
      <c r="I4909" s="36" t="s">
        <v>1361</v>
      </c>
    </row>
    <row r="4910" spans="1:9" x14ac:dyDescent="0.25">
      <c r="A4910" s="38" t="s">
        <v>169</v>
      </c>
      <c r="B4910" s="28">
        <v>9204</v>
      </c>
      <c r="C4910" s="28" t="s">
        <v>35</v>
      </c>
      <c r="D4910" s="46" t="s">
        <v>38</v>
      </c>
      <c r="E4910" s="35">
        <v>46153</v>
      </c>
      <c r="F4910" s="49">
        <v>0.46299768518518519</v>
      </c>
      <c r="G4910" s="37">
        <v>6.3</v>
      </c>
      <c r="H4910" s="36" t="s">
        <v>1360</v>
      </c>
      <c r="I4910" s="36" t="s">
        <v>1361</v>
      </c>
    </row>
    <row r="4911" spans="1:9" x14ac:dyDescent="0.25">
      <c r="A4911" s="38" t="s">
        <v>169</v>
      </c>
      <c r="B4911" s="28">
        <v>9204</v>
      </c>
      <c r="C4911" s="28" t="s">
        <v>35</v>
      </c>
      <c r="D4911" s="46" t="s">
        <v>38</v>
      </c>
      <c r="E4911" s="35">
        <v>46153</v>
      </c>
      <c r="F4911" s="49">
        <v>0.47274305555555557</v>
      </c>
      <c r="G4911" s="37">
        <v>6.3</v>
      </c>
      <c r="H4911" s="36" t="s">
        <v>1362</v>
      </c>
      <c r="I4911" s="36" t="s">
        <v>1361</v>
      </c>
    </row>
    <row r="4912" spans="1:9" x14ac:dyDescent="0.25">
      <c r="A4912" s="38" t="s">
        <v>169</v>
      </c>
      <c r="B4912" s="28">
        <v>9204</v>
      </c>
      <c r="C4912" s="28" t="s">
        <v>35</v>
      </c>
      <c r="D4912" s="46" t="s">
        <v>38</v>
      </c>
      <c r="E4912" s="35">
        <v>46155</v>
      </c>
      <c r="F4912" s="49">
        <v>0.51129629629629625</v>
      </c>
      <c r="G4912" s="37">
        <v>6.3</v>
      </c>
      <c r="H4912" s="36" t="s">
        <v>1362</v>
      </c>
      <c r="I4912" s="36" t="s">
        <v>1361</v>
      </c>
    </row>
    <row r="4913" spans="1:9" x14ac:dyDescent="0.25">
      <c r="A4913" s="38" t="s">
        <v>169</v>
      </c>
      <c r="B4913" s="28">
        <v>9204</v>
      </c>
      <c r="C4913" s="28" t="s">
        <v>1284</v>
      </c>
      <c r="D4913" s="46"/>
      <c r="E4913" s="35">
        <v>46156</v>
      </c>
      <c r="F4913" s="49">
        <v>0.56759259259259254</v>
      </c>
      <c r="G4913" s="37">
        <v>6.3</v>
      </c>
      <c r="H4913" s="36" t="s">
        <v>1360</v>
      </c>
      <c r="I4913" s="36" t="s">
        <v>1361</v>
      </c>
    </row>
    <row r="4914" spans="1:9" x14ac:dyDescent="0.25">
      <c r="A4914" s="38" t="s">
        <v>169</v>
      </c>
      <c r="B4914" s="28">
        <v>9204</v>
      </c>
      <c r="C4914" s="28" t="s">
        <v>1284</v>
      </c>
      <c r="D4914" s="46"/>
      <c r="E4914" s="35">
        <v>46156</v>
      </c>
      <c r="F4914" s="49">
        <v>0.57721064814814815</v>
      </c>
      <c r="G4914" s="37">
        <v>6.3</v>
      </c>
      <c r="H4914" s="36" t="s">
        <v>1362</v>
      </c>
      <c r="I4914" s="36" t="s">
        <v>1361</v>
      </c>
    </row>
    <row r="4915" spans="1:9" x14ac:dyDescent="0.25">
      <c r="A4915" s="38" t="s">
        <v>170</v>
      </c>
      <c r="B4915" s="28">
        <v>9214</v>
      </c>
      <c r="C4915" s="28">
        <v>5666355</v>
      </c>
      <c r="D4915" s="46"/>
      <c r="E4915" s="35">
        <v>46155</v>
      </c>
      <c r="F4915" s="49">
        <v>0.48064814814814816</v>
      </c>
      <c r="G4915" s="37">
        <v>6.3</v>
      </c>
      <c r="H4915" s="36" t="s">
        <v>1362</v>
      </c>
      <c r="I4915" s="36" t="s">
        <v>1361</v>
      </c>
    </row>
    <row r="4916" spans="1:9" x14ac:dyDescent="0.25">
      <c r="A4916" s="38" t="s">
        <v>170</v>
      </c>
      <c r="B4916" s="28">
        <v>9214</v>
      </c>
      <c r="C4916" s="28">
        <v>5666363</v>
      </c>
      <c r="D4916" s="46"/>
      <c r="E4916" s="35">
        <v>46155</v>
      </c>
      <c r="F4916" s="49">
        <v>0.62092592592592588</v>
      </c>
      <c r="G4916" s="37">
        <v>6.3</v>
      </c>
      <c r="H4916" s="36" t="s">
        <v>1369</v>
      </c>
      <c r="I4916" s="36" t="s">
        <v>1361</v>
      </c>
    </row>
    <row r="4917" spans="1:9" x14ac:dyDescent="0.25">
      <c r="A4917" s="38" t="s">
        <v>170</v>
      </c>
      <c r="B4917" s="28">
        <v>9214</v>
      </c>
      <c r="C4917" s="28">
        <v>5666823</v>
      </c>
      <c r="D4917" s="46"/>
      <c r="E4917" s="35">
        <v>46155</v>
      </c>
      <c r="F4917" s="49">
        <v>0.68486111111111114</v>
      </c>
      <c r="G4917" s="37">
        <v>6.3</v>
      </c>
      <c r="H4917" s="36" t="s">
        <v>1362</v>
      </c>
      <c r="I4917" s="36" t="s">
        <v>1361</v>
      </c>
    </row>
    <row r="4918" spans="1:9" x14ac:dyDescent="0.25">
      <c r="A4918" s="38" t="s">
        <v>170</v>
      </c>
      <c r="B4918" s="28">
        <v>9214</v>
      </c>
      <c r="C4918" s="28">
        <v>5669814</v>
      </c>
      <c r="D4918" s="46"/>
      <c r="E4918" s="35">
        <v>46157</v>
      </c>
      <c r="F4918" s="49">
        <v>0.48707175925925927</v>
      </c>
      <c r="G4918" s="37">
        <v>6.3</v>
      </c>
      <c r="H4918" s="36" t="s">
        <v>1369</v>
      </c>
      <c r="I4918" s="36" t="s">
        <v>1361</v>
      </c>
    </row>
    <row r="4919" spans="1:9" x14ac:dyDescent="0.25">
      <c r="A4919" s="38" t="s">
        <v>170</v>
      </c>
      <c r="B4919" s="28">
        <v>9214</v>
      </c>
      <c r="C4919" s="28">
        <v>5669814</v>
      </c>
      <c r="D4919" s="46"/>
      <c r="E4919" s="35">
        <v>46157</v>
      </c>
      <c r="F4919" s="49">
        <v>0.49369212962962961</v>
      </c>
      <c r="G4919" s="37">
        <v>6.3</v>
      </c>
      <c r="H4919" s="36" t="s">
        <v>1364</v>
      </c>
      <c r="I4919" s="36" t="s">
        <v>1361</v>
      </c>
    </row>
    <row r="4920" spans="1:9" x14ac:dyDescent="0.25">
      <c r="A4920" s="38" t="s">
        <v>162</v>
      </c>
      <c r="B4920" s="28">
        <v>9226</v>
      </c>
      <c r="C4920" s="28">
        <v>5664775</v>
      </c>
      <c r="D4920" s="46"/>
      <c r="E4920" s="35">
        <v>46154</v>
      </c>
      <c r="F4920" s="49">
        <v>0.71042824074074074</v>
      </c>
      <c r="G4920" s="37">
        <v>6.3</v>
      </c>
      <c r="H4920" s="36" t="s">
        <v>1360</v>
      </c>
      <c r="I4920" s="36" t="s">
        <v>1361</v>
      </c>
    </row>
    <row r="4921" spans="1:9" x14ac:dyDescent="0.25">
      <c r="A4921" s="38" t="s">
        <v>162</v>
      </c>
      <c r="B4921" s="28">
        <v>9226</v>
      </c>
      <c r="C4921" s="28">
        <v>5664775</v>
      </c>
      <c r="D4921" s="46"/>
      <c r="E4921" s="35">
        <v>46154</v>
      </c>
      <c r="F4921" s="49">
        <v>0.72494212962962967</v>
      </c>
      <c r="G4921" s="37">
        <v>6.3</v>
      </c>
      <c r="H4921" s="36" t="s">
        <v>1362</v>
      </c>
      <c r="I4921" s="36" t="s">
        <v>1361</v>
      </c>
    </row>
    <row r="4922" spans="1:9" x14ac:dyDescent="0.25">
      <c r="A4922" s="38" t="s">
        <v>162</v>
      </c>
      <c r="B4922" s="28">
        <v>9226</v>
      </c>
      <c r="C4922" s="28">
        <v>5667006</v>
      </c>
      <c r="D4922" s="46"/>
      <c r="E4922" s="35">
        <v>46155</v>
      </c>
      <c r="F4922" s="49">
        <v>0.80983796296296295</v>
      </c>
      <c r="G4922" s="37">
        <v>6.3</v>
      </c>
      <c r="H4922" s="36" t="s">
        <v>1360</v>
      </c>
      <c r="I4922" s="36" t="s">
        <v>1361</v>
      </c>
    </row>
    <row r="4923" spans="1:9" x14ac:dyDescent="0.25">
      <c r="A4923" s="38" t="s">
        <v>162</v>
      </c>
      <c r="B4923" s="28">
        <v>9226</v>
      </c>
      <c r="C4923" s="28">
        <v>5667006</v>
      </c>
      <c r="D4923" s="46"/>
      <c r="E4923" s="35">
        <v>46155</v>
      </c>
      <c r="F4923" s="49">
        <v>0.82473379629629628</v>
      </c>
      <c r="G4923" s="37">
        <v>6.3</v>
      </c>
      <c r="H4923" s="36" t="s">
        <v>1362</v>
      </c>
      <c r="I4923" s="36" t="s">
        <v>1361</v>
      </c>
    </row>
    <row r="4924" spans="1:9" x14ac:dyDescent="0.25">
      <c r="A4924" s="38" t="s">
        <v>162</v>
      </c>
      <c r="B4924" s="28">
        <v>9226</v>
      </c>
      <c r="C4924" s="28">
        <v>5667857</v>
      </c>
      <c r="D4924" s="46"/>
      <c r="E4924" s="35">
        <v>46156</v>
      </c>
      <c r="F4924" s="49">
        <v>0.3386689814814815</v>
      </c>
      <c r="G4924" s="37">
        <v>6.3</v>
      </c>
      <c r="H4924" s="36" t="s">
        <v>1360</v>
      </c>
      <c r="I4924" s="36" t="s">
        <v>1361</v>
      </c>
    </row>
    <row r="4925" spans="1:9" x14ac:dyDescent="0.25">
      <c r="A4925" s="38" t="s">
        <v>162</v>
      </c>
      <c r="B4925" s="28">
        <v>9226</v>
      </c>
      <c r="C4925" s="28">
        <v>5667857</v>
      </c>
      <c r="D4925" s="46"/>
      <c r="E4925" s="35">
        <v>46156</v>
      </c>
      <c r="F4925" s="49">
        <v>0.35537037037037039</v>
      </c>
      <c r="G4925" s="37">
        <v>6.3</v>
      </c>
      <c r="H4925" s="36" t="s">
        <v>1362</v>
      </c>
      <c r="I4925" s="36" t="s">
        <v>1361</v>
      </c>
    </row>
    <row r="4926" spans="1:9" x14ac:dyDescent="0.25">
      <c r="A4926" s="38" t="s">
        <v>162</v>
      </c>
      <c r="B4926" s="28">
        <v>9226</v>
      </c>
      <c r="C4926" s="28">
        <v>5668366</v>
      </c>
      <c r="D4926" s="46"/>
      <c r="E4926" s="35">
        <v>46156</v>
      </c>
      <c r="F4926" s="49">
        <v>0.60214120370370372</v>
      </c>
      <c r="G4926" s="37">
        <v>6.3</v>
      </c>
      <c r="H4926" s="36" t="s">
        <v>1363</v>
      </c>
      <c r="I4926" s="36" t="s">
        <v>1361</v>
      </c>
    </row>
    <row r="4927" spans="1:9" x14ac:dyDescent="0.25">
      <c r="A4927" s="38" t="s">
        <v>162</v>
      </c>
      <c r="B4927" s="28">
        <v>9226</v>
      </c>
      <c r="C4927" s="28">
        <v>5669323</v>
      </c>
      <c r="D4927" s="46"/>
      <c r="E4927" s="35">
        <v>46157</v>
      </c>
      <c r="F4927" s="49">
        <v>0.31099537037037039</v>
      </c>
      <c r="G4927" s="37">
        <v>6.3</v>
      </c>
      <c r="H4927" s="36" t="s">
        <v>1360</v>
      </c>
      <c r="I4927" s="36" t="s">
        <v>1361</v>
      </c>
    </row>
    <row r="4928" spans="1:9" x14ac:dyDescent="0.25">
      <c r="A4928" s="38" t="s">
        <v>162</v>
      </c>
      <c r="B4928" s="28">
        <v>9226</v>
      </c>
      <c r="C4928" s="28">
        <v>5669323</v>
      </c>
      <c r="D4928" s="46"/>
      <c r="E4928" s="35">
        <v>46157</v>
      </c>
      <c r="F4928" s="49">
        <v>0.32581018518518517</v>
      </c>
      <c r="G4928" s="37">
        <v>6.3</v>
      </c>
      <c r="H4928" s="36" t="s">
        <v>1362</v>
      </c>
      <c r="I4928" s="36" t="s">
        <v>1361</v>
      </c>
    </row>
    <row r="4929" spans="1:9" x14ac:dyDescent="0.25">
      <c r="A4929" s="38" t="s">
        <v>162</v>
      </c>
      <c r="B4929" s="28">
        <v>9226</v>
      </c>
      <c r="C4929" s="28" t="s">
        <v>35</v>
      </c>
      <c r="D4929" s="46" t="s">
        <v>38</v>
      </c>
      <c r="E4929" s="35">
        <v>46159</v>
      </c>
      <c r="F4929" s="49">
        <v>0.42871527777777779</v>
      </c>
      <c r="G4929" s="37">
        <v>6.3</v>
      </c>
      <c r="H4929" s="36" t="s">
        <v>1362</v>
      </c>
      <c r="I4929" s="36" t="s">
        <v>1365</v>
      </c>
    </row>
    <row r="4930" spans="1:9" x14ac:dyDescent="0.25">
      <c r="A4930" s="38" t="s">
        <v>162</v>
      </c>
      <c r="B4930" s="28">
        <v>9226</v>
      </c>
      <c r="C4930" s="28">
        <v>5672553</v>
      </c>
      <c r="D4930" s="46"/>
      <c r="E4930" s="35">
        <v>46159</v>
      </c>
      <c r="F4930" s="49">
        <v>0.59817129629629628</v>
      </c>
      <c r="G4930" s="37">
        <v>6.3</v>
      </c>
      <c r="H4930" s="36" t="s">
        <v>1360</v>
      </c>
      <c r="I4930" s="36" t="s">
        <v>1365</v>
      </c>
    </row>
    <row r="4931" spans="1:9" x14ac:dyDescent="0.25">
      <c r="A4931" s="38" t="s">
        <v>162</v>
      </c>
      <c r="B4931" s="28">
        <v>9226</v>
      </c>
      <c r="C4931" s="28">
        <v>5672553</v>
      </c>
      <c r="D4931" s="46"/>
      <c r="E4931" s="35">
        <v>46159</v>
      </c>
      <c r="F4931" s="49">
        <v>0.60539351851851853</v>
      </c>
      <c r="G4931" s="37">
        <v>6.3</v>
      </c>
      <c r="H4931" s="36" t="s">
        <v>1362</v>
      </c>
      <c r="I4931" s="36" t="s">
        <v>1365</v>
      </c>
    </row>
    <row r="4932" spans="1:9" x14ac:dyDescent="0.25">
      <c r="A4932" s="38" t="s">
        <v>300</v>
      </c>
      <c r="B4932" s="28">
        <v>9234</v>
      </c>
      <c r="C4932" s="28" t="s">
        <v>35</v>
      </c>
      <c r="D4932" s="46" t="s">
        <v>38</v>
      </c>
      <c r="E4932" s="35">
        <v>46153</v>
      </c>
      <c r="F4932" s="49">
        <v>0.33362268518518517</v>
      </c>
      <c r="G4932" s="37">
        <v>6.3</v>
      </c>
      <c r="H4932" s="36" t="s">
        <v>1360</v>
      </c>
      <c r="I4932" s="36" t="s">
        <v>1361</v>
      </c>
    </row>
    <row r="4933" spans="1:9" x14ac:dyDescent="0.25">
      <c r="A4933" s="38" t="s">
        <v>300</v>
      </c>
      <c r="B4933" s="28">
        <v>9234</v>
      </c>
      <c r="C4933" s="28" t="s">
        <v>35</v>
      </c>
      <c r="D4933" s="46" t="s">
        <v>38</v>
      </c>
      <c r="E4933" s="35">
        <v>46153</v>
      </c>
      <c r="F4933" s="49">
        <v>0.4020023148148148</v>
      </c>
      <c r="G4933" s="37">
        <v>6.3</v>
      </c>
      <c r="H4933" s="36" t="s">
        <v>1369</v>
      </c>
      <c r="I4933" s="36" t="s">
        <v>1361</v>
      </c>
    </row>
    <row r="4934" spans="1:9" x14ac:dyDescent="0.25">
      <c r="A4934" s="38" t="s">
        <v>167</v>
      </c>
      <c r="B4934" s="28">
        <v>9245</v>
      </c>
      <c r="C4934" s="28" t="s">
        <v>1285</v>
      </c>
      <c r="D4934" s="46"/>
      <c r="E4934" s="35">
        <v>46153</v>
      </c>
      <c r="F4934" s="49">
        <v>0.18217592592592594</v>
      </c>
      <c r="G4934" s="37">
        <v>6.3</v>
      </c>
      <c r="H4934" s="36" t="s">
        <v>1363</v>
      </c>
      <c r="I4934" s="36" t="s">
        <v>1361</v>
      </c>
    </row>
    <row r="4935" spans="1:9" x14ac:dyDescent="0.25">
      <c r="A4935" s="38" t="s">
        <v>167</v>
      </c>
      <c r="B4935" s="28">
        <v>9245</v>
      </c>
      <c r="C4935" s="28" t="s">
        <v>1285</v>
      </c>
      <c r="D4935" s="46"/>
      <c r="E4935" s="35">
        <v>46153</v>
      </c>
      <c r="F4935" s="49">
        <v>0.18707175925925926</v>
      </c>
      <c r="G4935" s="37">
        <v>6.3</v>
      </c>
      <c r="H4935" s="36" t="s">
        <v>1364</v>
      </c>
      <c r="I4935" s="36" t="s">
        <v>1361</v>
      </c>
    </row>
    <row r="4936" spans="1:9" x14ac:dyDescent="0.25">
      <c r="A4936" s="38" t="s">
        <v>167</v>
      </c>
      <c r="B4936" s="28">
        <v>9245</v>
      </c>
      <c r="C4936" s="28" t="s">
        <v>35</v>
      </c>
      <c r="D4936" s="46" t="s">
        <v>38</v>
      </c>
      <c r="E4936" s="35">
        <v>46153</v>
      </c>
      <c r="F4936" s="49">
        <v>0.23754629629629628</v>
      </c>
      <c r="G4936" s="37">
        <v>6.3</v>
      </c>
      <c r="H4936" s="36" t="s">
        <v>1360</v>
      </c>
      <c r="I4936" s="36" t="s">
        <v>1361</v>
      </c>
    </row>
    <row r="4937" spans="1:9" x14ac:dyDescent="0.25">
      <c r="A4937" s="38" t="s">
        <v>167</v>
      </c>
      <c r="B4937" s="28">
        <v>9245</v>
      </c>
      <c r="C4937" s="28">
        <v>5664228</v>
      </c>
      <c r="D4937" s="46"/>
      <c r="E4937" s="35">
        <v>46154</v>
      </c>
      <c r="F4937" s="49">
        <v>0.25622685185185184</v>
      </c>
      <c r="G4937" s="37">
        <v>6.3</v>
      </c>
      <c r="H4937" s="36" t="s">
        <v>1363</v>
      </c>
      <c r="I4937" s="36" t="s">
        <v>1361</v>
      </c>
    </row>
    <row r="4938" spans="1:9" x14ac:dyDescent="0.25">
      <c r="A4938" s="38" t="s">
        <v>167</v>
      </c>
      <c r="B4938" s="28">
        <v>9245</v>
      </c>
      <c r="C4938" s="28">
        <v>5664228</v>
      </c>
      <c r="D4938" s="46"/>
      <c r="E4938" s="35">
        <v>46154</v>
      </c>
      <c r="F4938" s="49">
        <v>0.26210648148148147</v>
      </c>
      <c r="G4938" s="37">
        <v>6.3</v>
      </c>
      <c r="H4938" s="36" t="s">
        <v>1364</v>
      </c>
      <c r="I4938" s="36" t="s">
        <v>1361</v>
      </c>
    </row>
    <row r="4939" spans="1:9" x14ac:dyDescent="0.25">
      <c r="A4939" s="38" t="s">
        <v>167</v>
      </c>
      <c r="B4939" s="28">
        <v>9245</v>
      </c>
      <c r="C4939" s="28" t="s">
        <v>1286</v>
      </c>
      <c r="D4939" s="46"/>
      <c r="E4939" s="35">
        <v>46156</v>
      </c>
      <c r="F4939" s="49">
        <v>0.19820601851851852</v>
      </c>
      <c r="G4939" s="37">
        <v>6.3</v>
      </c>
      <c r="H4939" s="36" t="s">
        <v>1363</v>
      </c>
      <c r="I4939" s="36" t="s">
        <v>1361</v>
      </c>
    </row>
    <row r="4940" spans="1:9" x14ac:dyDescent="0.25">
      <c r="A4940" s="38" t="s">
        <v>167</v>
      </c>
      <c r="B4940" s="28">
        <v>9245</v>
      </c>
      <c r="C4940" s="28" t="s">
        <v>1286</v>
      </c>
      <c r="D4940" s="46"/>
      <c r="E4940" s="35">
        <v>46156</v>
      </c>
      <c r="F4940" s="49">
        <v>0.20328703703703704</v>
      </c>
      <c r="G4940" s="37">
        <v>6.3</v>
      </c>
      <c r="H4940" s="36" t="s">
        <v>1364</v>
      </c>
      <c r="I4940" s="36" t="s">
        <v>1361</v>
      </c>
    </row>
    <row r="4941" spans="1:9" x14ac:dyDescent="0.25">
      <c r="A4941" s="38" t="s">
        <v>167</v>
      </c>
      <c r="B4941" s="28">
        <v>9245</v>
      </c>
      <c r="C4941" s="28" t="s">
        <v>1287</v>
      </c>
      <c r="D4941" s="46"/>
      <c r="E4941" s="35">
        <v>46159</v>
      </c>
      <c r="F4941" s="49">
        <v>0.1320949074074074</v>
      </c>
      <c r="G4941" s="37">
        <v>6.3</v>
      </c>
      <c r="H4941" s="36" t="s">
        <v>1363</v>
      </c>
      <c r="I4941" s="36" t="s">
        <v>1365</v>
      </c>
    </row>
    <row r="4942" spans="1:9" x14ac:dyDescent="0.25">
      <c r="A4942" s="38" t="s">
        <v>167</v>
      </c>
      <c r="B4942" s="28">
        <v>9245</v>
      </c>
      <c r="C4942" s="28" t="s">
        <v>1287</v>
      </c>
      <c r="D4942" s="46"/>
      <c r="E4942" s="35">
        <v>46159</v>
      </c>
      <c r="F4942" s="49">
        <v>0.13958333333333334</v>
      </c>
      <c r="G4942" s="37">
        <v>6.3</v>
      </c>
      <c r="H4942" s="36" t="s">
        <v>1364</v>
      </c>
      <c r="I4942" s="36" t="s">
        <v>1365</v>
      </c>
    </row>
    <row r="4943" spans="1:9" x14ac:dyDescent="0.25">
      <c r="A4943" s="38" t="s">
        <v>167</v>
      </c>
      <c r="B4943" s="28">
        <v>9245</v>
      </c>
      <c r="C4943" s="28" t="s">
        <v>1288</v>
      </c>
      <c r="D4943" s="46"/>
      <c r="E4943" s="35">
        <v>46159</v>
      </c>
      <c r="F4943" s="49">
        <v>0.23255787037037037</v>
      </c>
      <c r="G4943" s="37">
        <v>6.3</v>
      </c>
      <c r="H4943" s="36" t="s">
        <v>1363</v>
      </c>
      <c r="I4943" s="36" t="s">
        <v>1365</v>
      </c>
    </row>
    <row r="4944" spans="1:9" x14ac:dyDescent="0.25">
      <c r="A4944" s="38" t="s">
        <v>167</v>
      </c>
      <c r="B4944" s="28">
        <v>9245</v>
      </c>
      <c r="C4944" s="28" t="s">
        <v>1288</v>
      </c>
      <c r="D4944" s="46"/>
      <c r="E4944" s="35">
        <v>46159</v>
      </c>
      <c r="F4944" s="49">
        <v>0.23737268518518517</v>
      </c>
      <c r="G4944" s="37">
        <v>6.3</v>
      </c>
      <c r="H4944" s="36" t="s">
        <v>1364</v>
      </c>
      <c r="I4944" s="36" t="s">
        <v>1365</v>
      </c>
    </row>
    <row r="4945" spans="1:9" x14ac:dyDescent="0.25">
      <c r="A4945" s="38" t="s">
        <v>167</v>
      </c>
      <c r="B4945" s="28">
        <v>9245</v>
      </c>
      <c r="C4945" s="28" t="s">
        <v>1289</v>
      </c>
      <c r="D4945" s="46"/>
      <c r="E4945" s="35">
        <v>46159</v>
      </c>
      <c r="F4945" s="49">
        <v>0.3087847222222222</v>
      </c>
      <c r="G4945" s="37">
        <v>6.3</v>
      </c>
      <c r="H4945" s="36" t="s">
        <v>1360</v>
      </c>
      <c r="I4945" s="36" t="s">
        <v>1365</v>
      </c>
    </row>
    <row r="4946" spans="1:9" x14ac:dyDescent="0.25">
      <c r="A4946" s="38" t="s">
        <v>167</v>
      </c>
      <c r="B4946" s="28">
        <v>9245</v>
      </c>
      <c r="C4946" s="28" t="s">
        <v>1289</v>
      </c>
      <c r="D4946" s="46"/>
      <c r="E4946" s="35">
        <v>46159</v>
      </c>
      <c r="F4946" s="49">
        <v>0.31609953703703703</v>
      </c>
      <c r="G4946" s="37">
        <v>6.3</v>
      </c>
      <c r="H4946" s="36" t="s">
        <v>1362</v>
      </c>
      <c r="I4946" s="36" t="s">
        <v>1365</v>
      </c>
    </row>
    <row r="4947" spans="1:9" x14ac:dyDescent="0.25">
      <c r="A4947" s="38" t="s">
        <v>107</v>
      </c>
      <c r="B4947" s="28">
        <v>9259</v>
      </c>
      <c r="C4947" s="28">
        <v>5671573</v>
      </c>
      <c r="D4947" s="46"/>
      <c r="E4947" s="35">
        <v>46158</v>
      </c>
      <c r="F4947" s="49">
        <v>0.68083333333333329</v>
      </c>
      <c r="G4947" s="37">
        <v>6.3</v>
      </c>
      <c r="H4947" s="36" t="s">
        <v>1363</v>
      </c>
      <c r="I4947" s="36" t="s">
        <v>1365</v>
      </c>
    </row>
    <row r="4948" spans="1:9" x14ac:dyDescent="0.25">
      <c r="A4948" s="38" t="s">
        <v>481</v>
      </c>
      <c r="B4948" s="28">
        <v>9302</v>
      </c>
      <c r="C4948" s="28">
        <v>10638190</v>
      </c>
      <c r="D4948" s="46"/>
      <c r="E4948" s="35">
        <v>46153</v>
      </c>
      <c r="F4948" s="49">
        <v>0.31763888888888892</v>
      </c>
      <c r="G4948" s="37">
        <v>6.3</v>
      </c>
      <c r="H4948" s="36" t="s">
        <v>1363</v>
      </c>
      <c r="I4948" s="36" t="s">
        <v>1361</v>
      </c>
    </row>
    <row r="4949" spans="1:9" x14ac:dyDescent="0.25">
      <c r="A4949" s="38" t="s">
        <v>481</v>
      </c>
      <c r="B4949" s="28">
        <v>9302</v>
      </c>
      <c r="C4949" s="28">
        <v>10638190</v>
      </c>
      <c r="D4949" s="46"/>
      <c r="E4949" s="35">
        <v>46153</v>
      </c>
      <c r="F4949" s="49">
        <v>0.33324074074074073</v>
      </c>
      <c r="G4949" s="37">
        <v>6.3</v>
      </c>
      <c r="H4949" s="36" t="s">
        <v>1364</v>
      </c>
      <c r="I4949" s="36" t="s">
        <v>1361</v>
      </c>
    </row>
    <row r="4950" spans="1:9" x14ac:dyDescent="0.25">
      <c r="A4950" s="38" t="s">
        <v>481</v>
      </c>
      <c r="B4950" s="28">
        <v>9302</v>
      </c>
      <c r="C4950" s="28">
        <v>10643014</v>
      </c>
      <c r="D4950" s="46"/>
      <c r="E4950" s="35">
        <v>46153</v>
      </c>
      <c r="F4950" s="49">
        <v>0.61107638888888893</v>
      </c>
      <c r="G4950" s="37">
        <v>6.3</v>
      </c>
      <c r="H4950" s="36" t="s">
        <v>1360</v>
      </c>
      <c r="I4950" s="36" t="s">
        <v>1361</v>
      </c>
    </row>
    <row r="4951" spans="1:9" x14ac:dyDescent="0.25">
      <c r="A4951" s="38" t="s">
        <v>481</v>
      </c>
      <c r="B4951" s="28">
        <v>9302</v>
      </c>
      <c r="C4951" s="28">
        <v>10643014</v>
      </c>
      <c r="D4951" s="46"/>
      <c r="E4951" s="35">
        <v>46153</v>
      </c>
      <c r="F4951" s="49">
        <v>0.61846064814814816</v>
      </c>
      <c r="G4951" s="37">
        <v>6.3</v>
      </c>
      <c r="H4951" s="36" t="s">
        <v>1368</v>
      </c>
      <c r="I4951" s="36" t="s">
        <v>1361</v>
      </c>
    </row>
    <row r="4952" spans="1:9" x14ac:dyDescent="0.25">
      <c r="A4952" s="38" t="s">
        <v>481</v>
      </c>
      <c r="B4952" s="28">
        <v>9302</v>
      </c>
      <c r="C4952" s="28">
        <v>10652903</v>
      </c>
      <c r="D4952" s="46"/>
      <c r="E4952" s="35">
        <v>46155</v>
      </c>
      <c r="F4952" s="49">
        <v>0.26859953703703704</v>
      </c>
      <c r="G4952" s="37">
        <v>6.3</v>
      </c>
      <c r="H4952" s="36" t="s">
        <v>1369</v>
      </c>
      <c r="I4952" s="36" t="s">
        <v>1361</v>
      </c>
    </row>
    <row r="4953" spans="1:9" x14ac:dyDescent="0.25">
      <c r="A4953" s="38" t="s">
        <v>481</v>
      </c>
      <c r="B4953" s="28">
        <v>9302</v>
      </c>
      <c r="C4953" s="28">
        <v>10652903</v>
      </c>
      <c r="D4953" s="46"/>
      <c r="E4953" s="35">
        <v>46155</v>
      </c>
      <c r="F4953" s="49">
        <v>0.28480324074074076</v>
      </c>
      <c r="G4953" s="37">
        <v>6.3</v>
      </c>
      <c r="H4953" s="36" t="s">
        <v>1364</v>
      </c>
      <c r="I4953" s="36" t="s">
        <v>1361</v>
      </c>
    </row>
    <row r="4954" spans="1:9" x14ac:dyDescent="0.25">
      <c r="A4954" s="38" t="s">
        <v>481</v>
      </c>
      <c r="B4954" s="28">
        <v>9302</v>
      </c>
      <c r="C4954" s="28">
        <v>10651905</v>
      </c>
      <c r="D4954" s="46"/>
      <c r="E4954" s="35">
        <v>46155</v>
      </c>
      <c r="F4954" s="49">
        <v>0.5176736111111111</v>
      </c>
      <c r="G4954" s="37">
        <v>6.3</v>
      </c>
      <c r="H4954" s="36" t="s">
        <v>1363</v>
      </c>
      <c r="I4954" s="36" t="s">
        <v>1361</v>
      </c>
    </row>
    <row r="4955" spans="1:9" x14ac:dyDescent="0.25">
      <c r="A4955" s="38" t="s">
        <v>481</v>
      </c>
      <c r="B4955" s="28">
        <v>9302</v>
      </c>
      <c r="C4955" s="28">
        <v>10651905</v>
      </c>
      <c r="D4955" s="46"/>
      <c r="E4955" s="35">
        <v>46155</v>
      </c>
      <c r="F4955" s="49">
        <v>0.52356481481481476</v>
      </c>
      <c r="G4955" s="37">
        <v>6.3</v>
      </c>
      <c r="H4955" s="36" t="s">
        <v>1364</v>
      </c>
      <c r="I4955" s="36" t="s">
        <v>1361</v>
      </c>
    </row>
    <row r="4956" spans="1:9" x14ac:dyDescent="0.25">
      <c r="A4956" s="38" t="s">
        <v>481</v>
      </c>
      <c r="B4956" s="28">
        <v>9302</v>
      </c>
      <c r="C4956" s="28" t="s">
        <v>1290</v>
      </c>
      <c r="D4956" s="46"/>
      <c r="E4956" s="35">
        <v>46155</v>
      </c>
      <c r="F4956" s="49">
        <v>0.69335648148148143</v>
      </c>
      <c r="G4956" s="37">
        <v>6.3</v>
      </c>
      <c r="H4956" s="36" t="s">
        <v>1360</v>
      </c>
      <c r="I4956" s="36" t="s">
        <v>1361</v>
      </c>
    </row>
    <row r="4957" spans="1:9" x14ac:dyDescent="0.25">
      <c r="A4957" s="38" t="s">
        <v>481</v>
      </c>
      <c r="B4957" s="28">
        <v>9302</v>
      </c>
      <c r="C4957" s="28" t="s">
        <v>1290</v>
      </c>
      <c r="D4957" s="46"/>
      <c r="E4957" s="35">
        <v>46155</v>
      </c>
      <c r="F4957" s="49">
        <v>0.70225694444444442</v>
      </c>
      <c r="G4957" s="37">
        <v>6.3</v>
      </c>
      <c r="H4957" s="36" t="s">
        <v>1362</v>
      </c>
      <c r="I4957" s="36" t="s">
        <v>1361</v>
      </c>
    </row>
    <row r="4958" spans="1:9" x14ac:dyDescent="0.25">
      <c r="A4958" s="38" t="s">
        <v>481</v>
      </c>
      <c r="B4958" s="28">
        <v>9302</v>
      </c>
      <c r="C4958" s="28">
        <v>10658917</v>
      </c>
      <c r="D4958" s="46"/>
      <c r="E4958" s="35">
        <v>46156</v>
      </c>
      <c r="F4958" s="49">
        <v>0.32299768518518518</v>
      </c>
      <c r="G4958" s="37">
        <v>6.3</v>
      </c>
      <c r="H4958" s="36" t="s">
        <v>1363</v>
      </c>
      <c r="I4958" s="36" t="s">
        <v>1361</v>
      </c>
    </row>
    <row r="4959" spans="1:9" x14ac:dyDescent="0.25">
      <c r="A4959" s="38" t="s">
        <v>481</v>
      </c>
      <c r="B4959" s="28">
        <v>9302</v>
      </c>
      <c r="C4959" s="28">
        <v>10658917</v>
      </c>
      <c r="D4959" s="46"/>
      <c r="E4959" s="35">
        <v>46156</v>
      </c>
      <c r="F4959" s="49">
        <v>0.32976851851851852</v>
      </c>
      <c r="G4959" s="37">
        <v>6.3</v>
      </c>
      <c r="H4959" s="36" t="s">
        <v>1364</v>
      </c>
      <c r="I4959" s="36" t="s">
        <v>1361</v>
      </c>
    </row>
    <row r="4960" spans="1:9" x14ac:dyDescent="0.25">
      <c r="A4960" s="38" t="s">
        <v>481</v>
      </c>
      <c r="B4960" s="28">
        <v>9302</v>
      </c>
      <c r="C4960" s="28" t="s">
        <v>35</v>
      </c>
      <c r="D4960" s="46" t="s">
        <v>38</v>
      </c>
      <c r="E4960" s="35">
        <v>46157</v>
      </c>
      <c r="F4960" s="49">
        <v>0.26761574074074074</v>
      </c>
      <c r="G4960" s="37">
        <v>6.3</v>
      </c>
      <c r="H4960" s="36" t="s">
        <v>1369</v>
      </c>
      <c r="I4960" s="36" t="s">
        <v>1361</v>
      </c>
    </row>
    <row r="4961" spans="1:9" x14ac:dyDescent="0.25">
      <c r="A4961" s="38" t="s">
        <v>481</v>
      </c>
      <c r="B4961" s="28">
        <v>9302</v>
      </c>
      <c r="C4961" s="28" t="s">
        <v>35</v>
      </c>
      <c r="D4961" s="46" t="s">
        <v>38</v>
      </c>
      <c r="E4961" s="35">
        <v>46157</v>
      </c>
      <c r="F4961" s="49">
        <v>0.27348379629629632</v>
      </c>
      <c r="G4961" s="37">
        <v>6.3</v>
      </c>
      <c r="H4961" s="36" t="s">
        <v>1364</v>
      </c>
      <c r="I4961" s="36" t="s">
        <v>1361</v>
      </c>
    </row>
    <row r="4962" spans="1:9" x14ac:dyDescent="0.25">
      <c r="A4962" s="38" t="s">
        <v>481</v>
      </c>
      <c r="B4962" s="28">
        <v>9302</v>
      </c>
      <c r="C4962" s="28">
        <v>10675064</v>
      </c>
      <c r="D4962" s="46"/>
      <c r="E4962" s="35">
        <v>46158</v>
      </c>
      <c r="F4962" s="49">
        <v>0.32225694444444447</v>
      </c>
      <c r="G4962" s="37">
        <v>6.3</v>
      </c>
      <c r="H4962" s="36" t="s">
        <v>1364</v>
      </c>
      <c r="I4962" s="36" t="s">
        <v>1365</v>
      </c>
    </row>
    <row r="4963" spans="1:9" x14ac:dyDescent="0.25">
      <c r="A4963" s="38" t="s">
        <v>481</v>
      </c>
      <c r="B4963" s="28">
        <v>9302</v>
      </c>
      <c r="C4963" s="28">
        <v>10675095</v>
      </c>
      <c r="D4963" s="46"/>
      <c r="E4963" s="35">
        <v>46158</v>
      </c>
      <c r="F4963" s="49">
        <v>0.51598379629629632</v>
      </c>
      <c r="G4963" s="37">
        <v>6.3</v>
      </c>
      <c r="H4963" s="36" t="s">
        <v>1363</v>
      </c>
      <c r="I4963" s="36" t="s">
        <v>1365</v>
      </c>
    </row>
    <row r="4964" spans="1:9" x14ac:dyDescent="0.25">
      <c r="A4964" s="38" t="s">
        <v>481</v>
      </c>
      <c r="B4964" s="28">
        <v>9302</v>
      </c>
      <c r="C4964" s="28">
        <v>10675095</v>
      </c>
      <c r="D4964" s="46"/>
      <c r="E4964" s="35">
        <v>46158</v>
      </c>
      <c r="F4964" s="49">
        <v>0.5221527777777778</v>
      </c>
      <c r="G4964" s="37">
        <v>6.3</v>
      </c>
      <c r="H4964" s="36" t="s">
        <v>1364</v>
      </c>
      <c r="I4964" s="36" t="s">
        <v>1365</v>
      </c>
    </row>
    <row r="4965" spans="1:9" x14ac:dyDescent="0.25">
      <c r="A4965" s="38" t="s">
        <v>481</v>
      </c>
      <c r="B4965" s="28">
        <v>9302</v>
      </c>
      <c r="C4965" s="28">
        <v>10675317</v>
      </c>
      <c r="D4965" s="46"/>
      <c r="E4965" s="35">
        <v>46158</v>
      </c>
      <c r="F4965" s="49">
        <v>0.59281249999999996</v>
      </c>
      <c r="G4965" s="37">
        <v>6.3</v>
      </c>
      <c r="H4965" s="36" t="s">
        <v>1360</v>
      </c>
      <c r="I4965" s="36" t="s">
        <v>1365</v>
      </c>
    </row>
    <row r="4966" spans="1:9" x14ac:dyDescent="0.25">
      <c r="A4966" s="38" t="s">
        <v>481</v>
      </c>
      <c r="B4966" s="28">
        <v>9302</v>
      </c>
      <c r="C4966" s="28">
        <v>10675317</v>
      </c>
      <c r="D4966" s="46"/>
      <c r="E4966" s="35">
        <v>46158</v>
      </c>
      <c r="F4966" s="49">
        <v>0.60714120370370372</v>
      </c>
      <c r="G4966" s="37">
        <v>6.3</v>
      </c>
      <c r="H4966" s="36" t="s">
        <v>1362</v>
      </c>
      <c r="I4966" s="36" t="s">
        <v>1365</v>
      </c>
    </row>
    <row r="4967" spans="1:9" x14ac:dyDescent="0.25">
      <c r="A4967" s="38" t="s">
        <v>481</v>
      </c>
      <c r="B4967" s="28">
        <v>9302</v>
      </c>
      <c r="C4967" s="28" t="s">
        <v>35</v>
      </c>
      <c r="D4967" s="46" t="s">
        <v>38</v>
      </c>
      <c r="E4967" s="35">
        <v>46159</v>
      </c>
      <c r="F4967" s="49">
        <v>0.18724537037037037</v>
      </c>
      <c r="G4967" s="37">
        <v>6.3</v>
      </c>
      <c r="H4967" s="36" t="s">
        <v>1367</v>
      </c>
      <c r="I4967" s="36" t="s">
        <v>1365</v>
      </c>
    </row>
    <row r="4968" spans="1:9" x14ac:dyDescent="0.25">
      <c r="A4968" s="38" t="s">
        <v>481</v>
      </c>
      <c r="B4968" s="28">
        <v>9302</v>
      </c>
      <c r="C4968" s="28" t="s">
        <v>1291</v>
      </c>
      <c r="D4968" s="46" t="s">
        <v>36</v>
      </c>
      <c r="E4968" s="35">
        <v>46159</v>
      </c>
      <c r="F4968" s="49">
        <v>0.18991898148148148</v>
      </c>
      <c r="G4968" s="37">
        <v>6.3</v>
      </c>
      <c r="H4968" s="36" t="s">
        <v>1364</v>
      </c>
      <c r="I4968" s="36" t="s">
        <v>1365</v>
      </c>
    </row>
    <row r="4969" spans="1:9" x14ac:dyDescent="0.25">
      <c r="A4969" s="38" t="s">
        <v>165</v>
      </c>
      <c r="B4969" s="28">
        <v>9333</v>
      </c>
      <c r="C4969" s="28">
        <v>5661940</v>
      </c>
      <c r="D4969" s="46"/>
      <c r="E4969" s="35">
        <v>46153</v>
      </c>
      <c r="F4969" s="49">
        <v>0.14064814814814816</v>
      </c>
      <c r="G4969" s="37">
        <v>6.3</v>
      </c>
      <c r="H4969" s="36" t="s">
        <v>1370</v>
      </c>
      <c r="I4969" s="36" t="s">
        <v>1361</v>
      </c>
    </row>
    <row r="4970" spans="1:9" x14ac:dyDescent="0.25">
      <c r="A4970" s="38" t="s">
        <v>165</v>
      </c>
      <c r="B4970" s="28">
        <v>9333</v>
      </c>
      <c r="C4970" s="28">
        <v>5661940</v>
      </c>
      <c r="D4970" s="46"/>
      <c r="E4970" s="35">
        <v>46153</v>
      </c>
      <c r="F4970" s="49">
        <v>0.14475694444444445</v>
      </c>
      <c r="G4970" s="37">
        <v>6.3</v>
      </c>
      <c r="H4970" s="36" t="s">
        <v>1364</v>
      </c>
      <c r="I4970" s="36" t="s">
        <v>1361</v>
      </c>
    </row>
    <row r="4971" spans="1:9" x14ac:dyDescent="0.25">
      <c r="A4971" s="38" t="s">
        <v>165</v>
      </c>
      <c r="B4971" s="28">
        <v>9333</v>
      </c>
      <c r="C4971" s="28" t="s">
        <v>1292</v>
      </c>
      <c r="D4971" s="46"/>
      <c r="E4971" s="35">
        <v>46154</v>
      </c>
      <c r="F4971" s="49">
        <v>0.51422453703703708</v>
      </c>
      <c r="G4971" s="37">
        <v>6.3</v>
      </c>
      <c r="H4971" s="36" t="s">
        <v>1360</v>
      </c>
      <c r="I4971" s="36" t="s">
        <v>1361</v>
      </c>
    </row>
    <row r="4972" spans="1:9" x14ac:dyDescent="0.25">
      <c r="A4972" s="38" t="s">
        <v>165</v>
      </c>
      <c r="B4972" s="28">
        <v>9333</v>
      </c>
      <c r="C4972" s="28" t="s">
        <v>1292</v>
      </c>
      <c r="D4972" s="46"/>
      <c r="E4972" s="35">
        <v>46154</v>
      </c>
      <c r="F4972" s="49">
        <v>0.52425925925925931</v>
      </c>
      <c r="G4972" s="37">
        <v>6.3</v>
      </c>
      <c r="H4972" s="36" t="s">
        <v>1368</v>
      </c>
      <c r="I4972" s="36" t="s">
        <v>1361</v>
      </c>
    </row>
    <row r="4973" spans="1:9" x14ac:dyDescent="0.25">
      <c r="A4973" s="38" t="s">
        <v>165</v>
      </c>
      <c r="B4973" s="28">
        <v>9333</v>
      </c>
      <c r="C4973" s="28">
        <v>5665096</v>
      </c>
      <c r="D4973" s="46"/>
      <c r="E4973" s="35">
        <v>46154</v>
      </c>
      <c r="F4973" s="49">
        <v>0.66515046296296299</v>
      </c>
      <c r="G4973" s="37">
        <v>6.3</v>
      </c>
      <c r="H4973" s="36" t="s">
        <v>1360</v>
      </c>
      <c r="I4973" s="36" t="s">
        <v>1361</v>
      </c>
    </row>
    <row r="4974" spans="1:9" x14ac:dyDescent="0.25">
      <c r="A4974" s="38" t="s">
        <v>165</v>
      </c>
      <c r="B4974" s="28">
        <v>9333</v>
      </c>
      <c r="C4974" s="28">
        <v>5665096</v>
      </c>
      <c r="D4974" s="46"/>
      <c r="E4974" s="35">
        <v>46154</v>
      </c>
      <c r="F4974" s="49">
        <v>0.67592592592592593</v>
      </c>
      <c r="G4974" s="37">
        <v>6.3</v>
      </c>
      <c r="H4974" s="36" t="s">
        <v>1362</v>
      </c>
      <c r="I4974" s="36" t="s">
        <v>1361</v>
      </c>
    </row>
    <row r="4975" spans="1:9" x14ac:dyDescent="0.25">
      <c r="A4975" s="38" t="s">
        <v>165</v>
      </c>
      <c r="B4975" s="28">
        <v>9333</v>
      </c>
      <c r="C4975" s="28">
        <v>5665840</v>
      </c>
      <c r="D4975" s="46"/>
      <c r="E4975" s="35">
        <v>46155</v>
      </c>
      <c r="F4975" s="49">
        <v>0.1575462962962963</v>
      </c>
      <c r="G4975" s="37">
        <v>6.3</v>
      </c>
      <c r="H4975" s="36" t="s">
        <v>1363</v>
      </c>
      <c r="I4975" s="36" t="s">
        <v>1361</v>
      </c>
    </row>
    <row r="4976" spans="1:9" x14ac:dyDescent="0.25">
      <c r="A4976" s="38" t="s">
        <v>165</v>
      </c>
      <c r="B4976" s="28">
        <v>9333</v>
      </c>
      <c r="C4976" s="28">
        <v>5665840</v>
      </c>
      <c r="D4976" s="46"/>
      <c r="E4976" s="35">
        <v>46155</v>
      </c>
      <c r="F4976" s="49">
        <v>0.16247685185185184</v>
      </c>
      <c r="G4976" s="37">
        <v>6.3</v>
      </c>
      <c r="H4976" s="36" t="s">
        <v>1364</v>
      </c>
      <c r="I4976" s="36" t="s">
        <v>1361</v>
      </c>
    </row>
    <row r="4977" spans="1:9" x14ac:dyDescent="0.25">
      <c r="A4977" s="38" t="s">
        <v>165</v>
      </c>
      <c r="B4977" s="28">
        <v>9333</v>
      </c>
      <c r="C4977" s="28">
        <v>5666833</v>
      </c>
      <c r="D4977" s="46"/>
      <c r="E4977" s="35">
        <v>46155</v>
      </c>
      <c r="F4977" s="49">
        <v>0.78241898148148148</v>
      </c>
      <c r="G4977" s="37">
        <v>6.3</v>
      </c>
      <c r="H4977" s="36" t="s">
        <v>1360</v>
      </c>
      <c r="I4977" s="36" t="s">
        <v>1361</v>
      </c>
    </row>
    <row r="4978" spans="1:9" x14ac:dyDescent="0.25">
      <c r="A4978" s="38" t="s">
        <v>165</v>
      </c>
      <c r="B4978" s="28">
        <v>9333</v>
      </c>
      <c r="C4978" s="28">
        <v>5666833</v>
      </c>
      <c r="D4978" s="46"/>
      <c r="E4978" s="35">
        <v>46155</v>
      </c>
      <c r="F4978" s="49">
        <v>0.79574074074074075</v>
      </c>
      <c r="G4978" s="37">
        <v>6.3</v>
      </c>
      <c r="H4978" s="36" t="s">
        <v>1366</v>
      </c>
      <c r="I4978" s="36" t="s">
        <v>1361</v>
      </c>
    </row>
    <row r="4979" spans="1:9" x14ac:dyDescent="0.25">
      <c r="A4979" s="38" t="s">
        <v>165</v>
      </c>
      <c r="B4979" s="28">
        <v>9333</v>
      </c>
      <c r="C4979" s="28">
        <v>5664647</v>
      </c>
      <c r="D4979" s="46"/>
      <c r="E4979" s="35">
        <v>46156</v>
      </c>
      <c r="F4979" s="49">
        <v>0.76761574074074079</v>
      </c>
      <c r="G4979" s="37">
        <v>6.3</v>
      </c>
      <c r="H4979" s="36" t="s">
        <v>1360</v>
      </c>
      <c r="I4979" s="36" t="s">
        <v>1361</v>
      </c>
    </row>
    <row r="4980" spans="1:9" x14ac:dyDescent="0.25">
      <c r="A4980" s="38" t="s">
        <v>165</v>
      </c>
      <c r="B4980" s="28">
        <v>9333</v>
      </c>
      <c r="C4980" s="28">
        <v>5664647</v>
      </c>
      <c r="D4980" s="46"/>
      <c r="E4980" s="35">
        <v>46156</v>
      </c>
      <c r="F4980" s="49">
        <v>0.78434027777777782</v>
      </c>
      <c r="G4980" s="37">
        <v>6.3</v>
      </c>
      <c r="H4980" s="36" t="s">
        <v>1362</v>
      </c>
      <c r="I4980" s="36" t="s">
        <v>1361</v>
      </c>
    </row>
    <row r="4981" spans="1:9" x14ac:dyDescent="0.25">
      <c r="A4981" s="38" t="s">
        <v>165</v>
      </c>
      <c r="B4981" s="28">
        <v>9333</v>
      </c>
      <c r="C4981" s="28" t="s">
        <v>35</v>
      </c>
      <c r="D4981" s="46" t="s">
        <v>38</v>
      </c>
      <c r="E4981" s="35">
        <v>46156</v>
      </c>
      <c r="F4981" s="49">
        <v>0.84645833333333331</v>
      </c>
      <c r="G4981" s="37">
        <v>6.3</v>
      </c>
      <c r="H4981" s="36" t="s">
        <v>1363</v>
      </c>
      <c r="I4981" s="36" t="s">
        <v>1361</v>
      </c>
    </row>
    <row r="4982" spans="1:9" x14ac:dyDescent="0.25">
      <c r="A4982" s="38" t="s">
        <v>165</v>
      </c>
      <c r="B4982" s="28">
        <v>9333</v>
      </c>
      <c r="C4982" s="28" t="s">
        <v>35</v>
      </c>
      <c r="D4982" s="46" t="s">
        <v>38</v>
      </c>
      <c r="E4982" s="35">
        <v>46156</v>
      </c>
      <c r="F4982" s="49">
        <v>0.85910879629629633</v>
      </c>
      <c r="G4982" s="37">
        <v>6.3</v>
      </c>
      <c r="H4982" s="36" t="s">
        <v>1364</v>
      </c>
      <c r="I4982" s="36" t="s">
        <v>1361</v>
      </c>
    </row>
    <row r="4983" spans="1:9" x14ac:dyDescent="0.25">
      <c r="A4983" s="38" t="s">
        <v>482</v>
      </c>
      <c r="B4983" s="28">
        <v>9354</v>
      </c>
      <c r="C4983" s="28" t="s">
        <v>35</v>
      </c>
      <c r="D4983" s="46" t="s">
        <v>38</v>
      </c>
      <c r="E4983" s="35">
        <v>46159</v>
      </c>
      <c r="F4983" s="49">
        <v>0.867650462962963</v>
      </c>
      <c r="G4983" s="37">
        <v>6.3</v>
      </c>
      <c r="H4983" s="36" t="s">
        <v>1369</v>
      </c>
      <c r="I4983" s="36" t="s">
        <v>1365</v>
      </c>
    </row>
    <row r="4984" spans="1:9" x14ac:dyDescent="0.25">
      <c r="A4984" s="38" t="s">
        <v>279</v>
      </c>
      <c r="B4984" s="28">
        <v>9376</v>
      </c>
      <c r="C4984" s="28" t="s">
        <v>35</v>
      </c>
      <c r="D4984" s="46" t="s">
        <v>38</v>
      </c>
      <c r="E4984" s="35">
        <v>46153</v>
      </c>
      <c r="F4984" s="49">
        <v>0.41269675925925925</v>
      </c>
      <c r="G4984" s="37">
        <v>6.3</v>
      </c>
      <c r="H4984" s="36" t="s">
        <v>1364</v>
      </c>
      <c r="I4984" s="36" t="s">
        <v>1361</v>
      </c>
    </row>
    <row r="4985" spans="1:9" x14ac:dyDescent="0.25">
      <c r="A4985" s="38" t="s">
        <v>279</v>
      </c>
      <c r="B4985" s="28">
        <v>9376</v>
      </c>
      <c r="C4985" s="28" t="s">
        <v>1293</v>
      </c>
      <c r="D4985" s="46"/>
      <c r="E4985" s="35">
        <v>46153</v>
      </c>
      <c r="F4985" s="49">
        <v>0.56201388888888892</v>
      </c>
      <c r="G4985" s="37">
        <v>6.3</v>
      </c>
      <c r="H4985" s="36" t="s">
        <v>1360</v>
      </c>
      <c r="I4985" s="36" t="s">
        <v>1361</v>
      </c>
    </row>
    <row r="4986" spans="1:9" x14ac:dyDescent="0.25">
      <c r="A4986" s="38" t="s">
        <v>279</v>
      </c>
      <c r="B4986" s="28">
        <v>9376</v>
      </c>
      <c r="C4986" s="28" t="s">
        <v>1293</v>
      </c>
      <c r="D4986" s="46"/>
      <c r="E4986" s="35">
        <v>46153</v>
      </c>
      <c r="F4986" s="49">
        <v>0.57071759259259258</v>
      </c>
      <c r="G4986" s="37">
        <v>6.3</v>
      </c>
      <c r="H4986" s="36" t="s">
        <v>1362</v>
      </c>
      <c r="I4986" s="36" t="s">
        <v>1361</v>
      </c>
    </row>
    <row r="4987" spans="1:9" x14ac:dyDescent="0.25">
      <c r="A4987" s="38" t="s">
        <v>279</v>
      </c>
      <c r="B4987" s="28">
        <v>9376</v>
      </c>
      <c r="C4987" s="28">
        <v>5662481</v>
      </c>
      <c r="D4987" s="46"/>
      <c r="E4987" s="35">
        <v>46153</v>
      </c>
      <c r="F4987" s="49">
        <v>0.63380787037037034</v>
      </c>
      <c r="G4987" s="37">
        <v>6.3</v>
      </c>
      <c r="H4987" s="36" t="s">
        <v>1363</v>
      </c>
      <c r="I4987" s="36" t="s">
        <v>1361</v>
      </c>
    </row>
    <row r="4988" spans="1:9" x14ac:dyDescent="0.25">
      <c r="A4988" s="38" t="s">
        <v>279</v>
      </c>
      <c r="B4988" s="28">
        <v>9376</v>
      </c>
      <c r="C4988" s="28">
        <v>5662481</v>
      </c>
      <c r="D4988" s="46"/>
      <c r="E4988" s="35">
        <v>46153</v>
      </c>
      <c r="F4988" s="49">
        <v>0.64077546296296295</v>
      </c>
      <c r="G4988" s="37">
        <v>6.3</v>
      </c>
      <c r="H4988" s="36" t="s">
        <v>1364</v>
      </c>
      <c r="I4988" s="36" t="s">
        <v>1361</v>
      </c>
    </row>
    <row r="4989" spans="1:9" x14ac:dyDescent="0.25">
      <c r="A4989" s="38" t="s">
        <v>279</v>
      </c>
      <c r="B4989" s="28">
        <v>9376</v>
      </c>
      <c r="C4989" s="28" t="s">
        <v>35</v>
      </c>
      <c r="D4989" s="46" t="s">
        <v>38</v>
      </c>
      <c r="E4989" s="35">
        <v>46154</v>
      </c>
      <c r="F4989" s="49">
        <v>0.40502314814814816</v>
      </c>
      <c r="G4989" s="37">
        <v>6.3</v>
      </c>
      <c r="H4989" s="36" t="s">
        <v>1362</v>
      </c>
      <c r="I4989" s="36" t="s">
        <v>1361</v>
      </c>
    </row>
    <row r="4990" spans="1:9" x14ac:dyDescent="0.25">
      <c r="A4990" s="38" t="s">
        <v>279</v>
      </c>
      <c r="B4990" s="28">
        <v>9376</v>
      </c>
      <c r="C4990" s="28" t="s">
        <v>1294</v>
      </c>
      <c r="D4990" s="46"/>
      <c r="E4990" s="35">
        <v>46154</v>
      </c>
      <c r="F4990" s="49">
        <v>0.69820601851851849</v>
      </c>
      <c r="G4990" s="37">
        <v>6.3</v>
      </c>
      <c r="H4990" s="36" t="s">
        <v>1363</v>
      </c>
      <c r="I4990" s="36" t="s">
        <v>1361</v>
      </c>
    </row>
    <row r="4991" spans="1:9" x14ac:dyDescent="0.25">
      <c r="A4991" s="38" t="s">
        <v>279</v>
      </c>
      <c r="B4991" s="28">
        <v>9376</v>
      </c>
      <c r="C4991" s="28" t="s">
        <v>1294</v>
      </c>
      <c r="D4991" s="46"/>
      <c r="E4991" s="35">
        <v>46154</v>
      </c>
      <c r="F4991" s="49">
        <v>0.71637731481481481</v>
      </c>
      <c r="G4991" s="37">
        <v>6.3</v>
      </c>
      <c r="H4991" s="36" t="s">
        <v>1364</v>
      </c>
      <c r="I4991" s="36" t="s">
        <v>1361</v>
      </c>
    </row>
    <row r="4992" spans="1:9" x14ac:dyDescent="0.25">
      <c r="A4992" s="38" t="s">
        <v>279</v>
      </c>
      <c r="B4992" s="28">
        <v>9376</v>
      </c>
      <c r="C4992" s="28" t="s">
        <v>35</v>
      </c>
      <c r="D4992" s="46" t="s">
        <v>38</v>
      </c>
      <c r="E4992" s="35">
        <v>46156</v>
      </c>
      <c r="F4992" s="49">
        <v>0.41711805555555553</v>
      </c>
      <c r="G4992" s="37">
        <v>6.3</v>
      </c>
      <c r="H4992" s="36" t="s">
        <v>1364</v>
      </c>
      <c r="I4992" s="36" t="s">
        <v>1361</v>
      </c>
    </row>
    <row r="4993" spans="1:9" x14ac:dyDescent="0.25">
      <c r="A4993" s="38" t="s">
        <v>279</v>
      </c>
      <c r="B4993" s="28">
        <v>9376</v>
      </c>
      <c r="C4993" s="28" t="s">
        <v>1295</v>
      </c>
      <c r="D4993" s="46"/>
      <c r="E4993" s="35">
        <v>46156</v>
      </c>
      <c r="F4993" s="49">
        <v>0.55754629629629626</v>
      </c>
      <c r="G4993" s="37">
        <v>6.3</v>
      </c>
      <c r="H4993" s="36" t="s">
        <v>1360</v>
      </c>
      <c r="I4993" s="36" t="s">
        <v>1361</v>
      </c>
    </row>
    <row r="4994" spans="1:9" x14ac:dyDescent="0.25">
      <c r="A4994" s="38" t="s">
        <v>279</v>
      </c>
      <c r="B4994" s="28">
        <v>9376</v>
      </c>
      <c r="C4994" s="28" t="s">
        <v>1295</v>
      </c>
      <c r="D4994" s="46"/>
      <c r="E4994" s="35">
        <v>46156</v>
      </c>
      <c r="F4994" s="49">
        <v>0.56815972222222222</v>
      </c>
      <c r="G4994" s="37">
        <v>6.3</v>
      </c>
      <c r="H4994" s="36" t="s">
        <v>1362</v>
      </c>
      <c r="I4994" s="36" t="s">
        <v>1361</v>
      </c>
    </row>
    <row r="4995" spans="1:9" x14ac:dyDescent="0.25">
      <c r="A4995" s="38" t="s">
        <v>279</v>
      </c>
      <c r="B4995" s="28">
        <v>9376</v>
      </c>
      <c r="C4995" s="28" t="s">
        <v>35</v>
      </c>
      <c r="D4995" s="46" t="s">
        <v>38</v>
      </c>
      <c r="E4995" s="35">
        <v>46157</v>
      </c>
      <c r="F4995" s="49">
        <v>0.40197916666666667</v>
      </c>
      <c r="G4995" s="37">
        <v>6.3</v>
      </c>
      <c r="H4995" s="36" t="s">
        <v>1364</v>
      </c>
      <c r="I4995" s="36" t="s">
        <v>1361</v>
      </c>
    </row>
    <row r="4996" spans="1:9" x14ac:dyDescent="0.25">
      <c r="A4996" s="38" t="s">
        <v>279</v>
      </c>
      <c r="B4996" s="28">
        <v>9376</v>
      </c>
      <c r="C4996" s="28" t="s">
        <v>1296</v>
      </c>
      <c r="D4996" s="46"/>
      <c r="E4996" s="35">
        <v>46157</v>
      </c>
      <c r="F4996" s="49">
        <v>0.53306712962962965</v>
      </c>
      <c r="G4996" s="37">
        <v>6.3</v>
      </c>
      <c r="H4996" s="36" t="s">
        <v>1360</v>
      </c>
      <c r="I4996" s="36" t="s">
        <v>1361</v>
      </c>
    </row>
    <row r="4997" spans="1:9" x14ac:dyDescent="0.25">
      <c r="A4997" s="38" t="s">
        <v>279</v>
      </c>
      <c r="B4997" s="28">
        <v>9376</v>
      </c>
      <c r="C4997" s="28" t="s">
        <v>1296</v>
      </c>
      <c r="D4997" s="46"/>
      <c r="E4997" s="35">
        <v>46157</v>
      </c>
      <c r="F4997" s="49">
        <v>0.54062500000000002</v>
      </c>
      <c r="G4997" s="37">
        <v>6.3</v>
      </c>
      <c r="H4997" s="36" t="s">
        <v>1362</v>
      </c>
      <c r="I4997" s="36" t="s">
        <v>1361</v>
      </c>
    </row>
    <row r="4998" spans="1:9" x14ac:dyDescent="0.25">
      <c r="A4998" s="38" t="s">
        <v>279</v>
      </c>
      <c r="B4998" s="28">
        <v>9376</v>
      </c>
      <c r="C4998" s="28" t="s">
        <v>1297</v>
      </c>
      <c r="D4998" s="46"/>
      <c r="E4998" s="35">
        <v>46157</v>
      </c>
      <c r="F4998" s="49">
        <v>0.69226851851851856</v>
      </c>
      <c r="G4998" s="37">
        <v>6.3</v>
      </c>
      <c r="H4998" s="36" t="s">
        <v>1363</v>
      </c>
      <c r="I4998" s="36" t="s">
        <v>1361</v>
      </c>
    </row>
    <row r="4999" spans="1:9" x14ac:dyDescent="0.25">
      <c r="A4999" s="38" t="s">
        <v>279</v>
      </c>
      <c r="B4999" s="28">
        <v>9376</v>
      </c>
      <c r="C4999" s="28" t="s">
        <v>1297</v>
      </c>
      <c r="D4999" s="46"/>
      <c r="E4999" s="35">
        <v>46157</v>
      </c>
      <c r="F4999" s="49">
        <v>0.70961805555555557</v>
      </c>
      <c r="G4999" s="37">
        <v>6.3</v>
      </c>
      <c r="H4999" s="36" t="s">
        <v>1364</v>
      </c>
      <c r="I4999" s="36" t="s">
        <v>1361</v>
      </c>
    </row>
    <row r="5000" spans="1:9" x14ac:dyDescent="0.25">
      <c r="A5000" s="38" t="s">
        <v>279</v>
      </c>
      <c r="B5000" s="28">
        <v>9376</v>
      </c>
      <c r="C5000" s="28" t="s">
        <v>35</v>
      </c>
      <c r="D5000" s="46" t="s">
        <v>38</v>
      </c>
      <c r="E5000" s="35">
        <v>46158</v>
      </c>
      <c r="F5000" s="49">
        <v>0.39556712962962964</v>
      </c>
      <c r="G5000" s="37">
        <v>6.3</v>
      </c>
      <c r="H5000" s="36" t="s">
        <v>1364</v>
      </c>
      <c r="I5000" s="36" t="s">
        <v>1365</v>
      </c>
    </row>
    <row r="5001" spans="1:9" x14ac:dyDescent="0.25">
      <c r="A5001" s="38" t="s">
        <v>279</v>
      </c>
      <c r="B5001" s="28">
        <v>9376</v>
      </c>
      <c r="C5001" s="28" t="s">
        <v>1298</v>
      </c>
      <c r="D5001" s="46"/>
      <c r="E5001" s="35">
        <v>46158</v>
      </c>
      <c r="F5001" s="49">
        <v>0.62547453703703704</v>
      </c>
      <c r="G5001" s="37">
        <v>6.3</v>
      </c>
      <c r="H5001" s="36" t="s">
        <v>1360</v>
      </c>
      <c r="I5001" s="36" t="s">
        <v>1365</v>
      </c>
    </row>
    <row r="5002" spans="1:9" x14ac:dyDescent="0.25">
      <c r="A5002" s="38" t="s">
        <v>279</v>
      </c>
      <c r="B5002" s="28">
        <v>9376</v>
      </c>
      <c r="C5002" s="28" t="s">
        <v>1298</v>
      </c>
      <c r="D5002" s="46"/>
      <c r="E5002" s="35">
        <v>46158</v>
      </c>
      <c r="F5002" s="49">
        <v>0.63512731481481477</v>
      </c>
      <c r="G5002" s="37">
        <v>6.3</v>
      </c>
      <c r="H5002" s="36" t="s">
        <v>1362</v>
      </c>
      <c r="I5002" s="36" t="s">
        <v>1365</v>
      </c>
    </row>
    <row r="5003" spans="1:9" x14ac:dyDescent="0.25">
      <c r="A5003" s="38" t="s">
        <v>279</v>
      </c>
      <c r="B5003" s="28">
        <v>9376</v>
      </c>
      <c r="C5003" s="28" t="s">
        <v>1299</v>
      </c>
      <c r="D5003" s="46"/>
      <c r="E5003" s="35">
        <v>46158</v>
      </c>
      <c r="F5003" s="49">
        <v>0.69621527777777781</v>
      </c>
      <c r="G5003" s="37">
        <v>6.3</v>
      </c>
      <c r="H5003" s="36" t="s">
        <v>1363</v>
      </c>
      <c r="I5003" s="36" t="s">
        <v>1365</v>
      </c>
    </row>
    <row r="5004" spans="1:9" x14ac:dyDescent="0.25">
      <c r="A5004" s="38" t="s">
        <v>279</v>
      </c>
      <c r="B5004" s="28">
        <v>9376</v>
      </c>
      <c r="C5004" s="28" t="s">
        <v>1299</v>
      </c>
      <c r="D5004" s="46"/>
      <c r="E5004" s="35">
        <v>46158</v>
      </c>
      <c r="F5004" s="49">
        <v>0.71394675925925921</v>
      </c>
      <c r="G5004" s="37">
        <v>6.3</v>
      </c>
      <c r="H5004" s="36" t="s">
        <v>1364</v>
      </c>
      <c r="I5004" s="36" t="s">
        <v>1365</v>
      </c>
    </row>
    <row r="5005" spans="1:9" x14ac:dyDescent="0.25">
      <c r="A5005" s="38" t="s">
        <v>296</v>
      </c>
      <c r="B5005" s="28">
        <v>9377</v>
      </c>
      <c r="C5005" s="28">
        <v>5662834</v>
      </c>
      <c r="D5005" s="46"/>
      <c r="E5005" s="35">
        <v>46154</v>
      </c>
      <c r="F5005" s="49">
        <v>0.18565972222222221</v>
      </c>
      <c r="G5005" s="37">
        <v>6.3</v>
      </c>
      <c r="H5005" s="36" t="s">
        <v>1364</v>
      </c>
      <c r="I5005" s="36" t="s">
        <v>1361</v>
      </c>
    </row>
    <row r="5006" spans="1:9" x14ac:dyDescent="0.25">
      <c r="A5006" s="38" t="s">
        <v>296</v>
      </c>
      <c r="B5006" s="28">
        <v>9377</v>
      </c>
      <c r="C5006" s="28">
        <v>5665196</v>
      </c>
      <c r="D5006" s="46"/>
      <c r="E5006" s="35">
        <v>46155</v>
      </c>
      <c r="F5006" s="49">
        <v>0.41825231481481484</v>
      </c>
      <c r="G5006" s="37">
        <v>6.3</v>
      </c>
      <c r="H5006" s="36" t="s">
        <v>1360</v>
      </c>
      <c r="I5006" s="36" t="s">
        <v>1361</v>
      </c>
    </row>
    <row r="5007" spans="1:9" x14ac:dyDescent="0.25">
      <c r="A5007" s="38" t="s">
        <v>296</v>
      </c>
      <c r="B5007" s="28">
        <v>9377</v>
      </c>
      <c r="C5007" s="28">
        <v>5665196</v>
      </c>
      <c r="D5007" s="46"/>
      <c r="E5007" s="35">
        <v>46155</v>
      </c>
      <c r="F5007" s="49">
        <v>0.4450925925925926</v>
      </c>
      <c r="G5007" s="37">
        <v>6.3</v>
      </c>
      <c r="H5007" s="36" t="s">
        <v>1362</v>
      </c>
      <c r="I5007" s="36" t="s">
        <v>1361</v>
      </c>
    </row>
    <row r="5008" spans="1:9" x14ac:dyDescent="0.25">
      <c r="A5008" s="38" t="s">
        <v>296</v>
      </c>
      <c r="B5008" s="28">
        <v>9377</v>
      </c>
      <c r="C5008" s="28">
        <v>5665266</v>
      </c>
      <c r="D5008" s="46" t="s">
        <v>37</v>
      </c>
      <c r="E5008" s="35">
        <v>46155</v>
      </c>
      <c r="F5008" s="49">
        <v>0.50899305555555552</v>
      </c>
      <c r="G5008" s="37">
        <v>6.3</v>
      </c>
      <c r="H5008" s="36" t="s">
        <v>1363</v>
      </c>
      <c r="I5008" s="36" t="s">
        <v>1361</v>
      </c>
    </row>
    <row r="5009" spans="1:9" x14ac:dyDescent="0.25">
      <c r="A5009" s="38" t="s">
        <v>296</v>
      </c>
      <c r="B5009" s="28">
        <v>9377</v>
      </c>
      <c r="C5009" s="28">
        <v>5665266</v>
      </c>
      <c r="D5009" s="46" t="s">
        <v>37</v>
      </c>
      <c r="E5009" s="35">
        <v>46155</v>
      </c>
      <c r="F5009" s="49">
        <v>0.51466435185185189</v>
      </c>
      <c r="G5009" s="37">
        <v>6.3</v>
      </c>
      <c r="H5009" s="36" t="s">
        <v>1364</v>
      </c>
      <c r="I5009" s="36" t="s">
        <v>1361</v>
      </c>
    </row>
    <row r="5010" spans="1:9" x14ac:dyDescent="0.25">
      <c r="A5010" s="38" t="s">
        <v>296</v>
      </c>
      <c r="B5010" s="28">
        <v>9377</v>
      </c>
      <c r="C5010" s="28">
        <v>10671580</v>
      </c>
      <c r="D5010" s="46"/>
      <c r="E5010" s="35">
        <v>46157</v>
      </c>
      <c r="F5010" s="49">
        <v>0.63618055555555553</v>
      </c>
      <c r="G5010" s="37">
        <v>6.3</v>
      </c>
      <c r="H5010" s="36" t="s">
        <v>1363</v>
      </c>
      <c r="I5010" s="36" t="s">
        <v>1361</v>
      </c>
    </row>
    <row r="5011" spans="1:9" x14ac:dyDescent="0.25">
      <c r="A5011" s="38" t="s">
        <v>296</v>
      </c>
      <c r="B5011" s="28">
        <v>9377</v>
      </c>
      <c r="C5011" s="28">
        <v>10671580</v>
      </c>
      <c r="D5011" s="46"/>
      <c r="E5011" s="35">
        <v>46157</v>
      </c>
      <c r="F5011" s="49">
        <v>0.64511574074074074</v>
      </c>
      <c r="G5011" s="37">
        <v>6.3</v>
      </c>
      <c r="H5011" s="36" t="s">
        <v>1364</v>
      </c>
      <c r="I5011" s="36" t="s">
        <v>1361</v>
      </c>
    </row>
    <row r="5012" spans="1:9" x14ac:dyDescent="0.25">
      <c r="A5012" s="38" t="s">
        <v>296</v>
      </c>
      <c r="B5012" s="28">
        <v>9377</v>
      </c>
      <c r="C5012" s="28" t="s">
        <v>35</v>
      </c>
      <c r="D5012" s="46" t="s">
        <v>38</v>
      </c>
      <c r="E5012" s="35">
        <v>46158</v>
      </c>
      <c r="F5012" s="49">
        <v>0.47378472222222223</v>
      </c>
      <c r="G5012" s="37">
        <v>6.3</v>
      </c>
      <c r="H5012" s="36" t="s">
        <v>1363</v>
      </c>
      <c r="I5012" s="36" t="s">
        <v>1365</v>
      </c>
    </row>
    <row r="5013" spans="1:9" x14ac:dyDescent="0.25">
      <c r="A5013" s="38" t="s">
        <v>296</v>
      </c>
      <c r="B5013" s="28">
        <v>9377</v>
      </c>
      <c r="C5013" s="28" t="s">
        <v>35</v>
      </c>
      <c r="D5013" s="46" t="s">
        <v>38</v>
      </c>
      <c r="E5013" s="35">
        <v>46158</v>
      </c>
      <c r="F5013" s="49">
        <v>0.48032407407407407</v>
      </c>
      <c r="G5013" s="37">
        <v>6.3</v>
      </c>
      <c r="H5013" s="36" t="s">
        <v>1364</v>
      </c>
      <c r="I5013" s="36" t="s">
        <v>1365</v>
      </c>
    </row>
    <row r="5014" spans="1:9" x14ac:dyDescent="0.25">
      <c r="A5014" s="38" t="s">
        <v>296</v>
      </c>
      <c r="B5014" s="28">
        <v>9377</v>
      </c>
      <c r="C5014" s="28" t="s">
        <v>35</v>
      </c>
      <c r="D5014" s="46" t="s">
        <v>38</v>
      </c>
      <c r="E5014" s="35">
        <v>46159</v>
      </c>
      <c r="F5014" s="49">
        <v>0.6576157407407407</v>
      </c>
      <c r="G5014" s="37">
        <v>6.3</v>
      </c>
      <c r="H5014" s="36" t="s">
        <v>1363</v>
      </c>
      <c r="I5014" s="36" t="s">
        <v>1365</v>
      </c>
    </row>
    <row r="5015" spans="1:9" x14ac:dyDescent="0.25">
      <c r="A5015" s="38" t="s">
        <v>296</v>
      </c>
      <c r="B5015" s="28">
        <v>9377</v>
      </c>
      <c r="C5015" s="28" t="s">
        <v>35</v>
      </c>
      <c r="D5015" s="46" t="s">
        <v>38</v>
      </c>
      <c r="E5015" s="35">
        <v>46159</v>
      </c>
      <c r="F5015" s="49">
        <v>0.66281250000000003</v>
      </c>
      <c r="G5015" s="37">
        <v>6.3</v>
      </c>
      <c r="H5015" s="36" t="s">
        <v>1364</v>
      </c>
      <c r="I5015" s="36" t="s">
        <v>1365</v>
      </c>
    </row>
    <row r="5016" spans="1:9" x14ac:dyDescent="0.25">
      <c r="A5016" s="38" t="s">
        <v>178</v>
      </c>
      <c r="B5016" s="28">
        <v>9382</v>
      </c>
      <c r="C5016" s="28" t="s">
        <v>35</v>
      </c>
      <c r="D5016" s="46" t="s">
        <v>38</v>
      </c>
      <c r="E5016" s="35">
        <v>46153</v>
      </c>
      <c r="F5016" s="49">
        <v>3.9247685185185184E-2</v>
      </c>
      <c r="G5016" s="37">
        <v>6.3</v>
      </c>
      <c r="H5016" s="36" t="s">
        <v>1364</v>
      </c>
      <c r="I5016" s="36" t="s">
        <v>1361</v>
      </c>
    </row>
    <row r="5017" spans="1:9" x14ac:dyDescent="0.25">
      <c r="A5017" s="38" t="s">
        <v>178</v>
      </c>
      <c r="B5017" s="28">
        <v>9382</v>
      </c>
      <c r="C5017" s="28">
        <v>5662302</v>
      </c>
      <c r="D5017" s="46"/>
      <c r="E5017" s="35">
        <v>46153</v>
      </c>
      <c r="F5017" s="49">
        <v>0.30679398148148146</v>
      </c>
      <c r="G5017" s="37">
        <v>6.3</v>
      </c>
      <c r="H5017" s="36" t="s">
        <v>1364</v>
      </c>
      <c r="I5017" s="36" t="s">
        <v>1361</v>
      </c>
    </row>
    <row r="5018" spans="1:9" x14ac:dyDescent="0.25">
      <c r="A5018" s="38" t="s">
        <v>178</v>
      </c>
      <c r="B5018" s="28">
        <v>9382</v>
      </c>
      <c r="C5018" s="28">
        <v>5666241</v>
      </c>
      <c r="D5018" s="46"/>
      <c r="E5018" s="35">
        <v>46155</v>
      </c>
      <c r="F5018" s="49">
        <v>0.4099652777777778</v>
      </c>
      <c r="G5018" s="37">
        <v>6.3</v>
      </c>
      <c r="H5018" s="36" t="s">
        <v>1360</v>
      </c>
      <c r="I5018" s="36" t="s">
        <v>1361</v>
      </c>
    </row>
    <row r="5019" spans="1:9" x14ac:dyDescent="0.25">
      <c r="A5019" s="38" t="s">
        <v>178</v>
      </c>
      <c r="B5019" s="28">
        <v>9382</v>
      </c>
      <c r="C5019" s="28">
        <v>5666241</v>
      </c>
      <c r="D5019" s="46"/>
      <c r="E5019" s="35">
        <v>46155</v>
      </c>
      <c r="F5019" s="49">
        <v>0.41781249999999998</v>
      </c>
      <c r="G5019" s="37">
        <v>6.3</v>
      </c>
      <c r="H5019" s="36" t="s">
        <v>1366</v>
      </c>
      <c r="I5019" s="36" t="s">
        <v>1361</v>
      </c>
    </row>
    <row r="5020" spans="1:9" x14ac:dyDescent="0.25">
      <c r="A5020" s="38" t="s">
        <v>178</v>
      </c>
      <c r="B5020" s="28">
        <v>9382</v>
      </c>
      <c r="C5020" s="28" t="s">
        <v>35</v>
      </c>
      <c r="D5020" s="46" t="s">
        <v>38</v>
      </c>
      <c r="E5020" s="35">
        <v>46155</v>
      </c>
      <c r="F5020" s="49">
        <v>0.46309027777777778</v>
      </c>
      <c r="G5020" s="37">
        <v>6.3</v>
      </c>
      <c r="H5020" s="36" t="s">
        <v>1370</v>
      </c>
      <c r="I5020" s="36" t="s">
        <v>1361</v>
      </c>
    </row>
    <row r="5021" spans="1:9" x14ac:dyDescent="0.25">
      <c r="A5021" s="38" t="s">
        <v>178</v>
      </c>
      <c r="B5021" s="28">
        <v>9382</v>
      </c>
      <c r="C5021" s="28" t="s">
        <v>35</v>
      </c>
      <c r="D5021" s="46" t="s">
        <v>38</v>
      </c>
      <c r="E5021" s="35">
        <v>46155</v>
      </c>
      <c r="F5021" s="49">
        <v>0.46805555555555556</v>
      </c>
      <c r="G5021" s="37">
        <v>6.3</v>
      </c>
      <c r="H5021" s="36" t="s">
        <v>1364</v>
      </c>
      <c r="I5021" s="36" t="s">
        <v>1361</v>
      </c>
    </row>
    <row r="5022" spans="1:9" x14ac:dyDescent="0.25">
      <c r="A5022" s="38" t="s">
        <v>178</v>
      </c>
      <c r="B5022" s="28">
        <v>9382</v>
      </c>
      <c r="C5022" s="28">
        <v>5668549</v>
      </c>
      <c r="D5022" s="46"/>
      <c r="E5022" s="35">
        <v>46156</v>
      </c>
      <c r="F5022" s="49">
        <v>0.71561342592592592</v>
      </c>
      <c r="G5022" s="37">
        <v>6.3</v>
      </c>
      <c r="H5022" s="36" t="s">
        <v>1363</v>
      </c>
      <c r="I5022" s="36" t="s">
        <v>1361</v>
      </c>
    </row>
    <row r="5023" spans="1:9" x14ac:dyDescent="0.25">
      <c r="A5023" s="38" t="s">
        <v>178</v>
      </c>
      <c r="B5023" s="28">
        <v>9382</v>
      </c>
      <c r="C5023" s="28">
        <v>5668549</v>
      </c>
      <c r="D5023" s="46"/>
      <c r="E5023" s="35">
        <v>46156</v>
      </c>
      <c r="F5023" s="49">
        <v>0.72826388888888893</v>
      </c>
      <c r="G5023" s="37">
        <v>6.3</v>
      </c>
      <c r="H5023" s="36" t="s">
        <v>1364</v>
      </c>
      <c r="I5023" s="36" t="s">
        <v>1361</v>
      </c>
    </row>
    <row r="5024" spans="1:9" x14ac:dyDescent="0.25">
      <c r="A5024" s="38" t="s">
        <v>178</v>
      </c>
      <c r="B5024" s="28">
        <v>9382</v>
      </c>
      <c r="C5024" s="28">
        <v>5669086</v>
      </c>
      <c r="D5024" s="46"/>
      <c r="E5024" s="35">
        <v>46157</v>
      </c>
      <c r="F5024" s="49">
        <v>0.34749999999999998</v>
      </c>
      <c r="G5024" s="37">
        <v>6.3</v>
      </c>
      <c r="H5024" s="36" t="s">
        <v>1364</v>
      </c>
      <c r="I5024" s="36" t="s">
        <v>1361</v>
      </c>
    </row>
    <row r="5025" spans="1:9" x14ac:dyDescent="0.25">
      <c r="A5025" s="38" t="s">
        <v>178</v>
      </c>
      <c r="B5025" s="28">
        <v>9382</v>
      </c>
      <c r="C5025" s="28" t="s">
        <v>35</v>
      </c>
      <c r="D5025" s="46" t="s">
        <v>38</v>
      </c>
      <c r="E5025" s="35">
        <v>46159</v>
      </c>
      <c r="F5025" s="49">
        <v>0.87738425925925922</v>
      </c>
      <c r="G5025" s="37">
        <v>6.3</v>
      </c>
      <c r="H5025" s="36" t="s">
        <v>1363</v>
      </c>
      <c r="I5025" s="36" t="s">
        <v>1365</v>
      </c>
    </row>
    <row r="5026" spans="1:9" x14ac:dyDescent="0.25">
      <c r="A5026" s="38" t="s">
        <v>178</v>
      </c>
      <c r="B5026" s="28">
        <v>9382</v>
      </c>
      <c r="C5026" s="28" t="s">
        <v>35</v>
      </c>
      <c r="D5026" s="46" t="s">
        <v>38</v>
      </c>
      <c r="E5026" s="35">
        <v>46159</v>
      </c>
      <c r="F5026" s="49">
        <v>0.88261574074074078</v>
      </c>
      <c r="G5026" s="37">
        <v>6.3</v>
      </c>
      <c r="H5026" s="36" t="s">
        <v>1364</v>
      </c>
      <c r="I5026" s="36" t="s">
        <v>1365</v>
      </c>
    </row>
    <row r="5027" spans="1:9" x14ac:dyDescent="0.25">
      <c r="A5027" s="38" t="s">
        <v>327</v>
      </c>
      <c r="B5027" s="28">
        <v>9424</v>
      </c>
      <c r="C5027" s="28" t="s">
        <v>35</v>
      </c>
      <c r="D5027" s="46" t="s">
        <v>38</v>
      </c>
      <c r="E5027" s="35">
        <v>46153</v>
      </c>
      <c r="F5027" s="49">
        <v>0.54643518518518519</v>
      </c>
      <c r="G5027" s="37">
        <v>6.3</v>
      </c>
      <c r="H5027" s="36" t="s">
        <v>1369</v>
      </c>
      <c r="I5027" s="36" t="s">
        <v>1361</v>
      </c>
    </row>
    <row r="5028" spans="1:9" x14ac:dyDescent="0.25">
      <c r="A5028" s="38" t="s">
        <v>327</v>
      </c>
      <c r="B5028" s="28">
        <v>9424</v>
      </c>
      <c r="C5028" s="28" t="s">
        <v>35</v>
      </c>
      <c r="D5028" s="46" t="s">
        <v>38</v>
      </c>
      <c r="E5028" s="35">
        <v>46153</v>
      </c>
      <c r="F5028" s="49">
        <v>0.81561342592592589</v>
      </c>
      <c r="G5028" s="37">
        <v>6.3</v>
      </c>
      <c r="H5028" s="36" t="s">
        <v>1362</v>
      </c>
      <c r="I5028" s="36" t="s">
        <v>1361</v>
      </c>
    </row>
    <row r="5029" spans="1:9" x14ac:dyDescent="0.25">
      <c r="A5029" s="38" t="s">
        <v>327</v>
      </c>
      <c r="B5029" s="28">
        <v>9424</v>
      </c>
      <c r="C5029" s="28" t="s">
        <v>35</v>
      </c>
      <c r="D5029" s="46" t="s">
        <v>38</v>
      </c>
      <c r="E5029" s="35">
        <v>46154</v>
      </c>
      <c r="F5029" s="49">
        <v>0.44289351851851849</v>
      </c>
      <c r="G5029" s="37">
        <v>6.3</v>
      </c>
      <c r="H5029" s="36" t="s">
        <v>1369</v>
      </c>
      <c r="I5029" s="36" t="s">
        <v>1361</v>
      </c>
    </row>
    <row r="5030" spans="1:9" x14ac:dyDescent="0.25">
      <c r="A5030" s="38" t="s">
        <v>327</v>
      </c>
      <c r="B5030" s="28">
        <v>9424</v>
      </c>
      <c r="C5030" s="28">
        <v>10675557</v>
      </c>
      <c r="D5030" s="46"/>
      <c r="E5030" s="35">
        <v>46158</v>
      </c>
      <c r="F5030" s="49">
        <v>0.49961805555555555</v>
      </c>
      <c r="G5030" s="37">
        <v>6.3</v>
      </c>
      <c r="H5030" s="36" t="s">
        <v>1369</v>
      </c>
      <c r="I5030" s="36" t="s">
        <v>1365</v>
      </c>
    </row>
    <row r="5031" spans="1:9" x14ac:dyDescent="0.25">
      <c r="A5031" s="38" t="s">
        <v>327</v>
      </c>
      <c r="B5031" s="28">
        <v>9424</v>
      </c>
      <c r="C5031" s="28">
        <v>10675557</v>
      </c>
      <c r="D5031" s="46"/>
      <c r="E5031" s="35">
        <v>46158</v>
      </c>
      <c r="F5031" s="49">
        <v>0.50800925925925922</v>
      </c>
      <c r="G5031" s="37">
        <v>6.3</v>
      </c>
      <c r="H5031" s="36" t="s">
        <v>1364</v>
      </c>
      <c r="I5031" s="36" t="s">
        <v>1365</v>
      </c>
    </row>
    <row r="5032" spans="1:9" x14ac:dyDescent="0.25">
      <c r="A5032" s="38" t="s">
        <v>327</v>
      </c>
      <c r="B5032" s="28">
        <v>9424</v>
      </c>
      <c r="C5032" s="28">
        <v>5670460</v>
      </c>
      <c r="D5032" s="46"/>
      <c r="E5032" s="35">
        <v>46158</v>
      </c>
      <c r="F5032" s="49">
        <v>0.55753472222222222</v>
      </c>
      <c r="G5032" s="37">
        <v>6.3</v>
      </c>
      <c r="H5032" s="36" t="s">
        <v>1360</v>
      </c>
      <c r="I5032" s="36" t="s">
        <v>1365</v>
      </c>
    </row>
    <row r="5033" spans="1:9" x14ac:dyDescent="0.25">
      <c r="A5033" s="38" t="s">
        <v>327</v>
      </c>
      <c r="B5033" s="28">
        <v>9424</v>
      </c>
      <c r="C5033" s="28">
        <v>5670460</v>
      </c>
      <c r="D5033" s="46"/>
      <c r="E5033" s="35">
        <v>46158</v>
      </c>
      <c r="F5033" s="49">
        <v>0.57141203703703702</v>
      </c>
      <c r="G5033" s="37">
        <v>6.3</v>
      </c>
      <c r="H5033" s="36" t="s">
        <v>1362</v>
      </c>
      <c r="I5033" s="36" t="s">
        <v>1365</v>
      </c>
    </row>
    <row r="5034" spans="1:9" x14ac:dyDescent="0.25">
      <c r="A5034" s="38" t="s">
        <v>327</v>
      </c>
      <c r="B5034" s="28">
        <v>9424</v>
      </c>
      <c r="C5034" s="28">
        <v>10680603</v>
      </c>
      <c r="D5034" s="46"/>
      <c r="E5034" s="35">
        <v>46159</v>
      </c>
      <c r="F5034" s="49">
        <v>0.5065277777777778</v>
      </c>
      <c r="G5034" s="37">
        <v>6.3</v>
      </c>
      <c r="H5034" s="36" t="s">
        <v>1363</v>
      </c>
      <c r="I5034" s="36" t="s">
        <v>1365</v>
      </c>
    </row>
    <row r="5035" spans="1:9" x14ac:dyDescent="0.25">
      <c r="A5035" s="38" t="s">
        <v>327</v>
      </c>
      <c r="B5035" s="28">
        <v>9424</v>
      </c>
      <c r="C5035" s="28">
        <v>10680603</v>
      </c>
      <c r="D5035" s="46"/>
      <c r="E5035" s="35">
        <v>46159</v>
      </c>
      <c r="F5035" s="49">
        <v>0.51178240740740744</v>
      </c>
      <c r="G5035" s="37">
        <v>6.3</v>
      </c>
      <c r="H5035" s="36" t="s">
        <v>1364</v>
      </c>
      <c r="I5035" s="36" t="s">
        <v>1365</v>
      </c>
    </row>
    <row r="5036" spans="1:9" x14ac:dyDescent="0.25">
      <c r="A5036" s="38" t="s">
        <v>327</v>
      </c>
      <c r="B5036" s="28">
        <v>9424</v>
      </c>
      <c r="C5036" s="28">
        <v>10683788</v>
      </c>
      <c r="D5036" s="46" t="s">
        <v>36</v>
      </c>
      <c r="E5036" s="35">
        <v>46159</v>
      </c>
      <c r="F5036" s="49">
        <v>0.59623842592592591</v>
      </c>
      <c r="G5036" s="37">
        <v>6.3</v>
      </c>
      <c r="H5036" s="36" t="s">
        <v>1360</v>
      </c>
      <c r="I5036" s="36" t="s">
        <v>1365</v>
      </c>
    </row>
    <row r="5037" spans="1:9" x14ac:dyDescent="0.25">
      <c r="A5037" s="38" t="s">
        <v>174</v>
      </c>
      <c r="B5037" s="28">
        <v>9434</v>
      </c>
      <c r="C5037" s="28">
        <v>5662233</v>
      </c>
      <c r="D5037" s="46"/>
      <c r="E5037" s="35">
        <v>46153</v>
      </c>
      <c r="F5037" s="49">
        <v>0.11438657407407407</v>
      </c>
      <c r="G5037" s="37">
        <v>6.3</v>
      </c>
      <c r="H5037" s="36" t="s">
        <v>1360</v>
      </c>
      <c r="I5037" s="36" t="s">
        <v>1361</v>
      </c>
    </row>
    <row r="5038" spans="1:9" x14ac:dyDescent="0.25">
      <c r="A5038" s="38" t="s">
        <v>174</v>
      </c>
      <c r="B5038" s="28">
        <v>9434</v>
      </c>
      <c r="C5038" s="28">
        <v>5662233</v>
      </c>
      <c r="D5038" s="46"/>
      <c r="E5038" s="35">
        <v>46153</v>
      </c>
      <c r="F5038" s="49">
        <v>0.12189814814814814</v>
      </c>
      <c r="G5038" s="37">
        <v>6.3</v>
      </c>
      <c r="H5038" s="36" t="s">
        <v>1362</v>
      </c>
      <c r="I5038" s="36" t="s">
        <v>1361</v>
      </c>
    </row>
    <row r="5039" spans="1:9" x14ac:dyDescent="0.25">
      <c r="A5039" s="38" t="s">
        <v>174</v>
      </c>
      <c r="B5039" s="28">
        <v>9434</v>
      </c>
      <c r="C5039" s="28" t="s">
        <v>35</v>
      </c>
      <c r="D5039" s="46" t="s">
        <v>38</v>
      </c>
      <c r="E5039" s="35">
        <v>46153</v>
      </c>
      <c r="F5039" s="49">
        <v>0.13763888888888889</v>
      </c>
      <c r="G5039" s="37">
        <v>6.3</v>
      </c>
      <c r="H5039" s="36" t="s">
        <v>1363</v>
      </c>
      <c r="I5039" s="36" t="s">
        <v>1361</v>
      </c>
    </row>
    <row r="5040" spans="1:9" x14ac:dyDescent="0.25">
      <c r="A5040" s="38" t="s">
        <v>174</v>
      </c>
      <c r="B5040" s="28">
        <v>9434</v>
      </c>
      <c r="C5040" s="28" t="s">
        <v>35</v>
      </c>
      <c r="D5040" s="46" t="s">
        <v>38</v>
      </c>
      <c r="E5040" s="35">
        <v>46153</v>
      </c>
      <c r="F5040" s="49">
        <v>0.14289351851851853</v>
      </c>
      <c r="G5040" s="37">
        <v>6.3</v>
      </c>
      <c r="H5040" s="36" t="s">
        <v>1364</v>
      </c>
      <c r="I5040" s="36" t="s">
        <v>1361</v>
      </c>
    </row>
    <row r="5041" spans="1:9" x14ac:dyDescent="0.25">
      <c r="A5041" s="38" t="s">
        <v>174</v>
      </c>
      <c r="B5041" s="28">
        <v>9434</v>
      </c>
      <c r="C5041" s="28" t="s">
        <v>1300</v>
      </c>
      <c r="D5041" s="46"/>
      <c r="E5041" s="35">
        <v>46153</v>
      </c>
      <c r="F5041" s="49">
        <v>0.89971064814814816</v>
      </c>
      <c r="G5041" s="37">
        <v>6.3</v>
      </c>
      <c r="H5041" s="36" t="s">
        <v>1360</v>
      </c>
      <c r="I5041" s="36" t="s">
        <v>1361</v>
      </c>
    </row>
    <row r="5042" spans="1:9" x14ac:dyDescent="0.25">
      <c r="A5042" s="38" t="s">
        <v>174</v>
      </c>
      <c r="B5042" s="28">
        <v>9434</v>
      </c>
      <c r="C5042" s="28" t="s">
        <v>1300</v>
      </c>
      <c r="D5042" s="46"/>
      <c r="E5042" s="35">
        <v>46153</v>
      </c>
      <c r="F5042" s="49">
        <v>0.90817129629629634</v>
      </c>
      <c r="G5042" s="37">
        <v>6.3</v>
      </c>
      <c r="H5042" s="36" t="s">
        <v>1362</v>
      </c>
      <c r="I5042" s="36" t="s">
        <v>1361</v>
      </c>
    </row>
    <row r="5043" spans="1:9" x14ac:dyDescent="0.25">
      <c r="A5043" s="38" t="s">
        <v>174</v>
      </c>
      <c r="B5043" s="28">
        <v>9434</v>
      </c>
      <c r="C5043" s="28">
        <v>5660903</v>
      </c>
      <c r="D5043" s="46" t="s">
        <v>36</v>
      </c>
      <c r="E5043" s="35">
        <v>46154</v>
      </c>
      <c r="F5043" s="49">
        <v>2.3356481481481482E-2</v>
      </c>
      <c r="G5043" s="37">
        <v>6.3</v>
      </c>
      <c r="H5043" s="36" t="s">
        <v>1360</v>
      </c>
      <c r="I5043" s="36" t="s">
        <v>1361</v>
      </c>
    </row>
    <row r="5044" spans="1:9" x14ac:dyDescent="0.25">
      <c r="A5044" s="38" t="s">
        <v>174</v>
      </c>
      <c r="B5044" s="28">
        <v>9434</v>
      </c>
      <c r="C5044" s="28">
        <v>5660903</v>
      </c>
      <c r="D5044" s="46" t="s">
        <v>36</v>
      </c>
      <c r="E5044" s="35">
        <v>46154</v>
      </c>
      <c r="F5044" s="49">
        <v>3.0532407407407407E-2</v>
      </c>
      <c r="G5044" s="37">
        <v>6.3</v>
      </c>
      <c r="H5044" s="36" t="s">
        <v>1362</v>
      </c>
      <c r="I5044" s="36" t="s">
        <v>1361</v>
      </c>
    </row>
    <row r="5045" spans="1:9" x14ac:dyDescent="0.25">
      <c r="A5045" s="38" t="s">
        <v>174</v>
      </c>
      <c r="B5045" s="28">
        <v>9434</v>
      </c>
      <c r="C5045" s="28" t="s">
        <v>35</v>
      </c>
      <c r="D5045" s="46" t="s">
        <v>38</v>
      </c>
      <c r="E5045" s="35">
        <v>46154</v>
      </c>
      <c r="F5045" s="49">
        <v>3.9571759259259258E-2</v>
      </c>
      <c r="G5045" s="37">
        <v>6.3</v>
      </c>
      <c r="H5045" s="36" t="s">
        <v>1363</v>
      </c>
      <c r="I5045" s="36" t="s">
        <v>1361</v>
      </c>
    </row>
    <row r="5046" spans="1:9" x14ac:dyDescent="0.25">
      <c r="A5046" s="38" t="s">
        <v>174</v>
      </c>
      <c r="B5046" s="28">
        <v>9434</v>
      </c>
      <c r="C5046" s="28">
        <v>5656088</v>
      </c>
      <c r="D5046" s="46" t="s">
        <v>36</v>
      </c>
      <c r="E5046" s="35">
        <v>46155</v>
      </c>
      <c r="F5046" s="49">
        <v>0.26545138888888886</v>
      </c>
      <c r="G5046" s="37">
        <v>6.3</v>
      </c>
      <c r="H5046" s="36" t="s">
        <v>1363</v>
      </c>
      <c r="I5046" s="36" t="s">
        <v>1361</v>
      </c>
    </row>
    <row r="5047" spans="1:9" x14ac:dyDescent="0.25">
      <c r="A5047" s="38" t="s">
        <v>174</v>
      </c>
      <c r="B5047" s="28">
        <v>9434</v>
      </c>
      <c r="C5047" s="28">
        <v>5656088</v>
      </c>
      <c r="D5047" s="46" t="s">
        <v>36</v>
      </c>
      <c r="E5047" s="35">
        <v>46155</v>
      </c>
      <c r="F5047" s="49">
        <v>0.27907407407407409</v>
      </c>
      <c r="G5047" s="37">
        <v>6.3</v>
      </c>
      <c r="H5047" s="36" t="s">
        <v>1364</v>
      </c>
      <c r="I5047" s="36" t="s">
        <v>1361</v>
      </c>
    </row>
    <row r="5048" spans="1:9" x14ac:dyDescent="0.25">
      <c r="A5048" s="38" t="s">
        <v>174</v>
      </c>
      <c r="B5048" s="28">
        <v>9434</v>
      </c>
      <c r="C5048" s="28" t="s">
        <v>35</v>
      </c>
      <c r="D5048" s="46" t="s">
        <v>38</v>
      </c>
      <c r="E5048" s="35">
        <v>46157</v>
      </c>
      <c r="F5048" s="49">
        <v>0.57938657407407412</v>
      </c>
      <c r="G5048" s="37">
        <v>6.3</v>
      </c>
      <c r="H5048" s="36" t="s">
        <v>1369</v>
      </c>
      <c r="I5048" s="36" t="s">
        <v>1361</v>
      </c>
    </row>
    <row r="5049" spans="1:9" x14ac:dyDescent="0.25">
      <c r="A5049" s="38" t="s">
        <v>174</v>
      </c>
      <c r="B5049" s="28">
        <v>9434</v>
      </c>
      <c r="C5049" s="28" t="s">
        <v>35</v>
      </c>
      <c r="D5049" s="46" t="s">
        <v>38</v>
      </c>
      <c r="E5049" s="35">
        <v>46157</v>
      </c>
      <c r="F5049" s="49">
        <v>0.58616898148148144</v>
      </c>
      <c r="G5049" s="37">
        <v>6.3</v>
      </c>
      <c r="H5049" s="36" t="s">
        <v>1364</v>
      </c>
      <c r="I5049" s="36" t="s">
        <v>1361</v>
      </c>
    </row>
    <row r="5050" spans="1:9" x14ac:dyDescent="0.25">
      <c r="A5050" s="38" t="s">
        <v>174</v>
      </c>
      <c r="B5050" s="28">
        <v>9434</v>
      </c>
      <c r="C5050" s="28">
        <v>5671334</v>
      </c>
      <c r="D5050" s="46" t="s">
        <v>37</v>
      </c>
      <c r="E5050" s="35">
        <v>46158</v>
      </c>
      <c r="F5050" s="49">
        <v>0.43898148148148147</v>
      </c>
      <c r="G5050" s="37">
        <v>6.3</v>
      </c>
      <c r="H5050" s="36" t="s">
        <v>1360</v>
      </c>
      <c r="I5050" s="36" t="s">
        <v>1365</v>
      </c>
    </row>
    <row r="5051" spans="1:9" x14ac:dyDescent="0.25">
      <c r="A5051" s="38" t="s">
        <v>174</v>
      </c>
      <c r="B5051" s="28">
        <v>9434</v>
      </c>
      <c r="C5051" s="28">
        <v>5671334</v>
      </c>
      <c r="D5051" s="46" t="s">
        <v>37</v>
      </c>
      <c r="E5051" s="35">
        <v>46158</v>
      </c>
      <c r="F5051" s="49">
        <v>0.44820601851851855</v>
      </c>
      <c r="G5051" s="37">
        <v>6.3</v>
      </c>
      <c r="H5051" s="36" t="s">
        <v>1368</v>
      </c>
      <c r="I5051" s="36" t="s">
        <v>1365</v>
      </c>
    </row>
    <row r="5052" spans="1:9" x14ac:dyDescent="0.25">
      <c r="A5052" s="38" t="s">
        <v>174</v>
      </c>
      <c r="B5052" s="28">
        <v>9434</v>
      </c>
      <c r="C5052" s="28" t="s">
        <v>35</v>
      </c>
      <c r="D5052" s="46" t="s">
        <v>38</v>
      </c>
      <c r="E5052" s="35">
        <v>46158</v>
      </c>
      <c r="F5052" s="49">
        <v>0.48853009259259261</v>
      </c>
      <c r="G5052" s="37">
        <v>6.3</v>
      </c>
      <c r="H5052" s="36" t="s">
        <v>1369</v>
      </c>
      <c r="I5052" s="36" t="s">
        <v>1365</v>
      </c>
    </row>
    <row r="5053" spans="1:9" x14ac:dyDescent="0.25">
      <c r="A5053" s="38" t="s">
        <v>174</v>
      </c>
      <c r="B5053" s="28">
        <v>9434</v>
      </c>
      <c r="C5053" s="28" t="s">
        <v>35</v>
      </c>
      <c r="D5053" s="46" t="s">
        <v>38</v>
      </c>
      <c r="E5053" s="35">
        <v>46158</v>
      </c>
      <c r="F5053" s="49">
        <v>0.49438657407407405</v>
      </c>
      <c r="G5053" s="37">
        <v>6.3</v>
      </c>
      <c r="H5053" s="36" t="s">
        <v>1364</v>
      </c>
      <c r="I5053" s="36" t="s">
        <v>1365</v>
      </c>
    </row>
    <row r="5054" spans="1:9" x14ac:dyDescent="0.25">
      <c r="A5054" s="38" t="s">
        <v>174</v>
      </c>
      <c r="B5054" s="28">
        <v>9434</v>
      </c>
      <c r="C5054" s="28" t="s">
        <v>35</v>
      </c>
      <c r="D5054" s="46" t="s">
        <v>38</v>
      </c>
      <c r="E5054" s="35">
        <v>46159</v>
      </c>
      <c r="F5054" s="49">
        <v>0.40199074074074076</v>
      </c>
      <c r="G5054" s="37">
        <v>6.3</v>
      </c>
      <c r="H5054" s="36" t="s">
        <v>1364</v>
      </c>
      <c r="I5054" s="36" t="s">
        <v>1365</v>
      </c>
    </row>
    <row r="5055" spans="1:9" x14ac:dyDescent="0.25">
      <c r="A5055" s="38" t="s">
        <v>174</v>
      </c>
      <c r="B5055" s="28">
        <v>9434</v>
      </c>
      <c r="C5055" s="28">
        <v>5672599</v>
      </c>
      <c r="D5055" s="46"/>
      <c r="E5055" s="35">
        <v>46159</v>
      </c>
      <c r="F5055" s="49">
        <v>0.57934027777777775</v>
      </c>
      <c r="G5055" s="37">
        <v>6.3</v>
      </c>
      <c r="H5055" s="36" t="s">
        <v>1360</v>
      </c>
      <c r="I5055" s="36" t="s">
        <v>1365</v>
      </c>
    </row>
    <row r="5056" spans="1:9" x14ac:dyDescent="0.25">
      <c r="A5056" s="38" t="s">
        <v>174</v>
      </c>
      <c r="B5056" s="28">
        <v>9434</v>
      </c>
      <c r="C5056" s="28">
        <v>5672599</v>
      </c>
      <c r="D5056" s="46"/>
      <c r="E5056" s="35">
        <v>46159</v>
      </c>
      <c r="F5056" s="49">
        <v>0.58709490740740744</v>
      </c>
      <c r="G5056" s="37">
        <v>6.3</v>
      </c>
      <c r="H5056" s="36" t="s">
        <v>1362</v>
      </c>
      <c r="I5056" s="36" t="s">
        <v>1365</v>
      </c>
    </row>
    <row r="5057" spans="1:9" x14ac:dyDescent="0.25">
      <c r="A5057" s="38" t="s">
        <v>174</v>
      </c>
      <c r="B5057" s="28">
        <v>9434</v>
      </c>
      <c r="C5057" s="28" t="s">
        <v>35</v>
      </c>
      <c r="D5057" s="46" t="s">
        <v>38</v>
      </c>
      <c r="E5057" s="35">
        <v>46159</v>
      </c>
      <c r="F5057" s="49">
        <v>0.60326388888888893</v>
      </c>
      <c r="G5057" s="37">
        <v>6.3</v>
      </c>
      <c r="H5057" s="36" t="s">
        <v>1363</v>
      </c>
      <c r="I5057" s="36" t="s">
        <v>1365</v>
      </c>
    </row>
    <row r="5058" spans="1:9" x14ac:dyDescent="0.25">
      <c r="A5058" s="38" t="s">
        <v>174</v>
      </c>
      <c r="B5058" s="28">
        <v>9434</v>
      </c>
      <c r="C5058" s="28" t="s">
        <v>35</v>
      </c>
      <c r="D5058" s="46" t="s">
        <v>38</v>
      </c>
      <c r="E5058" s="35">
        <v>46159</v>
      </c>
      <c r="F5058" s="49">
        <v>0.60858796296296291</v>
      </c>
      <c r="G5058" s="37">
        <v>6.3</v>
      </c>
      <c r="H5058" s="36" t="s">
        <v>1364</v>
      </c>
      <c r="I5058" s="36" t="s">
        <v>1365</v>
      </c>
    </row>
    <row r="5059" spans="1:9" x14ac:dyDescent="0.25">
      <c r="A5059" s="38" t="s">
        <v>252</v>
      </c>
      <c r="B5059" s="28">
        <v>9470</v>
      </c>
      <c r="C5059" s="28" t="s">
        <v>35</v>
      </c>
      <c r="D5059" s="46" t="s">
        <v>38</v>
      </c>
      <c r="E5059" s="35">
        <v>46154</v>
      </c>
      <c r="F5059" s="49">
        <v>0.27549768518518519</v>
      </c>
      <c r="G5059" s="37">
        <v>6.3</v>
      </c>
      <c r="H5059" s="36" t="s">
        <v>1360</v>
      </c>
      <c r="I5059" s="36" t="s">
        <v>1361</v>
      </c>
    </row>
    <row r="5060" spans="1:9" x14ac:dyDescent="0.25">
      <c r="A5060" s="38" t="s">
        <v>252</v>
      </c>
      <c r="B5060" s="28">
        <v>9470</v>
      </c>
      <c r="C5060" s="28">
        <v>5665472</v>
      </c>
      <c r="D5060" s="46"/>
      <c r="E5060" s="35">
        <v>46154</v>
      </c>
      <c r="F5060" s="49">
        <v>0.86121527777777773</v>
      </c>
      <c r="G5060" s="37">
        <v>6.3</v>
      </c>
      <c r="H5060" s="36" t="s">
        <v>1364</v>
      </c>
      <c r="I5060" s="36" t="s">
        <v>1361</v>
      </c>
    </row>
    <row r="5061" spans="1:9" x14ac:dyDescent="0.25">
      <c r="A5061" s="38" t="s">
        <v>252</v>
      </c>
      <c r="B5061" s="28">
        <v>9470</v>
      </c>
      <c r="C5061" s="28" t="s">
        <v>35</v>
      </c>
      <c r="D5061" s="46" t="s">
        <v>38</v>
      </c>
      <c r="E5061" s="35">
        <v>46155</v>
      </c>
      <c r="F5061" s="49">
        <v>0.28157407407407409</v>
      </c>
      <c r="G5061" s="37">
        <v>6.3</v>
      </c>
      <c r="H5061" s="36" t="s">
        <v>1360</v>
      </c>
      <c r="I5061" s="36" t="s">
        <v>1361</v>
      </c>
    </row>
    <row r="5062" spans="1:9" x14ac:dyDescent="0.25">
      <c r="A5062" s="38" t="s">
        <v>252</v>
      </c>
      <c r="B5062" s="28">
        <v>9470</v>
      </c>
      <c r="C5062" s="28" t="s">
        <v>35</v>
      </c>
      <c r="D5062" s="46" t="s">
        <v>38</v>
      </c>
      <c r="E5062" s="35">
        <v>46155</v>
      </c>
      <c r="F5062" s="49">
        <v>0.35067129629629629</v>
      </c>
      <c r="G5062" s="37">
        <v>6.3</v>
      </c>
      <c r="H5062" s="36" t="s">
        <v>1364</v>
      </c>
      <c r="I5062" s="36" t="s">
        <v>1361</v>
      </c>
    </row>
    <row r="5063" spans="1:9" x14ac:dyDescent="0.25">
      <c r="A5063" s="38" t="s">
        <v>252</v>
      </c>
      <c r="B5063" s="28">
        <v>9470</v>
      </c>
      <c r="C5063" s="28" t="s">
        <v>35</v>
      </c>
      <c r="D5063" s="46" t="s">
        <v>38</v>
      </c>
      <c r="E5063" s="35">
        <v>46155</v>
      </c>
      <c r="F5063" s="49">
        <v>0.58313657407407404</v>
      </c>
      <c r="G5063" s="37">
        <v>6.3</v>
      </c>
      <c r="H5063" s="36" t="s">
        <v>1369</v>
      </c>
      <c r="I5063" s="36" t="s">
        <v>1361</v>
      </c>
    </row>
    <row r="5064" spans="1:9" x14ac:dyDescent="0.25">
      <c r="A5064" s="38" t="s">
        <v>252</v>
      </c>
      <c r="B5064" s="28">
        <v>9470</v>
      </c>
      <c r="C5064" s="28" t="s">
        <v>35</v>
      </c>
      <c r="D5064" s="46" t="s">
        <v>38</v>
      </c>
      <c r="E5064" s="35">
        <v>46155</v>
      </c>
      <c r="F5064" s="49">
        <v>0.86094907407407406</v>
      </c>
      <c r="G5064" s="37">
        <v>6.3</v>
      </c>
      <c r="H5064" s="36" t="s">
        <v>1364</v>
      </c>
      <c r="I5064" s="36" t="s">
        <v>1361</v>
      </c>
    </row>
    <row r="5065" spans="1:9" x14ac:dyDescent="0.25">
      <c r="A5065" s="38" t="s">
        <v>252</v>
      </c>
      <c r="B5065" s="28">
        <v>9470</v>
      </c>
      <c r="C5065" s="28" t="s">
        <v>35</v>
      </c>
      <c r="D5065" s="46" t="s">
        <v>38</v>
      </c>
      <c r="E5065" s="35">
        <v>46156</v>
      </c>
      <c r="F5065" s="49">
        <v>0.26872685185185186</v>
      </c>
      <c r="G5065" s="37">
        <v>6.3</v>
      </c>
      <c r="H5065" s="36" t="s">
        <v>1360</v>
      </c>
      <c r="I5065" s="36" t="s">
        <v>1361</v>
      </c>
    </row>
    <row r="5066" spans="1:9" x14ac:dyDescent="0.25">
      <c r="A5066" s="38" t="s">
        <v>252</v>
      </c>
      <c r="B5066" s="28">
        <v>9470</v>
      </c>
      <c r="C5066" s="28" t="s">
        <v>35</v>
      </c>
      <c r="D5066" s="46" t="s">
        <v>38</v>
      </c>
      <c r="E5066" s="35">
        <v>46156</v>
      </c>
      <c r="F5066" s="49">
        <v>0.27998842592592593</v>
      </c>
      <c r="G5066" s="37">
        <v>6.3</v>
      </c>
      <c r="H5066" s="36" t="s">
        <v>1368</v>
      </c>
      <c r="I5066" s="36" t="s">
        <v>1361</v>
      </c>
    </row>
    <row r="5067" spans="1:9" x14ac:dyDescent="0.25">
      <c r="A5067" s="38" t="s">
        <v>252</v>
      </c>
      <c r="B5067" s="28">
        <v>9470</v>
      </c>
      <c r="C5067" s="28">
        <v>5672997</v>
      </c>
      <c r="D5067" s="46"/>
      <c r="E5067" s="35">
        <v>46159</v>
      </c>
      <c r="F5067" s="49">
        <v>0.66206018518518517</v>
      </c>
      <c r="G5067" s="37">
        <v>6.3</v>
      </c>
      <c r="H5067" s="36" t="s">
        <v>1360</v>
      </c>
      <c r="I5067" s="36" t="s">
        <v>1365</v>
      </c>
    </row>
    <row r="5068" spans="1:9" x14ac:dyDescent="0.25">
      <c r="A5068" s="38" t="s">
        <v>252</v>
      </c>
      <c r="B5068" s="28">
        <v>9470</v>
      </c>
      <c r="C5068" s="28">
        <v>5672997</v>
      </c>
      <c r="D5068" s="46"/>
      <c r="E5068" s="35">
        <v>46159</v>
      </c>
      <c r="F5068" s="49">
        <v>0.66967592592592595</v>
      </c>
      <c r="G5068" s="37">
        <v>6.3</v>
      </c>
      <c r="H5068" s="36" t="s">
        <v>1362</v>
      </c>
      <c r="I5068" s="36" t="s">
        <v>1365</v>
      </c>
    </row>
    <row r="5069" spans="1:9" x14ac:dyDescent="0.25">
      <c r="A5069" s="38" t="s">
        <v>252</v>
      </c>
      <c r="B5069" s="28">
        <v>9470</v>
      </c>
      <c r="C5069" s="28">
        <v>5673290</v>
      </c>
      <c r="D5069" s="46"/>
      <c r="E5069" s="35">
        <v>46159</v>
      </c>
      <c r="F5069" s="49">
        <v>0.89760416666666665</v>
      </c>
      <c r="G5069" s="37">
        <v>6.3</v>
      </c>
      <c r="H5069" s="36" t="s">
        <v>1360</v>
      </c>
      <c r="I5069" s="36" t="s">
        <v>1365</v>
      </c>
    </row>
    <row r="5070" spans="1:9" x14ac:dyDescent="0.25">
      <c r="A5070" s="38" t="s">
        <v>252</v>
      </c>
      <c r="B5070" s="28">
        <v>9470</v>
      </c>
      <c r="C5070" s="28">
        <v>5673290</v>
      </c>
      <c r="D5070" s="46"/>
      <c r="E5070" s="35">
        <v>46159</v>
      </c>
      <c r="F5070" s="49">
        <v>0.90583333333333338</v>
      </c>
      <c r="G5070" s="37">
        <v>6.3</v>
      </c>
      <c r="H5070" s="36" t="s">
        <v>1362</v>
      </c>
      <c r="I5070" s="36" t="s">
        <v>1365</v>
      </c>
    </row>
    <row r="5071" spans="1:9" x14ac:dyDescent="0.25">
      <c r="A5071" s="38" t="s">
        <v>208</v>
      </c>
      <c r="B5071" s="28">
        <v>9480</v>
      </c>
      <c r="C5071" s="28" t="s">
        <v>35</v>
      </c>
      <c r="D5071" s="46" t="s">
        <v>38</v>
      </c>
      <c r="E5071" s="35">
        <v>46153</v>
      </c>
      <c r="F5071" s="49">
        <v>0.56128472222222225</v>
      </c>
      <c r="G5071" s="37">
        <v>6.3</v>
      </c>
      <c r="H5071" s="36" t="s">
        <v>1364</v>
      </c>
      <c r="I5071" s="36" t="s">
        <v>1361</v>
      </c>
    </row>
    <row r="5072" spans="1:9" x14ac:dyDescent="0.25">
      <c r="A5072" s="38" t="s">
        <v>208</v>
      </c>
      <c r="B5072" s="28">
        <v>9480</v>
      </c>
      <c r="C5072" s="28">
        <v>10638339</v>
      </c>
      <c r="D5072" s="46"/>
      <c r="E5072" s="35">
        <v>46153</v>
      </c>
      <c r="F5072" s="49">
        <v>0.61053240740740744</v>
      </c>
      <c r="G5072" s="37">
        <v>6.3</v>
      </c>
      <c r="H5072" s="36" t="s">
        <v>1360</v>
      </c>
      <c r="I5072" s="36" t="s">
        <v>1361</v>
      </c>
    </row>
    <row r="5073" spans="1:9" x14ac:dyDescent="0.25">
      <c r="A5073" s="38" t="s">
        <v>208</v>
      </c>
      <c r="B5073" s="28">
        <v>9480</v>
      </c>
      <c r="C5073" s="28">
        <v>10638409</v>
      </c>
      <c r="D5073" s="46" t="s">
        <v>36</v>
      </c>
      <c r="E5073" s="35">
        <v>46153</v>
      </c>
      <c r="F5073" s="49">
        <v>0.64917824074074071</v>
      </c>
      <c r="G5073" s="37">
        <v>6.3</v>
      </c>
      <c r="H5073" s="36" t="s">
        <v>1364</v>
      </c>
      <c r="I5073" s="36" t="s">
        <v>1361</v>
      </c>
    </row>
    <row r="5074" spans="1:9" x14ac:dyDescent="0.25">
      <c r="A5074" s="38" t="s">
        <v>208</v>
      </c>
      <c r="B5074" s="28">
        <v>9480</v>
      </c>
      <c r="C5074" s="28">
        <v>10638409</v>
      </c>
      <c r="D5074" s="46" t="s">
        <v>36</v>
      </c>
      <c r="E5074" s="35">
        <v>46153</v>
      </c>
      <c r="F5074" s="49">
        <v>0.6846875</v>
      </c>
      <c r="G5074" s="37">
        <v>6.3</v>
      </c>
      <c r="H5074" s="36" t="s">
        <v>1360</v>
      </c>
      <c r="I5074" s="36" t="s">
        <v>1361</v>
      </c>
    </row>
    <row r="5075" spans="1:9" x14ac:dyDescent="0.25">
      <c r="A5075" s="38" t="s">
        <v>208</v>
      </c>
      <c r="B5075" s="28">
        <v>9480</v>
      </c>
      <c r="C5075" s="28">
        <v>5662899</v>
      </c>
      <c r="D5075" s="46"/>
      <c r="E5075" s="35">
        <v>46154</v>
      </c>
      <c r="F5075" s="49">
        <v>0.57314814814814818</v>
      </c>
      <c r="G5075" s="37">
        <v>6.3</v>
      </c>
      <c r="H5075" s="36" t="s">
        <v>1364</v>
      </c>
      <c r="I5075" s="36" t="s">
        <v>1361</v>
      </c>
    </row>
    <row r="5076" spans="1:9" x14ac:dyDescent="0.25">
      <c r="A5076" s="38" t="s">
        <v>208</v>
      </c>
      <c r="B5076" s="28">
        <v>9480</v>
      </c>
      <c r="C5076" s="28">
        <v>5663562</v>
      </c>
      <c r="D5076" s="46"/>
      <c r="E5076" s="35">
        <v>46154</v>
      </c>
      <c r="F5076" s="49">
        <v>0.60783564814814817</v>
      </c>
      <c r="G5076" s="37">
        <v>6.3</v>
      </c>
      <c r="H5076" s="36" t="s">
        <v>1360</v>
      </c>
      <c r="I5076" s="36" t="s">
        <v>1361</v>
      </c>
    </row>
    <row r="5077" spans="1:9" x14ac:dyDescent="0.25">
      <c r="A5077" s="38" t="s">
        <v>208</v>
      </c>
      <c r="B5077" s="28">
        <v>9480</v>
      </c>
      <c r="C5077" s="28" t="s">
        <v>1301</v>
      </c>
      <c r="D5077" s="46"/>
      <c r="E5077" s="35">
        <v>46154</v>
      </c>
      <c r="F5077" s="49">
        <v>0.68678240740740737</v>
      </c>
      <c r="G5077" s="37">
        <v>6.3</v>
      </c>
      <c r="H5077" s="36" t="s">
        <v>1364</v>
      </c>
      <c r="I5077" s="36" t="s">
        <v>1361</v>
      </c>
    </row>
    <row r="5078" spans="1:9" x14ac:dyDescent="0.25">
      <c r="A5078" s="38" t="s">
        <v>208</v>
      </c>
      <c r="B5078" s="28">
        <v>9480</v>
      </c>
      <c r="C5078" s="28" t="s">
        <v>35</v>
      </c>
      <c r="D5078" s="46" t="s">
        <v>38</v>
      </c>
      <c r="E5078" s="35">
        <v>46156</v>
      </c>
      <c r="F5078" s="49">
        <v>0.5589467592592593</v>
      </c>
      <c r="G5078" s="37">
        <v>6.3</v>
      </c>
      <c r="H5078" s="36" t="s">
        <v>1364</v>
      </c>
      <c r="I5078" s="36" t="s">
        <v>1361</v>
      </c>
    </row>
    <row r="5079" spans="1:9" x14ac:dyDescent="0.25">
      <c r="A5079" s="38" t="s">
        <v>208</v>
      </c>
      <c r="B5079" s="28">
        <v>9480</v>
      </c>
      <c r="C5079" s="28" t="s">
        <v>1302</v>
      </c>
      <c r="D5079" s="46"/>
      <c r="E5079" s="35">
        <v>46156</v>
      </c>
      <c r="F5079" s="49">
        <v>0.60124999999999995</v>
      </c>
      <c r="G5079" s="37">
        <v>6.3</v>
      </c>
      <c r="H5079" s="36" t="s">
        <v>1360</v>
      </c>
      <c r="I5079" s="36" t="s">
        <v>1361</v>
      </c>
    </row>
    <row r="5080" spans="1:9" x14ac:dyDescent="0.25">
      <c r="A5080" s="38" t="s">
        <v>208</v>
      </c>
      <c r="B5080" s="28">
        <v>9480</v>
      </c>
      <c r="C5080" s="28" t="s">
        <v>1302</v>
      </c>
      <c r="D5080" s="46"/>
      <c r="E5080" s="35">
        <v>46156</v>
      </c>
      <c r="F5080" s="49">
        <v>0.61003472222222221</v>
      </c>
      <c r="G5080" s="37">
        <v>6.3</v>
      </c>
      <c r="H5080" s="36" t="s">
        <v>1362</v>
      </c>
      <c r="I5080" s="36" t="s">
        <v>1361</v>
      </c>
    </row>
    <row r="5081" spans="1:9" x14ac:dyDescent="0.25">
      <c r="A5081" s="38" t="s">
        <v>208</v>
      </c>
      <c r="B5081" s="28">
        <v>9480</v>
      </c>
      <c r="C5081" s="28" t="s">
        <v>1303</v>
      </c>
      <c r="D5081" s="46"/>
      <c r="E5081" s="35">
        <v>46156</v>
      </c>
      <c r="F5081" s="49">
        <v>0.70751157407407406</v>
      </c>
      <c r="G5081" s="37">
        <v>6.3</v>
      </c>
      <c r="H5081" s="36" t="s">
        <v>1364</v>
      </c>
      <c r="I5081" s="36" t="s">
        <v>1361</v>
      </c>
    </row>
    <row r="5082" spans="1:9" x14ac:dyDescent="0.25">
      <c r="A5082" s="38" t="s">
        <v>208</v>
      </c>
      <c r="B5082" s="28">
        <v>9480</v>
      </c>
      <c r="C5082" s="28" t="s">
        <v>1304</v>
      </c>
      <c r="D5082" s="46"/>
      <c r="E5082" s="35">
        <v>46156</v>
      </c>
      <c r="F5082" s="49">
        <v>0.86284722222222221</v>
      </c>
      <c r="G5082" s="37">
        <v>6.3</v>
      </c>
      <c r="H5082" s="36" t="s">
        <v>1363</v>
      </c>
      <c r="I5082" s="36" t="s">
        <v>1361</v>
      </c>
    </row>
    <row r="5083" spans="1:9" x14ac:dyDescent="0.25">
      <c r="A5083" s="38" t="s">
        <v>208</v>
      </c>
      <c r="B5083" s="28">
        <v>9480</v>
      </c>
      <c r="C5083" s="28" t="s">
        <v>1304</v>
      </c>
      <c r="D5083" s="46"/>
      <c r="E5083" s="35">
        <v>46156</v>
      </c>
      <c r="F5083" s="49">
        <v>0.87601851851851853</v>
      </c>
      <c r="G5083" s="37">
        <v>6.3</v>
      </c>
      <c r="H5083" s="36" t="s">
        <v>1364</v>
      </c>
      <c r="I5083" s="36" t="s">
        <v>1361</v>
      </c>
    </row>
    <row r="5084" spans="1:9" x14ac:dyDescent="0.25">
      <c r="A5084" s="38" t="s">
        <v>208</v>
      </c>
      <c r="B5084" s="28">
        <v>9480</v>
      </c>
      <c r="C5084" s="28" t="s">
        <v>1305</v>
      </c>
      <c r="D5084" s="46"/>
      <c r="E5084" s="35">
        <v>46156</v>
      </c>
      <c r="F5084" s="49">
        <v>0.94199074074074074</v>
      </c>
      <c r="G5084" s="37">
        <v>6.3</v>
      </c>
      <c r="H5084" s="36" t="s">
        <v>1360</v>
      </c>
      <c r="I5084" s="36" t="s">
        <v>1361</v>
      </c>
    </row>
    <row r="5085" spans="1:9" x14ac:dyDescent="0.25">
      <c r="A5085" s="38" t="s">
        <v>208</v>
      </c>
      <c r="B5085" s="28">
        <v>9480</v>
      </c>
      <c r="C5085" s="28">
        <v>10668419</v>
      </c>
      <c r="D5085" s="46"/>
      <c r="E5085" s="35">
        <v>46156</v>
      </c>
      <c r="F5085" s="49">
        <v>0.94918981481481479</v>
      </c>
      <c r="G5085" s="37">
        <v>6.3</v>
      </c>
      <c r="H5085" s="36" t="s">
        <v>1362</v>
      </c>
      <c r="I5085" s="36" t="s">
        <v>1361</v>
      </c>
    </row>
    <row r="5086" spans="1:9" x14ac:dyDescent="0.25">
      <c r="A5086" s="38" t="s">
        <v>208</v>
      </c>
      <c r="B5086" s="28">
        <v>9480</v>
      </c>
      <c r="C5086" s="28">
        <v>10668419</v>
      </c>
      <c r="D5086" s="46"/>
      <c r="E5086" s="35">
        <v>46156</v>
      </c>
      <c r="F5086" s="49">
        <v>0.96050925925925923</v>
      </c>
      <c r="G5086" s="37">
        <v>6.3</v>
      </c>
      <c r="H5086" s="36" t="s">
        <v>1363</v>
      </c>
      <c r="I5086" s="36" t="s">
        <v>1361</v>
      </c>
    </row>
    <row r="5087" spans="1:9" x14ac:dyDescent="0.25">
      <c r="A5087" s="38" t="s">
        <v>208</v>
      </c>
      <c r="B5087" s="28">
        <v>9480</v>
      </c>
      <c r="C5087" s="28">
        <v>10668419</v>
      </c>
      <c r="D5087" s="46" t="s">
        <v>36</v>
      </c>
      <c r="E5087" s="35">
        <v>46156</v>
      </c>
      <c r="F5087" s="49">
        <v>0.96605324074074073</v>
      </c>
      <c r="G5087" s="37">
        <v>6.3</v>
      </c>
      <c r="H5087" s="36" t="s">
        <v>1364</v>
      </c>
      <c r="I5087" s="36" t="s">
        <v>1361</v>
      </c>
    </row>
    <row r="5088" spans="1:9" x14ac:dyDescent="0.25">
      <c r="A5088" s="38" t="s">
        <v>175</v>
      </c>
      <c r="B5088" s="28">
        <v>9490</v>
      </c>
      <c r="C5088" s="28" t="s">
        <v>1306</v>
      </c>
      <c r="D5088" s="46"/>
      <c r="E5088" s="35">
        <v>46154</v>
      </c>
      <c r="F5088" s="49">
        <v>0.41814814814814816</v>
      </c>
      <c r="G5088" s="37">
        <v>6.3</v>
      </c>
      <c r="H5088" s="36" t="s">
        <v>1360</v>
      </c>
      <c r="I5088" s="36" t="s">
        <v>1361</v>
      </c>
    </row>
    <row r="5089" spans="1:9" x14ac:dyDescent="0.25">
      <c r="A5089" s="38" t="s">
        <v>175</v>
      </c>
      <c r="B5089" s="28">
        <v>9490</v>
      </c>
      <c r="C5089" s="28" t="s">
        <v>1306</v>
      </c>
      <c r="D5089" s="46"/>
      <c r="E5089" s="35">
        <v>46154</v>
      </c>
      <c r="F5089" s="49">
        <v>0.43238425925925927</v>
      </c>
      <c r="G5089" s="37">
        <v>6.3</v>
      </c>
      <c r="H5089" s="36" t="s">
        <v>1362</v>
      </c>
      <c r="I5089" s="36" t="s">
        <v>1361</v>
      </c>
    </row>
    <row r="5090" spans="1:9" x14ac:dyDescent="0.25">
      <c r="A5090" s="38" t="s">
        <v>175</v>
      </c>
      <c r="B5090" s="28">
        <v>9490</v>
      </c>
      <c r="C5090" s="28" t="s">
        <v>1307</v>
      </c>
      <c r="D5090" s="46"/>
      <c r="E5090" s="35">
        <v>46155</v>
      </c>
      <c r="F5090" s="49">
        <v>0.41193287037037035</v>
      </c>
      <c r="G5090" s="37">
        <v>6.3</v>
      </c>
      <c r="H5090" s="36" t="s">
        <v>1360</v>
      </c>
      <c r="I5090" s="36" t="s">
        <v>1361</v>
      </c>
    </row>
    <row r="5091" spans="1:9" x14ac:dyDescent="0.25">
      <c r="A5091" s="38" t="s">
        <v>175</v>
      </c>
      <c r="B5091" s="28">
        <v>9490</v>
      </c>
      <c r="C5091" s="28" t="s">
        <v>1307</v>
      </c>
      <c r="D5091" s="46"/>
      <c r="E5091" s="35">
        <v>46155</v>
      </c>
      <c r="F5091" s="49">
        <v>0.43625000000000003</v>
      </c>
      <c r="G5091" s="37">
        <v>6.3</v>
      </c>
      <c r="H5091" s="36" t="s">
        <v>1362</v>
      </c>
      <c r="I5091" s="36" t="s">
        <v>1361</v>
      </c>
    </row>
    <row r="5092" spans="1:9" x14ac:dyDescent="0.25">
      <c r="A5092" s="38" t="s">
        <v>175</v>
      </c>
      <c r="B5092" s="28">
        <v>9490</v>
      </c>
      <c r="C5092" s="28" t="s">
        <v>35</v>
      </c>
      <c r="D5092" s="46" t="s">
        <v>38</v>
      </c>
      <c r="E5092" s="35">
        <v>46155</v>
      </c>
      <c r="F5092" s="49">
        <v>0.45898148148148149</v>
      </c>
      <c r="G5092" s="37">
        <v>6.3</v>
      </c>
      <c r="H5092" s="36" t="s">
        <v>1363</v>
      </c>
      <c r="I5092" s="36" t="s">
        <v>1361</v>
      </c>
    </row>
    <row r="5093" spans="1:9" x14ac:dyDescent="0.25">
      <c r="A5093" s="38" t="s">
        <v>175</v>
      </c>
      <c r="B5093" s="28">
        <v>9490</v>
      </c>
      <c r="C5093" s="28" t="s">
        <v>35</v>
      </c>
      <c r="D5093" s="46" t="s">
        <v>38</v>
      </c>
      <c r="E5093" s="35">
        <v>46155</v>
      </c>
      <c r="F5093" s="49">
        <v>0.4654861111111111</v>
      </c>
      <c r="G5093" s="37">
        <v>6.3</v>
      </c>
      <c r="H5093" s="36" t="s">
        <v>1364</v>
      </c>
      <c r="I5093" s="36" t="s">
        <v>1361</v>
      </c>
    </row>
    <row r="5094" spans="1:9" x14ac:dyDescent="0.25">
      <c r="A5094" s="38" t="s">
        <v>175</v>
      </c>
      <c r="B5094" s="28">
        <v>9490</v>
      </c>
      <c r="C5094" s="28" t="s">
        <v>1308</v>
      </c>
      <c r="D5094" s="46"/>
      <c r="E5094" s="35">
        <v>46156</v>
      </c>
      <c r="F5094" s="49">
        <v>0.73629629629629634</v>
      </c>
      <c r="G5094" s="37">
        <v>6.3</v>
      </c>
      <c r="H5094" s="36" t="s">
        <v>1360</v>
      </c>
      <c r="I5094" s="36" t="s">
        <v>1361</v>
      </c>
    </row>
    <row r="5095" spans="1:9" x14ac:dyDescent="0.25">
      <c r="A5095" s="38" t="s">
        <v>175</v>
      </c>
      <c r="B5095" s="28">
        <v>9490</v>
      </c>
      <c r="C5095" s="28" t="s">
        <v>1308</v>
      </c>
      <c r="D5095" s="46"/>
      <c r="E5095" s="35">
        <v>46156</v>
      </c>
      <c r="F5095" s="49">
        <v>0.7558449074074074</v>
      </c>
      <c r="G5095" s="37">
        <v>6.3</v>
      </c>
      <c r="H5095" s="36" t="s">
        <v>1362</v>
      </c>
      <c r="I5095" s="36" t="s">
        <v>1361</v>
      </c>
    </row>
    <row r="5096" spans="1:9" x14ac:dyDescent="0.25">
      <c r="A5096" s="38" t="s">
        <v>175</v>
      </c>
      <c r="B5096" s="28">
        <v>9490</v>
      </c>
      <c r="C5096" s="28" t="s">
        <v>1309</v>
      </c>
      <c r="D5096" s="46"/>
      <c r="E5096" s="35">
        <v>46157</v>
      </c>
      <c r="F5096" s="49">
        <v>4.5995370370370367E-2</v>
      </c>
      <c r="G5096" s="37">
        <v>6.3</v>
      </c>
      <c r="H5096" s="36" t="s">
        <v>1360</v>
      </c>
      <c r="I5096" s="36" t="s">
        <v>1361</v>
      </c>
    </row>
    <row r="5097" spans="1:9" x14ac:dyDescent="0.25">
      <c r="A5097" s="38" t="s">
        <v>175</v>
      </c>
      <c r="B5097" s="28">
        <v>9490</v>
      </c>
      <c r="C5097" s="28" t="s">
        <v>1309</v>
      </c>
      <c r="D5097" s="46"/>
      <c r="E5097" s="35">
        <v>46157</v>
      </c>
      <c r="F5097" s="49">
        <v>5.6967592592592591E-2</v>
      </c>
      <c r="G5097" s="37">
        <v>6.3</v>
      </c>
      <c r="H5097" s="36" t="s">
        <v>1362</v>
      </c>
      <c r="I5097" s="36" t="s">
        <v>1361</v>
      </c>
    </row>
    <row r="5098" spans="1:9" x14ac:dyDescent="0.25">
      <c r="A5098" s="38" t="s">
        <v>175</v>
      </c>
      <c r="B5098" s="28">
        <v>9490</v>
      </c>
      <c r="C5098" s="28" t="s">
        <v>1310</v>
      </c>
      <c r="D5098" s="46"/>
      <c r="E5098" s="35">
        <v>46157</v>
      </c>
      <c r="F5098" s="49">
        <v>0.69222222222222218</v>
      </c>
      <c r="G5098" s="37">
        <v>6.3</v>
      </c>
      <c r="H5098" s="36" t="s">
        <v>1360</v>
      </c>
      <c r="I5098" s="36" t="s">
        <v>1361</v>
      </c>
    </row>
    <row r="5099" spans="1:9" x14ac:dyDescent="0.25">
      <c r="A5099" s="38" t="s">
        <v>175</v>
      </c>
      <c r="B5099" s="28">
        <v>9490</v>
      </c>
      <c r="C5099" s="28">
        <v>5671701</v>
      </c>
      <c r="D5099" s="46"/>
      <c r="E5099" s="35">
        <v>46158</v>
      </c>
      <c r="F5099" s="49">
        <v>0.68635416666666671</v>
      </c>
      <c r="G5099" s="37">
        <v>6.3</v>
      </c>
      <c r="H5099" s="36" t="s">
        <v>1360</v>
      </c>
      <c r="I5099" s="36" t="s">
        <v>1365</v>
      </c>
    </row>
    <row r="5100" spans="1:9" x14ac:dyDescent="0.25">
      <c r="A5100" s="38" t="s">
        <v>175</v>
      </c>
      <c r="B5100" s="28">
        <v>9490</v>
      </c>
      <c r="C5100" s="28">
        <v>5671701</v>
      </c>
      <c r="D5100" s="46"/>
      <c r="E5100" s="35">
        <v>46158</v>
      </c>
      <c r="F5100" s="49">
        <v>0.69539351851851849</v>
      </c>
      <c r="G5100" s="37">
        <v>6.3</v>
      </c>
      <c r="H5100" s="36" t="s">
        <v>1362</v>
      </c>
      <c r="I5100" s="36" t="s">
        <v>1365</v>
      </c>
    </row>
    <row r="5101" spans="1:9" x14ac:dyDescent="0.25">
      <c r="A5101" s="38" t="s">
        <v>175</v>
      </c>
      <c r="B5101" s="28">
        <v>9490</v>
      </c>
      <c r="C5101" s="28" t="s">
        <v>1311</v>
      </c>
      <c r="D5101" s="46"/>
      <c r="E5101" s="35">
        <v>46158</v>
      </c>
      <c r="F5101" s="49">
        <v>0.97550925925925924</v>
      </c>
      <c r="G5101" s="37">
        <v>6.3</v>
      </c>
      <c r="H5101" s="36" t="s">
        <v>1360</v>
      </c>
      <c r="I5101" s="36" t="s">
        <v>1365</v>
      </c>
    </row>
    <row r="5102" spans="1:9" x14ac:dyDescent="0.25">
      <c r="A5102" s="38" t="s">
        <v>175</v>
      </c>
      <c r="B5102" s="28">
        <v>9490</v>
      </c>
      <c r="C5102" s="28" t="s">
        <v>1311</v>
      </c>
      <c r="D5102" s="46"/>
      <c r="E5102" s="35">
        <v>46158</v>
      </c>
      <c r="F5102" s="49">
        <v>0.98491898148148149</v>
      </c>
      <c r="G5102" s="37">
        <v>6.3</v>
      </c>
      <c r="H5102" s="36" t="s">
        <v>1362</v>
      </c>
      <c r="I5102" s="36" t="s">
        <v>1365</v>
      </c>
    </row>
    <row r="5103" spans="1:9" x14ac:dyDescent="0.25">
      <c r="A5103" s="38" t="s">
        <v>175</v>
      </c>
      <c r="B5103" s="28">
        <v>9490</v>
      </c>
      <c r="C5103" s="28" t="s">
        <v>1312</v>
      </c>
      <c r="D5103" s="46"/>
      <c r="E5103" s="35">
        <v>46159</v>
      </c>
      <c r="F5103" s="49">
        <v>0.42271990740740739</v>
      </c>
      <c r="G5103" s="37">
        <v>6.3</v>
      </c>
      <c r="H5103" s="36" t="s">
        <v>1360</v>
      </c>
      <c r="I5103" s="36" t="s">
        <v>1365</v>
      </c>
    </row>
    <row r="5104" spans="1:9" x14ac:dyDescent="0.25">
      <c r="A5104" s="38" t="s">
        <v>175</v>
      </c>
      <c r="B5104" s="28">
        <v>9490</v>
      </c>
      <c r="C5104" s="28" t="s">
        <v>1312</v>
      </c>
      <c r="D5104" s="46"/>
      <c r="E5104" s="35">
        <v>46159</v>
      </c>
      <c r="F5104" s="49">
        <v>0.43</v>
      </c>
      <c r="G5104" s="37">
        <v>6.3</v>
      </c>
      <c r="H5104" s="36" t="s">
        <v>1362</v>
      </c>
      <c r="I5104" s="36" t="s">
        <v>1365</v>
      </c>
    </row>
    <row r="5105" spans="1:9" x14ac:dyDescent="0.25">
      <c r="A5105" s="38" t="s">
        <v>175</v>
      </c>
      <c r="B5105" s="28">
        <v>9490</v>
      </c>
      <c r="C5105" s="28" t="s">
        <v>1313</v>
      </c>
      <c r="D5105" s="46"/>
      <c r="E5105" s="35">
        <v>46159</v>
      </c>
      <c r="F5105" s="49">
        <v>0.57817129629629627</v>
      </c>
      <c r="G5105" s="37">
        <v>6.3</v>
      </c>
      <c r="H5105" s="36" t="s">
        <v>1360</v>
      </c>
      <c r="I5105" s="36" t="s">
        <v>1365</v>
      </c>
    </row>
    <row r="5106" spans="1:9" x14ac:dyDescent="0.25">
      <c r="A5106" s="38" t="s">
        <v>175</v>
      </c>
      <c r="B5106" s="28">
        <v>9490</v>
      </c>
      <c r="C5106" s="28" t="s">
        <v>1313</v>
      </c>
      <c r="D5106" s="46"/>
      <c r="E5106" s="35">
        <v>46159</v>
      </c>
      <c r="F5106" s="49">
        <v>0.58612268518518518</v>
      </c>
      <c r="G5106" s="37">
        <v>6.3</v>
      </c>
      <c r="H5106" s="36" t="s">
        <v>1362</v>
      </c>
      <c r="I5106" s="36" t="s">
        <v>1365</v>
      </c>
    </row>
    <row r="5107" spans="1:9" x14ac:dyDescent="0.25">
      <c r="A5107" s="38" t="s">
        <v>175</v>
      </c>
      <c r="B5107" s="28">
        <v>9490</v>
      </c>
      <c r="C5107" s="28">
        <v>5673139</v>
      </c>
      <c r="D5107" s="46"/>
      <c r="E5107" s="35">
        <v>46159</v>
      </c>
      <c r="F5107" s="49">
        <v>0.74839120370370371</v>
      </c>
      <c r="G5107" s="37">
        <v>6.3</v>
      </c>
      <c r="H5107" s="36" t="s">
        <v>1360</v>
      </c>
      <c r="I5107" s="36" t="s">
        <v>1365</v>
      </c>
    </row>
    <row r="5108" spans="1:9" x14ac:dyDescent="0.25">
      <c r="A5108" s="38" t="s">
        <v>175</v>
      </c>
      <c r="B5108" s="28">
        <v>9490</v>
      </c>
      <c r="C5108" s="28">
        <v>5673139</v>
      </c>
      <c r="D5108" s="46"/>
      <c r="E5108" s="35">
        <v>46159</v>
      </c>
      <c r="F5108" s="49">
        <v>0.75715277777777779</v>
      </c>
      <c r="G5108" s="37">
        <v>6.3</v>
      </c>
      <c r="H5108" s="36" t="s">
        <v>1362</v>
      </c>
      <c r="I5108" s="36" t="s">
        <v>1365</v>
      </c>
    </row>
    <row r="5109" spans="1:9" x14ac:dyDescent="0.25">
      <c r="A5109" s="38" t="s">
        <v>345</v>
      </c>
      <c r="B5109" s="28">
        <v>9510</v>
      </c>
      <c r="C5109" s="28">
        <v>5667389</v>
      </c>
      <c r="D5109" s="46" t="s">
        <v>37</v>
      </c>
      <c r="E5109" s="35">
        <v>46155</v>
      </c>
      <c r="F5109" s="49">
        <v>0.87283564814814818</v>
      </c>
      <c r="G5109" s="37">
        <v>6.3</v>
      </c>
      <c r="H5109" s="36" t="s">
        <v>1360</v>
      </c>
      <c r="I5109" s="36" t="s">
        <v>1361</v>
      </c>
    </row>
    <row r="5110" spans="1:9" x14ac:dyDescent="0.25">
      <c r="A5110" s="38" t="s">
        <v>345</v>
      </c>
      <c r="B5110" s="28">
        <v>9510</v>
      </c>
      <c r="C5110" s="28">
        <v>5667389</v>
      </c>
      <c r="D5110" s="46" t="s">
        <v>37</v>
      </c>
      <c r="E5110" s="35">
        <v>46155</v>
      </c>
      <c r="F5110" s="49">
        <v>0.87936342592592598</v>
      </c>
      <c r="G5110" s="37">
        <v>6.3</v>
      </c>
      <c r="H5110" s="36" t="s">
        <v>1368</v>
      </c>
      <c r="I5110" s="36" t="s">
        <v>1361</v>
      </c>
    </row>
    <row r="5111" spans="1:9" x14ac:dyDescent="0.25">
      <c r="A5111" s="38" t="s">
        <v>345</v>
      </c>
      <c r="B5111" s="28">
        <v>9510</v>
      </c>
      <c r="C5111" s="28" t="s">
        <v>35</v>
      </c>
      <c r="D5111" s="46" t="s">
        <v>38</v>
      </c>
      <c r="E5111" s="35">
        <v>46155</v>
      </c>
      <c r="F5111" s="49">
        <v>0.89094907407407409</v>
      </c>
      <c r="G5111" s="37">
        <v>6.3</v>
      </c>
      <c r="H5111" s="36" t="s">
        <v>1370</v>
      </c>
      <c r="I5111" s="36" t="s">
        <v>1361</v>
      </c>
    </row>
    <row r="5112" spans="1:9" x14ac:dyDescent="0.25">
      <c r="A5112" s="38" t="s">
        <v>345</v>
      </c>
      <c r="B5112" s="28">
        <v>9510</v>
      </c>
      <c r="C5112" s="28" t="s">
        <v>35</v>
      </c>
      <c r="D5112" s="46" t="s">
        <v>38</v>
      </c>
      <c r="E5112" s="35">
        <v>46155</v>
      </c>
      <c r="F5112" s="49">
        <v>0.89547453703703705</v>
      </c>
      <c r="G5112" s="37">
        <v>6.3</v>
      </c>
      <c r="H5112" s="36" t="s">
        <v>1364</v>
      </c>
      <c r="I5112" s="36" t="s">
        <v>1361</v>
      </c>
    </row>
    <row r="5113" spans="1:9" x14ac:dyDescent="0.25">
      <c r="A5113" s="38" t="s">
        <v>345</v>
      </c>
      <c r="B5113" s="28">
        <v>9510</v>
      </c>
      <c r="C5113" s="28">
        <v>5667527</v>
      </c>
      <c r="D5113" s="46" t="s">
        <v>37</v>
      </c>
      <c r="E5113" s="35">
        <v>46155</v>
      </c>
      <c r="F5113" s="49">
        <v>0.95420138888888884</v>
      </c>
      <c r="G5113" s="37">
        <v>6.3</v>
      </c>
      <c r="H5113" s="36" t="s">
        <v>1360</v>
      </c>
      <c r="I5113" s="36" t="s">
        <v>1361</v>
      </c>
    </row>
    <row r="5114" spans="1:9" x14ac:dyDescent="0.25">
      <c r="A5114" s="38" t="s">
        <v>345</v>
      </c>
      <c r="B5114" s="28">
        <v>9510</v>
      </c>
      <c r="C5114" s="28">
        <v>5667527</v>
      </c>
      <c r="D5114" s="46" t="s">
        <v>37</v>
      </c>
      <c r="E5114" s="35">
        <v>46155</v>
      </c>
      <c r="F5114" s="49">
        <v>0.96059027777777772</v>
      </c>
      <c r="G5114" s="37">
        <v>6.3</v>
      </c>
      <c r="H5114" s="36" t="s">
        <v>1362</v>
      </c>
      <c r="I5114" s="36" t="s">
        <v>1361</v>
      </c>
    </row>
    <row r="5115" spans="1:9" x14ac:dyDescent="0.25">
      <c r="A5115" s="38" t="s">
        <v>345</v>
      </c>
      <c r="B5115" s="28">
        <v>9510</v>
      </c>
      <c r="C5115" s="28" t="s">
        <v>35</v>
      </c>
      <c r="D5115" s="46" t="s">
        <v>38</v>
      </c>
      <c r="E5115" s="35">
        <v>46155</v>
      </c>
      <c r="F5115" s="49">
        <v>0.98089120370370375</v>
      </c>
      <c r="G5115" s="37">
        <v>6.3</v>
      </c>
      <c r="H5115" s="36" t="s">
        <v>1369</v>
      </c>
      <c r="I5115" s="36" t="s">
        <v>1361</v>
      </c>
    </row>
    <row r="5116" spans="1:9" x14ac:dyDescent="0.25">
      <c r="A5116" s="38" t="s">
        <v>345</v>
      </c>
      <c r="B5116" s="28">
        <v>9510</v>
      </c>
      <c r="C5116" s="28" t="s">
        <v>35</v>
      </c>
      <c r="D5116" s="46" t="s">
        <v>38</v>
      </c>
      <c r="E5116" s="35">
        <v>46155</v>
      </c>
      <c r="F5116" s="49">
        <v>0.98538194444444449</v>
      </c>
      <c r="G5116" s="37">
        <v>6.3</v>
      </c>
      <c r="H5116" s="36" t="s">
        <v>1364</v>
      </c>
      <c r="I5116" s="36" t="s">
        <v>1361</v>
      </c>
    </row>
    <row r="5117" spans="1:9" x14ac:dyDescent="0.25">
      <c r="A5117" s="38" t="s">
        <v>345</v>
      </c>
      <c r="B5117" s="28">
        <v>9510</v>
      </c>
      <c r="C5117" s="28" t="s">
        <v>1314</v>
      </c>
      <c r="D5117" s="46"/>
      <c r="E5117" s="35">
        <v>46156</v>
      </c>
      <c r="F5117" s="49">
        <v>1.5555555555555555E-2</v>
      </c>
      <c r="G5117" s="37">
        <v>6.3</v>
      </c>
      <c r="H5117" s="36" t="s">
        <v>1360</v>
      </c>
      <c r="I5117" s="36" t="s">
        <v>1361</v>
      </c>
    </row>
    <row r="5118" spans="1:9" x14ac:dyDescent="0.25">
      <c r="A5118" s="38" t="s">
        <v>345</v>
      </c>
      <c r="B5118" s="28">
        <v>9510</v>
      </c>
      <c r="C5118" s="28" t="s">
        <v>1314</v>
      </c>
      <c r="D5118" s="46"/>
      <c r="E5118" s="35">
        <v>46156</v>
      </c>
      <c r="F5118" s="49">
        <v>2.2534722222222223E-2</v>
      </c>
      <c r="G5118" s="37">
        <v>6.3</v>
      </c>
      <c r="H5118" s="36" t="s">
        <v>1362</v>
      </c>
      <c r="I5118" s="36" t="s">
        <v>1361</v>
      </c>
    </row>
    <row r="5119" spans="1:9" x14ac:dyDescent="0.25">
      <c r="A5119" s="38" t="s">
        <v>345</v>
      </c>
      <c r="B5119" s="28">
        <v>9510</v>
      </c>
      <c r="C5119" s="28" t="s">
        <v>35</v>
      </c>
      <c r="D5119" s="46" t="s">
        <v>38</v>
      </c>
      <c r="E5119" s="35">
        <v>46156</v>
      </c>
      <c r="F5119" s="49">
        <v>0.17348379629629629</v>
      </c>
      <c r="G5119" s="37">
        <v>6.3</v>
      </c>
      <c r="H5119" s="36" t="s">
        <v>1360</v>
      </c>
      <c r="I5119" s="36" t="s">
        <v>1361</v>
      </c>
    </row>
    <row r="5120" spans="1:9" x14ac:dyDescent="0.25">
      <c r="A5120" s="38" t="s">
        <v>345</v>
      </c>
      <c r="B5120" s="28">
        <v>9510</v>
      </c>
      <c r="C5120" s="28" t="s">
        <v>35</v>
      </c>
      <c r="D5120" s="46" t="s">
        <v>38</v>
      </c>
      <c r="E5120" s="35">
        <v>46156</v>
      </c>
      <c r="F5120" s="49">
        <v>0.18019675925925926</v>
      </c>
      <c r="G5120" s="37">
        <v>6.3</v>
      </c>
      <c r="H5120" s="36" t="s">
        <v>1362</v>
      </c>
      <c r="I5120" s="36" t="s">
        <v>1361</v>
      </c>
    </row>
    <row r="5121" spans="1:9" x14ac:dyDescent="0.25">
      <c r="A5121" s="38" t="s">
        <v>345</v>
      </c>
      <c r="B5121" s="28">
        <v>9510</v>
      </c>
      <c r="C5121" s="28" t="s">
        <v>35</v>
      </c>
      <c r="D5121" s="46" t="s">
        <v>38</v>
      </c>
      <c r="E5121" s="35">
        <v>46156</v>
      </c>
      <c r="F5121" s="49">
        <v>0.19954861111111111</v>
      </c>
      <c r="G5121" s="37">
        <v>6.3</v>
      </c>
      <c r="H5121" s="36" t="s">
        <v>1363</v>
      </c>
      <c r="I5121" s="36" t="s">
        <v>1361</v>
      </c>
    </row>
    <row r="5122" spans="1:9" x14ac:dyDescent="0.25">
      <c r="A5122" s="38" t="s">
        <v>345</v>
      </c>
      <c r="B5122" s="28">
        <v>9510</v>
      </c>
      <c r="C5122" s="28" t="s">
        <v>35</v>
      </c>
      <c r="D5122" s="46" t="s">
        <v>38</v>
      </c>
      <c r="E5122" s="35">
        <v>46156</v>
      </c>
      <c r="F5122" s="49">
        <v>0.20435185185185184</v>
      </c>
      <c r="G5122" s="37">
        <v>6.3</v>
      </c>
      <c r="H5122" s="36" t="s">
        <v>1364</v>
      </c>
      <c r="I5122" s="36" t="s">
        <v>1361</v>
      </c>
    </row>
    <row r="5123" spans="1:9" x14ac:dyDescent="0.25">
      <c r="A5123" s="38" t="s">
        <v>345</v>
      </c>
      <c r="B5123" s="28">
        <v>9510</v>
      </c>
      <c r="C5123" s="28" t="s">
        <v>35</v>
      </c>
      <c r="D5123" s="46" t="s">
        <v>38</v>
      </c>
      <c r="E5123" s="35">
        <v>46156</v>
      </c>
      <c r="F5123" s="49">
        <v>0.90510416666666671</v>
      </c>
      <c r="G5123" s="37">
        <v>6.3</v>
      </c>
      <c r="H5123" s="36" t="s">
        <v>1364</v>
      </c>
      <c r="I5123" s="36" t="s">
        <v>1361</v>
      </c>
    </row>
    <row r="5124" spans="1:9" x14ac:dyDescent="0.25">
      <c r="A5124" s="38" t="s">
        <v>345</v>
      </c>
      <c r="B5124" s="28">
        <v>9510</v>
      </c>
      <c r="C5124" s="28">
        <v>5669341</v>
      </c>
      <c r="D5124" s="46" t="s">
        <v>37</v>
      </c>
      <c r="E5124" s="35">
        <v>46156</v>
      </c>
      <c r="F5124" s="49">
        <v>0.9652546296296296</v>
      </c>
      <c r="G5124" s="37">
        <v>6.3</v>
      </c>
      <c r="H5124" s="36" t="s">
        <v>1360</v>
      </c>
      <c r="I5124" s="36" t="s">
        <v>1361</v>
      </c>
    </row>
    <row r="5125" spans="1:9" x14ac:dyDescent="0.25">
      <c r="A5125" s="38" t="s">
        <v>345</v>
      </c>
      <c r="B5125" s="28">
        <v>9510</v>
      </c>
      <c r="C5125" s="28">
        <v>5658168</v>
      </c>
      <c r="D5125" s="46"/>
      <c r="E5125" s="35">
        <v>46157</v>
      </c>
      <c r="F5125" s="49">
        <v>1.1712962962962963E-2</v>
      </c>
      <c r="G5125" s="37">
        <v>6.3</v>
      </c>
      <c r="H5125" s="36" t="s">
        <v>1360</v>
      </c>
      <c r="I5125" s="36" t="s">
        <v>1361</v>
      </c>
    </row>
    <row r="5126" spans="1:9" x14ac:dyDescent="0.25">
      <c r="A5126" s="38" t="s">
        <v>345</v>
      </c>
      <c r="B5126" s="28">
        <v>9510</v>
      </c>
      <c r="C5126" s="28">
        <v>5658168</v>
      </c>
      <c r="D5126" s="46"/>
      <c r="E5126" s="35">
        <v>46157</v>
      </c>
      <c r="F5126" s="49">
        <v>2.1157407407407406E-2</v>
      </c>
      <c r="G5126" s="37">
        <v>6.3</v>
      </c>
      <c r="H5126" s="36" t="s">
        <v>1362</v>
      </c>
      <c r="I5126" s="36" t="s">
        <v>1361</v>
      </c>
    </row>
    <row r="5127" spans="1:9" x14ac:dyDescent="0.25">
      <c r="A5127" s="38" t="s">
        <v>345</v>
      </c>
      <c r="B5127" s="28">
        <v>9510</v>
      </c>
      <c r="C5127" s="28" t="s">
        <v>35</v>
      </c>
      <c r="D5127" s="46" t="s">
        <v>38</v>
      </c>
      <c r="E5127" s="35">
        <v>46157</v>
      </c>
      <c r="F5127" s="49">
        <v>3.8009259259259257E-2</v>
      </c>
      <c r="G5127" s="37">
        <v>6.3</v>
      </c>
      <c r="H5127" s="36" t="s">
        <v>1363</v>
      </c>
      <c r="I5127" s="36" t="s">
        <v>1361</v>
      </c>
    </row>
    <row r="5128" spans="1:9" x14ac:dyDescent="0.25">
      <c r="A5128" s="38" t="s">
        <v>345</v>
      </c>
      <c r="B5128" s="28">
        <v>9510</v>
      </c>
      <c r="C5128" s="28" t="s">
        <v>35</v>
      </c>
      <c r="D5128" s="46" t="s">
        <v>38</v>
      </c>
      <c r="E5128" s="35">
        <v>46157</v>
      </c>
      <c r="F5128" s="49">
        <v>4.2430555555555555E-2</v>
      </c>
      <c r="G5128" s="37">
        <v>6.3</v>
      </c>
      <c r="H5128" s="36" t="s">
        <v>1364</v>
      </c>
      <c r="I5128" s="36" t="s">
        <v>1361</v>
      </c>
    </row>
    <row r="5129" spans="1:9" x14ac:dyDescent="0.25">
      <c r="A5129" s="38" t="s">
        <v>345</v>
      </c>
      <c r="B5129" s="28">
        <v>9510</v>
      </c>
      <c r="C5129" s="28">
        <v>5669124</v>
      </c>
      <c r="D5129" s="46"/>
      <c r="E5129" s="35">
        <v>46157</v>
      </c>
      <c r="F5129" s="49">
        <v>0.18604166666666666</v>
      </c>
      <c r="G5129" s="37">
        <v>6.3</v>
      </c>
      <c r="H5129" s="36" t="s">
        <v>1369</v>
      </c>
      <c r="I5129" s="36" t="s">
        <v>1361</v>
      </c>
    </row>
    <row r="5130" spans="1:9" x14ac:dyDescent="0.25">
      <c r="A5130" s="38" t="s">
        <v>345</v>
      </c>
      <c r="B5130" s="28">
        <v>9510</v>
      </c>
      <c r="C5130" s="28">
        <v>5669124</v>
      </c>
      <c r="D5130" s="46"/>
      <c r="E5130" s="35">
        <v>46157</v>
      </c>
      <c r="F5130" s="49">
        <v>0.19141203703703705</v>
      </c>
      <c r="G5130" s="37">
        <v>6.3</v>
      </c>
      <c r="H5130" s="36" t="s">
        <v>1364</v>
      </c>
      <c r="I5130" s="36" t="s">
        <v>1361</v>
      </c>
    </row>
    <row r="5131" spans="1:9" x14ac:dyDescent="0.25">
      <c r="A5131" s="38" t="s">
        <v>345</v>
      </c>
      <c r="B5131" s="28">
        <v>9510</v>
      </c>
      <c r="C5131" s="28">
        <v>5670668</v>
      </c>
      <c r="D5131" s="46"/>
      <c r="E5131" s="35">
        <v>46157</v>
      </c>
      <c r="F5131" s="49">
        <v>0.89440972222222226</v>
      </c>
      <c r="G5131" s="37">
        <v>6.3</v>
      </c>
      <c r="H5131" s="36" t="s">
        <v>1360</v>
      </c>
      <c r="I5131" s="36" t="s">
        <v>1361</v>
      </c>
    </row>
    <row r="5132" spans="1:9" x14ac:dyDescent="0.25">
      <c r="A5132" s="38" t="s">
        <v>345</v>
      </c>
      <c r="B5132" s="28">
        <v>9510</v>
      </c>
      <c r="C5132" s="28">
        <v>5670668</v>
      </c>
      <c r="D5132" s="46"/>
      <c r="E5132" s="35">
        <v>46157</v>
      </c>
      <c r="F5132" s="49">
        <v>0.90196759259259263</v>
      </c>
      <c r="G5132" s="37">
        <v>6.3</v>
      </c>
      <c r="H5132" s="36" t="s">
        <v>1362</v>
      </c>
      <c r="I5132" s="36" t="s">
        <v>1361</v>
      </c>
    </row>
    <row r="5133" spans="1:9" x14ac:dyDescent="0.25">
      <c r="A5133" s="38" t="s">
        <v>345</v>
      </c>
      <c r="B5133" s="28">
        <v>9510</v>
      </c>
      <c r="C5133" s="28" t="s">
        <v>35</v>
      </c>
      <c r="D5133" s="46" t="s">
        <v>38</v>
      </c>
      <c r="E5133" s="35">
        <v>46157</v>
      </c>
      <c r="F5133" s="49">
        <v>0.91216435185185185</v>
      </c>
      <c r="G5133" s="37">
        <v>6.3</v>
      </c>
      <c r="H5133" s="36" t="s">
        <v>1363</v>
      </c>
      <c r="I5133" s="36" t="s">
        <v>1361</v>
      </c>
    </row>
    <row r="5134" spans="1:9" x14ac:dyDescent="0.25">
      <c r="A5134" s="38" t="s">
        <v>345</v>
      </c>
      <c r="B5134" s="28">
        <v>9510</v>
      </c>
      <c r="C5134" s="28" t="s">
        <v>35</v>
      </c>
      <c r="D5134" s="46" t="s">
        <v>38</v>
      </c>
      <c r="E5134" s="35">
        <v>46157</v>
      </c>
      <c r="F5134" s="49">
        <v>0.91965277777777776</v>
      </c>
      <c r="G5134" s="37">
        <v>6.3</v>
      </c>
      <c r="H5134" s="36" t="s">
        <v>1364</v>
      </c>
      <c r="I5134" s="36" t="s">
        <v>1365</v>
      </c>
    </row>
    <row r="5135" spans="1:9" x14ac:dyDescent="0.25">
      <c r="A5135" s="38" t="s">
        <v>235</v>
      </c>
      <c r="B5135" s="28">
        <v>9527</v>
      </c>
      <c r="C5135" s="28">
        <v>5638930</v>
      </c>
      <c r="D5135" s="46"/>
      <c r="E5135" s="35">
        <v>46153</v>
      </c>
      <c r="F5135" s="49">
        <v>3.3796296296296296E-3</v>
      </c>
      <c r="G5135" s="37">
        <v>6.3</v>
      </c>
      <c r="H5135" s="36" t="s">
        <v>1360</v>
      </c>
      <c r="I5135" s="36" t="s">
        <v>1361</v>
      </c>
    </row>
    <row r="5136" spans="1:9" x14ac:dyDescent="0.25">
      <c r="A5136" s="38" t="s">
        <v>235</v>
      </c>
      <c r="B5136" s="28">
        <v>9527</v>
      </c>
      <c r="C5136" s="28">
        <v>5662212</v>
      </c>
      <c r="D5136" s="46"/>
      <c r="E5136" s="35">
        <v>46153</v>
      </c>
      <c r="F5136" s="49">
        <v>7.1898148148148142E-2</v>
      </c>
      <c r="G5136" s="37">
        <v>6.3</v>
      </c>
      <c r="H5136" s="36" t="s">
        <v>1360</v>
      </c>
      <c r="I5136" s="36" t="s">
        <v>1361</v>
      </c>
    </row>
    <row r="5137" spans="1:9" x14ac:dyDescent="0.25">
      <c r="A5137" s="38" t="s">
        <v>235</v>
      </c>
      <c r="B5137" s="28">
        <v>9527</v>
      </c>
      <c r="C5137" s="28">
        <v>5662212</v>
      </c>
      <c r="D5137" s="46"/>
      <c r="E5137" s="35">
        <v>46153</v>
      </c>
      <c r="F5137" s="49">
        <v>7.8946759259259258E-2</v>
      </c>
      <c r="G5137" s="37">
        <v>6.3</v>
      </c>
      <c r="H5137" s="36" t="s">
        <v>1362</v>
      </c>
      <c r="I5137" s="36" t="s">
        <v>1361</v>
      </c>
    </row>
    <row r="5138" spans="1:9" x14ac:dyDescent="0.25">
      <c r="A5138" s="38" t="s">
        <v>235</v>
      </c>
      <c r="B5138" s="28">
        <v>9527</v>
      </c>
      <c r="C5138" s="28">
        <v>5661678</v>
      </c>
      <c r="D5138" s="46"/>
      <c r="E5138" s="35">
        <v>46153</v>
      </c>
      <c r="F5138" s="49">
        <v>0.23682870370370371</v>
      </c>
      <c r="G5138" s="37">
        <v>6.3</v>
      </c>
      <c r="H5138" s="36" t="s">
        <v>1360</v>
      </c>
      <c r="I5138" s="36" t="s">
        <v>1361</v>
      </c>
    </row>
    <row r="5139" spans="1:9" x14ac:dyDescent="0.25">
      <c r="A5139" s="38" t="s">
        <v>235</v>
      </c>
      <c r="B5139" s="28">
        <v>9527</v>
      </c>
      <c r="C5139" s="28">
        <v>5661678</v>
      </c>
      <c r="D5139" s="46"/>
      <c r="E5139" s="35">
        <v>46153</v>
      </c>
      <c r="F5139" s="49">
        <v>0.24464120370370371</v>
      </c>
      <c r="G5139" s="37">
        <v>6.3</v>
      </c>
      <c r="H5139" s="36" t="s">
        <v>1368</v>
      </c>
      <c r="I5139" s="36" t="s">
        <v>1361</v>
      </c>
    </row>
    <row r="5140" spans="1:9" x14ac:dyDescent="0.25">
      <c r="A5140" s="38" t="s">
        <v>235</v>
      </c>
      <c r="B5140" s="28">
        <v>9527</v>
      </c>
      <c r="C5140" s="28">
        <v>5661402</v>
      </c>
      <c r="D5140" s="46" t="s">
        <v>37</v>
      </c>
      <c r="E5140" s="35">
        <v>46153</v>
      </c>
      <c r="F5140" s="49">
        <v>0.36459490740740741</v>
      </c>
      <c r="G5140" s="37">
        <v>6.3</v>
      </c>
      <c r="H5140" s="36" t="s">
        <v>1363</v>
      </c>
      <c r="I5140" s="36" t="s">
        <v>1361</v>
      </c>
    </row>
    <row r="5141" spans="1:9" x14ac:dyDescent="0.25">
      <c r="A5141" s="38" t="s">
        <v>235</v>
      </c>
      <c r="B5141" s="28">
        <v>9527</v>
      </c>
      <c r="C5141" s="28">
        <v>5661402</v>
      </c>
      <c r="D5141" s="46" t="s">
        <v>37</v>
      </c>
      <c r="E5141" s="35">
        <v>46153</v>
      </c>
      <c r="F5141" s="49">
        <v>0.38126157407407407</v>
      </c>
      <c r="G5141" s="37">
        <v>6.3</v>
      </c>
      <c r="H5141" s="36" t="s">
        <v>1364</v>
      </c>
      <c r="I5141" s="36" t="s">
        <v>1361</v>
      </c>
    </row>
    <row r="5142" spans="1:9" x14ac:dyDescent="0.25">
      <c r="A5142" s="38" t="s">
        <v>235</v>
      </c>
      <c r="B5142" s="28">
        <v>9527</v>
      </c>
      <c r="C5142" s="28" t="s">
        <v>1315</v>
      </c>
      <c r="D5142" s="46"/>
      <c r="E5142" s="35">
        <v>46157</v>
      </c>
      <c r="F5142" s="49">
        <v>0.85923611111111109</v>
      </c>
      <c r="G5142" s="37">
        <v>6.3</v>
      </c>
      <c r="H5142" s="36" t="s">
        <v>1360</v>
      </c>
      <c r="I5142" s="36" t="s">
        <v>1361</v>
      </c>
    </row>
    <row r="5143" spans="1:9" x14ac:dyDescent="0.25">
      <c r="A5143" s="38" t="s">
        <v>235</v>
      </c>
      <c r="B5143" s="28">
        <v>9527</v>
      </c>
      <c r="C5143" s="28" t="s">
        <v>1315</v>
      </c>
      <c r="D5143" s="46"/>
      <c r="E5143" s="35">
        <v>46157</v>
      </c>
      <c r="F5143" s="49">
        <v>0.8694560185185185</v>
      </c>
      <c r="G5143" s="37">
        <v>6.3</v>
      </c>
      <c r="H5143" s="36" t="s">
        <v>1362</v>
      </c>
      <c r="I5143" s="36" t="s">
        <v>1361</v>
      </c>
    </row>
    <row r="5144" spans="1:9" x14ac:dyDescent="0.25">
      <c r="A5144" s="38" t="s">
        <v>235</v>
      </c>
      <c r="B5144" s="28">
        <v>9527</v>
      </c>
      <c r="C5144" s="28" t="s">
        <v>1316</v>
      </c>
      <c r="D5144" s="46"/>
      <c r="E5144" s="35">
        <v>46158</v>
      </c>
      <c r="F5144" s="49">
        <v>4.7928240740740743E-2</v>
      </c>
      <c r="G5144" s="37">
        <v>6.3</v>
      </c>
      <c r="H5144" s="36" t="s">
        <v>1360</v>
      </c>
      <c r="I5144" s="36" t="s">
        <v>1365</v>
      </c>
    </row>
    <row r="5145" spans="1:9" x14ac:dyDescent="0.25">
      <c r="A5145" s="38" t="s">
        <v>235</v>
      </c>
      <c r="B5145" s="28">
        <v>9527</v>
      </c>
      <c r="C5145" s="28" t="s">
        <v>1316</v>
      </c>
      <c r="D5145" s="46"/>
      <c r="E5145" s="35">
        <v>46158</v>
      </c>
      <c r="F5145" s="49">
        <v>5.5034722222222221E-2</v>
      </c>
      <c r="G5145" s="37">
        <v>6.3</v>
      </c>
      <c r="H5145" s="36" t="s">
        <v>1362</v>
      </c>
      <c r="I5145" s="36" t="s">
        <v>1365</v>
      </c>
    </row>
    <row r="5146" spans="1:9" x14ac:dyDescent="0.25">
      <c r="A5146" s="38" t="s">
        <v>235</v>
      </c>
      <c r="B5146" s="28">
        <v>9527</v>
      </c>
      <c r="C5146" s="28" t="s">
        <v>1317</v>
      </c>
      <c r="D5146" s="46"/>
      <c r="E5146" s="35">
        <v>46158</v>
      </c>
      <c r="F5146" s="49">
        <v>0.31599537037037034</v>
      </c>
      <c r="G5146" s="37">
        <v>6.3</v>
      </c>
      <c r="H5146" s="36" t="s">
        <v>1360</v>
      </c>
      <c r="I5146" s="36" t="s">
        <v>1365</v>
      </c>
    </row>
    <row r="5147" spans="1:9" x14ac:dyDescent="0.25">
      <c r="A5147" s="38" t="s">
        <v>235</v>
      </c>
      <c r="B5147" s="28">
        <v>9527</v>
      </c>
      <c r="C5147" s="28" t="s">
        <v>1317</v>
      </c>
      <c r="D5147" s="46"/>
      <c r="E5147" s="35">
        <v>46158</v>
      </c>
      <c r="F5147" s="49">
        <v>0.33059027777777777</v>
      </c>
      <c r="G5147" s="37">
        <v>6.3</v>
      </c>
      <c r="H5147" s="36" t="s">
        <v>1362</v>
      </c>
      <c r="I5147" s="36" t="s">
        <v>1365</v>
      </c>
    </row>
    <row r="5148" spans="1:9" x14ac:dyDescent="0.25">
      <c r="A5148" s="38" t="s">
        <v>235</v>
      </c>
      <c r="B5148" s="28">
        <v>9527</v>
      </c>
      <c r="C5148" s="28">
        <v>5673428</v>
      </c>
      <c r="D5148" s="46"/>
      <c r="E5148" s="35">
        <v>46159</v>
      </c>
      <c r="F5148" s="49">
        <v>0.90026620370370369</v>
      </c>
      <c r="G5148" s="37">
        <v>6.3</v>
      </c>
      <c r="H5148" s="36" t="s">
        <v>1360</v>
      </c>
      <c r="I5148" s="36" t="s">
        <v>1365</v>
      </c>
    </row>
    <row r="5149" spans="1:9" x14ac:dyDescent="0.25">
      <c r="A5149" s="38" t="s">
        <v>235</v>
      </c>
      <c r="B5149" s="28">
        <v>9527</v>
      </c>
      <c r="C5149" s="28">
        <v>5673428</v>
      </c>
      <c r="D5149" s="46"/>
      <c r="E5149" s="35">
        <v>46159</v>
      </c>
      <c r="F5149" s="49">
        <v>0.90767361111111111</v>
      </c>
      <c r="G5149" s="37">
        <v>6.3</v>
      </c>
      <c r="H5149" s="36" t="s">
        <v>1362</v>
      </c>
      <c r="I5149" s="36" t="s">
        <v>1365</v>
      </c>
    </row>
    <row r="5150" spans="1:9" x14ac:dyDescent="0.25">
      <c r="A5150" s="38" t="s">
        <v>202</v>
      </c>
      <c r="B5150" s="28">
        <v>9575</v>
      </c>
      <c r="C5150" s="28" t="s">
        <v>35</v>
      </c>
      <c r="D5150" s="46" t="s">
        <v>38</v>
      </c>
      <c r="E5150" s="35">
        <v>46153</v>
      </c>
      <c r="F5150" s="49">
        <v>0.664525462962963</v>
      </c>
      <c r="G5150" s="37">
        <v>6.3</v>
      </c>
      <c r="H5150" s="36" t="s">
        <v>1364</v>
      </c>
      <c r="I5150" s="36" t="s">
        <v>1361</v>
      </c>
    </row>
    <row r="5151" spans="1:9" x14ac:dyDescent="0.25">
      <c r="A5151" s="38" t="s">
        <v>202</v>
      </c>
      <c r="B5151" s="28">
        <v>9575</v>
      </c>
      <c r="C5151" s="28">
        <v>5664074</v>
      </c>
      <c r="D5151" s="46"/>
      <c r="E5151" s="35">
        <v>46153</v>
      </c>
      <c r="F5151" s="49">
        <v>0.98678240740740741</v>
      </c>
      <c r="G5151" s="37">
        <v>6.3</v>
      </c>
      <c r="H5151" s="36" t="s">
        <v>1360</v>
      </c>
      <c r="I5151" s="36" t="s">
        <v>1361</v>
      </c>
    </row>
    <row r="5152" spans="1:9" x14ac:dyDescent="0.25">
      <c r="A5152" s="38" t="s">
        <v>202</v>
      </c>
      <c r="B5152" s="28">
        <v>9575</v>
      </c>
      <c r="C5152" s="28">
        <v>5664074</v>
      </c>
      <c r="D5152" s="46"/>
      <c r="E5152" s="35">
        <v>46153</v>
      </c>
      <c r="F5152" s="49">
        <v>0.99385416666666671</v>
      </c>
      <c r="G5152" s="37">
        <v>6.3</v>
      </c>
      <c r="H5152" s="36" t="s">
        <v>1362</v>
      </c>
      <c r="I5152" s="36" t="s">
        <v>1361</v>
      </c>
    </row>
    <row r="5153" spans="1:9" x14ac:dyDescent="0.25">
      <c r="A5153" s="38" t="s">
        <v>202</v>
      </c>
      <c r="B5153" s="28">
        <v>9575</v>
      </c>
      <c r="C5153" s="28">
        <v>5665681</v>
      </c>
      <c r="D5153" s="46"/>
      <c r="E5153" s="35">
        <v>46154</v>
      </c>
      <c r="F5153" s="49">
        <v>0.88962962962962966</v>
      </c>
      <c r="G5153" s="37">
        <v>6.3</v>
      </c>
      <c r="H5153" s="36" t="s">
        <v>1360</v>
      </c>
      <c r="I5153" s="36" t="s">
        <v>1361</v>
      </c>
    </row>
    <row r="5154" spans="1:9" x14ac:dyDescent="0.25">
      <c r="A5154" s="38" t="s">
        <v>202</v>
      </c>
      <c r="B5154" s="28">
        <v>9575</v>
      </c>
      <c r="C5154" s="28">
        <v>5665681</v>
      </c>
      <c r="D5154" s="46"/>
      <c r="E5154" s="35">
        <v>46154</v>
      </c>
      <c r="F5154" s="49">
        <v>0.89634259259259264</v>
      </c>
      <c r="G5154" s="37">
        <v>6.3</v>
      </c>
      <c r="H5154" s="36" t="s">
        <v>1362</v>
      </c>
      <c r="I5154" s="36" t="s">
        <v>1361</v>
      </c>
    </row>
    <row r="5155" spans="1:9" x14ac:dyDescent="0.25">
      <c r="A5155" s="38" t="s">
        <v>202</v>
      </c>
      <c r="B5155" s="28">
        <v>9575</v>
      </c>
      <c r="C5155" s="28" t="s">
        <v>35</v>
      </c>
      <c r="D5155" s="46" t="s">
        <v>38</v>
      </c>
      <c r="E5155" s="35">
        <v>46155</v>
      </c>
      <c r="F5155" s="49">
        <v>0.95379629629629625</v>
      </c>
      <c r="G5155" s="37">
        <v>6.3</v>
      </c>
      <c r="H5155" s="36" t="s">
        <v>1370</v>
      </c>
      <c r="I5155" s="36" t="s">
        <v>1361</v>
      </c>
    </row>
    <row r="5156" spans="1:9" x14ac:dyDescent="0.25">
      <c r="A5156" s="38" t="s">
        <v>202</v>
      </c>
      <c r="B5156" s="28">
        <v>9575</v>
      </c>
      <c r="C5156" s="28" t="s">
        <v>35</v>
      </c>
      <c r="D5156" s="46" t="s">
        <v>38</v>
      </c>
      <c r="E5156" s="35">
        <v>46155</v>
      </c>
      <c r="F5156" s="49">
        <v>0.96275462962962965</v>
      </c>
      <c r="G5156" s="37">
        <v>6.3</v>
      </c>
      <c r="H5156" s="36" t="s">
        <v>1362</v>
      </c>
      <c r="I5156" s="36" t="s">
        <v>1361</v>
      </c>
    </row>
    <row r="5157" spans="1:9" x14ac:dyDescent="0.25">
      <c r="A5157" s="38" t="s">
        <v>202</v>
      </c>
      <c r="B5157" s="28">
        <v>9575</v>
      </c>
      <c r="C5157" s="28" t="s">
        <v>35</v>
      </c>
      <c r="D5157" s="46" t="s">
        <v>38</v>
      </c>
      <c r="E5157" s="35">
        <v>46158</v>
      </c>
      <c r="F5157" s="49">
        <v>0.72796296296296292</v>
      </c>
      <c r="G5157" s="37">
        <v>6.3</v>
      </c>
      <c r="H5157" s="36" t="s">
        <v>1364</v>
      </c>
      <c r="I5157" s="36" t="s">
        <v>1365</v>
      </c>
    </row>
    <row r="5158" spans="1:9" x14ac:dyDescent="0.25">
      <c r="A5158" s="38" t="s">
        <v>202</v>
      </c>
      <c r="B5158" s="28">
        <v>9575</v>
      </c>
      <c r="C5158" s="28">
        <v>5671802</v>
      </c>
      <c r="D5158" s="46" t="s">
        <v>37</v>
      </c>
      <c r="E5158" s="35">
        <v>46158</v>
      </c>
      <c r="F5158" s="49">
        <v>0.91278935185185184</v>
      </c>
      <c r="G5158" s="37">
        <v>6.3</v>
      </c>
      <c r="H5158" s="36" t="s">
        <v>1360</v>
      </c>
      <c r="I5158" s="36" t="s">
        <v>1365</v>
      </c>
    </row>
    <row r="5159" spans="1:9" x14ac:dyDescent="0.25">
      <c r="A5159" s="38" t="s">
        <v>202</v>
      </c>
      <c r="B5159" s="28">
        <v>9575</v>
      </c>
      <c r="C5159" s="28">
        <v>5671802</v>
      </c>
      <c r="D5159" s="46" t="s">
        <v>37</v>
      </c>
      <c r="E5159" s="35">
        <v>46158</v>
      </c>
      <c r="F5159" s="49">
        <v>0.91754629629629625</v>
      </c>
      <c r="G5159" s="37">
        <v>6.3</v>
      </c>
      <c r="H5159" s="36" t="s">
        <v>1366</v>
      </c>
      <c r="I5159" s="36" t="s">
        <v>1365</v>
      </c>
    </row>
    <row r="5160" spans="1:9" x14ac:dyDescent="0.25">
      <c r="A5160" s="38" t="s">
        <v>202</v>
      </c>
      <c r="B5160" s="28">
        <v>9575</v>
      </c>
      <c r="C5160" s="28" t="s">
        <v>35</v>
      </c>
      <c r="D5160" s="46" t="s">
        <v>38</v>
      </c>
      <c r="E5160" s="35">
        <v>46158</v>
      </c>
      <c r="F5160" s="49">
        <v>0.93581018518518522</v>
      </c>
      <c r="G5160" s="37">
        <v>6.3</v>
      </c>
      <c r="H5160" s="36" t="s">
        <v>1367</v>
      </c>
      <c r="I5160" s="36" t="s">
        <v>1365</v>
      </c>
    </row>
    <row r="5161" spans="1:9" x14ac:dyDescent="0.25">
      <c r="A5161" s="38" t="s">
        <v>202</v>
      </c>
      <c r="B5161" s="28">
        <v>9575</v>
      </c>
      <c r="C5161" s="28" t="s">
        <v>35</v>
      </c>
      <c r="D5161" s="46" t="s">
        <v>38</v>
      </c>
      <c r="E5161" s="35">
        <v>46158</v>
      </c>
      <c r="F5161" s="49">
        <v>0.93849537037037034</v>
      </c>
      <c r="G5161" s="37">
        <v>6.3</v>
      </c>
      <c r="H5161" s="36" t="s">
        <v>1364</v>
      </c>
      <c r="I5161" s="36" t="s">
        <v>1365</v>
      </c>
    </row>
    <row r="5162" spans="1:9" x14ac:dyDescent="0.25">
      <c r="A5162" s="38" t="s">
        <v>202</v>
      </c>
      <c r="B5162" s="28">
        <v>9575</v>
      </c>
      <c r="C5162" s="28">
        <v>5672119</v>
      </c>
      <c r="D5162" s="46"/>
      <c r="E5162" s="35">
        <v>46158</v>
      </c>
      <c r="F5162" s="49">
        <v>0.971099537037037</v>
      </c>
      <c r="G5162" s="37">
        <v>6.3</v>
      </c>
      <c r="H5162" s="36" t="s">
        <v>1360</v>
      </c>
      <c r="I5162" s="36" t="s">
        <v>1365</v>
      </c>
    </row>
    <row r="5163" spans="1:9" x14ac:dyDescent="0.25">
      <c r="A5163" s="38" t="s">
        <v>202</v>
      </c>
      <c r="B5163" s="28">
        <v>9575</v>
      </c>
      <c r="C5163" s="28">
        <v>5672119</v>
      </c>
      <c r="D5163" s="46"/>
      <c r="E5163" s="35">
        <v>46158</v>
      </c>
      <c r="F5163" s="49">
        <v>0.97791666666666666</v>
      </c>
      <c r="G5163" s="37">
        <v>6.3</v>
      </c>
      <c r="H5163" s="36" t="s">
        <v>1362</v>
      </c>
      <c r="I5163" s="36" t="s">
        <v>1365</v>
      </c>
    </row>
    <row r="5164" spans="1:9" x14ac:dyDescent="0.25">
      <c r="A5164" s="38" t="s">
        <v>202</v>
      </c>
      <c r="B5164" s="28">
        <v>9575</v>
      </c>
      <c r="C5164" s="28" t="s">
        <v>35</v>
      </c>
      <c r="D5164" s="46" t="s">
        <v>38</v>
      </c>
      <c r="E5164" s="35">
        <v>46158</v>
      </c>
      <c r="F5164" s="49">
        <v>0.9864236111111111</v>
      </c>
      <c r="G5164" s="37">
        <v>6.3</v>
      </c>
      <c r="H5164" s="36" t="s">
        <v>1363</v>
      </c>
      <c r="I5164" s="36" t="s">
        <v>1365</v>
      </c>
    </row>
    <row r="5165" spans="1:9" x14ac:dyDescent="0.25">
      <c r="A5165" s="38" t="s">
        <v>202</v>
      </c>
      <c r="B5165" s="28">
        <v>9575</v>
      </c>
      <c r="C5165" s="28" t="s">
        <v>35</v>
      </c>
      <c r="D5165" s="46" t="s">
        <v>38</v>
      </c>
      <c r="E5165" s="35">
        <v>46158</v>
      </c>
      <c r="F5165" s="49">
        <v>0.99151620370370375</v>
      </c>
      <c r="G5165" s="37">
        <v>6.3</v>
      </c>
      <c r="H5165" s="36" t="s">
        <v>1364</v>
      </c>
      <c r="I5165" s="36" t="s">
        <v>1365</v>
      </c>
    </row>
    <row r="5166" spans="1:9" x14ac:dyDescent="0.25">
      <c r="A5166" s="38" t="s">
        <v>202</v>
      </c>
      <c r="B5166" s="28">
        <v>9575</v>
      </c>
      <c r="C5166" s="28" t="s">
        <v>1318</v>
      </c>
      <c r="D5166" s="46"/>
      <c r="E5166" s="35">
        <v>46159</v>
      </c>
      <c r="F5166" s="49">
        <v>2.3506944444444445E-2</v>
      </c>
      <c r="G5166" s="37">
        <v>6.3</v>
      </c>
      <c r="H5166" s="36" t="s">
        <v>1360</v>
      </c>
      <c r="I5166" s="36" t="s">
        <v>1365</v>
      </c>
    </row>
    <row r="5167" spans="1:9" x14ac:dyDescent="0.25">
      <c r="A5167" s="38" t="s">
        <v>202</v>
      </c>
      <c r="B5167" s="28">
        <v>9575</v>
      </c>
      <c r="C5167" s="28" t="s">
        <v>1318</v>
      </c>
      <c r="D5167" s="46"/>
      <c r="E5167" s="35">
        <v>46159</v>
      </c>
      <c r="F5167" s="49">
        <v>2.9976851851851852E-2</v>
      </c>
      <c r="G5167" s="37">
        <v>6.3</v>
      </c>
      <c r="H5167" s="36" t="s">
        <v>1362</v>
      </c>
      <c r="I5167" s="36" t="s">
        <v>1365</v>
      </c>
    </row>
    <row r="5168" spans="1:9" x14ac:dyDescent="0.25">
      <c r="A5168" s="38" t="s">
        <v>202</v>
      </c>
      <c r="B5168" s="28">
        <v>9575</v>
      </c>
      <c r="C5168" s="28" t="s">
        <v>35</v>
      </c>
      <c r="D5168" s="46" t="s">
        <v>38</v>
      </c>
      <c r="E5168" s="35">
        <v>46159</v>
      </c>
      <c r="F5168" s="49">
        <v>0.52875000000000005</v>
      </c>
      <c r="G5168" s="37">
        <v>6.3</v>
      </c>
      <c r="H5168" s="36" t="s">
        <v>1364</v>
      </c>
      <c r="I5168" s="36" t="s">
        <v>1365</v>
      </c>
    </row>
    <row r="5169" spans="1:9" x14ac:dyDescent="0.25">
      <c r="A5169" s="38" t="s">
        <v>202</v>
      </c>
      <c r="B5169" s="28">
        <v>9575</v>
      </c>
      <c r="C5169" s="28" t="s">
        <v>35</v>
      </c>
      <c r="D5169" s="46" t="s">
        <v>38</v>
      </c>
      <c r="E5169" s="35">
        <v>46159</v>
      </c>
      <c r="F5169" s="49">
        <v>0.68725694444444441</v>
      </c>
      <c r="G5169" s="37">
        <v>6.3</v>
      </c>
      <c r="H5169" s="36" t="s">
        <v>1360</v>
      </c>
      <c r="I5169" s="36" t="s">
        <v>1365</v>
      </c>
    </row>
    <row r="5170" spans="1:9" x14ac:dyDescent="0.25">
      <c r="A5170" s="38" t="s">
        <v>202</v>
      </c>
      <c r="B5170" s="28">
        <v>9575</v>
      </c>
      <c r="C5170" s="28" t="s">
        <v>35</v>
      </c>
      <c r="D5170" s="46" t="s">
        <v>38</v>
      </c>
      <c r="E5170" s="35">
        <v>46159</v>
      </c>
      <c r="F5170" s="49">
        <v>0.69396990740740738</v>
      </c>
      <c r="G5170" s="37">
        <v>6.3</v>
      </c>
      <c r="H5170" s="36" t="s">
        <v>1368</v>
      </c>
      <c r="I5170" s="36" t="s">
        <v>1365</v>
      </c>
    </row>
    <row r="5171" spans="1:9" x14ac:dyDescent="0.25">
      <c r="A5171" s="38" t="s">
        <v>202</v>
      </c>
      <c r="B5171" s="28">
        <v>9575</v>
      </c>
      <c r="C5171" s="28" t="s">
        <v>35</v>
      </c>
      <c r="D5171" s="46" t="s">
        <v>38</v>
      </c>
      <c r="E5171" s="35">
        <v>46159</v>
      </c>
      <c r="F5171" s="49">
        <v>0.72076388888888887</v>
      </c>
      <c r="G5171" s="37">
        <v>6.3</v>
      </c>
      <c r="H5171" s="36" t="s">
        <v>1363</v>
      </c>
      <c r="I5171" s="36" t="s">
        <v>1365</v>
      </c>
    </row>
    <row r="5172" spans="1:9" x14ac:dyDescent="0.25">
      <c r="A5172" s="38" t="s">
        <v>202</v>
      </c>
      <c r="B5172" s="28">
        <v>9575</v>
      </c>
      <c r="C5172" s="28" t="s">
        <v>35</v>
      </c>
      <c r="D5172" s="46" t="s">
        <v>38</v>
      </c>
      <c r="E5172" s="35">
        <v>46159</v>
      </c>
      <c r="F5172" s="49">
        <v>0.72584490740740737</v>
      </c>
      <c r="G5172" s="37">
        <v>6.3</v>
      </c>
      <c r="H5172" s="36" t="s">
        <v>1364</v>
      </c>
      <c r="I5172" s="36" t="s">
        <v>1365</v>
      </c>
    </row>
    <row r="5173" spans="1:9" x14ac:dyDescent="0.25">
      <c r="A5173" s="38" t="s">
        <v>202</v>
      </c>
      <c r="B5173" s="28">
        <v>9575</v>
      </c>
      <c r="C5173" s="28">
        <v>5672581</v>
      </c>
      <c r="D5173" s="46"/>
      <c r="E5173" s="35">
        <v>46159</v>
      </c>
      <c r="F5173" s="49">
        <v>0.89055555555555554</v>
      </c>
      <c r="G5173" s="37">
        <v>6.3</v>
      </c>
      <c r="H5173" s="36" t="s">
        <v>1360</v>
      </c>
      <c r="I5173" s="36" t="s">
        <v>1365</v>
      </c>
    </row>
    <row r="5174" spans="1:9" x14ac:dyDescent="0.25">
      <c r="A5174" s="38" t="s">
        <v>202</v>
      </c>
      <c r="B5174" s="28">
        <v>9575</v>
      </c>
      <c r="C5174" s="28">
        <v>5672581</v>
      </c>
      <c r="D5174" s="46"/>
      <c r="E5174" s="35">
        <v>46159</v>
      </c>
      <c r="F5174" s="49">
        <v>0.8976736111111111</v>
      </c>
      <c r="G5174" s="37">
        <v>6.3</v>
      </c>
      <c r="H5174" s="36" t="s">
        <v>1362</v>
      </c>
      <c r="I5174" s="36" t="s">
        <v>1365</v>
      </c>
    </row>
    <row r="5175" spans="1:9" x14ac:dyDescent="0.25">
      <c r="A5175" s="38" t="s">
        <v>202</v>
      </c>
      <c r="B5175" s="28">
        <v>9575</v>
      </c>
      <c r="C5175" s="28" t="s">
        <v>35</v>
      </c>
      <c r="D5175" s="46" t="s">
        <v>38</v>
      </c>
      <c r="E5175" s="35">
        <v>46159</v>
      </c>
      <c r="F5175" s="49">
        <v>0.90835648148148151</v>
      </c>
      <c r="G5175" s="37">
        <v>6.3</v>
      </c>
      <c r="H5175" s="36" t="s">
        <v>1363</v>
      </c>
      <c r="I5175" s="36" t="s">
        <v>1365</v>
      </c>
    </row>
    <row r="5176" spans="1:9" x14ac:dyDescent="0.25">
      <c r="A5176" s="38" t="s">
        <v>202</v>
      </c>
      <c r="B5176" s="28">
        <v>9575</v>
      </c>
      <c r="C5176" s="28" t="s">
        <v>35</v>
      </c>
      <c r="D5176" s="46" t="s">
        <v>38</v>
      </c>
      <c r="E5176" s="35">
        <v>46159</v>
      </c>
      <c r="F5176" s="49">
        <v>0.91407407407407404</v>
      </c>
      <c r="G5176" s="37">
        <v>6.3</v>
      </c>
      <c r="H5176" s="36" t="s">
        <v>1364</v>
      </c>
      <c r="I5176" s="36" t="s">
        <v>1365</v>
      </c>
    </row>
    <row r="5177" spans="1:9" x14ac:dyDescent="0.25">
      <c r="A5177" s="38" t="s">
        <v>202</v>
      </c>
      <c r="B5177" s="28">
        <v>9575</v>
      </c>
      <c r="C5177" s="28" t="s">
        <v>1319</v>
      </c>
      <c r="D5177" s="46"/>
      <c r="E5177" s="35">
        <v>46159</v>
      </c>
      <c r="F5177" s="49">
        <v>0.95050925925925922</v>
      </c>
      <c r="G5177" s="37">
        <v>6.3</v>
      </c>
      <c r="H5177" s="36" t="s">
        <v>1360</v>
      </c>
      <c r="I5177" s="36" t="s">
        <v>1365</v>
      </c>
    </row>
    <row r="5178" spans="1:9" x14ac:dyDescent="0.25">
      <c r="A5178" s="38" t="s">
        <v>202</v>
      </c>
      <c r="B5178" s="28">
        <v>9575</v>
      </c>
      <c r="C5178" s="28" t="s">
        <v>1319</v>
      </c>
      <c r="D5178" s="46"/>
      <c r="E5178" s="35">
        <v>46159</v>
      </c>
      <c r="F5178" s="49">
        <v>0.95699074074074075</v>
      </c>
      <c r="G5178" s="37">
        <v>6.3</v>
      </c>
      <c r="H5178" s="36" t="s">
        <v>1362</v>
      </c>
      <c r="I5178" s="36" t="s">
        <v>1365</v>
      </c>
    </row>
    <row r="5179" spans="1:9" x14ac:dyDescent="0.25">
      <c r="A5179" s="38" t="s">
        <v>202</v>
      </c>
      <c r="B5179" s="28">
        <v>9575</v>
      </c>
      <c r="C5179" s="28" t="s">
        <v>35</v>
      </c>
      <c r="D5179" s="46" t="s">
        <v>38</v>
      </c>
      <c r="E5179" s="35">
        <v>46159</v>
      </c>
      <c r="F5179" s="49">
        <v>0.96957175925925931</v>
      </c>
      <c r="G5179" s="37">
        <v>6.3</v>
      </c>
      <c r="H5179" s="36" t="s">
        <v>1363</v>
      </c>
      <c r="I5179" s="36" t="s">
        <v>1365</v>
      </c>
    </row>
    <row r="5180" spans="1:9" x14ac:dyDescent="0.25">
      <c r="A5180" s="38" t="s">
        <v>202</v>
      </c>
      <c r="B5180" s="28">
        <v>9575</v>
      </c>
      <c r="C5180" s="28" t="s">
        <v>35</v>
      </c>
      <c r="D5180" s="46" t="s">
        <v>38</v>
      </c>
      <c r="E5180" s="35">
        <v>46159</v>
      </c>
      <c r="F5180" s="49">
        <v>0.97458333333333336</v>
      </c>
      <c r="G5180" s="37">
        <v>6.3</v>
      </c>
      <c r="H5180" s="36" t="s">
        <v>1364</v>
      </c>
      <c r="I5180" s="36" t="s">
        <v>1365</v>
      </c>
    </row>
    <row r="5181" spans="1:9" x14ac:dyDescent="0.25">
      <c r="A5181" s="38" t="s">
        <v>483</v>
      </c>
      <c r="B5181" s="28">
        <v>9599</v>
      </c>
      <c r="C5181" s="28" t="s">
        <v>35</v>
      </c>
      <c r="D5181" s="46" t="s">
        <v>38</v>
      </c>
      <c r="E5181" s="35">
        <v>46157</v>
      </c>
      <c r="F5181" s="49">
        <v>0.65181712962962968</v>
      </c>
      <c r="G5181" s="37">
        <v>6.3</v>
      </c>
      <c r="H5181" s="36" t="s">
        <v>1362</v>
      </c>
      <c r="I5181" s="36" t="s">
        <v>1361</v>
      </c>
    </row>
    <row r="5182" spans="1:9" x14ac:dyDescent="0.25">
      <c r="A5182" s="38" t="s">
        <v>483</v>
      </c>
      <c r="B5182" s="28">
        <v>9599</v>
      </c>
      <c r="C5182" s="28" t="s">
        <v>35</v>
      </c>
      <c r="D5182" s="46" t="s">
        <v>38</v>
      </c>
      <c r="E5182" s="35">
        <v>46158</v>
      </c>
      <c r="F5182" s="49">
        <v>0.44648148148148148</v>
      </c>
      <c r="G5182" s="37">
        <v>6.3</v>
      </c>
      <c r="H5182" s="36" t="s">
        <v>1368</v>
      </c>
      <c r="I5182" s="36" t="s">
        <v>1365</v>
      </c>
    </row>
    <row r="5183" spans="1:9" x14ac:dyDescent="0.25">
      <c r="A5183" s="38" t="s">
        <v>483</v>
      </c>
      <c r="B5183" s="28">
        <v>9599</v>
      </c>
      <c r="C5183" s="28" t="s">
        <v>35</v>
      </c>
      <c r="D5183" s="46" t="s">
        <v>38</v>
      </c>
      <c r="E5183" s="35">
        <v>46159</v>
      </c>
      <c r="F5183" s="49">
        <v>0.21186342592592591</v>
      </c>
      <c r="G5183" s="37">
        <v>6.3</v>
      </c>
      <c r="H5183" s="36" t="s">
        <v>1362</v>
      </c>
      <c r="I5183" s="36" t="s">
        <v>1365</v>
      </c>
    </row>
    <row r="5184" spans="1:9" x14ac:dyDescent="0.25">
      <c r="A5184" s="38" t="s">
        <v>483</v>
      </c>
      <c r="B5184" s="28">
        <v>9599</v>
      </c>
      <c r="C5184" s="28" t="s">
        <v>35</v>
      </c>
      <c r="D5184" s="46" t="s">
        <v>38</v>
      </c>
      <c r="E5184" s="35">
        <v>46159</v>
      </c>
      <c r="F5184" s="49">
        <v>0.90266203703703707</v>
      </c>
      <c r="G5184" s="37">
        <v>6.3</v>
      </c>
      <c r="H5184" s="36" t="s">
        <v>1363</v>
      </c>
      <c r="I5184" s="36" t="s">
        <v>1365</v>
      </c>
    </row>
    <row r="5185" spans="1:9" x14ac:dyDescent="0.25">
      <c r="A5185" s="38" t="s">
        <v>225</v>
      </c>
      <c r="B5185" s="28">
        <v>9604</v>
      </c>
      <c r="C5185" s="28" t="s">
        <v>35</v>
      </c>
      <c r="D5185" s="46" t="s">
        <v>38</v>
      </c>
      <c r="E5185" s="35">
        <v>46153</v>
      </c>
      <c r="F5185" s="49">
        <v>0.24556712962962962</v>
      </c>
      <c r="G5185" s="37">
        <v>6.3</v>
      </c>
      <c r="H5185" s="36" t="s">
        <v>1364</v>
      </c>
      <c r="I5185" s="36" t="s">
        <v>1361</v>
      </c>
    </row>
    <row r="5186" spans="1:9" x14ac:dyDescent="0.25">
      <c r="A5186" s="38" t="s">
        <v>225</v>
      </c>
      <c r="B5186" s="28">
        <v>9604</v>
      </c>
      <c r="C5186" s="28" t="s">
        <v>1320</v>
      </c>
      <c r="D5186" s="46"/>
      <c r="E5186" s="35">
        <v>46153</v>
      </c>
      <c r="F5186" s="49">
        <v>0.60543981481481479</v>
      </c>
      <c r="G5186" s="37">
        <v>6.3</v>
      </c>
      <c r="H5186" s="36" t="s">
        <v>1360</v>
      </c>
      <c r="I5186" s="36" t="s">
        <v>1361</v>
      </c>
    </row>
    <row r="5187" spans="1:9" x14ac:dyDescent="0.25">
      <c r="A5187" s="38" t="s">
        <v>225</v>
      </c>
      <c r="B5187" s="28">
        <v>9604</v>
      </c>
      <c r="C5187" s="28" t="s">
        <v>1320</v>
      </c>
      <c r="D5187" s="46"/>
      <c r="E5187" s="35">
        <v>46153</v>
      </c>
      <c r="F5187" s="49">
        <v>0.6144560185185185</v>
      </c>
      <c r="G5187" s="37">
        <v>6.3</v>
      </c>
      <c r="H5187" s="36" t="s">
        <v>1368</v>
      </c>
      <c r="I5187" s="36" t="s">
        <v>1361</v>
      </c>
    </row>
    <row r="5188" spans="1:9" x14ac:dyDescent="0.25">
      <c r="A5188" s="38" t="s">
        <v>225</v>
      </c>
      <c r="B5188" s="28">
        <v>9604</v>
      </c>
      <c r="C5188" s="28">
        <v>5669367</v>
      </c>
      <c r="D5188" s="46"/>
      <c r="E5188" s="35">
        <v>46157</v>
      </c>
      <c r="F5188" s="49">
        <v>0.40856481481481483</v>
      </c>
      <c r="G5188" s="37">
        <v>6.3</v>
      </c>
      <c r="H5188" s="36" t="s">
        <v>1360</v>
      </c>
      <c r="I5188" s="36" t="s">
        <v>1361</v>
      </c>
    </row>
    <row r="5189" spans="1:9" x14ac:dyDescent="0.25">
      <c r="A5189" s="38" t="s">
        <v>225</v>
      </c>
      <c r="B5189" s="28">
        <v>9604</v>
      </c>
      <c r="C5189" s="28">
        <v>5669367</v>
      </c>
      <c r="D5189" s="46"/>
      <c r="E5189" s="35">
        <v>46157</v>
      </c>
      <c r="F5189" s="49">
        <v>0.42466435185185186</v>
      </c>
      <c r="G5189" s="37">
        <v>6.3</v>
      </c>
      <c r="H5189" s="36" t="s">
        <v>1362</v>
      </c>
      <c r="I5189" s="36" t="s">
        <v>1361</v>
      </c>
    </row>
    <row r="5190" spans="1:9" x14ac:dyDescent="0.25">
      <c r="A5190" s="38" t="s">
        <v>225</v>
      </c>
      <c r="B5190" s="28">
        <v>9604</v>
      </c>
      <c r="C5190" s="28">
        <v>5669861</v>
      </c>
      <c r="D5190" s="46"/>
      <c r="E5190" s="35">
        <v>46157</v>
      </c>
      <c r="F5190" s="49">
        <v>0.48628472222222224</v>
      </c>
      <c r="G5190" s="37">
        <v>6.3</v>
      </c>
      <c r="H5190" s="36" t="s">
        <v>1363</v>
      </c>
      <c r="I5190" s="36" t="s">
        <v>1361</v>
      </c>
    </row>
    <row r="5191" spans="1:9" x14ac:dyDescent="0.25">
      <c r="A5191" s="38" t="s">
        <v>225</v>
      </c>
      <c r="B5191" s="28">
        <v>9604</v>
      </c>
      <c r="C5191" s="28">
        <v>5669861</v>
      </c>
      <c r="D5191" s="46"/>
      <c r="E5191" s="35">
        <v>46157</v>
      </c>
      <c r="F5191" s="49">
        <v>0.49207175925925928</v>
      </c>
      <c r="G5191" s="37">
        <v>6.3</v>
      </c>
      <c r="H5191" s="36" t="s">
        <v>1364</v>
      </c>
      <c r="I5191" s="36" t="s">
        <v>1361</v>
      </c>
    </row>
    <row r="5192" spans="1:9" x14ac:dyDescent="0.25">
      <c r="A5192" s="38" t="s">
        <v>225</v>
      </c>
      <c r="B5192" s="28">
        <v>9604</v>
      </c>
      <c r="C5192" s="28" t="s">
        <v>35</v>
      </c>
      <c r="D5192" s="46" t="s">
        <v>38</v>
      </c>
      <c r="E5192" s="35">
        <v>46159</v>
      </c>
      <c r="F5192" s="49">
        <v>0.37186342592592592</v>
      </c>
      <c r="G5192" s="37">
        <v>6.3</v>
      </c>
      <c r="H5192" s="36" t="s">
        <v>1364</v>
      </c>
      <c r="I5192" s="36" t="s">
        <v>1365</v>
      </c>
    </row>
    <row r="5193" spans="1:9" x14ac:dyDescent="0.25">
      <c r="A5193" s="38" t="s">
        <v>225</v>
      </c>
      <c r="B5193" s="28">
        <v>9604</v>
      </c>
      <c r="C5193" s="28" t="s">
        <v>35</v>
      </c>
      <c r="D5193" s="46" t="s">
        <v>38</v>
      </c>
      <c r="E5193" s="35">
        <v>46159</v>
      </c>
      <c r="F5193" s="49">
        <v>0.91863425925925923</v>
      </c>
      <c r="G5193" s="37">
        <v>6.3</v>
      </c>
      <c r="H5193" s="36" t="s">
        <v>1363</v>
      </c>
      <c r="I5193" s="36" t="s">
        <v>1365</v>
      </c>
    </row>
    <row r="5194" spans="1:9" x14ac:dyDescent="0.25">
      <c r="A5194" s="38" t="s">
        <v>225</v>
      </c>
      <c r="B5194" s="28">
        <v>9604</v>
      </c>
      <c r="C5194" s="28" t="s">
        <v>35</v>
      </c>
      <c r="D5194" s="46" t="s">
        <v>38</v>
      </c>
      <c r="E5194" s="35">
        <v>46159</v>
      </c>
      <c r="F5194" s="49">
        <v>0.92396990740740736</v>
      </c>
      <c r="G5194" s="37">
        <v>6.3</v>
      </c>
      <c r="H5194" s="36" t="s">
        <v>1364</v>
      </c>
      <c r="I5194" s="36" t="s">
        <v>1365</v>
      </c>
    </row>
    <row r="5195" spans="1:9" x14ac:dyDescent="0.25">
      <c r="A5195" s="38" t="s">
        <v>179</v>
      </c>
      <c r="B5195" s="28">
        <v>9617</v>
      </c>
      <c r="C5195" s="28" t="s">
        <v>35</v>
      </c>
      <c r="D5195" s="46" t="s">
        <v>38</v>
      </c>
      <c r="E5195" s="35">
        <v>46155</v>
      </c>
      <c r="F5195" s="49">
        <v>0.25792824074074072</v>
      </c>
      <c r="G5195" s="37">
        <v>6.3</v>
      </c>
      <c r="H5195" s="36" t="s">
        <v>1363</v>
      </c>
      <c r="I5195" s="36" t="s">
        <v>1361</v>
      </c>
    </row>
    <row r="5196" spans="1:9" x14ac:dyDescent="0.25">
      <c r="A5196" s="38" t="s">
        <v>179</v>
      </c>
      <c r="B5196" s="28">
        <v>9617</v>
      </c>
      <c r="C5196" s="28" t="s">
        <v>35</v>
      </c>
      <c r="D5196" s="46" t="s">
        <v>38</v>
      </c>
      <c r="E5196" s="35">
        <v>46155</v>
      </c>
      <c r="F5196" s="49">
        <v>0.26740740740740743</v>
      </c>
      <c r="G5196" s="37">
        <v>6.3</v>
      </c>
      <c r="H5196" s="36" t="s">
        <v>1364</v>
      </c>
      <c r="I5196" s="36" t="s">
        <v>1361</v>
      </c>
    </row>
    <row r="5197" spans="1:9" x14ac:dyDescent="0.25">
      <c r="A5197" s="38" t="s">
        <v>179</v>
      </c>
      <c r="B5197" s="28">
        <v>9617</v>
      </c>
      <c r="C5197" s="28" t="s">
        <v>35</v>
      </c>
      <c r="D5197" s="46" t="s">
        <v>38</v>
      </c>
      <c r="E5197" s="35">
        <v>46155</v>
      </c>
      <c r="F5197" s="49">
        <v>0.35600694444444442</v>
      </c>
      <c r="G5197" s="37">
        <v>6.3</v>
      </c>
      <c r="H5197" s="36" t="s">
        <v>1360</v>
      </c>
      <c r="I5197" s="36" t="s">
        <v>1361</v>
      </c>
    </row>
    <row r="5198" spans="1:9" x14ac:dyDescent="0.25">
      <c r="A5198" s="38" t="s">
        <v>179</v>
      </c>
      <c r="B5198" s="28">
        <v>9617</v>
      </c>
      <c r="C5198" s="28">
        <v>5665819</v>
      </c>
      <c r="D5198" s="46"/>
      <c r="E5198" s="35">
        <v>46155</v>
      </c>
      <c r="F5198" s="49">
        <v>0.70570601851851855</v>
      </c>
      <c r="G5198" s="37">
        <v>6.3</v>
      </c>
      <c r="H5198" s="36" t="s">
        <v>1363</v>
      </c>
      <c r="I5198" s="36" t="s">
        <v>1361</v>
      </c>
    </row>
    <row r="5199" spans="1:9" x14ac:dyDescent="0.25">
      <c r="A5199" s="38" t="s">
        <v>179</v>
      </c>
      <c r="B5199" s="28">
        <v>9617</v>
      </c>
      <c r="C5199" s="28">
        <v>5665819</v>
      </c>
      <c r="D5199" s="46"/>
      <c r="E5199" s="35">
        <v>46155</v>
      </c>
      <c r="F5199" s="49">
        <v>0.71611111111111114</v>
      </c>
      <c r="G5199" s="37">
        <v>6.3</v>
      </c>
      <c r="H5199" s="36" t="s">
        <v>1364</v>
      </c>
      <c r="I5199" s="36" t="s">
        <v>1361</v>
      </c>
    </row>
    <row r="5200" spans="1:9" x14ac:dyDescent="0.25">
      <c r="A5200" s="38" t="s">
        <v>179</v>
      </c>
      <c r="B5200" s="28">
        <v>9617</v>
      </c>
      <c r="C5200" s="28" t="s">
        <v>35</v>
      </c>
      <c r="D5200" s="46" t="s">
        <v>38</v>
      </c>
      <c r="E5200" s="35">
        <v>46155</v>
      </c>
      <c r="F5200" s="49">
        <v>0.93972222222222224</v>
      </c>
      <c r="G5200" s="37">
        <v>6.3</v>
      </c>
      <c r="H5200" s="36" t="s">
        <v>1368</v>
      </c>
      <c r="I5200" s="36" t="s">
        <v>1361</v>
      </c>
    </row>
    <row r="5201" spans="1:9" x14ac:dyDescent="0.25">
      <c r="A5201" s="38" t="s">
        <v>179</v>
      </c>
      <c r="B5201" s="28">
        <v>9617</v>
      </c>
      <c r="C5201" s="28" t="s">
        <v>35</v>
      </c>
      <c r="D5201" s="46" t="s">
        <v>38</v>
      </c>
      <c r="E5201" s="35">
        <v>46157</v>
      </c>
      <c r="F5201" s="49">
        <v>0.32124999999999998</v>
      </c>
      <c r="G5201" s="37">
        <v>6.3</v>
      </c>
      <c r="H5201" s="36" t="s">
        <v>1367</v>
      </c>
      <c r="I5201" s="36" t="s">
        <v>1361</v>
      </c>
    </row>
    <row r="5202" spans="1:9" x14ac:dyDescent="0.25">
      <c r="A5202" s="38" t="s">
        <v>179</v>
      </c>
      <c r="B5202" s="28">
        <v>9617</v>
      </c>
      <c r="C5202" s="28" t="s">
        <v>35</v>
      </c>
      <c r="D5202" s="46" t="s">
        <v>38</v>
      </c>
      <c r="E5202" s="35">
        <v>46157</v>
      </c>
      <c r="F5202" s="49">
        <v>0.71603009259259254</v>
      </c>
      <c r="G5202" s="37">
        <v>6.3</v>
      </c>
      <c r="H5202" s="36" t="s">
        <v>1360</v>
      </c>
      <c r="I5202" s="36" t="s">
        <v>1361</v>
      </c>
    </row>
    <row r="5203" spans="1:9" x14ac:dyDescent="0.25">
      <c r="A5203" s="38" t="s">
        <v>179</v>
      </c>
      <c r="B5203" s="28">
        <v>9617</v>
      </c>
      <c r="C5203" s="28">
        <v>5671186</v>
      </c>
      <c r="D5203" s="46"/>
      <c r="E5203" s="35">
        <v>46158</v>
      </c>
      <c r="F5203" s="49">
        <v>0.3087152777777778</v>
      </c>
      <c r="G5203" s="37">
        <v>6.3</v>
      </c>
      <c r="H5203" s="36" t="s">
        <v>1370</v>
      </c>
      <c r="I5203" s="36" t="s">
        <v>1365</v>
      </c>
    </row>
    <row r="5204" spans="1:9" x14ac:dyDescent="0.25">
      <c r="A5204" s="38" t="s">
        <v>179</v>
      </c>
      <c r="B5204" s="28">
        <v>9617</v>
      </c>
      <c r="C5204" s="28">
        <v>5671186</v>
      </c>
      <c r="D5204" s="46"/>
      <c r="E5204" s="35">
        <v>46158</v>
      </c>
      <c r="F5204" s="49">
        <v>0.31368055555555557</v>
      </c>
      <c r="G5204" s="37">
        <v>6.3</v>
      </c>
      <c r="H5204" s="36" t="s">
        <v>1364</v>
      </c>
      <c r="I5204" s="36" t="s">
        <v>1365</v>
      </c>
    </row>
    <row r="5205" spans="1:9" x14ac:dyDescent="0.25">
      <c r="A5205" s="38" t="s">
        <v>179</v>
      </c>
      <c r="B5205" s="28">
        <v>9617</v>
      </c>
      <c r="C5205" s="28">
        <v>5671286</v>
      </c>
      <c r="D5205" s="46"/>
      <c r="E5205" s="35">
        <v>46158</v>
      </c>
      <c r="F5205" s="49">
        <v>0.38814814814814813</v>
      </c>
      <c r="G5205" s="37">
        <v>6.3</v>
      </c>
      <c r="H5205" s="36" t="s">
        <v>1360</v>
      </c>
      <c r="I5205" s="36" t="s">
        <v>1365</v>
      </c>
    </row>
    <row r="5206" spans="1:9" x14ac:dyDescent="0.25">
      <c r="A5206" s="38" t="s">
        <v>179</v>
      </c>
      <c r="B5206" s="28">
        <v>9617</v>
      </c>
      <c r="C5206" s="28">
        <v>5671319</v>
      </c>
      <c r="D5206" s="46"/>
      <c r="E5206" s="35">
        <v>46158</v>
      </c>
      <c r="F5206" s="49">
        <v>0.49129629629629629</v>
      </c>
      <c r="G5206" s="37">
        <v>6.3</v>
      </c>
      <c r="H5206" s="36" t="s">
        <v>1370</v>
      </c>
      <c r="I5206" s="36" t="s">
        <v>1365</v>
      </c>
    </row>
    <row r="5207" spans="1:9" x14ac:dyDescent="0.25">
      <c r="A5207" s="38" t="s">
        <v>179</v>
      </c>
      <c r="B5207" s="28">
        <v>9617</v>
      </c>
      <c r="C5207" s="28">
        <v>5671319</v>
      </c>
      <c r="D5207" s="46"/>
      <c r="E5207" s="35">
        <v>46158</v>
      </c>
      <c r="F5207" s="49">
        <v>0.49655092592592592</v>
      </c>
      <c r="G5207" s="37">
        <v>6.3</v>
      </c>
      <c r="H5207" s="36" t="s">
        <v>1364</v>
      </c>
      <c r="I5207" s="36" t="s">
        <v>1365</v>
      </c>
    </row>
    <row r="5208" spans="1:9" x14ac:dyDescent="0.25">
      <c r="A5208" s="38" t="s">
        <v>179</v>
      </c>
      <c r="B5208" s="28">
        <v>9617</v>
      </c>
      <c r="C5208" s="28">
        <v>5671247</v>
      </c>
      <c r="D5208" s="46"/>
      <c r="E5208" s="35">
        <v>46158</v>
      </c>
      <c r="F5208" s="49">
        <v>0.6272106481481482</v>
      </c>
      <c r="G5208" s="37">
        <v>6.3</v>
      </c>
      <c r="H5208" s="36" t="s">
        <v>1360</v>
      </c>
      <c r="I5208" s="36" t="s">
        <v>1365</v>
      </c>
    </row>
    <row r="5209" spans="1:9" x14ac:dyDescent="0.25">
      <c r="A5209" s="38" t="s">
        <v>179</v>
      </c>
      <c r="B5209" s="28">
        <v>9617</v>
      </c>
      <c r="C5209" s="28">
        <v>5671247</v>
      </c>
      <c r="D5209" s="46"/>
      <c r="E5209" s="35">
        <v>46158</v>
      </c>
      <c r="F5209" s="49">
        <v>0.63601851851851854</v>
      </c>
      <c r="G5209" s="37">
        <v>6.3</v>
      </c>
      <c r="H5209" s="36" t="s">
        <v>1368</v>
      </c>
      <c r="I5209" s="36" t="s">
        <v>1365</v>
      </c>
    </row>
    <row r="5210" spans="1:9" x14ac:dyDescent="0.25">
      <c r="A5210" s="38" t="s">
        <v>187</v>
      </c>
      <c r="B5210" s="28">
        <v>9624</v>
      </c>
      <c r="C5210" s="28">
        <v>5662373</v>
      </c>
      <c r="D5210" s="46"/>
      <c r="E5210" s="35">
        <v>46153</v>
      </c>
      <c r="F5210" s="49">
        <v>0.46511574074074075</v>
      </c>
      <c r="G5210" s="37">
        <v>6.3</v>
      </c>
      <c r="H5210" s="36" t="s">
        <v>1363</v>
      </c>
      <c r="I5210" s="36" t="s">
        <v>1361</v>
      </c>
    </row>
    <row r="5211" spans="1:9" x14ac:dyDescent="0.25">
      <c r="A5211" s="38" t="s">
        <v>187</v>
      </c>
      <c r="B5211" s="28">
        <v>9624</v>
      </c>
      <c r="C5211" s="28">
        <v>5662373</v>
      </c>
      <c r="D5211" s="46"/>
      <c r="E5211" s="35">
        <v>46153</v>
      </c>
      <c r="F5211" s="49">
        <v>0.47061342592592592</v>
      </c>
      <c r="G5211" s="37">
        <v>6.3</v>
      </c>
      <c r="H5211" s="36" t="s">
        <v>1364</v>
      </c>
      <c r="I5211" s="36" t="s">
        <v>1361</v>
      </c>
    </row>
    <row r="5212" spans="1:9" x14ac:dyDescent="0.25">
      <c r="A5212" s="38" t="s">
        <v>187</v>
      </c>
      <c r="B5212" s="28">
        <v>9624</v>
      </c>
      <c r="C5212" s="28" t="s">
        <v>1321</v>
      </c>
      <c r="D5212" s="46"/>
      <c r="E5212" s="35">
        <v>46154</v>
      </c>
      <c r="F5212" s="49">
        <v>7.060185185185185E-3</v>
      </c>
      <c r="G5212" s="37">
        <v>6.3</v>
      </c>
      <c r="H5212" s="36" t="s">
        <v>1360</v>
      </c>
      <c r="I5212" s="36" t="s">
        <v>1361</v>
      </c>
    </row>
    <row r="5213" spans="1:9" x14ac:dyDescent="0.25">
      <c r="A5213" s="38" t="s">
        <v>187</v>
      </c>
      <c r="B5213" s="28">
        <v>9624</v>
      </c>
      <c r="C5213" s="28">
        <v>5664372</v>
      </c>
      <c r="D5213" s="46"/>
      <c r="E5213" s="35">
        <v>46154</v>
      </c>
      <c r="F5213" s="49">
        <v>0.59112268518518518</v>
      </c>
      <c r="G5213" s="37">
        <v>6.3</v>
      </c>
      <c r="H5213" s="36" t="s">
        <v>1362</v>
      </c>
      <c r="I5213" s="36" t="s">
        <v>1361</v>
      </c>
    </row>
    <row r="5214" spans="1:9" x14ac:dyDescent="0.25">
      <c r="A5214" s="38" t="s">
        <v>187</v>
      </c>
      <c r="B5214" s="28">
        <v>9624</v>
      </c>
      <c r="C5214" s="28">
        <v>5664534</v>
      </c>
      <c r="D5214" s="46" t="s">
        <v>36</v>
      </c>
      <c r="E5214" s="35">
        <v>46154</v>
      </c>
      <c r="F5214" s="49">
        <v>0.64189814814814816</v>
      </c>
      <c r="G5214" s="37">
        <v>6.3</v>
      </c>
      <c r="H5214" s="36" t="s">
        <v>1363</v>
      </c>
      <c r="I5214" s="36" t="s">
        <v>1361</v>
      </c>
    </row>
    <row r="5215" spans="1:9" x14ac:dyDescent="0.25">
      <c r="A5215" s="38" t="s">
        <v>187</v>
      </c>
      <c r="B5215" s="28">
        <v>9624</v>
      </c>
      <c r="C5215" s="28">
        <v>5664534</v>
      </c>
      <c r="D5215" s="46" t="s">
        <v>36</v>
      </c>
      <c r="E5215" s="35">
        <v>46154</v>
      </c>
      <c r="F5215" s="49">
        <v>0.66493055555555558</v>
      </c>
      <c r="G5215" s="37">
        <v>6.3</v>
      </c>
      <c r="H5215" s="36" t="s">
        <v>1364</v>
      </c>
      <c r="I5215" s="36" t="s">
        <v>1361</v>
      </c>
    </row>
    <row r="5216" spans="1:9" x14ac:dyDescent="0.25">
      <c r="A5216" s="38" t="s">
        <v>187</v>
      </c>
      <c r="B5216" s="28">
        <v>9624</v>
      </c>
      <c r="C5216" s="28">
        <v>5658156</v>
      </c>
      <c r="D5216" s="46"/>
      <c r="E5216" s="35">
        <v>46157</v>
      </c>
      <c r="F5216" s="49">
        <v>9.46412037037037E-2</v>
      </c>
      <c r="G5216" s="37">
        <v>6.3</v>
      </c>
      <c r="H5216" s="36" t="s">
        <v>1360</v>
      </c>
      <c r="I5216" s="36" t="s">
        <v>1361</v>
      </c>
    </row>
    <row r="5217" spans="1:9" x14ac:dyDescent="0.25">
      <c r="A5217" s="38" t="s">
        <v>187</v>
      </c>
      <c r="B5217" s="28">
        <v>9624</v>
      </c>
      <c r="C5217" s="28">
        <v>5658156</v>
      </c>
      <c r="D5217" s="46"/>
      <c r="E5217" s="35">
        <v>46157</v>
      </c>
      <c r="F5217" s="49">
        <v>9.9212962962962961E-2</v>
      </c>
      <c r="G5217" s="37">
        <v>6.3</v>
      </c>
      <c r="H5217" s="36" t="s">
        <v>1366</v>
      </c>
      <c r="I5217" s="36" t="s">
        <v>1361</v>
      </c>
    </row>
    <row r="5218" spans="1:9" x14ac:dyDescent="0.25">
      <c r="A5218" s="38" t="s">
        <v>187</v>
      </c>
      <c r="B5218" s="28">
        <v>9624</v>
      </c>
      <c r="C5218" s="28" t="s">
        <v>35</v>
      </c>
      <c r="D5218" s="46" t="s">
        <v>38</v>
      </c>
      <c r="E5218" s="35">
        <v>46157</v>
      </c>
      <c r="F5218" s="49">
        <v>0.11400462962962964</v>
      </c>
      <c r="G5218" s="37">
        <v>6.3</v>
      </c>
      <c r="H5218" s="36" t="s">
        <v>1367</v>
      </c>
      <c r="I5218" s="36" t="s">
        <v>1361</v>
      </c>
    </row>
    <row r="5219" spans="1:9" x14ac:dyDescent="0.25">
      <c r="A5219" s="38" t="s">
        <v>187</v>
      </c>
      <c r="B5219" s="28">
        <v>9624</v>
      </c>
      <c r="C5219" s="28">
        <v>5671234</v>
      </c>
      <c r="D5219" s="46"/>
      <c r="E5219" s="35">
        <v>46158</v>
      </c>
      <c r="F5219" s="49">
        <v>0.29214120370370372</v>
      </c>
      <c r="G5219" s="37">
        <v>6.3</v>
      </c>
      <c r="H5219" s="36" t="s">
        <v>1360</v>
      </c>
      <c r="I5219" s="36" t="s">
        <v>1365</v>
      </c>
    </row>
    <row r="5220" spans="1:9" x14ac:dyDescent="0.25">
      <c r="A5220" s="38" t="s">
        <v>187</v>
      </c>
      <c r="B5220" s="28">
        <v>9624</v>
      </c>
      <c r="C5220" s="28">
        <v>5672374</v>
      </c>
      <c r="D5220" s="46"/>
      <c r="E5220" s="35">
        <v>46159</v>
      </c>
      <c r="F5220" s="49">
        <v>0.50464120370370369</v>
      </c>
      <c r="G5220" s="37">
        <v>6.3</v>
      </c>
      <c r="H5220" s="36" t="s">
        <v>1363</v>
      </c>
      <c r="I5220" s="36" t="s">
        <v>1365</v>
      </c>
    </row>
    <row r="5221" spans="1:9" x14ac:dyDescent="0.25">
      <c r="A5221" s="38" t="s">
        <v>187</v>
      </c>
      <c r="B5221" s="28">
        <v>9624</v>
      </c>
      <c r="C5221" s="28">
        <v>5672374</v>
      </c>
      <c r="D5221" s="46"/>
      <c r="E5221" s="35">
        <v>46159</v>
      </c>
      <c r="F5221" s="49">
        <v>0.51011574074074073</v>
      </c>
      <c r="G5221" s="37">
        <v>6.3</v>
      </c>
      <c r="H5221" s="36" t="s">
        <v>1364</v>
      </c>
      <c r="I5221" s="36" t="s">
        <v>1365</v>
      </c>
    </row>
    <row r="5222" spans="1:9" x14ac:dyDescent="0.25">
      <c r="A5222" s="38" t="s">
        <v>255</v>
      </c>
      <c r="B5222" s="28">
        <v>9626</v>
      </c>
      <c r="C5222" s="28" t="s">
        <v>35</v>
      </c>
      <c r="D5222" s="46" t="s">
        <v>38</v>
      </c>
      <c r="E5222" s="35">
        <v>46153</v>
      </c>
      <c r="F5222" s="49">
        <v>0.69616898148148143</v>
      </c>
      <c r="G5222" s="37">
        <v>6.3</v>
      </c>
      <c r="H5222" s="36" t="s">
        <v>1364</v>
      </c>
      <c r="I5222" s="36" t="s">
        <v>1361</v>
      </c>
    </row>
    <row r="5223" spans="1:9" x14ac:dyDescent="0.25">
      <c r="A5223" s="38" t="s">
        <v>255</v>
      </c>
      <c r="B5223" s="28">
        <v>9626</v>
      </c>
      <c r="C5223" s="28">
        <v>5663926</v>
      </c>
      <c r="D5223" s="46"/>
      <c r="E5223" s="35">
        <v>46153</v>
      </c>
      <c r="F5223" s="49">
        <v>0.93961805555555555</v>
      </c>
      <c r="G5223" s="37">
        <v>6.3</v>
      </c>
      <c r="H5223" s="36" t="s">
        <v>1360</v>
      </c>
      <c r="I5223" s="36" t="s">
        <v>1361</v>
      </c>
    </row>
    <row r="5224" spans="1:9" x14ac:dyDescent="0.25">
      <c r="A5224" s="38" t="s">
        <v>255</v>
      </c>
      <c r="B5224" s="28">
        <v>9626</v>
      </c>
      <c r="C5224" s="28">
        <v>5663926</v>
      </c>
      <c r="D5224" s="46"/>
      <c r="E5224" s="35">
        <v>46153</v>
      </c>
      <c r="F5224" s="49">
        <v>0.94644675925925925</v>
      </c>
      <c r="G5224" s="37">
        <v>6.3</v>
      </c>
      <c r="H5224" s="36" t="s">
        <v>1368</v>
      </c>
      <c r="I5224" s="36" t="s">
        <v>1361</v>
      </c>
    </row>
    <row r="5225" spans="1:9" x14ac:dyDescent="0.25">
      <c r="A5225" s="38" t="s">
        <v>255</v>
      </c>
      <c r="B5225" s="28">
        <v>9626</v>
      </c>
      <c r="C5225" s="28">
        <v>5663926</v>
      </c>
      <c r="D5225" s="46" t="s">
        <v>36</v>
      </c>
      <c r="E5225" s="35">
        <v>46153</v>
      </c>
      <c r="F5225" s="49">
        <v>0.9477430555555556</v>
      </c>
      <c r="G5225" s="37">
        <v>6.3</v>
      </c>
      <c r="H5225" s="36" t="s">
        <v>1370</v>
      </c>
      <c r="I5225" s="36" t="s">
        <v>1361</v>
      </c>
    </row>
    <row r="5226" spans="1:9" x14ac:dyDescent="0.25">
      <c r="A5226" s="38" t="s">
        <v>255</v>
      </c>
      <c r="B5226" s="28">
        <v>9626</v>
      </c>
      <c r="C5226" s="28">
        <v>5663926</v>
      </c>
      <c r="D5226" s="46" t="s">
        <v>36</v>
      </c>
      <c r="E5226" s="35">
        <v>46153</v>
      </c>
      <c r="F5226" s="49">
        <v>0.95305555555555554</v>
      </c>
      <c r="G5226" s="37">
        <v>6.3</v>
      </c>
      <c r="H5226" s="36" t="s">
        <v>1362</v>
      </c>
      <c r="I5226" s="36" t="s">
        <v>1361</v>
      </c>
    </row>
    <row r="5227" spans="1:9" x14ac:dyDescent="0.25">
      <c r="A5227" s="38" t="s">
        <v>255</v>
      </c>
      <c r="B5227" s="28">
        <v>9626</v>
      </c>
      <c r="C5227" s="28">
        <v>5663200</v>
      </c>
      <c r="D5227" s="46"/>
      <c r="E5227" s="35">
        <v>46154</v>
      </c>
      <c r="F5227" s="49">
        <v>0.84565972222222219</v>
      </c>
      <c r="G5227" s="37">
        <v>6.3</v>
      </c>
      <c r="H5227" s="36" t="s">
        <v>1360</v>
      </c>
      <c r="I5227" s="36" t="s">
        <v>1361</v>
      </c>
    </row>
    <row r="5228" spans="1:9" x14ac:dyDescent="0.25">
      <c r="A5228" s="38" t="s">
        <v>255</v>
      </c>
      <c r="B5228" s="28">
        <v>9626</v>
      </c>
      <c r="C5228" s="28" t="s">
        <v>35</v>
      </c>
      <c r="D5228" s="46" t="s">
        <v>38</v>
      </c>
      <c r="E5228" s="35">
        <v>46154</v>
      </c>
      <c r="F5228" s="49">
        <v>0.88487268518518514</v>
      </c>
      <c r="G5228" s="37">
        <v>6.3</v>
      </c>
      <c r="H5228" s="36" t="s">
        <v>1364</v>
      </c>
      <c r="I5228" s="36" t="s">
        <v>1361</v>
      </c>
    </row>
    <row r="5229" spans="1:9" x14ac:dyDescent="0.25">
      <c r="A5229" s="38" t="s">
        <v>255</v>
      </c>
      <c r="B5229" s="28">
        <v>9626</v>
      </c>
      <c r="C5229" s="28" t="s">
        <v>1322</v>
      </c>
      <c r="D5229" s="46"/>
      <c r="E5229" s="35">
        <v>46156</v>
      </c>
      <c r="F5229" s="49">
        <v>0.49902777777777779</v>
      </c>
      <c r="G5229" s="37">
        <v>6.3</v>
      </c>
      <c r="H5229" s="36" t="s">
        <v>1360</v>
      </c>
      <c r="I5229" s="36" t="s">
        <v>1361</v>
      </c>
    </row>
    <row r="5230" spans="1:9" x14ac:dyDescent="0.25">
      <c r="A5230" s="38" t="s">
        <v>255</v>
      </c>
      <c r="B5230" s="28">
        <v>9626</v>
      </c>
      <c r="C5230" s="28" t="s">
        <v>1322</v>
      </c>
      <c r="D5230" s="46"/>
      <c r="E5230" s="35">
        <v>46156</v>
      </c>
      <c r="F5230" s="49">
        <v>0.5108449074074074</v>
      </c>
      <c r="G5230" s="37">
        <v>6.3</v>
      </c>
      <c r="H5230" s="36" t="s">
        <v>1362</v>
      </c>
      <c r="I5230" s="36" t="s">
        <v>1361</v>
      </c>
    </row>
    <row r="5231" spans="1:9" x14ac:dyDescent="0.25">
      <c r="A5231" s="38" t="s">
        <v>255</v>
      </c>
      <c r="B5231" s="28">
        <v>9626</v>
      </c>
      <c r="C5231" s="28" t="s">
        <v>35</v>
      </c>
      <c r="D5231" s="46" t="s">
        <v>38</v>
      </c>
      <c r="E5231" s="35">
        <v>46156</v>
      </c>
      <c r="F5231" s="49">
        <v>0.66387731481481482</v>
      </c>
      <c r="G5231" s="37">
        <v>6.3</v>
      </c>
      <c r="H5231" s="36" t="s">
        <v>1364</v>
      </c>
      <c r="I5231" s="36" t="s">
        <v>1361</v>
      </c>
    </row>
    <row r="5232" spans="1:9" x14ac:dyDescent="0.25">
      <c r="A5232" s="38" t="s">
        <v>255</v>
      </c>
      <c r="B5232" s="28">
        <v>9626</v>
      </c>
      <c r="C5232" s="28" t="s">
        <v>1323</v>
      </c>
      <c r="D5232" s="46"/>
      <c r="E5232" s="35">
        <v>46157</v>
      </c>
      <c r="F5232" s="49">
        <v>0.46942129629629631</v>
      </c>
      <c r="G5232" s="37">
        <v>6.3</v>
      </c>
      <c r="H5232" s="36" t="s">
        <v>1360</v>
      </c>
      <c r="I5232" s="36" t="s">
        <v>1361</v>
      </c>
    </row>
    <row r="5233" spans="1:9" x14ac:dyDescent="0.25">
      <c r="A5233" s="38" t="s">
        <v>255</v>
      </c>
      <c r="B5233" s="28">
        <v>9626</v>
      </c>
      <c r="C5233" s="28" t="s">
        <v>1323</v>
      </c>
      <c r="D5233" s="46"/>
      <c r="E5233" s="35">
        <v>46157</v>
      </c>
      <c r="F5233" s="49">
        <v>0.4793634259259259</v>
      </c>
      <c r="G5233" s="37">
        <v>6.3</v>
      </c>
      <c r="H5233" s="36" t="s">
        <v>1362</v>
      </c>
      <c r="I5233" s="36" t="s">
        <v>1361</v>
      </c>
    </row>
    <row r="5234" spans="1:9" x14ac:dyDescent="0.25">
      <c r="A5234" s="38" t="s">
        <v>255</v>
      </c>
      <c r="B5234" s="28">
        <v>9626</v>
      </c>
      <c r="C5234" s="28" t="s">
        <v>1324</v>
      </c>
      <c r="D5234" s="46"/>
      <c r="E5234" s="35">
        <v>46157</v>
      </c>
      <c r="F5234" s="49">
        <v>0.91075231481481478</v>
      </c>
      <c r="G5234" s="37">
        <v>6.3</v>
      </c>
      <c r="H5234" s="36" t="s">
        <v>1360</v>
      </c>
      <c r="I5234" s="36" t="s">
        <v>1361</v>
      </c>
    </row>
    <row r="5235" spans="1:9" x14ac:dyDescent="0.25">
      <c r="A5235" s="38" t="s">
        <v>255</v>
      </c>
      <c r="B5235" s="28">
        <v>9626</v>
      </c>
      <c r="C5235" s="28" t="s">
        <v>1324</v>
      </c>
      <c r="D5235" s="46"/>
      <c r="E5235" s="35">
        <v>46157</v>
      </c>
      <c r="F5235" s="49">
        <v>0.93675925925925929</v>
      </c>
      <c r="G5235" s="37">
        <v>6.3</v>
      </c>
      <c r="H5235" s="36" t="s">
        <v>1364</v>
      </c>
      <c r="I5235" s="36" t="s">
        <v>1361</v>
      </c>
    </row>
    <row r="5236" spans="1:9" x14ac:dyDescent="0.25">
      <c r="A5236" s="38" t="s">
        <v>255</v>
      </c>
      <c r="B5236" s="28">
        <v>9626</v>
      </c>
      <c r="C5236" s="28" t="s">
        <v>1325</v>
      </c>
      <c r="D5236" s="46"/>
      <c r="E5236" s="35">
        <v>46159</v>
      </c>
      <c r="F5236" s="49">
        <v>0.48940972222222223</v>
      </c>
      <c r="G5236" s="37">
        <v>6.3</v>
      </c>
      <c r="H5236" s="36" t="s">
        <v>1360</v>
      </c>
      <c r="I5236" s="36" t="s">
        <v>1365</v>
      </c>
    </row>
    <row r="5237" spans="1:9" x14ac:dyDescent="0.25">
      <c r="A5237" s="38" t="s">
        <v>255</v>
      </c>
      <c r="B5237" s="28">
        <v>9626</v>
      </c>
      <c r="C5237" s="28" t="s">
        <v>1325</v>
      </c>
      <c r="D5237" s="46"/>
      <c r="E5237" s="35">
        <v>46159</v>
      </c>
      <c r="F5237" s="49">
        <v>0.49704861111111109</v>
      </c>
      <c r="G5237" s="37">
        <v>6.3</v>
      </c>
      <c r="H5237" s="36" t="s">
        <v>1362</v>
      </c>
      <c r="I5237" s="36" t="s">
        <v>1365</v>
      </c>
    </row>
    <row r="5238" spans="1:9" x14ac:dyDescent="0.25">
      <c r="A5238" s="38" t="s">
        <v>242</v>
      </c>
      <c r="B5238" s="28">
        <v>9630</v>
      </c>
      <c r="C5238" s="28">
        <v>10651853</v>
      </c>
      <c r="D5238" s="46"/>
      <c r="E5238" s="35">
        <v>46155</v>
      </c>
      <c r="F5238" s="49">
        <v>0.5078125</v>
      </c>
      <c r="G5238" s="37">
        <v>6.3</v>
      </c>
      <c r="H5238" s="36" t="s">
        <v>1363</v>
      </c>
      <c r="I5238" s="36" t="s">
        <v>1361</v>
      </c>
    </row>
    <row r="5239" spans="1:9" x14ac:dyDescent="0.25">
      <c r="A5239" s="38" t="s">
        <v>242</v>
      </c>
      <c r="B5239" s="28">
        <v>9630</v>
      </c>
      <c r="C5239" s="28">
        <v>10651853</v>
      </c>
      <c r="D5239" s="46"/>
      <c r="E5239" s="35">
        <v>46155</v>
      </c>
      <c r="F5239" s="49">
        <v>0.51306712962962964</v>
      </c>
      <c r="G5239" s="37">
        <v>6.3</v>
      </c>
      <c r="H5239" s="36" t="s">
        <v>1364</v>
      </c>
      <c r="I5239" s="36" t="s">
        <v>1361</v>
      </c>
    </row>
    <row r="5240" spans="1:9" x14ac:dyDescent="0.25">
      <c r="A5240" s="38" t="s">
        <v>242</v>
      </c>
      <c r="B5240" s="28">
        <v>9630</v>
      </c>
      <c r="C5240" s="28" t="s">
        <v>35</v>
      </c>
      <c r="D5240" s="46" t="s">
        <v>38</v>
      </c>
      <c r="E5240" s="35">
        <v>46155</v>
      </c>
      <c r="F5240" s="49">
        <v>0.83583333333333332</v>
      </c>
      <c r="G5240" s="37">
        <v>6.3</v>
      </c>
      <c r="H5240" s="36" t="s">
        <v>1368</v>
      </c>
      <c r="I5240" s="36" t="s">
        <v>1361</v>
      </c>
    </row>
    <row r="5241" spans="1:9" x14ac:dyDescent="0.25">
      <c r="A5241" s="38" t="s">
        <v>242</v>
      </c>
      <c r="B5241" s="28">
        <v>9630</v>
      </c>
      <c r="C5241" s="28">
        <v>10658822</v>
      </c>
      <c r="D5241" s="46"/>
      <c r="E5241" s="35">
        <v>46156</v>
      </c>
      <c r="F5241" s="49">
        <v>0.38123842592592594</v>
      </c>
      <c r="G5241" s="37">
        <v>6.3</v>
      </c>
      <c r="H5241" s="36" t="s">
        <v>1360</v>
      </c>
      <c r="I5241" s="36" t="s">
        <v>1361</v>
      </c>
    </row>
    <row r="5242" spans="1:9" x14ac:dyDescent="0.25">
      <c r="A5242" s="38" t="s">
        <v>242</v>
      </c>
      <c r="B5242" s="28">
        <v>9630</v>
      </c>
      <c r="C5242" s="28">
        <v>10658822</v>
      </c>
      <c r="D5242" s="46"/>
      <c r="E5242" s="35">
        <v>46156</v>
      </c>
      <c r="F5242" s="49">
        <v>0.39206018518518521</v>
      </c>
      <c r="G5242" s="37">
        <v>6.3</v>
      </c>
      <c r="H5242" s="36" t="s">
        <v>1368</v>
      </c>
      <c r="I5242" s="36" t="s">
        <v>1361</v>
      </c>
    </row>
    <row r="5243" spans="1:9" x14ac:dyDescent="0.25">
      <c r="A5243" s="38" t="s">
        <v>242</v>
      </c>
      <c r="B5243" s="28">
        <v>9630</v>
      </c>
      <c r="C5243" s="28">
        <v>10658959</v>
      </c>
      <c r="D5243" s="46"/>
      <c r="E5243" s="35">
        <v>46156</v>
      </c>
      <c r="F5243" s="49">
        <v>0.50392361111111106</v>
      </c>
      <c r="G5243" s="37">
        <v>6.3</v>
      </c>
      <c r="H5243" s="36" t="s">
        <v>1363</v>
      </c>
      <c r="I5243" s="36" t="s">
        <v>1361</v>
      </c>
    </row>
    <row r="5244" spans="1:9" x14ac:dyDescent="0.25">
      <c r="A5244" s="38" t="s">
        <v>242</v>
      </c>
      <c r="B5244" s="28">
        <v>9630</v>
      </c>
      <c r="C5244" s="28">
        <v>10658959</v>
      </c>
      <c r="D5244" s="46"/>
      <c r="E5244" s="35">
        <v>46156</v>
      </c>
      <c r="F5244" s="49">
        <v>0.51056712962962958</v>
      </c>
      <c r="G5244" s="37">
        <v>6.3</v>
      </c>
      <c r="H5244" s="36" t="s">
        <v>1364</v>
      </c>
      <c r="I5244" s="36" t="s">
        <v>1361</v>
      </c>
    </row>
    <row r="5245" spans="1:9" x14ac:dyDescent="0.25">
      <c r="A5245" s="38" t="s">
        <v>242</v>
      </c>
      <c r="B5245" s="28">
        <v>9630</v>
      </c>
      <c r="C5245" s="28">
        <v>10670848</v>
      </c>
      <c r="D5245" s="46"/>
      <c r="E5245" s="35">
        <v>46156</v>
      </c>
      <c r="F5245" s="49">
        <v>0.778900462962963</v>
      </c>
      <c r="G5245" s="37">
        <v>6.3</v>
      </c>
      <c r="H5245" s="36" t="s">
        <v>1370</v>
      </c>
      <c r="I5245" s="36" t="s">
        <v>1361</v>
      </c>
    </row>
    <row r="5246" spans="1:9" x14ac:dyDescent="0.25">
      <c r="A5246" s="38" t="s">
        <v>242</v>
      </c>
      <c r="B5246" s="28">
        <v>9630</v>
      </c>
      <c r="C5246" s="28" t="s">
        <v>1326</v>
      </c>
      <c r="D5246" s="46"/>
      <c r="E5246" s="35">
        <v>46158</v>
      </c>
      <c r="F5246" s="49">
        <v>0.24695601851851851</v>
      </c>
      <c r="G5246" s="37">
        <v>6.3</v>
      </c>
      <c r="H5246" s="36" t="s">
        <v>1360</v>
      </c>
      <c r="I5246" s="36" t="s">
        <v>1365</v>
      </c>
    </row>
    <row r="5247" spans="1:9" x14ac:dyDescent="0.25">
      <c r="A5247" s="38" t="s">
        <v>242</v>
      </c>
      <c r="B5247" s="28">
        <v>9630</v>
      </c>
      <c r="C5247" s="28" t="s">
        <v>1326</v>
      </c>
      <c r="D5247" s="46"/>
      <c r="E5247" s="35">
        <v>46158</v>
      </c>
      <c r="F5247" s="49">
        <v>0.25579861111111113</v>
      </c>
      <c r="G5247" s="37">
        <v>6.3</v>
      </c>
      <c r="H5247" s="36" t="s">
        <v>1362</v>
      </c>
      <c r="I5247" s="36" t="s">
        <v>1365</v>
      </c>
    </row>
    <row r="5248" spans="1:9" x14ac:dyDescent="0.25">
      <c r="A5248" s="38" t="s">
        <v>242</v>
      </c>
      <c r="B5248" s="28">
        <v>9630</v>
      </c>
      <c r="C5248" s="28">
        <v>10675078</v>
      </c>
      <c r="D5248" s="46"/>
      <c r="E5248" s="35">
        <v>46158</v>
      </c>
      <c r="F5248" s="49">
        <v>0.32232638888888887</v>
      </c>
      <c r="G5248" s="37">
        <v>6.3</v>
      </c>
      <c r="H5248" s="36" t="s">
        <v>1363</v>
      </c>
      <c r="I5248" s="36" t="s">
        <v>1365</v>
      </c>
    </row>
    <row r="5249" spans="1:9" x14ac:dyDescent="0.25">
      <c r="A5249" s="38" t="s">
        <v>242</v>
      </c>
      <c r="B5249" s="28">
        <v>9630</v>
      </c>
      <c r="C5249" s="28">
        <v>10675078</v>
      </c>
      <c r="D5249" s="46"/>
      <c r="E5249" s="35">
        <v>46158</v>
      </c>
      <c r="F5249" s="49">
        <v>0.32855324074074072</v>
      </c>
      <c r="G5249" s="37">
        <v>6.3</v>
      </c>
      <c r="H5249" s="36" t="s">
        <v>1364</v>
      </c>
      <c r="I5249" s="36" t="s">
        <v>1365</v>
      </c>
    </row>
    <row r="5250" spans="1:9" x14ac:dyDescent="0.25">
      <c r="A5250" s="38" t="s">
        <v>242</v>
      </c>
      <c r="B5250" s="28">
        <v>9630</v>
      </c>
      <c r="C5250" s="28">
        <v>10675324</v>
      </c>
      <c r="D5250" s="46"/>
      <c r="E5250" s="35">
        <v>46158</v>
      </c>
      <c r="F5250" s="49">
        <v>0.53310185185185188</v>
      </c>
      <c r="G5250" s="37">
        <v>6.3</v>
      </c>
      <c r="H5250" s="36" t="s">
        <v>1360</v>
      </c>
      <c r="I5250" s="36" t="s">
        <v>1365</v>
      </c>
    </row>
    <row r="5251" spans="1:9" x14ac:dyDescent="0.25">
      <c r="A5251" s="38" t="s">
        <v>197</v>
      </c>
      <c r="B5251" s="28">
        <v>9636</v>
      </c>
      <c r="C5251" s="28">
        <v>5663280</v>
      </c>
      <c r="D5251" s="46"/>
      <c r="E5251" s="35">
        <v>46154</v>
      </c>
      <c r="F5251" s="49">
        <v>0.22380787037037037</v>
      </c>
      <c r="G5251" s="37">
        <v>6.3</v>
      </c>
      <c r="H5251" s="36" t="s">
        <v>1364</v>
      </c>
      <c r="I5251" s="36" t="s">
        <v>1361</v>
      </c>
    </row>
    <row r="5252" spans="1:9" x14ac:dyDescent="0.25">
      <c r="A5252" s="38" t="s">
        <v>197</v>
      </c>
      <c r="B5252" s="28">
        <v>9636</v>
      </c>
      <c r="C5252" s="28">
        <v>5664244</v>
      </c>
      <c r="D5252" s="46"/>
      <c r="E5252" s="35">
        <v>46154</v>
      </c>
      <c r="F5252" s="49">
        <v>0.28556712962962966</v>
      </c>
      <c r="G5252" s="37">
        <v>6.3</v>
      </c>
      <c r="H5252" s="36" t="s">
        <v>1360</v>
      </c>
      <c r="I5252" s="36" t="s">
        <v>1361</v>
      </c>
    </row>
    <row r="5253" spans="1:9" x14ac:dyDescent="0.25">
      <c r="A5253" s="38" t="s">
        <v>197</v>
      </c>
      <c r="B5253" s="28">
        <v>9636</v>
      </c>
      <c r="C5253" s="28">
        <v>5664244</v>
      </c>
      <c r="D5253" s="46"/>
      <c r="E5253" s="35">
        <v>46154</v>
      </c>
      <c r="F5253" s="49">
        <v>0.29067129629629629</v>
      </c>
      <c r="G5253" s="37">
        <v>6.3</v>
      </c>
      <c r="H5253" s="36" t="s">
        <v>1366</v>
      </c>
      <c r="I5253" s="36" t="s">
        <v>1361</v>
      </c>
    </row>
    <row r="5254" spans="1:9" x14ac:dyDescent="0.25">
      <c r="A5254" s="38" t="s">
        <v>197</v>
      </c>
      <c r="B5254" s="28">
        <v>9636</v>
      </c>
      <c r="C5254" s="28">
        <v>5666056</v>
      </c>
      <c r="D5254" s="46"/>
      <c r="E5254" s="35">
        <v>46155</v>
      </c>
      <c r="F5254" s="49">
        <v>0.31511574074074072</v>
      </c>
      <c r="G5254" s="37">
        <v>6.3</v>
      </c>
      <c r="H5254" s="36" t="s">
        <v>1362</v>
      </c>
      <c r="I5254" s="36" t="s">
        <v>1361</v>
      </c>
    </row>
    <row r="5255" spans="1:9" x14ac:dyDescent="0.25">
      <c r="A5255" s="38" t="s">
        <v>197</v>
      </c>
      <c r="B5255" s="28">
        <v>9636</v>
      </c>
      <c r="C5255" s="28">
        <v>5664926</v>
      </c>
      <c r="D5255" s="46"/>
      <c r="E5255" s="35">
        <v>46155</v>
      </c>
      <c r="F5255" s="49">
        <v>0.43929398148148147</v>
      </c>
      <c r="G5255" s="37">
        <v>6.3</v>
      </c>
      <c r="H5255" s="36" t="s">
        <v>1363</v>
      </c>
      <c r="I5255" s="36" t="s">
        <v>1361</v>
      </c>
    </row>
    <row r="5256" spans="1:9" x14ac:dyDescent="0.25">
      <c r="A5256" s="38" t="s">
        <v>197</v>
      </c>
      <c r="B5256" s="28">
        <v>9636</v>
      </c>
      <c r="C5256" s="28">
        <v>5664926</v>
      </c>
      <c r="D5256" s="46" t="s">
        <v>36</v>
      </c>
      <c r="E5256" s="35">
        <v>46155</v>
      </c>
      <c r="F5256" s="49">
        <v>0.44622685185185185</v>
      </c>
      <c r="G5256" s="37">
        <v>6.3</v>
      </c>
      <c r="H5256" s="36" t="s">
        <v>1364</v>
      </c>
      <c r="I5256" s="36" t="s">
        <v>1361</v>
      </c>
    </row>
    <row r="5257" spans="1:9" x14ac:dyDescent="0.25">
      <c r="A5257" s="38" t="s">
        <v>197</v>
      </c>
      <c r="B5257" s="28">
        <v>9636</v>
      </c>
      <c r="C5257" s="28">
        <v>5667271</v>
      </c>
      <c r="D5257" s="46"/>
      <c r="E5257" s="35">
        <v>46156</v>
      </c>
      <c r="F5257" s="49">
        <v>0.26519675925925928</v>
      </c>
      <c r="G5257" s="37">
        <v>6.3</v>
      </c>
      <c r="H5257" s="36" t="s">
        <v>1368</v>
      </c>
      <c r="I5257" s="36" t="s">
        <v>1361</v>
      </c>
    </row>
    <row r="5258" spans="1:9" x14ac:dyDescent="0.25">
      <c r="A5258" s="38" t="s">
        <v>197</v>
      </c>
      <c r="B5258" s="28">
        <v>9636</v>
      </c>
      <c r="C5258" s="28">
        <v>5669584</v>
      </c>
      <c r="D5258" s="46"/>
      <c r="E5258" s="35">
        <v>46157</v>
      </c>
      <c r="F5258" s="49">
        <v>0.34543981481481484</v>
      </c>
      <c r="G5258" s="37">
        <v>6.3</v>
      </c>
      <c r="H5258" s="36" t="s">
        <v>1362</v>
      </c>
      <c r="I5258" s="36" t="s">
        <v>1361</v>
      </c>
    </row>
    <row r="5259" spans="1:9" x14ac:dyDescent="0.25">
      <c r="A5259" s="38" t="s">
        <v>197</v>
      </c>
      <c r="B5259" s="28">
        <v>9636</v>
      </c>
      <c r="C5259" s="28" t="s">
        <v>35</v>
      </c>
      <c r="D5259" s="46" t="s">
        <v>38</v>
      </c>
      <c r="E5259" s="35">
        <v>46157</v>
      </c>
      <c r="F5259" s="49">
        <v>0.55895833333333333</v>
      </c>
      <c r="G5259" s="37">
        <v>6.3</v>
      </c>
      <c r="H5259" s="36" t="s">
        <v>1363</v>
      </c>
      <c r="I5259" s="36" t="s">
        <v>1361</v>
      </c>
    </row>
    <row r="5260" spans="1:9" x14ac:dyDescent="0.25">
      <c r="A5260" s="38" t="s">
        <v>197</v>
      </c>
      <c r="B5260" s="28">
        <v>9636</v>
      </c>
      <c r="C5260" s="28">
        <v>5670578</v>
      </c>
      <c r="D5260" s="46"/>
      <c r="E5260" s="35">
        <v>46158</v>
      </c>
      <c r="F5260" s="49">
        <v>0.30900462962962966</v>
      </c>
      <c r="G5260" s="37">
        <v>6.3</v>
      </c>
      <c r="H5260" s="36" t="s">
        <v>1368</v>
      </c>
      <c r="I5260" s="36" t="s">
        <v>1365</v>
      </c>
    </row>
    <row r="5261" spans="1:9" x14ac:dyDescent="0.25">
      <c r="A5261" s="38" t="s">
        <v>197</v>
      </c>
      <c r="B5261" s="28">
        <v>9636</v>
      </c>
      <c r="C5261" s="28">
        <v>5669703</v>
      </c>
      <c r="D5261" s="46"/>
      <c r="E5261" s="35">
        <v>46158</v>
      </c>
      <c r="F5261" s="49">
        <v>0.47028935185185183</v>
      </c>
      <c r="G5261" s="37">
        <v>6.3</v>
      </c>
      <c r="H5261" s="36" t="s">
        <v>1363</v>
      </c>
      <c r="I5261" s="36" t="s">
        <v>1365</v>
      </c>
    </row>
    <row r="5262" spans="1:9" x14ac:dyDescent="0.25">
      <c r="A5262" s="38" t="s">
        <v>197</v>
      </c>
      <c r="B5262" s="28">
        <v>9636</v>
      </c>
      <c r="C5262" s="28">
        <v>5669703</v>
      </c>
      <c r="D5262" s="46"/>
      <c r="E5262" s="35">
        <v>46158</v>
      </c>
      <c r="F5262" s="49">
        <v>0.47638888888888886</v>
      </c>
      <c r="G5262" s="37">
        <v>6.3</v>
      </c>
      <c r="H5262" s="36" t="s">
        <v>1364</v>
      </c>
      <c r="I5262" s="36" t="s">
        <v>1365</v>
      </c>
    </row>
    <row r="5263" spans="1:9" x14ac:dyDescent="0.25">
      <c r="A5263" s="38" t="s">
        <v>197</v>
      </c>
      <c r="B5263" s="28">
        <v>9636</v>
      </c>
      <c r="C5263" s="28">
        <v>5669703</v>
      </c>
      <c r="D5263" s="46"/>
      <c r="E5263" s="35">
        <v>46158</v>
      </c>
      <c r="F5263" s="49">
        <v>0.60928240740740736</v>
      </c>
      <c r="G5263" s="37">
        <v>6.3</v>
      </c>
      <c r="H5263" s="36" t="s">
        <v>1360</v>
      </c>
      <c r="I5263" s="36" t="s">
        <v>1365</v>
      </c>
    </row>
    <row r="5264" spans="1:9" x14ac:dyDescent="0.25">
      <c r="A5264" s="38" t="s">
        <v>197</v>
      </c>
      <c r="B5264" s="28">
        <v>9636</v>
      </c>
      <c r="C5264" s="28">
        <v>5669703</v>
      </c>
      <c r="D5264" s="46"/>
      <c r="E5264" s="35">
        <v>46158</v>
      </c>
      <c r="F5264" s="49">
        <v>0.62250000000000005</v>
      </c>
      <c r="G5264" s="37">
        <v>6.3</v>
      </c>
      <c r="H5264" s="36" t="s">
        <v>1362</v>
      </c>
      <c r="I5264" s="36" t="s">
        <v>1365</v>
      </c>
    </row>
    <row r="5265" spans="1:9" x14ac:dyDescent="0.25">
      <c r="A5265" s="38" t="s">
        <v>180</v>
      </c>
      <c r="B5265" s="28">
        <v>9637</v>
      </c>
      <c r="C5265" s="28" t="s">
        <v>1327</v>
      </c>
      <c r="D5265" s="46"/>
      <c r="E5265" s="35">
        <v>46153</v>
      </c>
      <c r="F5265" s="49">
        <v>0.28012731481481479</v>
      </c>
      <c r="G5265" s="37">
        <v>6.3</v>
      </c>
      <c r="H5265" s="36" t="s">
        <v>1360</v>
      </c>
      <c r="I5265" s="36" t="s">
        <v>1361</v>
      </c>
    </row>
    <row r="5266" spans="1:9" x14ac:dyDescent="0.25">
      <c r="A5266" s="38" t="s">
        <v>180</v>
      </c>
      <c r="B5266" s="28">
        <v>9637</v>
      </c>
      <c r="C5266" s="28" t="s">
        <v>1327</v>
      </c>
      <c r="D5266" s="46"/>
      <c r="E5266" s="35">
        <v>46153</v>
      </c>
      <c r="F5266" s="49">
        <v>0.29306712962962961</v>
      </c>
      <c r="G5266" s="37">
        <v>6.3</v>
      </c>
      <c r="H5266" s="36" t="s">
        <v>1362</v>
      </c>
      <c r="I5266" s="36" t="s">
        <v>1361</v>
      </c>
    </row>
    <row r="5267" spans="1:9" x14ac:dyDescent="0.25">
      <c r="A5267" s="38" t="s">
        <v>180</v>
      </c>
      <c r="B5267" s="28">
        <v>9637</v>
      </c>
      <c r="C5267" s="28">
        <v>5661760</v>
      </c>
      <c r="D5267" s="46"/>
      <c r="E5267" s="35">
        <v>46153</v>
      </c>
      <c r="F5267" s="49">
        <v>0.36583333333333334</v>
      </c>
      <c r="G5267" s="37">
        <v>6.3</v>
      </c>
      <c r="H5267" s="36" t="s">
        <v>1363</v>
      </c>
      <c r="I5267" s="36" t="s">
        <v>1361</v>
      </c>
    </row>
    <row r="5268" spans="1:9" x14ac:dyDescent="0.25">
      <c r="A5268" s="38" t="s">
        <v>180</v>
      </c>
      <c r="B5268" s="28">
        <v>9637</v>
      </c>
      <c r="C5268" s="28">
        <v>5661760</v>
      </c>
      <c r="D5268" s="46"/>
      <c r="E5268" s="35">
        <v>46153</v>
      </c>
      <c r="F5268" s="49">
        <v>0.38339120370370372</v>
      </c>
      <c r="G5268" s="37">
        <v>6.3</v>
      </c>
      <c r="H5268" s="36" t="s">
        <v>1364</v>
      </c>
      <c r="I5268" s="36" t="s">
        <v>1361</v>
      </c>
    </row>
    <row r="5269" spans="1:9" x14ac:dyDescent="0.25">
      <c r="A5269" s="38" t="s">
        <v>180</v>
      </c>
      <c r="B5269" s="28">
        <v>9637</v>
      </c>
      <c r="C5269" s="28">
        <v>5662342</v>
      </c>
      <c r="D5269" s="46"/>
      <c r="E5269" s="35">
        <v>46153</v>
      </c>
      <c r="F5269" s="49">
        <v>0.42199074074074072</v>
      </c>
      <c r="G5269" s="37">
        <v>6.3</v>
      </c>
      <c r="H5269" s="36" t="s">
        <v>1360</v>
      </c>
      <c r="I5269" s="36" t="s">
        <v>1361</v>
      </c>
    </row>
    <row r="5270" spans="1:9" x14ac:dyDescent="0.25">
      <c r="A5270" s="38" t="s">
        <v>180</v>
      </c>
      <c r="B5270" s="28">
        <v>9637</v>
      </c>
      <c r="C5270" s="28">
        <v>5662342</v>
      </c>
      <c r="D5270" s="46"/>
      <c r="E5270" s="35">
        <v>46153</v>
      </c>
      <c r="F5270" s="49">
        <v>0.44274305555555554</v>
      </c>
      <c r="G5270" s="37">
        <v>6.3</v>
      </c>
      <c r="H5270" s="36" t="s">
        <v>1362</v>
      </c>
      <c r="I5270" s="36" t="s">
        <v>1361</v>
      </c>
    </row>
    <row r="5271" spans="1:9" x14ac:dyDescent="0.25">
      <c r="A5271" s="38" t="s">
        <v>180</v>
      </c>
      <c r="B5271" s="28">
        <v>9637</v>
      </c>
      <c r="C5271" s="28" t="s">
        <v>1328</v>
      </c>
      <c r="D5271" s="46"/>
      <c r="E5271" s="35">
        <v>46153</v>
      </c>
      <c r="F5271" s="49">
        <v>0.82324074074074072</v>
      </c>
      <c r="G5271" s="37">
        <v>6.3</v>
      </c>
      <c r="H5271" s="36" t="s">
        <v>1360</v>
      </c>
      <c r="I5271" s="36" t="s">
        <v>1361</v>
      </c>
    </row>
    <row r="5272" spans="1:9" x14ac:dyDescent="0.25">
      <c r="A5272" s="38" t="s">
        <v>180</v>
      </c>
      <c r="B5272" s="28">
        <v>9637</v>
      </c>
      <c r="C5272" s="28" t="s">
        <v>1328</v>
      </c>
      <c r="D5272" s="46"/>
      <c r="E5272" s="35">
        <v>46153</v>
      </c>
      <c r="F5272" s="49">
        <v>0.83156249999999998</v>
      </c>
      <c r="G5272" s="37">
        <v>6.3</v>
      </c>
      <c r="H5272" s="36" t="s">
        <v>1362</v>
      </c>
      <c r="I5272" s="36" t="s">
        <v>1361</v>
      </c>
    </row>
    <row r="5273" spans="1:9" x14ac:dyDescent="0.25">
      <c r="A5273" s="38" t="s">
        <v>180</v>
      </c>
      <c r="B5273" s="28">
        <v>9637</v>
      </c>
      <c r="C5273" s="28" t="s">
        <v>1329</v>
      </c>
      <c r="D5273" s="46"/>
      <c r="E5273" s="35">
        <v>46154</v>
      </c>
      <c r="F5273" s="49">
        <v>0.82043981481481476</v>
      </c>
      <c r="G5273" s="37">
        <v>6.3</v>
      </c>
      <c r="H5273" s="36" t="s">
        <v>1360</v>
      </c>
      <c r="I5273" s="36" t="s">
        <v>1361</v>
      </c>
    </row>
    <row r="5274" spans="1:9" x14ac:dyDescent="0.25">
      <c r="A5274" s="38" t="s">
        <v>180</v>
      </c>
      <c r="B5274" s="28">
        <v>9637</v>
      </c>
      <c r="C5274" s="28" t="s">
        <v>1329</v>
      </c>
      <c r="D5274" s="46"/>
      <c r="E5274" s="35">
        <v>46154</v>
      </c>
      <c r="F5274" s="49">
        <v>0.82990740740740743</v>
      </c>
      <c r="G5274" s="37">
        <v>6.3</v>
      </c>
      <c r="H5274" s="36" t="s">
        <v>1362</v>
      </c>
      <c r="I5274" s="36" t="s">
        <v>1361</v>
      </c>
    </row>
    <row r="5275" spans="1:9" x14ac:dyDescent="0.25">
      <c r="A5275" s="38" t="s">
        <v>180</v>
      </c>
      <c r="B5275" s="28">
        <v>9637</v>
      </c>
      <c r="C5275" s="28">
        <v>5665628</v>
      </c>
      <c r="D5275" s="46"/>
      <c r="E5275" s="35">
        <v>46154</v>
      </c>
      <c r="F5275" s="49">
        <v>0.84857638888888887</v>
      </c>
      <c r="G5275" s="37">
        <v>6.3</v>
      </c>
      <c r="H5275" s="36" t="s">
        <v>1363</v>
      </c>
      <c r="I5275" s="36" t="s">
        <v>1361</v>
      </c>
    </row>
    <row r="5276" spans="1:9" x14ac:dyDescent="0.25">
      <c r="A5276" s="38" t="s">
        <v>180</v>
      </c>
      <c r="B5276" s="28">
        <v>9637</v>
      </c>
      <c r="C5276" s="28">
        <v>5666852</v>
      </c>
      <c r="D5276" s="46"/>
      <c r="E5276" s="35">
        <v>46155</v>
      </c>
      <c r="F5276" s="49">
        <v>0.65866898148148145</v>
      </c>
      <c r="G5276" s="37">
        <v>6.3</v>
      </c>
      <c r="H5276" s="36" t="s">
        <v>1360</v>
      </c>
      <c r="I5276" s="36" t="s">
        <v>1361</v>
      </c>
    </row>
    <row r="5277" spans="1:9" x14ac:dyDescent="0.25">
      <c r="A5277" s="38" t="s">
        <v>180</v>
      </c>
      <c r="B5277" s="28">
        <v>9637</v>
      </c>
      <c r="C5277" s="28">
        <v>5666852</v>
      </c>
      <c r="D5277" s="46"/>
      <c r="E5277" s="35">
        <v>46155</v>
      </c>
      <c r="F5277" s="49">
        <v>0.66872685185185188</v>
      </c>
      <c r="G5277" s="37">
        <v>6.3</v>
      </c>
      <c r="H5277" s="36" t="s">
        <v>1362</v>
      </c>
      <c r="I5277" s="36" t="s">
        <v>1361</v>
      </c>
    </row>
    <row r="5278" spans="1:9" x14ac:dyDescent="0.25">
      <c r="A5278" s="38" t="s">
        <v>201</v>
      </c>
      <c r="B5278" s="28">
        <v>9645</v>
      </c>
      <c r="C5278" s="28" t="s">
        <v>1330</v>
      </c>
      <c r="D5278" s="46"/>
      <c r="E5278" s="35">
        <v>46156</v>
      </c>
      <c r="F5278" s="49">
        <v>0.5037962962962963</v>
      </c>
      <c r="G5278" s="37">
        <v>6.3</v>
      </c>
      <c r="H5278" s="36" t="s">
        <v>1360</v>
      </c>
      <c r="I5278" s="36" t="s">
        <v>1361</v>
      </c>
    </row>
    <row r="5279" spans="1:9" x14ac:dyDescent="0.25">
      <c r="A5279" s="38" t="s">
        <v>201</v>
      </c>
      <c r="B5279" s="28">
        <v>9645</v>
      </c>
      <c r="C5279" s="28" t="s">
        <v>1330</v>
      </c>
      <c r="D5279" s="46"/>
      <c r="E5279" s="35">
        <v>46156</v>
      </c>
      <c r="F5279" s="49">
        <v>0.5142592592592593</v>
      </c>
      <c r="G5279" s="37">
        <v>6.3</v>
      </c>
      <c r="H5279" s="36" t="s">
        <v>1362</v>
      </c>
      <c r="I5279" s="36" t="s">
        <v>1361</v>
      </c>
    </row>
    <row r="5280" spans="1:9" x14ac:dyDescent="0.25">
      <c r="A5280" s="38" t="s">
        <v>201</v>
      </c>
      <c r="B5280" s="28">
        <v>9645</v>
      </c>
      <c r="C5280" s="28">
        <v>5668601</v>
      </c>
      <c r="D5280" s="46"/>
      <c r="E5280" s="35">
        <v>46156</v>
      </c>
      <c r="F5280" s="49">
        <v>0.79229166666666662</v>
      </c>
      <c r="G5280" s="37">
        <v>6.3</v>
      </c>
      <c r="H5280" s="36" t="s">
        <v>1360</v>
      </c>
      <c r="I5280" s="36" t="s">
        <v>1361</v>
      </c>
    </row>
    <row r="5281" spans="1:9" x14ac:dyDescent="0.25">
      <c r="A5281" s="38" t="s">
        <v>201</v>
      </c>
      <c r="B5281" s="28">
        <v>9645</v>
      </c>
      <c r="C5281" s="28">
        <v>5668601</v>
      </c>
      <c r="D5281" s="46"/>
      <c r="E5281" s="35">
        <v>46156</v>
      </c>
      <c r="F5281" s="49">
        <v>0.80663194444444442</v>
      </c>
      <c r="G5281" s="37">
        <v>6.3</v>
      </c>
      <c r="H5281" s="36" t="s">
        <v>1362</v>
      </c>
      <c r="I5281" s="36" t="s">
        <v>1361</v>
      </c>
    </row>
    <row r="5282" spans="1:9" x14ac:dyDescent="0.25">
      <c r="A5282" s="38" t="s">
        <v>201</v>
      </c>
      <c r="B5282" s="28">
        <v>9645</v>
      </c>
      <c r="C5282" s="28">
        <v>5668354</v>
      </c>
      <c r="D5282" s="46" t="s">
        <v>37</v>
      </c>
      <c r="E5282" s="35">
        <v>46156</v>
      </c>
      <c r="F5282" s="49">
        <v>0.88108796296296299</v>
      </c>
      <c r="G5282" s="37">
        <v>6.3</v>
      </c>
      <c r="H5282" s="36" t="s">
        <v>1363</v>
      </c>
      <c r="I5282" s="36" t="s">
        <v>1361</v>
      </c>
    </row>
    <row r="5283" spans="1:9" x14ac:dyDescent="0.25">
      <c r="A5283" s="38" t="s">
        <v>201</v>
      </c>
      <c r="B5283" s="28">
        <v>9645</v>
      </c>
      <c r="C5283" s="28">
        <v>5668354</v>
      </c>
      <c r="D5283" s="46" t="s">
        <v>37</v>
      </c>
      <c r="E5283" s="35">
        <v>46156</v>
      </c>
      <c r="F5283" s="49">
        <v>0.89150462962962962</v>
      </c>
      <c r="G5283" s="37">
        <v>6.3</v>
      </c>
      <c r="H5283" s="36" t="s">
        <v>1364</v>
      </c>
      <c r="I5283" s="36" t="s">
        <v>1361</v>
      </c>
    </row>
    <row r="5284" spans="1:9" x14ac:dyDescent="0.25">
      <c r="A5284" s="38" t="s">
        <v>201</v>
      </c>
      <c r="B5284" s="28">
        <v>9645</v>
      </c>
      <c r="C5284" s="28" t="s">
        <v>1331</v>
      </c>
      <c r="D5284" s="46"/>
      <c r="E5284" s="35">
        <v>46157</v>
      </c>
      <c r="F5284" s="49">
        <v>0.62185185185185188</v>
      </c>
      <c r="G5284" s="37">
        <v>6.3</v>
      </c>
      <c r="H5284" s="36" t="s">
        <v>1362</v>
      </c>
      <c r="I5284" s="36" t="s">
        <v>1361</v>
      </c>
    </row>
    <row r="5285" spans="1:9" x14ac:dyDescent="0.25">
      <c r="A5285" s="38" t="s">
        <v>201</v>
      </c>
      <c r="B5285" s="28">
        <v>9645</v>
      </c>
      <c r="C5285" s="28">
        <v>5670751</v>
      </c>
      <c r="D5285" s="46" t="s">
        <v>37</v>
      </c>
      <c r="E5285" s="35">
        <v>46157</v>
      </c>
      <c r="F5285" s="49">
        <v>0.79075231481481478</v>
      </c>
      <c r="G5285" s="37">
        <v>6.3</v>
      </c>
      <c r="H5285" s="36" t="s">
        <v>1360</v>
      </c>
      <c r="I5285" s="36" t="s">
        <v>1361</v>
      </c>
    </row>
    <row r="5286" spans="1:9" x14ac:dyDescent="0.25">
      <c r="A5286" s="38" t="s">
        <v>201</v>
      </c>
      <c r="B5286" s="28">
        <v>9645</v>
      </c>
      <c r="C5286" s="28">
        <v>5670751</v>
      </c>
      <c r="D5286" s="46" t="s">
        <v>37</v>
      </c>
      <c r="E5286" s="35">
        <v>46157</v>
      </c>
      <c r="F5286" s="49">
        <v>0.81238425925925928</v>
      </c>
      <c r="G5286" s="37">
        <v>6.3</v>
      </c>
      <c r="H5286" s="36" t="s">
        <v>1368</v>
      </c>
      <c r="I5286" s="36" t="s">
        <v>1361</v>
      </c>
    </row>
    <row r="5287" spans="1:9" x14ac:dyDescent="0.25">
      <c r="A5287" s="38" t="s">
        <v>201</v>
      </c>
      <c r="B5287" s="28">
        <v>9645</v>
      </c>
      <c r="C5287" s="28">
        <v>5670751</v>
      </c>
      <c r="D5287" s="46" t="s">
        <v>37</v>
      </c>
      <c r="E5287" s="35">
        <v>46157</v>
      </c>
      <c r="F5287" s="49">
        <v>0.83883101851851849</v>
      </c>
      <c r="G5287" s="37">
        <v>6.3</v>
      </c>
      <c r="H5287" s="36" t="s">
        <v>1370</v>
      </c>
      <c r="I5287" s="36" t="s">
        <v>1361</v>
      </c>
    </row>
    <row r="5288" spans="1:9" x14ac:dyDescent="0.25">
      <c r="A5288" s="38" t="s">
        <v>201</v>
      </c>
      <c r="B5288" s="28">
        <v>9645</v>
      </c>
      <c r="C5288" s="28" t="s">
        <v>35</v>
      </c>
      <c r="D5288" s="46" t="s">
        <v>38</v>
      </c>
      <c r="E5288" s="35">
        <v>46157</v>
      </c>
      <c r="F5288" s="49">
        <v>0.85226851851851848</v>
      </c>
      <c r="G5288" s="37">
        <v>6.3</v>
      </c>
      <c r="H5288" s="36" t="s">
        <v>1364</v>
      </c>
      <c r="I5288" s="36" t="s">
        <v>1361</v>
      </c>
    </row>
    <row r="5289" spans="1:9" x14ac:dyDescent="0.25">
      <c r="A5289" s="38" t="s">
        <v>247</v>
      </c>
      <c r="B5289" s="28">
        <v>9658</v>
      </c>
      <c r="C5289" s="28">
        <v>5663357</v>
      </c>
      <c r="D5289" s="46"/>
      <c r="E5289" s="35">
        <v>46153</v>
      </c>
      <c r="F5289" s="49">
        <v>0.85108796296296296</v>
      </c>
      <c r="G5289" s="37">
        <v>6.3</v>
      </c>
      <c r="H5289" s="36" t="s">
        <v>1360</v>
      </c>
      <c r="I5289" s="36" t="s">
        <v>1361</v>
      </c>
    </row>
    <row r="5290" spans="1:9" x14ac:dyDescent="0.25">
      <c r="A5290" s="38" t="s">
        <v>247</v>
      </c>
      <c r="B5290" s="28">
        <v>9658</v>
      </c>
      <c r="C5290" s="28">
        <v>5663357</v>
      </c>
      <c r="D5290" s="46"/>
      <c r="E5290" s="35">
        <v>46153</v>
      </c>
      <c r="F5290" s="49">
        <v>0.8580092592592593</v>
      </c>
      <c r="G5290" s="37">
        <v>6.3</v>
      </c>
      <c r="H5290" s="36" t="s">
        <v>1368</v>
      </c>
      <c r="I5290" s="36" t="s">
        <v>1361</v>
      </c>
    </row>
    <row r="5291" spans="1:9" x14ac:dyDescent="0.25">
      <c r="A5291" s="38" t="s">
        <v>247</v>
      </c>
      <c r="B5291" s="28">
        <v>9658</v>
      </c>
      <c r="C5291" s="28">
        <v>5663571</v>
      </c>
      <c r="D5291" s="46"/>
      <c r="E5291" s="35">
        <v>46154</v>
      </c>
      <c r="F5291" s="49">
        <v>0.76827546296296301</v>
      </c>
      <c r="G5291" s="37">
        <v>6.3</v>
      </c>
      <c r="H5291" s="36" t="s">
        <v>1363</v>
      </c>
      <c r="I5291" s="36" t="s">
        <v>1361</v>
      </c>
    </row>
    <row r="5292" spans="1:9" x14ac:dyDescent="0.25">
      <c r="A5292" s="38" t="s">
        <v>247</v>
      </c>
      <c r="B5292" s="28">
        <v>9658</v>
      </c>
      <c r="C5292" s="28">
        <v>5669044</v>
      </c>
      <c r="D5292" s="46"/>
      <c r="E5292" s="35">
        <v>46157</v>
      </c>
      <c r="F5292" s="49">
        <v>0.36391203703703706</v>
      </c>
      <c r="G5292" s="37">
        <v>6.3</v>
      </c>
      <c r="H5292" s="36" t="s">
        <v>1363</v>
      </c>
      <c r="I5292" s="36" t="s">
        <v>1361</v>
      </c>
    </row>
    <row r="5293" spans="1:9" x14ac:dyDescent="0.25">
      <c r="A5293" s="38" t="s">
        <v>288</v>
      </c>
      <c r="B5293" s="28">
        <v>9665</v>
      </c>
      <c r="C5293" s="28" t="s">
        <v>1332</v>
      </c>
      <c r="D5293" s="46"/>
      <c r="E5293" s="35">
        <v>46155</v>
      </c>
      <c r="F5293" s="49">
        <v>0.85364583333333333</v>
      </c>
      <c r="G5293" s="37">
        <v>6.3</v>
      </c>
      <c r="H5293" s="36" t="s">
        <v>1360</v>
      </c>
      <c r="I5293" s="36" t="s">
        <v>1361</v>
      </c>
    </row>
    <row r="5294" spans="1:9" x14ac:dyDescent="0.25">
      <c r="A5294" s="38" t="s">
        <v>288</v>
      </c>
      <c r="B5294" s="28">
        <v>9665</v>
      </c>
      <c r="C5294" s="28" t="s">
        <v>1332</v>
      </c>
      <c r="D5294" s="46"/>
      <c r="E5294" s="35">
        <v>46155</v>
      </c>
      <c r="F5294" s="49">
        <v>0.86140046296296291</v>
      </c>
      <c r="G5294" s="37">
        <v>6.3</v>
      </c>
      <c r="H5294" s="36" t="s">
        <v>1368</v>
      </c>
      <c r="I5294" s="36" t="s">
        <v>1361</v>
      </c>
    </row>
    <row r="5295" spans="1:9" x14ac:dyDescent="0.25">
      <c r="A5295" s="38" t="s">
        <v>288</v>
      </c>
      <c r="B5295" s="28">
        <v>9665</v>
      </c>
      <c r="C5295" s="28" t="s">
        <v>35</v>
      </c>
      <c r="D5295" s="46" t="s">
        <v>38</v>
      </c>
      <c r="E5295" s="35">
        <v>46159</v>
      </c>
      <c r="F5295" s="49">
        <v>0.33581018518518518</v>
      </c>
      <c r="G5295" s="37">
        <v>6.3</v>
      </c>
      <c r="H5295" s="36" t="s">
        <v>1362</v>
      </c>
      <c r="I5295" s="36" t="s">
        <v>1365</v>
      </c>
    </row>
    <row r="5296" spans="1:9" x14ac:dyDescent="0.25">
      <c r="A5296" s="38" t="s">
        <v>188</v>
      </c>
      <c r="B5296" s="28">
        <v>9672</v>
      </c>
      <c r="C5296" s="28">
        <v>5663771</v>
      </c>
      <c r="D5296" s="46"/>
      <c r="E5296" s="35">
        <v>46154</v>
      </c>
      <c r="F5296" s="49">
        <v>0.37690972222222224</v>
      </c>
      <c r="G5296" s="37">
        <v>6.3</v>
      </c>
      <c r="H5296" s="36" t="s">
        <v>1363</v>
      </c>
      <c r="I5296" s="36" t="s">
        <v>1361</v>
      </c>
    </row>
    <row r="5297" spans="1:9" x14ac:dyDescent="0.25">
      <c r="A5297" s="38" t="s">
        <v>188</v>
      </c>
      <c r="B5297" s="28">
        <v>9672</v>
      </c>
      <c r="C5297" s="28">
        <v>5663771</v>
      </c>
      <c r="D5297" s="46"/>
      <c r="E5297" s="35">
        <v>46154</v>
      </c>
      <c r="F5297" s="49">
        <v>0.3830324074074074</v>
      </c>
      <c r="G5297" s="37">
        <v>6.3</v>
      </c>
      <c r="H5297" s="36" t="s">
        <v>1364</v>
      </c>
      <c r="I5297" s="36" t="s">
        <v>1361</v>
      </c>
    </row>
    <row r="5298" spans="1:9" x14ac:dyDescent="0.25">
      <c r="A5298" s="38" t="s">
        <v>188</v>
      </c>
      <c r="B5298" s="28">
        <v>9672</v>
      </c>
      <c r="C5298" s="28">
        <v>5665670</v>
      </c>
      <c r="D5298" s="46" t="s">
        <v>37</v>
      </c>
      <c r="E5298" s="35">
        <v>46155</v>
      </c>
      <c r="F5298" s="49">
        <v>0.27952546296296299</v>
      </c>
      <c r="G5298" s="37">
        <v>6.3</v>
      </c>
      <c r="H5298" s="36" t="s">
        <v>1363</v>
      </c>
      <c r="I5298" s="36" t="s">
        <v>1361</v>
      </c>
    </row>
    <row r="5299" spans="1:9" x14ac:dyDescent="0.25">
      <c r="A5299" s="38" t="s">
        <v>188</v>
      </c>
      <c r="B5299" s="28">
        <v>9672</v>
      </c>
      <c r="C5299" s="28">
        <v>5665670</v>
      </c>
      <c r="D5299" s="46" t="s">
        <v>37</v>
      </c>
      <c r="E5299" s="35">
        <v>46155</v>
      </c>
      <c r="F5299" s="49">
        <v>0.2979398148148148</v>
      </c>
      <c r="G5299" s="37">
        <v>6.3</v>
      </c>
      <c r="H5299" s="36" t="s">
        <v>1364</v>
      </c>
      <c r="I5299" s="36" t="s">
        <v>1361</v>
      </c>
    </row>
    <row r="5300" spans="1:9" x14ac:dyDescent="0.25">
      <c r="A5300" s="38" t="s">
        <v>188</v>
      </c>
      <c r="B5300" s="28">
        <v>9672</v>
      </c>
      <c r="C5300" s="28">
        <v>5666208</v>
      </c>
      <c r="D5300" s="46"/>
      <c r="E5300" s="35">
        <v>46155</v>
      </c>
      <c r="F5300" s="49">
        <v>0.41006944444444443</v>
      </c>
      <c r="G5300" s="37">
        <v>6.3</v>
      </c>
      <c r="H5300" s="36" t="s">
        <v>1360</v>
      </c>
      <c r="I5300" s="36" t="s">
        <v>1361</v>
      </c>
    </row>
    <row r="5301" spans="1:9" x14ac:dyDescent="0.25">
      <c r="A5301" s="38" t="s">
        <v>188</v>
      </c>
      <c r="B5301" s="28">
        <v>9672</v>
      </c>
      <c r="C5301" s="28">
        <v>5666208</v>
      </c>
      <c r="D5301" s="46"/>
      <c r="E5301" s="35">
        <v>46155</v>
      </c>
      <c r="F5301" s="49">
        <v>0.43106481481481479</v>
      </c>
      <c r="G5301" s="37">
        <v>6.3</v>
      </c>
      <c r="H5301" s="36" t="s">
        <v>1362</v>
      </c>
      <c r="I5301" s="36" t="s">
        <v>1361</v>
      </c>
    </row>
    <row r="5302" spans="1:9" x14ac:dyDescent="0.25">
      <c r="A5302" s="38" t="s">
        <v>188</v>
      </c>
      <c r="B5302" s="28">
        <v>9672</v>
      </c>
      <c r="C5302" s="28" t="s">
        <v>35</v>
      </c>
      <c r="D5302" s="46" t="s">
        <v>38</v>
      </c>
      <c r="E5302" s="35">
        <v>46155</v>
      </c>
      <c r="F5302" s="49">
        <v>0.45863425925925927</v>
      </c>
      <c r="G5302" s="37">
        <v>6.3</v>
      </c>
      <c r="H5302" s="36" t="s">
        <v>1370</v>
      </c>
      <c r="I5302" s="36" t="s">
        <v>1361</v>
      </c>
    </row>
    <row r="5303" spans="1:9" x14ac:dyDescent="0.25">
      <c r="A5303" s="38" t="s">
        <v>188</v>
      </c>
      <c r="B5303" s="28">
        <v>9672</v>
      </c>
      <c r="C5303" s="28">
        <v>5667683</v>
      </c>
      <c r="D5303" s="46" t="s">
        <v>37</v>
      </c>
      <c r="E5303" s="35">
        <v>46156</v>
      </c>
      <c r="F5303" s="49">
        <v>3.0219907407407407E-2</v>
      </c>
      <c r="G5303" s="37">
        <v>6.3</v>
      </c>
      <c r="H5303" s="36" t="s">
        <v>1360</v>
      </c>
      <c r="I5303" s="36" t="s">
        <v>1361</v>
      </c>
    </row>
    <row r="5304" spans="1:9" x14ac:dyDescent="0.25">
      <c r="A5304" s="38" t="s">
        <v>188</v>
      </c>
      <c r="B5304" s="28">
        <v>9672</v>
      </c>
      <c r="C5304" s="28">
        <v>5667683</v>
      </c>
      <c r="D5304" s="46" t="s">
        <v>37</v>
      </c>
      <c r="E5304" s="35">
        <v>46156</v>
      </c>
      <c r="F5304" s="49">
        <v>3.8101851851851852E-2</v>
      </c>
      <c r="G5304" s="37">
        <v>6.3</v>
      </c>
      <c r="H5304" s="36" t="s">
        <v>1362</v>
      </c>
      <c r="I5304" s="36" t="s">
        <v>1361</v>
      </c>
    </row>
    <row r="5305" spans="1:9" x14ac:dyDescent="0.25">
      <c r="A5305" s="38" t="s">
        <v>188</v>
      </c>
      <c r="B5305" s="28">
        <v>9672</v>
      </c>
      <c r="C5305" s="28">
        <v>5664578</v>
      </c>
      <c r="D5305" s="46"/>
      <c r="E5305" s="35">
        <v>46156</v>
      </c>
      <c r="F5305" s="49">
        <v>0.14140046296296296</v>
      </c>
      <c r="G5305" s="37">
        <v>6.3</v>
      </c>
      <c r="H5305" s="36" t="s">
        <v>1363</v>
      </c>
      <c r="I5305" s="36" t="s">
        <v>1361</v>
      </c>
    </row>
    <row r="5306" spans="1:9" x14ac:dyDescent="0.25">
      <c r="A5306" s="38" t="s">
        <v>188</v>
      </c>
      <c r="B5306" s="28">
        <v>9672</v>
      </c>
      <c r="C5306" s="28">
        <v>5664578</v>
      </c>
      <c r="D5306" s="46"/>
      <c r="E5306" s="35">
        <v>46156</v>
      </c>
      <c r="F5306" s="49">
        <v>0.14664351851851851</v>
      </c>
      <c r="G5306" s="37">
        <v>6.3</v>
      </c>
      <c r="H5306" s="36" t="s">
        <v>1364</v>
      </c>
      <c r="I5306" s="36" t="s">
        <v>1361</v>
      </c>
    </row>
    <row r="5307" spans="1:9" x14ac:dyDescent="0.25">
      <c r="A5307" s="38" t="s">
        <v>188</v>
      </c>
      <c r="B5307" s="28">
        <v>9672</v>
      </c>
      <c r="C5307" s="28">
        <v>5667682</v>
      </c>
      <c r="D5307" s="46"/>
      <c r="E5307" s="35">
        <v>46156</v>
      </c>
      <c r="F5307" s="49">
        <v>0.25027777777777777</v>
      </c>
      <c r="G5307" s="37">
        <v>6.3</v>
      </c>
      <c r="H5307" s="36" t="s">
        <v>1363</v>
      </c>
      <c r="I5307" s="36" t="s">
        <v>1361</v>
      </c>
    </row>
    <row r="5308" spans="1:9" x14ac:dyDescent="0.25">
      <c r="A5308" s="38" t="s">
        <v>188</v>
      </c>
      <c r="B5308" s="28">
        <v>9672</v>
      </c>
      <c r="C5308" s="28">
        <v>5667682</v>
      </c>
      <c r="D5308" s="46"/>
      <c r="E5308" s="35">
        <v>46156</v>
      </c>
      <c r="F5308" s="49">
        <v>0.2557638888888889</v>
      </c>
      <c r="G5308" s="37">
        <v>6.3</v>
      </c>
      <c r="H5308" s="36" t="s">
        <v>1364</v>
      </c>
      <c r="I5308" s="36" t="s">
        <v>1361</v>
      </c>
    </row>
    <row r="5309" spans="1:9" x14ac:dyDescent="0.25">
      <c r="A5309" s="38" t="s">
        <v>188</v>
      </c>
      <c r="B5309" s="28">
        <v>9672</v>
      </c>
      <c r="C5309" s="28">
        <v>5668461</v>
      </c>
      <c r="D5309" s="46"/>
      <c r="E5309" s="35">
        <v>46156</v>
      </c>
      <c r="F5309" s="49">
        <v>0.86496527777777776</v>
      </c>
      <c r="G5309" s="37">
        <v>6.3</v>
      </c>
      <c r="H5309" s="36" t="s">
        <v>1364</v>
      </c>
      <c r="I5309" s="36" t="s">
        <v>1361</v>
      </c>
    </row>
    <row r="5310" spans="1:9" x14ac:dyDescent="0.25">
      <c r="A5310" s="38" t="s">
        <v>188</v>
      </c>
      <c r="B5310" s="28">
        <v>9672</v>
      </c>
      <c r="C5310" s="28" t="s">
        <v>1333</v>
      </c>
      <c r="D5310" s="46"/>
      <c r="E5310" s="35">
        <v>46156</v>
      </c>
      <c r="F5310" s="49">
        <v>0.8974537037037037</v>
      </c>
      <c r="G5310" s="37">
        <v>6.3</v>
      </c>
      <c r="H5310" s="36" t="s">
        <v>1360</v>
      </c>
      <c r="I5310" s="36" t="s">
        <v>1361</v>
      </c>
    </row>
    <row r="5311" spans="1:9" x14ac:dyDescent="0.25">
      <c r="A5311" s="38" t="s">
        <v>188</v>
      </c>
      <c r="B5311" s="28">
        <v>9672</v>
      </c>
      <c r="C5311" s="28" t="s">
        <v>1333</v>
      </c>
      <c r="D5311" s="46"/>
      <c r="E5311" s="35">
        <v>46156</v>
      </c>
      <c r="F5311" s="49">
        <v>0.90436342592592589</v>
      </c>
      <c r="G5311" s="37">
        <v>6.3</v>
      </c>
      <c r="H5311" s="36" t="s">
        <v>1362</v>
      </c>
      <c r="I5311" s="36" t="s">
        <v>1361</v>
      </c>
    </row>
    <row r="5312" spans="1:9" x14ac:dyDescent="0.25">
      <c r="A5312" s="38" t="s">
        <v>188</v>
      </c>
      <c r="B5312" s="28">
        <v>9672</v>
      </c>
      <c r="C5312" s="28" t="s">
        <v>35</v>
      </c>
      <c r="D5312" s="46" t="s">
        <v>38</v>
      </c>
      <c r="E5312" s="35">
        <v>46156</v>
      </c>
      <c r="F5312" s="49">
        <v>0.92744212962962957</v>
      </c>
      <c r="G5312" s="37">
        <v>6.3</v>
      </c>
      <c r="H5312" s="36" t="s">
        <v>1363</v>
      </c>
      <c r="I5312" s="36" t="s">
        <v>1361</v>
      </c>
    </row>
    <row r="5313" spans="1:9" x14ac:dyDescent="0.25">
      <c r="A5313" s="38" t="s">
        <v>188</v>
      </c>
      <c r="B5313" s="28">
        <v>9672</v>
      </c>
      <c r="C5313" s="28" t="s">
        <v>35</v>
      </c>
      <c r="D5313" s="46" t="s">
        <v>38</v>
      </c>
      <c r="E5313" s="35">
        <v>46156</v>
      </c>
      <c r="F5313" s="49">
        <v>0.97390046296296295</v>
      </c>
      <c r="G5313" s="37">
        <v>6.3</v>
      </c>
      <c r="H5313" s="36" t="s">
        <v>1364</v>
      </c>
      <c r="I5313" s="36" t="s">
        <v>1361</v>
      </c>
    </row>
    <row r="5314" spans="1:9" x14ac:dyDescent="0.25">
      <c r="A5314" s="38" t="s">
        <v>188</v>
      </c>
      <c r="B5314" s="28">
        <v>9672</v>
      </c>
      <c r="C5314" s="28">
        <v>5673252</v>
      </c>
      <c r="D5314" s="46" t="s">
        <v>37</v>
      </c>
      <c r="E5314" s="35">
        <v>46159</v>
      </c>
      <c r="F5314" s="49">
        <v>0.83024305555555555</v>
      </c>
      <c r="G5314" s="37">
        <v>6.3</v>
      </c>
      <c r="H5314" s="36" t="s">
        <v>1363</v>
      </c>
      <c r="I5314" s="36" t="s">
        <v>1365</v>
      </c>
    </row>
    <row r="5315" spans="1:9" x14ac:dyDescent="0.25">
      <c r="A5315" s="38" t="s">
        <v>245</v>
      </c>
      <c r="B5315" s="28">
        <v>9682</v>
      </c>
      <c r="C5315" s="28">
        <v>5662032</v>
      </c>
      <c r="D5315" s="46"/>
      <c r="E5315" s="35">
        <v>46153</v>
      </c>
      <c r="F5315" s="49">
        <v>0.25594907407407408</v>
      </c>
      <c r="G5315" s="37">
        <v>6.3</v>
      </c>
      <c r="H5315" s="36" t="s">
        <v>1370</v>
      </c>
      <c r="I5315" s="36" t="s">
        <v>1361</v>
      </c>
    </row>
    <row r="5316" spans="1:9" x14ac:dyDescent="0.25">
      <c r="A5316" s="38" t="s">
        <v>245</v>
      </c>
      <c r="B5316" s="28">
        <v>9682</v>
      </c>
      <c r="C5316" s="28">
        <v>5662032</v>
      </c>
      <c r="D5316" s="46"/>
      <c r="E5316" s="35">
        <v>46153</v>
      </c>
      <c r="F5316" s="49">
        <v>0.26103009259259258</v>
      </c>
      <c r="G5316" s="37">
        <v>6.3</v>
      </c>
      <c r="H5316" s="36" t="s">
        <v>1364</v>
      </c>
      <c r="I5316" s="36" t="s">
        <v>1361</v>
      </c>
    </row>
    <row r="5317" spans="1:9" x14ac:dyDescent="0.25">
      <c r="A5317" s="38" t="s">
        <v>221</v>
      </c>
      <c r="B5317" s="28">
        <v>9685</v>
      </c>
      <c r="C5317" s="28">
        <v>5666683</v>
      </c>
      <c r="D5317" s="46"/>
      <c r="E5317" s="35">
        <v>46155</v>
      </c>
      <c r="F5317" s="49">
        <v>0.62804398148148144</v>
      </c>
      <c r="G5317" s="37">
        <v>6.3</v>
      </c>
      <c r="H5317" s="36" t="s">
        <v>1362</v>
      </c>
      <c r="I5317" s="36" t="s">
        <v>1361</v>
      </c>
    </row>
    <row r="5318" spans="1:9" x14ac:dyDescent="0.25">
      <c r="A5318" s="38" t="s">
        <v>221</v>
      </c>
      <c r="B5318" s="28">
        <v>9685</v>
      </c>
      <c r="C5318" s="28" t="s">
        <v>1334</v>
      </c>
      <c r="D5318" s="46"/>
      <c r="E5318" s="35">
        <v>46155</v>
      </c>
      <c r="F5318" s="49">
        <v>0.85215277777777776</v>
      </c>
      <c r="G5318" s="37">
        <v>6.3</v>
      </c>
      <c r="H5318" s="36" t="s">
        <v>1360</v>
      </c>
      <c r="I5318" s="36" t="s">
        <v>1361</v>
      </c>
    </row>
    <row r="5319" spans="1:9" x14ac:dyDescent="0.25">
      <c r="A5319" s="38" t="s">
        <v>221</v>
      </c>
      <c r="B5319" s="28">
        <v>9685</v>
      </c>
      <c r="C5319" s="28" t="s">
        <v>1334</v>
      </c>
      <c r="D5319" s="46"/>
      <c r="E5319" s="35">
        <v>46155</v>
      </c>
      <c r="F5319" s="49">
        <v>0.8606018518518519</v>
      </c>
      <c r="G5319" s="37">
        <v>6.3</v>
      </c>
      <c r="H5319" s="36" t="s">
        <v>1368</v>
      </c>
      <c r="I5319" s="36" t="s">
        <v>1361</v>
      </c>
    </row>
    <row r="5320" spans="1:9" x14ac:dyDescent="0.25">
      <c r="A5320" s="38" t="s">
        <v>221</v>
      </c>
      <c r="B5320" s="28">
        <v>9685</v>
      </c>
      <c r="C5320" s="28" t="s">
        <v>1335</v>
      </c>
      <c r="D5320" s="46"/>
      <c r="E5320" s="35">
        <v>46157</v>
      </c>
      <c r="F5320" s="49">
        <v>0.77749999999999997</v>
      </c>
      <c r="G5320" s="37">
        <v>6.3</v>
      </c>
      <c r="H5320" s="36" t="s">
        <v>1360</v>
      </c>
      <c r="I5320" s="36" t="s">
        <v>1361</v>
      </c>
    </row>
    <row r="5321" spans="1:9" x14ac:dyDescent="0.25">
      <c r="A5321" s="38" t="s">
        <v>484</v>
      </c>
      <c r="B5321" s="28">
        <v>9701</v>
      </c>
      <c r="C5321" s="28" t="s">
        <v>35</v>
      </c>
      <c r="D5321" s="46" t="s">
        <v>38</v>
      </c>
      <c r="E5321" s="35">
        <v>46154</v>
      </c>
      <c r="F5321" s="49">
        <v>0.17109953703703704</v>
      </c>
      <c r="G5321" s="37">
        <v>6.3</v>
      </c>
      <c r="H5321" s="36" t="s">
        <v>1367</v>
      </c>
      <c r="I5321" s="36" t="s">
        <v>1361</v>
      </c>
    </row>
    <row r="5322" spans="1:9" x14ac:dyDescent="0.25">
      <c r="A5322" s="38" t="s">
        <v>484</v>
      </c>
      <c r="B5322" s="28">
        <v>9701</v>
      </c>
      <c r="C5322" s="28" t="s">
        <v>35</v>
      </c>
      <c r="D5322" s="46" t="s">
        <v>38</v>
      </c>
      <c r="E5322" s="35">
        <v>46154</v>
      </c>
      <c r="F5322" s="49">
        <v>0.17385416666666667</v>
      </c>
      <c r="G5322" s="37">
        <v>6.3</v>
      </c>
      <c r="H5322" s="36" t="s">
        <v>1364</v>
      </c>
      <c r="I5322" s="36" t="s">
        <v>1361</v>
      </c>
    </row>
    <row r="5323" spans="1:9" x14ac:dyDescent="0.25">
      <c r="A5323" s="38" t="s">
        <v>484</v>
      </c>
      <c r="B5323" s="28">
        <v>9701</v>
      </c>
      <c r="C5323" s="28">
        <v>5663974</v>
      </c>
      <c r="D5323" s="46"/>
      <c r="E5323" s="35">
        <v>46154</v>
      </c>
      <c r="F5323" s="49">
        <v>0.33119212962962963</v>
      </c>
      <c r="G5323" s="37">
        <v>6.3</v>
      </c>
      <c r="H5323" s="36" t="s">
        <v>1366</v>
      </c>
      <c r="I5323" s="36" t="s">
        <v>1361</v>
      </c>
    </row>
    <row r="5324" spans="1:9" x14ac:dyDescent="0.25">
      <c r="A5324" s="38" t="s">
        <v>484</v>
      </c>
      <c r="B5324" s="28">
        <v>9701</v>
      </c>
      <c r="C5324" s="28" t="s">
        <v>35</v>
      </c>
      <c r="D5324" s="46" t="s">
        <v>38</v>
      </c>
      <c r="E5324" s="35">
        <v>46156</v>
      </c>
      <c r="F5324" s="49">
        <v>0.43775462962962963</v>
      </c>
      <c r="G5324" s="37">
        <v>6.3</v>
      </c>
      <c r="H5324" s="36" t="s">
        <v>1366</v>
      </c>
      <c r="I5324" s="36" t="s">
        <v>1361</v>
      </c>
    </row>
    <row r="5325" spans="1:9" x14ac:dyDescent="0.25">
      <c r="A5325" s="38" t="s">
        <v>484</v>
      </c>
      <c r="B5325" s="28">
        <v>9701</v>
      </c>
      <c r="C5325" s="28">
        <v>5669408</v>
      </c>
      <c r="D5325" s="46"/>
      <c r="E5325" s="35">
        <v>46157</v>
      </c>
      <c r="F5325" s="49">
        <v>0.18026620370370369</v>
      </c>
      <c r="G5325" s="37">
        <v>6.3</v>
      </c>
      <c r="H5325" s="36" t="s">
        <v>1369</v>
      </c>
      <c r="I5325" s="36" t="s">
        <v>1361</v>
      </c>
    </row>
    <row r="5326" spans="1:9" x14ac:dyDescent="0.25">
      <c r="A5326" s="38" t="s">
        <v>484</v>
      </c>
      <c r="B5326" s="28">
        <v>9701</v>
      </c>
      <c r="C5326" s="28">
        <v>5669408</v>
      </c>
      <c r="D5326" s="46"/>
      <c r="E5326" s="35">
        <v>46157</v>
      </c>
      <c r="F5326" s="49">
        <v>0.18538194444444445</v>
      </c>
      <c r="G5326" s="37">
        <v>6.3</v>
      </c>
      <c r="H5326" s="36" t="s">
        <v>1364</v>
      </c>
      <c r="I5326" s="36" t="s">
        <v>1361</v>
      </c>
    </row>
    <row r="5327" spans="1:9" x14ac:dyDescent="0.25">
      <c r="A5327" s="38" t="s">
        <v>484</v>
      </c>
      <c r="B5327" s="28">
        <v>9701</v>
      </c>
      <c r="C5327" s="28" t="s">
        <v>35</v>
      </c>
      <c r="D5327" s="46" t="s">
        <v>38</v>
      </c>
      <c r="E5327" s="35">
        <v>46157</v>
      </c>
      <c r="F5327" s="49">
        <v>0.24912037037037038</v>
      </c>
      <c r="G5327" s="37">
        <v>6.3</v>
      </c>
      <c r="H5327" s="36" t="s">
        <v>1360</v>
      </c>
      <c r="I5327" s="36" t="s">
        <v>1361</v>
      </c>
    </row>
    <row r="5328" spans="1:9" x14ac:dyDescent="0.25">
      <c r="A5328" s="38" t="s">
        <v>484</v>
      </c>
      <c r="B5328" s="28">
        <v>9701</v>
      </c>
      <c r="C5328" s="28" t="s">
        <v>35</v>
      </c>
      <c r="D5328" s="46" t="s">
        <v>38</v>
      </c>
      <c r="E5328" s="35">
        <v>46157</v>
      </c>
      <c r="F5328" s="49">
        <v>0.26140046296296299</v>
      </c>
      <c r="G5328" s="37">
        <v>6.3</v>
      </c>
      <c r="H5328" s="36" t="s">
        <v>1362</v>
      </c>
      <c r="I5328" s="36" t="s">
        <v>1361</v>
      </c>
    </row>
    <row r="5329" spans="1:9" x14ac:dyDescent="0.25">
      <c r="A5329" s="38" t="s">
        <v>226</v>
      </c>
      <c r="B5329" s="28">
        <v>9720</v>
      </c>
      <c r="C5329" s="28">
        <v>5664051</v>
      </c>
      <c r="D5329" s="46"/>
      <c r="E5329" s="35">
        <v>46153</v>
      </c>
      <c r="F5329" s="49">
        <v>0.97748842592592589</v>
      </c>
      <c r="G5329" s="37">
        <v>6.3</v>
      </c>
      <c r="H5329" s="36" t="s">
        <v>1360</v>
      </c>
      <c r="I5329" s="36" t="s">
        <v>1361</v>
      </c>
    </row>
    <row r="5330" spans="1:9" x14ac:dyDescent="0.25">
      <c r="A5330" s="38" t="s">
        <v>226</v>
      </c>
      <c r="B5330" s="28">
        <v>9720</v>
      </c>
      <c r="C5330" s="28">
        <v>5664051</v>
      </c>
      <c r="D5330" s="46"/>
      <c r="E5330" s="35">
        <v>46153</v>
      </c>
      <c r="F5330" s="49">
        <v>0.98447916666666668</v>
      </c>
      <c r="G5330" s="37">
        <v>6.3</v>
      </c>
      <c r="H5330" s="36" t="s">
        <v>1362</v>
      </c>
      <c r="I5330" s="36" t="s">
        <v>1361</v>
      </c>
    </row>
    <row r="5331" spans="1:9" x14ac:dyDescent="0.25">
      <c r="A5331" s="38" t="s">
        <v>226</v>
      </c>
      <c r="B5331" s="28">
        <v>9720</v>
      </c>
      <c r="C5331" s="28" t="s">
        <v>1336</v>
      </c>
      <c r="D5331" s="46"/>
      <c r="E5331" s="35">
        <v>46157</v>
      </c>
      <c r="F5331" s="49">
        <v>0.40144675925925927</v>
      </c>
      <c r="G5331" s="37">
        <v>6.3</v>
      </c>
      <c r="H5331" s="36" t="s">
        <v>1360</v>
      </c>
      <c r="I5331" s="36" t="s">
        <v>1361</v>
      </c>
    </row>
    <row r="5332" spans="1:9" x14ac:dyDescent="0.25">
      <c r="A5332" s="38" t="s">
        <v>226</v>
      </c>
      <c r="B5332" s="28">
        <v>9720</v>
      </c>
      <c r="C5332" s="28" t="s">
        <v>35</v>
      </c>
      <c r="D5332" s="46" t="s">
        <v>38</v>
      </c>
      <c r="E5332" s="35">
        <v>46159</v>
      </c>
      <c r="F5332" s="49">
        <v>0.5794907407407407</v>
      </c>
      <c r="G5332" s="37">
        <v>6.3</v>
      </c>
      <c r="H5332" s="36" t="s">
        <v>1362</v>
      </c>
      <c r="I5332" s="36" t="s">
        <v>1365</v>
      </c>
    </row>
    <row r="5333" spans="1:9" x14ac:dyDescent="0.25">
      <c r="A5333" s="38" t="s">
        <v>226</v>
      </c>
      <c r="B5333" s="28">
        <v>9720</v>
      </c>
      <c r="C5333" s="28" t="s">
        <v>35</v>
      </c>
      <c r="D5333" s="46" t="s">
        <v>38</v>
      </c>
      <c r="E5333" s="35">
        <v>46159</v>
      </c>
      <c r="F5333" s="49">
        <v>0.59504629629629635</v>
      </c>
      <c r="G5333" s="37">
        <v>6.3</v>
      </c>
      <c r="H5333" s="36" t="s">
        <v>1363</v>
      </c>
      <c r="I5333" s="36" t="s">
        <v>1365</v>
      </c>
    </row>
    <row r="5334" spans="1:9" x14ac:dyDescent="0.25">
      <c r="A5334" s="38" t="s">
        <v>226</v>
      </c>
      <c r="B5334" s="28">
        <v>9720</v>
      </c>
      <c r="C5334" s="28" t="s">
        <v>35</v>
      </c>
      <c r="D5334" s="46" t="s">
        <v>38</v>
      </c>
      <c r="E5334" s="35">
        <v>46159</v>
      </c>
      <c r="F5334" s="49">
        <v>0.69973379629629628</v>
      </c>
      <c r="G5334" s="37">
        <v>6.3</v>
      </c>
      <c r="H5334" s="36" t="s">
        <v>1362</v>
      </c>
      <c r="I5334" s="36" t="s">
        <v>1365</v>
      </c>
    </row>
    <row r="5335" spans="1:9" x14ac:dyDescent="0.25">
      <c r="A5335" s="38" t="s">
        <v>226</v>
      </c>
      <c r="B5335" s="28">
        <v>9720</v>
      </c>
      <c r="C5335" s="28" t="s">
        <v>35</v>
      </c>
      <c r="D5335" s="46" t="s">
        <v>38</v>
      </c>
      <c r="E5335" s="35">
        <v>46159</v>
      </c>
      <c r="F5335" s="49">
        <v>0.80012731481481481</v>
      </c>
      <c r="G5335" s="37">
        <v>6.3</v>
      </c>
      <c r="H5335" s="36" t="s">
        <v>1362</v>
      </c>
      <c r="I5335" s="36" t="s">
        <v>1365</v>
      </c>
    </row>
    <row r="5336" spans="1:9" x14ac:dyDescent="0.25">
      <c r="A5336" s="38" t="s">
        <v>360</v>
      </c>
      <c r="B5336" s="28">
        <v>9740</v>
      </c>
      <c r="C5336" s="28" t="s">
        <v>35</v>
      </c>
      <c r="D5336" s="46" t="s">
        <v>38</v>
      </c>
      <c r="E5336" s="35">
        <v>46158</v>
      </c>
      <c r="F5336" s="49">
        <v>7.149305555555556E-2</v>
      </c>
      <c r="G5336" s="37">
        <v>6.3</v>
      </c>
      <c r="H5336" s="36" t="s">
        <v>1363</v>
      </c>
      <c r="I5336" s="36" t="s">
        <v>1365</v>
      </c>
    </row>
    <row r="5337" spans="1:9" x14ac:dyDescent="0.25">
      <c r="A5337" s="38" t="s">
        <v>360</v>
      </c>
      <c r="B5337" s="28">
        <v>9740</v>
      </c>
      <c r="C5337" s="28" t="s">
        <v>35</v>
      </c>
      <c r="D5337" s="46" t="s">
        <v>38</v>
      </c>
      <c r="E5337" s="35">
        <v>46158</v>
      </c>
      <c r="F5337" s="49">
        <v>0.19263888888888889</v>
      </c>
      <c r="G5337" s="37">
        <v>6.3</v>
      </c>
      <c r="H5337" s="36" t="s">
        <v>1360</v>
      </c>
      <c r="I5337" s="36" t="s">
        <v>1365</v>
      </c>
    </row>
    <row r="5338" spans="1:9" x14ac:dyDescent="0.25">
      <c r="A5338" s="38" t="s">
        <v>360</v>
      </c>
      <c r="B5338" s="28">
        <v>9740</v>
      </c>
      <c r="C5338" s="28" t="s">
        <v>1337</v>
      </c>
      <c r="D5338" s="46"/>
      <c r="E5338" s="35">
        <v>46158</v>
      </c>
      <c r="F5338" s="49">
        <v>0.20137731481481483</v>
      </c>
      <c r="G5338" s="37">
        <v>6.3</v>
      </c>
      <c r="H5338" s="36" t="s">
        <v>1362</v>
      </c>
      <c r="I5338" s="36" t="s">
        <v>1365</v>
      </c>
    </row>
    <row r="5339" spans="1:9" x14ac:dyDescent="0.25">
      <c r="A5339" s="38" t="s">
        <v>360</v>
      </c>
      <c r="B5339" s="28">
        <v>9740</v>
      </c>
      <c r="C5339" s="28">
        <v>5671909</v>
      </c>
      <c r="D5339" s="46"/>
      <c r="E5339" s="35">
        <v>46158</v>
      </c>
      <c r="F5339" s="49">
        <v>0.86440972222222223</v>
      </c>
      <c r="G5339" s="37">
        <v>6.3</v>
      </c>
      <c r="H5339" s="36" t="s">
        <v>1360</v>
      </c>
      <c r="I5339" s="36" t="s">
        <v>1365</v>
      </c>
    </row>
    <row r="5340" spans="1:9" x14ac:dyDescent="0.25">
      <c r="A5340" s="38" t="s">
        <v>360</v>
      </c>
      <c r="B5340" s="28">
        <v>9740</v>
      </c>
      <c r="C5340" s="28">
        <v>5671909</v>
      </c>
      <c r="D5340" s="46"/>
      <c r="E5340" s="35">
        <v>46158</v>
      </c>
      <c r="F5340" s="49">
        <v>0.87152777777777779</v>
      </c>
      <c r="G5340" s="37">
        <v>6.3</v>
      </c>
      <c r="H5340" s="36" t="s">
        <v>1368</v>
      </c>
      <c r="I5340" s="36" t="s">
        <v>1365</v>
      </c>
    </row>
    <row r="5341" spans="1:9" x14ac:dyDescent="0.25">
      <c r="A5341" s="38" t="s">
        <v>360</v>
      </c>
      <c r="B5341" s="28">
        <v>9740</v>
      </c>
      <c r="C5341" s="28" t="s">
        <v>35</v>
      </c>
      <c r="D5341" s="46" t="s">
        <v>38</v>
      </c>
      <c r="E5341" s="35">
        <v>46158</v>
      </c>
      <c r="F5341" s="49">
        <v>0.89443287037037034</v>
      </c>
      <c r="G5341" s="37">
        <v>6.3</v>
      </c>
      <c r="H5341" s="36" t="s">
        <v>1369</v>
      </c>
      <c r="I5341" s="36" t="s">
        <v>1365</v>
      </c>
    </row>
    <row r="5342" spans="1:9" x14ac:dyDescent="0.25">
      <c r="A5342" s="38" t="s">
        <v>272</v>
      </c>
      <c r="B5342" s="28">
        <v>9742</v>
      </c>
      <c r="C5342" s="28">
        <v>5667456</v>
      </c>
      <c r="D5342" s="46" t="s">
        <v>37</v>
      </c>
      <c r="E5342" s="35">
        <v>46156</v>
      </c>
      <c r="F5342" s="49">
        <v>3.6226851851851854E-3</v>
      </c>
      <c r="G5342" s="37">
        <v>6.3</v>
      </c>
      <c r="H5342" s="36" t="s">
        <v>1360</v>
      </c>
      <c r="I5342" s="36" t="s">
        <v>1361</v>
      </c>
    </row>
    <row r="5343" spans="1:9" x14ac:dyDescent="0.25">
      <c r="A5343" s="38" t="s">
        <v>272</v>
      </c>
      <c r="B5343" s="28">
        <v>9742</v>
      </c>
      <c r="C5343" s="28">
        <v>5667456</v>
      </c>
      <c r="D5343" s="46" t="s">
        <v>37</v>
      </c>
      <c r="E5343" s="35">
        <v>46156</v>
      </c>
      <c r="F5343" s="49">
        <v>9.9305555555555553E-3</v>
      </c>
      <c r="G5343" s="37">
        <v>6.3</v>
      </c>
      <c r="H5343" s="36" t="s">
        <v>1362</v>
      </c>
      <c r="I5343" s="36" t="s">
        <v>1361</v>
      </c>
    </row>
    <row r="5344" spans="1:9" x14ac:dyDescent="0.25">
      <c r="A5344" s="38" t="s">
        <v>272</v>
      </c>
      <c r="B5344" s="28">
        <v>9742</v>
      </c>
      <c r="C5344" s="28" t="s">
        <v>35</v>
      </c>
      <c r="D5344" s="46" t="s">
        <v>38</v>
      </c>
      <c r="E5344" s="35">
        <v>46156</v>
      </c>
      <c r="F5344" s="49">
        <v>0.62883101851851853</v>
      </c>
      <c r="G5344" s="37">
        <v>6.3</v>
      </c>
      <c r="H5344" s="36" t="s">
        <v>1363</v>
      </c>
      <c r="I5344" s="36" t="s">
        <v>1361</v>
      </c>
    </row>
    <row r="5345" spans="1:9" x14ac:dyDescent="0.25">
      <c r="A5345" s="38" t="s">
        <v>272</v>
      </c>
      <c r="B5345" s="28">
        <v>9742</v>
      </c>
      <c r="C5345" s="28" t="s">
        <v>35</v>
      </c>
      <c r="D5345" s="46" t="s">
        <v>38</v>
      </c>
      <c r="E5345" s="35">
        <v>46156</v>
      </c>
      <c r="F5345" s="49">
        <v>0.65687499999999999</v>
      </c>
      <c r="G5345" s="37">
        <v>6.3</v>
      </c>
      <c r="H5345" s="36" t="s">
        <v>1364</v>
      </c>
      <c r="I5345" s="36" t="s">
        <v>1361</v>
      </c>
    </row>
    <row r="5346" spans="1:9" x14ac:dyDescent="0.25">
      <c r="A5346" s="38" t="s">
        <v>272</v>
      </c>
      <c r="B5346" s="28">
        <v>9742</v>
      </c>
      <c r="C5346" s="28" t="s">
        <v>1338</v>
      </c>
      <c r="D5346" s="46"/>
      <c r="E5346" s="35">
        <v>46157</v>
      </c>
      <c r="F5346" s="49">
        <v>0.68365740740740744</v>
      </c>
      <c r="G5346" s="37">
        <v>6.3</v>
      </c>
      <c r="H5346" s="36" t="s">
        <v>1360</v>
      </c>
      <c r="I5346" s="36" t="s">
        <v>1361</v>
      </c>
    </row>
    <row r="5347" spans="1:9" x14ac:dyDescent="0.25">
      <c r="A5347" s="38" t="s">
        <v>272</v>
      </c>
      <c r="B5347" s="28">
        <v>9742</v>
      </c>
      <c r="C5347" s="28" t="s">
        <v>1338</v>
      </c>
      <c r="D5347" s="46"/>
      <c r="E5347" s="35">
        <v>46157</v>
      </c>
      <c r="F5347" s="49">
        <v>0.69770833333333337</v>
      </c>
      <c r="G5347" s="37">
        <v>6.3</v>
      </c>
      <c r="H5347" s="36" t="s">
        <v>1368</v>
      </c>
      <c r="I5347" s="36" t="s">
        <v>1361</v>
      </c>
    </row>
    <row r="5348" spans="1:9" x14ac:dyDescent="0.25">
      <c r="A5348" s="38" t="s">
        <v>272</v>
      </c>
      <c r="B5348" s="28">
        <v>9742</v>
      </c>
      <c r="C5348" s="28" t="s">
        <v>35</v>
      </c>
      <c r="D5348" s="46" t="s">
        <v>38</v>
      </c>
      <c r="E5348" s="35">
        <v>46157</v>
      </c>
      <c r="F5348" s="49">
        <v>0.73271990740740744</v>
      </c>
      <c r="G5348" s="37">
        <v>6.3</v>
      </c>
      <c r="H5348" s="36" t="s">
        <v>1364</v>
      </c>
      <c r="I5348" s="36" t="s">
        <v>1361</v>
      </c>
    </row>
    <row r="5349" spans="1:9" x14ac:dyDescent="0.25">
      <c r="A5349" s="38" t="s">
        <v>272</v>
      </c>
      <c r="B5349" s="28">
        <v>9742</v>
      </c>
      <c r="C5349" s="28" t="s">
        <v>1339</v>
      </c>
      <c r="D5349" s="46"/>
      <c r="E5349" s="35">
        <v>46158</v>
      </c>
      <c r="F5349" s="49">
        <v>0.23254629629629631</v>
      </c>
      <c r="G5349" s="37">
        <v>6.3</v>
      </c>
      <c r="H5349" s="36" t="s">
        <v>1360</v>
      </c>
      <c r="I5349" s="36" t="s">
        <v>1365</v>
      </c>
    </row>
    <row r="5350" spans="1:9" x14ac:dyDescent="0.25">
      <c r="A5350" s="38" t="s">
        <v>272</v>
      </c>
      <c r="B5350" s="28">
        <v>9742</v>
      </c>
      <c r="C5350" s="28">
        <v>5671864</v>
      </c>
      <c r="D5350" s="46"/>
      <c r="E5350" s="35">
        <v>46158</v>
      </c>
      <c r="F5350" s="49">
        <v>0.83219907407407412</v>
      </c>
      <c r="G5350" s="37">
        <v>6.3</v>
      </c>
      <c r="H5350" s="36" t="s">
        <v>1360</v>
      </c>
      <c r="I5350" s="36" t="s">
        <v>1365</v>
      </c>
    </row>
    <row r="5351" spans="1:9" x14ac:dyDescent="0.25">
      <c r="A5351" s="38" t="s">
        <v>272</v>
      </c>
      <c r="B5351" s="28">
        <v>9742</v>
      </c>
      <c r="C5351" s="28">
        <v>5671864</v>
      </c>
      <c r="D5351" s="46"/>
      <c r="E5351" s="35">
        <v>46158</v>
      </c>
      <c r="F5351" s="49">
        <v>0.83893518518518517</v>
      </c>
      <c r="G5351" s="37">
        <v>6.3</v>
      </c>
      <c r="H5351" s="36" t="s">
        <v>1362</v>
      </c>
      <c r="I5351" s="36" t="s">
        <v>1365</v>
      </c>
    </row>
    <row r="5352" spans="1:9" x14ac:dyDescent="0.25">
      <c r="A5352" s="38" t="s">
        <v>272</v>
      </c>
      <c r="B5352" s="28">
        <v>9742</v>
      </c>
      <c r="C5352" s="28">
        <v>5672389</v>
      </c>
      <c r="D5352" s="46"/>
      <c r="E5352" s="35">
        <v>46159</v>
      </c>
      <c r="F5352" s="49">
        <v>0.42541666666666667</v>
      </c>
      <c r="G5352" s="37">
        <v>6.3</v>
      </c>
      <c r="H5352" s="36" t="s">
        <v>1360</v>
      </c>
      <c r="I5352" s="36" t="s">
        <v>1365</v>
      </c>
    </row>
    <row r="5353" spans="1:9" x14ac:dyDescent="0.25">
      <c r="A5353" s="38" t="s">
        <v>272</v>
      </c>
      <c r="B5353" s="28">
        <v>9742</v>
      </c>
      <c r="C5353" s="28">
        <v>5672389</v>
      </c>
      <c r="D5353" s="46"/>
      <c r="E5353" s="35">
        <v>46159</v>
      </c>
      <c r="F5353" s="49">
        <v>0.43159722222222224</v>
      </c>
      <c r="G5353" s="37">
        <v>6.3</v>
      </c>
      <c r="H5353" s="36" t="s">
        <v>1362</v>
      </c>
      <c r="I5353" s="36" t="s">
        <v>1365</v>
      </c>
    </row>
    <row r="5354" spans="1:9" x14ac:dyDescent="0.25">
      <c r="A5354" s="38" t="s">
        <v>272</v>
      </c>
      <c r="B5354" s="28">
        <v>9742</v>
      </c>
      <c r="C5354" s="28">
        <v>5672309</v>
      </c>
      <c r="D5354" s="46"/>
      <c r="E5354" s="35">
        <v>46159</v>
      </c>
      <c r="F5354" s="49">
        <v>0.54789351851851853</v>
      </c>
      <c r="G5354" s="37">
        <v>6.3</v>
      </c>
      <c r="H5354" s="36" t="s">
        <v>1360</v>
      </c>
      <c r="I5354" s="36" t="s">
        <v>1365</v>
      </c>
    </row>
    <row r="5355" spans="1:9" x14ac:dyDescent="0.25">
      <c r="A5355" s="38" t="s">
        <v>272</v>
      </c>
      <c r="B5355" s="28">
        <v>9742</v>
      </c>
      <c r="C5355" s="28">
        <v>5672309</v>
      </c>
      <c r="D5355" s="46"/>
      <c r="E5355" s="35">
        <v>46159</v>
      </c>
      <c r="F5355" s="49">
        <v>0.55478009259259264</v>
      </c>
      <c r="G5355" s="37">
        <v>6.3</v>
      </c>
      <c r="H5355" s="36" t="s">
        <v>1362</v>
      </c>
      <c r="I5355" s="36" t="s">
        <v>1365</v>
      </c>
    </row>
    <row r="5356" spans="1:9" x14ac:dyDescent="0.25">
      <c r="A5356" s="38" t="s">
        <v>272</v>
      </c>
      <c r="B5356" s="28">
        <v>9742</v>
      </c>
      <c r="C5356" s="28" t="s">
        <v>35</v>
      </c>
      <c r="D5356" s="46" t="s">
        <v>38</v>
      </c>
      <c r="E5356" s="35">
        <v>46159</v>
      </c>
      <c r="F5356" s="49">
        <v>0.57807870370370373</v>
      </c>
      <c r="G5356" s="37">
        <v>6.3</v>
      </c>
      <c r="H5356" s="36" t="s">
        <v>1363</v>
      </c>
      <c r="I5356" s="36" t="s">
        <v>1365</v>
      </c>
    </row>
    <row r="5357" spans="1:9" x14ac:dyDescent="0.25">
      <c r="A5357" s="38" t="s">
        <v>272</v>
      </c>
      <c r="B5357" s="28">
        <v>9742</v>
      </c>
      <c r="C5357" s="28" t="s">
        <v>1340</v>
      </c>
      <c r="D5357" s="46"/>
      <c r="E5357" s="35">
        <v>46159</v>
      </c>
      <c r="F5357" s="49">
        <v>0.68141203703703701</v>
      </c>
      <c r="G5357" s="37">
        <v>6.3</v>
      </c>
      <c r="H5357" s="36" t="s">
        <v>1360</v>
      </c>
      <c r="I5357" s="36" t="s">
        <v>1365</v>
      </c>
    </row>
    <row r="5358" spans="1:9" x14ac:dyDescent="0.25">
      <c r="A5358" s="38" t="s">
        <v>272</v>
      </c>
      <c r="B5358" s="28">
        <v>9742</v>
      </c>
      <c r="C5358" s="28" t="s">
        <v>1340</v>
      </c>
      <c r="D5358" s="46"/>
      <c r="E5358" s="35">
        <v>46159</v>
      </c>
      <c r="F5358" s="49">
        <v>0.68833333333333335</v>
      </c>
      <c r="G5358" s="37">
        <v>6.3</v>
      </c>
      <c r="H5358" s="36" t="s">
        <v>1362</v>
      </c>
      <c r="I5358" s="36" t="s">
        <v>1365</v>
      </c>
    </row>
    <row r="5359" spans="1:9" x14ac:dyDescent="0.25">
      <c r="A5359" s="38" t="s">
        <v>272</v>
      </c>
      <c r="B5359" s="28">
        <v>9742</v>
      </c>
      <c r="C5359" s="28" t="s">
        <v>1341</v>
      </c>
      <c r="D5359" s="46"/>
      <c r="E5359" s="35">
        <v>46159</v>
      </c>
      <c r="F5359" s="49">
        <v>0.799224537037037</v>
      </c>
      <c r="G5359" s="37">
        <v>6.3</v>
      </c>
      <c r="H5359" s="36" t="s">
        <v>1360</v>
      </c>
      <c r="I5359" s="36" t="s">
        <v>1365</v>
      </c>
    </row>
    <row r="5360" spans="1:9" x14ac:dyDescent="0.25">
      <c r="A5360" s="38" t="s">
        <v>272</v>
      </c>
      <c r="B5360" s="28">
        <v>9742</v>
      </c>
      <c r="C5360" s="28" t="s">
        <v>1341</v>
      </c>
      <c r="D5360" s="46"/>
      <c r="E5360" s="35">
        <v>46159</v>
      </c>
      <c r="F5360" s="49">
        <v>0.80774305555555559</v>
      </c>
      <c r="G5360" s="37">
        <v>6.3</v>
      </c>
      <c r="H5360" s="36" t="s">
        <v>1362</v>
      </c>
      <c r="I5360" s="36" t="s">
        <v>1365</v>
      </c>
    </row>
    <row r="5361" spans="1:9" x14ac:dyDescent="0.25">
      <c r="A5361" s="38" t="s">
        <v>272</v>
      </c>
      <c r="B5361" s="28">
        <v>9742</v>
      </c>
      <c r="C5361" s="28">
        <v>5673215</v>
      </c>
      <c r="D5361" s="46"/>
      <c r="E5361" s="35">
        <v>46159</v>
      </c>
      <c r="F5361" s="49">
        <v>0.96111111111111114</v>
      </c>
      <c r="G5361" s="37">
        <v>6.3</v>
      </c>
      <c r="H5361" s="36" t="s">
        <v>1360</v>
      </c>
      <c r="I5361" s="36" t="s">
        <v>1365</v>
      </c>
    </row>
    <row r="5362" spans="1:9" x14ac:dyDescent="0.25">
      <c r="A5362" s="38" t="s">
        <v>272</v>
      </c>
      <c r="B5362" s="28">
        <v>9742</v>
      </c>
      <c r="C5362" s="28">
        <v>5673215</v>
      </c>
      <c r="D5362" s="46"/>
      <c r="E5362" s="35">
        <v>46159</v>
      </c>
      <c r="F5362" s="49">
        <v>0.96717592592592594</v>
      </c>
      <c r="G5362" s="37">
        <v>6.3</v>
      </c>
      <c r="H5362" s="36" t="s">
        <v>1362</v>
      </c>
      <c r="I5362" s="36" t="s">
        <v>1365</v>
      </c>
    </row>
    <row r="5363" spans="1:9" x14ac:dyDescent="0.25">
      <c r="A5363" s="38" t="s">
        <v>193</v>
      </c>
      <c r="B5363" s="28">
        <v>9761</v>
      </c>
      <c r="C5363" s="28">
        <v>5663152</v>
      </c>
      <c r="D5363" s="46" t="s">
        <v>37</v>
      </c>
      <c r="E5363" s="35">
        <v>46153</v>
      </c>
      <c r="F5363" s="49">
        <v>0.66305555555555551</v>
      </c>
      <c r="G5363" s="37">
        <v>6.3</v>
      </c>
      <c r="H5363" s="36" t="s">
        <v>1360</v>
      </c>
      <c r="I5363" s="36" t="s">
        <v>1361</v>
      </c>
    </row>
    <row r="5364" spans="1:9" x14ac:dyDescent="0.25">
      <c r="A5364" s="38" t="s">
        <v>193</v>
      </c>
      <c r="B5364" s="28">
        <v>9761</v>
      </c>
      <c r="C5364" s="28">
        <v>5663152</v>
      </c>
      <c r="D5364" s="46" t="s">
        <v>37</v>
      </c>
      <c r="E5364" s="35">
        <v>46153</v>
      </c>
      <c r="F5364" s="49">
        <v>0.67091435185185189</v>
      </c>
      <c r="G5364" s="37">
        <v>6.3</v>
      </c>
      <c r="H5364" s="36" t="s">
        <v>1362</v>
      </c>
      <c r="I5364" s="36" t="s">
        <v>1361</v>
      </c>
    </row>
    <row r="5365" spans="1:9" x14ac:dyDescent="0.25">
      <c r="A5365" s="38" t="s">
        <v>193</v>
      </c>
      <c r="B5365" s="28">
        <v>9761</v>
      </c>
      <c r="C5365" s="28" t="s">
        <v>35</v>
      </c>
      <c r="D5365" s="46" t="s">
        <v>38</v>
      </c>
      <c r="E5365" s="35">
        <v>46153</v>
      </c>
      <c r="F5365" s="49">
        <v>0.85318287037037033</v>
      </c>
      <c r="G5365" s="37">
        <v>6.3</v>
      </c>
      <c r="H5365" s="36" t="s">
        <v>1363</v>
      </c>
      <c r="I5365" s="36" t="s">
        <v>1361</v>
      </c>
    </row>
    <row r="5366" spans="1:9" x14ac:dyDescent="0.25">
      <c r="A5366" s="38" t="s">
        <v>192</v>
      </c>
      <c r="B5366" s="28">
        <v>9769</v>
      </c>
      <c r="C5366" s="28" t="s">
        <v>35</v>
      </c>
      <c r="D5366" s="46" t="s">
        <v>38</v>
      </c>
      <c r="E5366" s="35">
        <v>46156</v>
      </c>
      <c r="F5366" s="49">
        <v>0.75026620370370367</v>
      </c>
      <c r="G5366" s="37">
        <v>6.3</v>
      </c>
      <c r="H5366" s="36" t="s">
        <v>1363</v>
      </c>
      <c r="I5366" s="36" t="s">
        <v>1361</v>
      </c>
    </row>
    <row r="5367" spans="1:9" x14ac:dyDescent="0.25">
      <c r="A5367" s="38" t="s">
        <v>192</v>
      </c>
      <c r="B5367" s="28">
        <v>9769</v>
      </c>
      <c r="C5367" s="28">
        <v>10658691</v>
      </c>
      <c r="D5367" s="46"/>
      <c r="E5367" s="35">
        <v>46156</v>
      </c>
      <c r="F5367" s="49">
        <v>0.76469907407407411</v>
      </c>
      <c r="G5367" s="37">
        <v>6.3</v>
      </c>
      <c r="H5367" s="36" t="s">
        <v>1364</v>
      </c>
      <c r="I5367" s="36" t="s">
        <v>1361</v>
      </c>
    </row>
    <row r="5368" spans="1:9" x14ac:dyDescent="0.25">
      <c r="A5368" s="38" t="s">
        <v>192</v>
      </c>
      <c r="B5368" s="28">
        <v>9769</v>
      </c>
      <c r="C5368" s="28">
        <v>10675016</v>
      </c>
      <c r="D5368" s="46"/>
      <c r="E5368" s="35">
        <v>46158</v>
      </c>
      <c r="F5368" s="49">
        <v>0.50728009259259255</v>
      </c>
      <c r="G5368" s="37">
        <v>6.3</v>
      </c>
      <c r="H5368" s="36" t="s">
        <v>1369</v>
      </c>
      <c r="I5368" s="36" t="s">
        <v>1365</v>
      </c>
    </row>
    <row r="5369" spans="1:9" x14ac:dyDescent="0.25">
      <c r="A5369" s="38" t="s">
        <v>192</v>
      </c>
      <c r="B5369" s="28">
        <v>9769</v>
      </c>
      <c r="C5369" s="28">
        <v>10675016</v>
      </c>
      <c r="D5369" s="46"/>
      <c r="E5369" s="35">
        <v>46158</v>
      </c>
      <c r="F5369" s="49">
        <v>0.51378472222222227</v>
      </c>
      <c r="G5369" s="37">
        <v>6.3</v>
      </c>
      <c r="H5369" s="36" t="s">
        <v>1364</v>
      </c>
      <c r="I5369" s="36" t="s">
        <v>1365</v>
      </c>
    </row>
    <row r="5370" spans="1:9" x14ac:dyDescent="0.25">
      <c r="A5370" s="38" t="s">
        <v>194</v>
      </c>
      <c r="B5370" s="28">
        <v>9795</v>
      </c>
      <c r="C5370" s="28" t="s">
        <v>1342</v>
      </c>
      <c r="D5370" s="46"/>
      <c r="E5370" s="35">
        <v>46154</v>
      </c>
      <c r="F5370" s="49">
        <v>0.81524305555555554</v>
      </c>
      <c r="G5370" s="37">
        <v>6.3</v>
      </c>
      <c r="H5370" s="36" t="s">
        <v>1360</v>
      </c>
      <c r="I5370" s="36" t="s">
        <v>1361</v>
      </c>
    </row>
    <row r="5371" spans="1:9" x14ac:dyDescent="0.25">
      <c r="A5371" s="38" t="s">
        <v>194</v>
      </c>
      <c r="B5371" s="28">
        <v>9795</v>
      </c>
      <c r="C5371" s="28" t="s">
        <v>1342</v>
      </c>
      <c r="D5371" s="46"/>
      <c r="E5371" s="35">
        <v>46154</v>
      </c>
      <c r="F5371" s="49">
        <v>0.82517361111111109</v>
      </c>
      <c r="G5371" s="37">
        <v>6.3</v>
      </c>
      <c r="H5371" s="36" t="s">
        <v>1362</v>
      </c>
      <c r="I5371" s="36" t="s">
        <v>1361</v>
      </c>
    </row>
    <row r="5372" spans="1:9" x14ac:dyDescent="0.25">
      <c r="A5372" s="38" t="s">
        <v>194</v>
      </c>
      <c r="B5372" s="28">
        <v>9795</v>
      </c>
      <c r="C5372" s="28" t="s">
        <v>35</v>
      </c>
      <c r="D5372" s="46" t="s">
        <v>38</v>
      </c>
      <c r="E5372" s="35">
        <v>46155</v>
      </c>
      <c r="F5372" s="49">
        <v>0.52158564814814812</v>
      </c>
      <c r="G5372" s="37">
        <v>6.3</v>
      </c>
      <c r="H5372" s="36" t="s">
        <v>1363</v>
      </c>
      <c r="I5372" s="36" t="s">
        <v>1361</v>
      </c>
    </row>
    <row r="5373" spans="1:9" x14ac:dyDescent="0.25">
      <c r="A5373" s="38" t="s">
        <v>194</v>
      </c>
      <c r="B5373" s="28">
        <v>9795</v>
      </c>
      <c r="C5373" s="28" t="s">
        <v>35</v>
      </c>
      <c r="D5373" s="46" t="s">
        <v>38</v>
      </c>
      <c r="E5373" s="35">
        <v>46155</v>
      </c>
      <c r="F5373" s="49">
        <v>0.52749999999999997</v>
      </c>
      <c r="G5373" s="37">
        <v>6.3</v>
      </c>
      <c r="H5373" s="36" t="s">
        <v>1364</v>
      </c>
      <c r="I5373" s="36" t="s">
        <v>1361</v>
      </c>
    </row>
    <row r="5374" spans="1:9" x14ac:dyDescent="0.25">
      <c r="A5374" s="38" t="s">
        <v>194</v>
      </c>
      <c r="B5374" s="28">
        <v>9795</v>
      </c>
      <c r="C5374" s="28">
        <v>5666971</v>
      </c>
      <c r="D5374" s="46"/>
      <c r="E5374" s="35">
        <v>46155</v>
      </c>
      <c r="F5374" s="49">
        <v>0.71417824074074077</v>
      </c>
      <c r="G5374" s="37">
        <v>6.3</v>
      </c>
      <c r="H5374" s="36" t="s">
        <v>1360</v>
      </c>
      <c r="I5374" s="36" t="s">
        <v>1361</v>
      </c>
    </row>
    <row r="5375" spans="1:9" x14ac:dyDescent="0.25">
      <c r="A5375" s="38" t="s">
        <v>194</v>
      </c>
      <c r="B5375" s="28">
        <v>9795</v>
      </c>
      <c r="C5375" s="28">
        <v>5666971</v>
      </c>
      <c r="D5375" s="46"/>
      <c r="E5375" s="35">
        <v>46155</v>
      </c>
      <c r="F5375" s="49">
        <v>0.72310185185185183</v>
      </c>
      <c r="G5375" s="37">
        <v>6.3</v>
      </c>
      <c r="H5375" s="36" t="s">
        <v>1362</v>
      </c>
      <c r="I5375" s="36" t="s">
        <v>1361</v>
      </c>
    </row>
    <row r="5376" spans="1:9" x14ac:dyDescent="0.25">
      <c r="A5376" s="38" t="s">
        <v>194</v>
      </c>
      <c r="B5376" s="28">
        <v>9795</v>
      </c>
      <c r="C5376" s="28" t="s">
        <v>35</v>
      </c>
      <c r="D5376" s="46" t="s">
        <v>38</v>
      </c>
      <c r="E5376" s="35">
        <v>46155</v>
      </c>
      <c r="F5376" s="49">
        <v>0.78251157407407412</v>
      </c>
      <c r="G5376" s="37">
        <v>6.3</v>
      </c>
      <c r="H5376" s="36" t="s">
        <v>1363</v>
      </c>
      <c r="I5376" s="36" t="s">
        <v>1361</v>
      </c>
    </row>
    <row r="5377" spans="1:9" x14ac:dyDescent="0.25">
      <c r="A5377" s="38" t="s">
        <v>194</v>
      </c>
      <c r="B5377" s="28">
        <v>9795</v>
      </c>
      <c r="C5377" s="28" t="s">
        <v>35</v>
      </c>
      <c r="D5377" s="46" t="s">
        <v>38</v>
      </c>
      <c r="E5377" s="35">
        <v>46155</v>
      </c>
      <c r="F5377" s="49">
        <v>0.80291666666666661</v>
      </c>
      <c r="G5377" s="37">
        <v>6.3</v>
      </c>
      <c r="H5377" s="36" t="s">
        <v>1364</v>
      </c>
      <c r="I5377" s="36" t="s">
        <v>1361</v>
      </c>
    </row>
    <row r="5378" spans="1:9" x14ac:dyDescent="0.25">
      <c r="A5378" s="38" t="s">
        <v>194</v>
      </c>
      <c r="B5378" s="28">
        <v>9795</v>
      </c>
      <c r="C5378" s="28" t="s">
        <v>35</v>
      </c>
      <c r="D5378" s="46" t="s">
        <v>38</v>
      </c>
      <c r="E5378" s="35">
        <v>46156</v>
      </c>
      <c r="F5378" s="49">
        <v>0.54016203703703702</v>
      </c>
      <c r="G5378" s="37">
        <v>6.3</v>
      </c>
      <c r="H5378" s="36" t="s">
        <v>1363</v>
      </c>
      <c r="I5378" s="36" t="s">
        <v>1361</v>
      </c>
    </row>
    <row r="5379" spans="1:9" x14ac:dyDescent="0.25">
      <c r="A5379" s="38" t="s">
        <v>194</v>
      </c>
      <c r="B5379" s="28">
        <v>9795</v>
      </c>
      <c r="C5379" s="28" t="s">
        <v>35</v>
      </c>
      <c r="D5379" s="46" t="s">
        <v>38</v>
      </c>
      <c r="E5379" s="35">
        <v>46156</v>
      </c>
      <c r="F5379" s="49">
        <v>0.54540509259259262</v>
      </c>
      <c r="G5379" s="37">
        <v>6.3</v>
      </c>
      <c r="H5379" s="36" t="s">
        <v>1364</v>
      </c>
      <c r="I5379" s="36" t="s">
        <v>1361</v>
      </c>
    </row>
    <row r="5380" spans="1:9" x14ac:dyDescent="0.25">
      <c r="A5380" s="38" t="s">
        <v>194</v>
      </c>
      <c r="B5380" s="28">
        <v>9795</v>
      </c>
      <c r="C5380" s="28">
        <v>5668541</v>
      </c>
      <c r="D5380" s="46"/>
      <c r="E5380" s="35">
        <v>46156</v>
      </c>
      <c r="F5380" s="49">
        <v>0.622650462962963</v>
      </c>
      <c r="G5380" s="37">
        <v>6.3</v>
      </c>
      <c r="H5380" s="36" t="s">
        <v>1360</v>
      </c>
      <c r="I5380" s="36" t="s">
        <v>1361</v>
      </c>
    </row>
    <row r="5381" spans="1:9" x14ac:dyDescent="0.25">
      <c r="A5381" s="38" t="s">
        <v>194</v>
      </c>
      <c r="B5381" s="28">
        <v>9795</v>
      </c>
      <c r="C5381" s="28">
        <v>5668541</v>
      </c>
      <c r="D5381" s="46"/>
      <c r="E5381" s="35">
        <v>46156</v>
      </c>
      <c r="F5381" s="49">
        <v>0.63267361111111109</v>
      </c>
      <c r="G5381" s="37">
        <v>6.3</v>
      </c>
      <c r="H5381" s="36" t="s">
        <v>1362</v>
      </c>
      <c r="I5381" s="36" t="s">
        <v>1361</v>
      </c>
    </row>
    <row r="5382" spans="1:9" x14ac:dyDescent="0.25">
      <c r="A5382" s="38" t="s">
        <v>194</v>
      </c>
      <c r="B5382" s="28">
        <v>9795</v>
      </c>
      <c r="C5382" s="28">
        <v>5667622</v>
      </c>
      <c r="D5382" s="46"/>
      <c r="E5382" s="35">
        <v>46156</v>
      </c>
      <c r="F5382" s="49">
        <v>0.71975694444444449</v>
      </c>
      <c r="G5382" s="37">
        <v>6.3</v>
      </c>
      <c r="H5382" s="36" t="s">
        <v>1363</v>
      </c>
      <c r="I5382" s="36" t="s">
        <v>1361</v>
      </c>
    </row>
    <row r="5383" spans="1:9" x14ac:dyDescent="0.25">
      <c r="A5383" s="38" t="s">
        <v>194</v>
      </c>
      <c r="B5383" s="28">
        <v>9795</v>
      </c>
      <c r="C5383" s="28">
        <v>5667622</v>
      </c>
      <c r="D5383" s="46"/>
      <c r="E5383" s="35">
        <v>46156</v>
      </c>
      <c r="F5383" s="49">
        <v>0.73378472222222224</v>
      </c>
      <c r="G5383" s="37">
        <v>6.3</v>
      </c>
      <c r="H5383" s="36" t="s">
        <v>1364</v>
      </c>
      <c r="I5383" s="36" t="s">
        <v>1361</v>
      </c>
    </row>
    <row r="5384" spans="1:9" x14ac:dyDescent="0.25">
      <c r="A5384" s="38" t="s">
        <v>194</v>
      </c>
      <c r="B5384" s="28">
        <v>9795</v>
      </c>
      <c r="C5384" s="28">
        <v>5668917</v>
      </c>
      <c r="D5384" s="46"/>
      <c r="E5384" s="35">
        <v>46156</v>
      </c>
      <c r="F5384" s="49">
        <v>0.89934027777777781</v>
      </c>
      <c r="G5384" s="37">
        <v>6.3</v>
      </c>
      <c r="H5384" s="36" t="s">
        <v>1360</v>
      </c>
      <c r="I5384" s="36" t="s">
        <v>1361</v>
      </c>
    </row>
    <row r="5385" spans="1:9" x14ac:dyDescent="0.25">
      <c r="A5385" s="38" t="s">
        <v>194</v>
      </c>
      <c r="B5385" s="28">
        <v>9795</v>
      </c>
      <c r="C5385" s="28">
        <v>5668917</v>
      </c>
      <c r="D5385" s="46"/>
      <c r="E5385" s="35">
        <v>46156</v>
      </c>
      <c r="F5385" s="49">
        <v>0.90599537037037037</v>
      </c>
      <c r="G5385" s="37">
        <v>6.3</v>
      </c>
      <c r="H5385" s="36" t="s">
        <v>1368</v>
      </c>
      <c r="I5385" s="36" t="s">
        <v>1361</v>
      </c>
    </row>
    <row r="5386" spans="1:9" x14ac:dyDescent="0.25">
      <c r="A5386" s="38" t="s">
        <v>194</v>
      </c>
      <c r="B5386" s="28">
        <v>9795</v>
      </c>
      <c r="C5386" s="28" t="s">
        <v>35</v>
      </c>
      <c r="D5386" s="46" t="s">
        <v>38</v>
      </c>
      <c r="E5386" s="35">
        <v>46156</v>
      </c>
      <c r="F5386" s="49">
        <v>0.93997685185185187</v>
      </c>
      <c r="G5386" s="37">
        <v>6.3</v>
      </c>
      <c r="H5386" s="36" t="s">
        <v>1369</v>
      </c>
      <c r="I5386" s="36" t="s">
        <v>1361</v>
      </c>
    </row>
    <row r="5387" spans="1:9" x14ac:dyDescent="0.25">
      <c r="A5387" s="38" t="s">
        <v>194</v>
      </c>
      <c r="B5387" s="28">
        <v>9795</v>
      </c>
      <c r="C5387" s="28" t="s">
        <v>35</v>
      </c>
      <c r="D5387" s="46" t="s">
        <v>38</v>
      </c>
      <c r="E5387" s="35">
        <v>46156</v>
      </c>
      <c r="F5387" s="49">
        <v>0.94480324074074074</v>
      </c>
      <c r="G5387" s="37">
        <v>6.3</v>
      </c>
      <c r="H5387" s="36" t="s">
        <v>1364</v>
      </c>
      <c r="I5387" s="36" t="s">
        <v>1361</v>
      </c>
    </row>
    <row r="5388" spans="1:9" x14ac:dyDescent="0.25">
      <c r="A5388" s="38" t="s">
        <v>194</v>
      </c>
      <c r="B5388" s="28">
        <v>9795</v>
      </c>
      <c r="C5388" s="28">
        <v>5669365</v>
      </c>
      <c r="D5388" s="46"/>
      <c r="E5388" s="35">
        <v>46156</v>
      </c>
      <c r="F5388" s="49">
        <v>0.98083333333333333</v>
      </c>
      <c r="G5388" s="37">
        <v>6.3</v>
      </c>
      <c r="H5388" s="36" t="s">
        <v>1360</v>
      </c>
      <c r="I5388" s="36" t="s">
        <v>1361</v>
      </c>
    </row>
    <row r="5389" spans="1:9" x14ac:dyDescent="0.25">
      <c r="A5389" s="38" t="s">
        <v>194</v>
      </c>
      <c r="B5389" s="28">
        <v>9795</v>
      </c>
      <c r="C5389" s="28">
        <v>5669365</v>
      </c>
      <c r="D5389" s="46"/>
      <c r="E5389" s="35">
        <v>46156</v>
      </c>
      <c r="F5389" s="49">
        <v>0.98819444444444449</v>
      </c>
      <c r="G5389" s="37">
        <v>6.3</v>
      </c>
      <c r="H5389" s="36" t="s">
        <v>1368</v>
      </c>
      <c r="I5389" s="36" t="s">
        <v>1361</v>
      </c>
    </row>
    <row r="5390" spans="1:9" x14ac:dyDescent="0.25">
      <c r="A5390" s="38" t="s">
        <v>194</v>
      </c>
      <c r="B5390" s="28">
        <v>9795</v>
      </c>
      <c r="C5390" s="28" t="s">
        <v>1343</v>
      </c>
      <c r="D5390" s="46"/>
      <c r="E5390" s="35">
        <v>46157</v>
      </c>
      <c r="F5390" s="49">
        <v>0.97915509259259259</v>
      </c>
      <c r="G5390" s="37">
        <v>6.3</v>
      </c>
      <c r="H5390" s="36" t="s">
        <v>1360</v>
      </c>
      <c r="I5390" s="36" t="s">
        <v>1361</v>
      </c>
    </row>
    <row r="5391" spans="1:9" x14ac:dyDescent="0.25">
      <c r="A5391" s="38" t="s">
        <v>194</v>
      </c>
      <c r="B5391" s="28">
        <v>9795</v>
      </c>
      <c r="C5391" s="28" t="s">
        <v>1343</v>
      </c>
      <c r="D5391" s="46"/>
      <c r="E5391" s="35">
        <v>46157</v>
      </c>
      <c r="F5391" s="49">
        <v>0.98973379629629632</v>
      </c>
      <c r="G5391" s="37">
        <v>6.3</v>
      </c>
      <c r="H5391" s="36" t="s">
        <v>1362</v>
      </c>
      <c r="I5391" s="36" t="s">
        <v>1365</v>
      </c>
    </row>
    <row r="5392" spans="1:9" x14ac:dyDescent="0.25">
      <c r="A5392" s="38" t="s">
        <v>194</v>
      </c>
      <c r="B5392" s="28">
        <v>9795</v>
      </c>
      <c r="C5392" s="28" t="s">
        <v>35</v>
      </c>
      <c r="D5392" s="46" t="s">
        <v>38</v>
      </c>
      <c r="E5392" s="35">
        <v>46158</v>
      </c>
      <c r="F5392" s="49">
        <v>1.1689814814814814E-2</v>
      </c>
      <c r="G5392" s="37">
        <v>6.3</v>
      </c>
      <c r="H5392" s="36" t="s">
        <v>1364</v>
      </c>
      <c r="I5392" s="36" t="s">
        <v>1365</v>
      </c>
    </row>
    <row r="5393" spans="1:9" x14ac:dyDescent="0.25">
      <c r="A5393" s="38" t="s">
        <v>194</v>
      </c>
      <c r="B5393" s="28">
        <v>9795</v>
      </c>
      <c r="C5393" s="28">
        <v>5672406</v>
      </c>
      <c r="D5393" s="46"/>
      <c r="E5393" s="35">
        <v>46159</v>
      </c>
      <c r="F5393" s="49">
        <v>0.67321759259259262</v>
      </c>
      <c r="G5393" s="37">
        <v>6.3</v>
      </c>
      <c r="H5393" s="36" t="s">
        <v>1360</v>
      </c>
      <c r="I5393" s="36" t="s">
        <v>1365</v>
      </c>
    </row>
    <row r="5394" spans="1:9" x14ac:dyDescent="0.25">
      <c r="A5394" s="38" t="s">
        <v>194</v>
      </c>
      <c r="B5394" s="28">
        <v>9795</v>
      </c>
      <c r="C5394" s="28">
        <v>5672406</v>
      </c>
      <c r="D5394" s="46"/>
      <c r="E5394" s="35">
        <v>46159</v>
      </c>
      <c r="F5394" s="49">
        <v>0.68042824074074071</v>
      </c>
      <c r="G5394" s="37">
        <v>6.3</v>
      </c>
      <c r="H5394" s="36" t="s">
        <v>1362</v>
      </c>
      <c r="I5394" s="36" t="s">
        <v>1365</v>
      </c>
    </row>
    <row r="5395" spans="1:9" x14ac:dyDescent="0.25">
      <c r="A5395" s="38" t="s">
        <v>194</v>
      </c>
      <c r="B5395" s="28">
        <v>9795</v>
      </c>
      <c r="C5395" s="28" t="s">
        <v>35</v>
      </c>
      <c r="D5395" s="46" t="s">
        <v>38</v>
      </c>
      <c r="E5395" s="35">
        <v>46159</v>
      </c>
      <c r="F5395" s="49">
        <v>0.69905092592592588</v>
      </c>
      <c r="G5395" s="37">
        <v>6.3</v>
      </c>
      <c r="H5395" s="36" t="s">
        <v>1363</v>
      </c>
      <c r="I5395" s="36" t="s">
        <v>1365</v>
      </c>
    </row>
    <row r="5396" spans="1:9" x14ac:dyDescent="0.25">
      <c r="A5396" s="38" t="s">
        <v>194</v>
      </c>
      <c r="B5396" s="28">
        <v>9795</v>
      </c>
      <c r="C5396" s="28" t="s">
        <v>35</v>
      </c>
      <c r="D5396" s="46" t="s">
        <v>38</v>
      </c>
      <c r="E5396" s="35">
        <v>46159</v>
      </c>
      <c r="F5396" s="49">
        <v>0.7036458333333333</v>
      </c>
      <c r="G5396" s="37">
        <v>6.3</v>
      </c>
      <c r="H5396" s="36" t="s">
        <v>1364</v>
      </c>
      <c r="I5396" s="36" t="s">
        <v>1365</v>
      </c>
    </row>
    <row r="5397" spans="1:9" x14ac:dyDescent="0.25">
      <c r="A5397" s="38" t="s">
        <v>194</v>
      </c>
      <c r="B5397" s="28">
        <v>9795</v>
      </c>
      <c r="C5397" s="28" t="s">
        <v>1344</v>
      </c>
      <c r="D5397" s="46"/>
      <c r="E5397" s="35">
        <v>46159</v>
      </c>
      <c r="F5397" s="49">
        <v>0.75112268518518521</v>
      </c>
      <c r="G5397" s="37">
        <v>6.3</v>
      </c>
      <c r="H5397" s="36" t="s">
        <v>1360</v>
      </c>
      <c r="I5397" s="36" t="s">
        <v>1365</v>
      </c>
    </row>
    <row r="5398" spans="1:9" x14ac:dyDescent="0.25">
      <c r="A5398" s="38" t="s">
        <v>194</v>
      </c>
      <c r="B5398" s="28">
        <v>9795</v>
      </c>
      <c r="C5398" s="28" t="s">
        <v>1344</v>
      </c>
      <c r="D5398" s="46"/>
      <c r="E5398" s="35">
        <v>46159</v>
      </c>
      <c r="F5398" s="49">
        <v>0.75810185185185186</v>
      </c>
      <c r="G5398" s="37">
        <v>6.3</v>
      </c>
      <c r="H5398" s="36" t="s">
        <v>1362</v>
      </c>
      <c r="I5398" s="36" t="s">
        <v>1365</v>
      </c>
    </row>
    <row r="5399" spans="1:9" x14ac:dyDescent="0.25">
      <c r="A5399" s="38" t="s">
        <v>194</v>
      </c>
      <c r="B5399" s="28">
        <v>9795</v>
      </c>
      <c r="C5399" s="28" t="s">
        <v>35</v>
      </c>
      <c r="D5399" s="46" t="s">
        <v>38</v>
      </c>
      <c r="E5399" s="35">
        <v>46159</v>
      </c>
      <c r="F5399" s="49">
        <v>0.78834490740740737</v>
      </c>
      <c r="G5399" s="37">
        <v>6.3</v>
      </c>
      <c r="H5399" s="36" t="s">
        <v>1363</v>
      </c>
      <c r="I5399" s="36" t="s">
        <v>1365</v>
      </c>
    </row>
    <row r="5400" spans="1:9" x14ac:dyDescent="0.25">
      <c r="A5400" s="38" t="s">
        <v>194</v>
      </c>
      <c r="B5400" s="28">
        <v>9795</v>
      </c>
      <c r="C5400" s="28" t="s">
        <v>1345</v>
      </c>
      <c r="D5400" s="46"/>
      <c r="E5400" s="35">
        <v>46159</v>
      </c>
      <c r="F5400" s="49">
        <v>0.87619212962962967</v>
      </c>
      <c r="G5400" s="37">
        <v>6.3</v>
      </c>
      <c r="H5400" s="36" t="s">
        <v>1360</v>
      </c>
      <c r="I5400" s="36" t="s">
        <v>1365</v>
      </c>
    </row>
    <row r="5401" spans="1:9" x14ac:dyDescent="0.25">
      <c r="A5401" s="38" t="s">
        <v>194</v>
      </c>
      <c r="B5401" s="28">
        <v>9795</v>
      </c>
      <c r="C5401" s="28" t="s">
        <v>1345</v>
      </c>
      <c r="D5401" s="46"/>
      <c r="E5401" s="35">
        <v>46159</v>
      </c>
      <c r="F5401" s="49">
        <v>0.88366898148148143</v>
      </c>
      <c r="G5401" s="37">
        <v>6.3</v>
      </c>
      <c r="H5401" s="36" t="s">
        <v>1362</v>
      </c>
      <c r="I5401" s="36" t="s">
        <v>1365</v>
      </c>
    </row>
    <row r="5402" spans="1:9" x14ac:dyDescent="0.25">
      <c r="A5402" s="38" t="s">
        <v>485</v>
      </c>
      <c r="B5402" s="28">
        <v>9820</v>
      </c>
      <c r="C5402" s="28" t="s">
        <v>35</v>
      </c>
      <c r="D5402" s="46" t="s">
        <v>38</v>
      </c>
      <c r="E5402" s="35">
        <v>46153</v>
      </c>
      <c r="F5402" s="49">
        <v>0.62149305555555556</v>
      </c>
      <c r="G5402" s="37">
        <v>6.3</v>
      </c>
      <c r="H5402" s="36" t="s">
        <v>1360</v>
      </c>
      <c r="I5402" s="36" t="s">
        <v>1361</v>
      </c>
    </row>
    <row r="5403" spans="1:9" x14ac:dyDescent="0.25">
      <c r="A5403" s="38" t="s">
        <v>485</v>
      </c>
      <c r="B5403" s="28">
        <v>9820</v>
      </c>
      <c r="C5403" s="28" t="s">
        <v>35</v>
      </c>
      <c r="D5403" s="46" t="s">
        <v>38</v>
      </c>
      <c r="E5403" s="35">
        <v>46153</v>
      </c>
      <c r="F5403" s="49">
        <v>0.63037037037037036</v>
      </c>
      <c r="G5403" s="37">
        <v>6.3</v>
      </c>
      <c r="H5403" s="36" t="s">
        <v>1368</v>
      </c>
      <c r="I5403" s="36" t="s">
        <v>1361</v>
      </c>
    </row>
    <row r="5404" spans="1:9" x14ac:dyDescent="0.25">
      <c r="A5404" s="38" t="s">
        <v>485</v>
      </c>
      <c r="B5404" s="28">
        <v>9820</v>
      </c>
      <c r="C5404" s="28" t="s">
        <v>35</v>
      </c>
      <c r="D5404" s="46" t="s">
        <v>38</v>
      </c>
      <c r="E5404" s="35">
        <v>46153</v>
      </c>
      <c r="F5404" s="49">
        <v>0.64574074074074073</v>
      </c>
      <c r="G5404" s="37">
        <v>6.3</v>
      </c>
      <c r="H5404" s="36" t="s">
        <v>1369</v>
      </c>
      <c r="I5404" s="36" t="s">
        <v>1361</v>
      </c>
    </row>
    <row r="5405" spans="1:9" x14ac:dyDescent="0.25">
      <c r="A5405" s="38" t="s">
        <v>485</v>
      </c>
      <c r="B5405" s="28">
        <v>9820</v>
      </c>
      <c r="C5405" s="28" t="s">
        <v>35</v>
      </c>
      <c r="D5405" s="46" t="s">
        <v>38</v>
      </c>
      <c r="E5405" s="35">
        <v>46153</v>
      </c>
      <c r="F5405" s="49">
        <v>0.65197916666666667</v>
      </c>
      <c r="G5405" s="37">
        <v>6.3</v>
      </c>
      <c r="H5405" s="36" t="s">
        <v>1364</v>
      </c>
      <c r="I5405" s="36" t="s">
        <v>1361</v>
      </c>
    </row>
    <row r="5406" spans="1:9" x14ac:dyDescent="0.25">
      <c r="A5406" s="38" t="s">
        <v>485</v>
      </c>
      <c r="B5406" s="28">
        <v>9820</v>
      </c>
      <c r="C5406" s="28">
        <v>5642084</v>
      </c>
      <c r="D5406" s="46"/>
      <c r="E5406" s="35">
        <v>46153</v>
      </c>
      <c r="F5406" s="49">
        <v>0.75081018518518516</v>
      </c>
      <c r="G5406" s="37">
        <v>6.3</v>
      </c>
      <c r="H5406" s="36" t="s">
        <v>1360</v>
      </c>
      <c r="I5406" s="36" t="s">
        <v>1361</v>
      </c>
    </row>
    <row r="5407" spans="1:9" x14ac:dyDescent="0.25">
      <c r="A5407" s="38" t="s">
        <v>485</v>
      </c>
      <c r="B5407" s="28">
        <v>9820</v>
      </c>
      <c r="C5407" s="28">
        <v>5642084</v>
      </c>
      <c r="D5407" s="46"/>
      <c r="E5407" s="35">
        <v>46153</v>
      </c>
      <c r="F5407" s="49">
        <v>0.76512731481481477</v>
      </c>
      <c r="G5407" s="37">
        <v>6.3</v>
      </c>
      <c r="H5407" s="36" t="s">
        <v>1366</v>
      </c>
      <c r="I5407" s="36" t="s">
        <v>1361</v>
      </c>
    </row>
    <row r="5408" spans="1:9" x14ac:dyDescent="0.25">
      <c r="A5408" s="38" t="s">
        <v>485</v>
      </c>
      <c r="B5408" s="28">
        <v>9820</v>
      </c>
      <c r="C5408" s="28">
        <v>5662407</v>
      </c>
      <c r="D5408" s="46"/>
      <c r="E5408" s="35">
        <v>46154</v>
      </c>
      <c r="F5408" s="49">
        <v>0.19733796296296297</v>
      </c>
      <c r="G5408" s="37">
        <v>6.3</v>
      </c>
      <c r="H5408" s="36" t="s">
        <v>1367</v>
      </c>
      <c r="I5408" s="36" t="s">
        <v>1361</v>
      </c>
    </row>
    <row r="5409" spans="1:9" x14ac:dyDescent="0.25">
      <c r="A5409" s="38" t="s">
        <v>485</v>
      </c>
      <c r="B5409" s="28">
        <v>9820</v>
      </c>
      <c r="C5409" s="28">
        <v>5662407</v>
      </c>
      <c r="D5409" s="46"/>
      <c r="E5409" s="35">
        <v>46154</v>
      </c>
      <c r="F5409" s="49">
        <v>0.19989583333333333</v>
      </c>
      <c r="G5409" s="37">
        <v>6.3</v>
      </c>
      <c r="H5409" s="36" t="s">
        <v>1364</v>
      </c>
      <c r="I5409" s="36" t="s">
        <v>1361</v>
      </c>
    </row>
    <row r="5410" spans="1:9" x14ac:dyDescent="0.25">
      <c r="A5410" s="38" t="s">
        <v>485</v>
      </c>
      <c r="B5410" s="28">
        <v>9820</v>
      </c>
      <c r="C5410" s="28">
        <v>5664247</v>
      </c>
      <c r="D5410" s="46"/>
      <c r="E5410" s="35">
        <v>46154</v>
      </c>
      <c r="F5410" s="49">
        <v>0.2635763888888889</v>
      </c>
      <c r="G5410" s="37">
        <v>6.3</v>
      </c>
      <c r="H5410" s="36" t="s">
        <v>1360</v>
      </c>
      <c r="I5410" s="36" t="s">
        <v>1361</v>
      </c>
    </row>
    <row r="5411" spans="1:9" x14ac:dyDescent="0.25">
      <c r="A5411" s="38" t="s">
        <v>485</v>
      </c>
      <c r="B5411" s="28">
        <v>9820</v>
      </c>
      <c r="C5411" s="28">
        <v>5664247</v>
      </c>
      <c r="D5411" s="46"/>
      <c r="E5411" s="35">
        <v>46154</v>
      </c>
      <c r="F5411" s="49">
        <v>0.27422453703703703</v>
      </c>
      <c r="G5411" s="37">
        <v>6.3</v>
      </c>
      <c r="H5411" s="36" t="s">
        <v>1362</v>
      </c>
      <c r="I5411" s="36" t="s">
        <v>1361</v>
      </c>
    </row>
    <row r="5412" spans="1:9" x14ac:dyDescent="0.25">
      <c r="A5412" s="38" t="s">
        <v>485</v>
      </c>
      <c r="B5412" s="28">
        <v>9820</v>
      </c>
      <c r="C5412" s="28">
        <v>5664453</v>
      </c>
      <c r="D5412" s="46"/>
      <c r="E5412" s="35">
        <v>46154</v>
      </c>
      <c r="F5412" s="49">
        <v>0.49182870370370368</v>
      </c>
      <c r="G5412" s="37">
        <v>6.3</v>
      </c>
      <c r="H5412" s="36" t="s">
        <v>1360</v>
      </c>
      <c r="I5412" s="36" t="s">
        <v>1361</v>
      </c>
    </row>
    <row r="5413" spans="1:9" x14ac:dyDescent="0.25">
      <c r="A5413" s="38" t="s">
        <v>485</v>
      </c>
      <c r="B5413" s="28">
        <v>9820</v>
      </c>
      <c r="C5413" s="28">
        <v>5664603</v>
      </c>
      <c r="D5413" s="46" t="s">
        <v>37</v>
      </c>
      <c r="E5413" s="35">
        <v>46154</v>
      </c>
      <c r="F5413" s="49">
        <v>0.62579861111111112</v>
      </c>
      <c r="G5413" s="37">
        <v>6.3</v>
      </c>
      <c r="H5413" s="36" t="s">
        <v>1363</v>
      </c>
      <c r="I5413" s="36" t="s">
        <v>1361</v>
      </c>
    </row>
    <row r="5414" spans="1:9" x14ac:dyDescent="0.25">
      <c r="A5414" s="38" t="s">
        <v>485</v>
      </c>
      <c r="B5414" s="28">
        <v>9820</v>
      </c>
      <c r="C5414" s="28">
        <v>5664603</v>
      </c>
      <c r="D5414" s="46" t="s">
        <v>37</v>
      </c>
      <c r="E5414" s="35">
        <v>46154</v>
      </c>
      <c r="F5414" s="49">
        <v>0.6438194444444445</v>
      </c>
      <c r="G5414" s="37">
        <v>6.3</v>
      </c>
      <c r="H5414" s="36" t="s">
        <v>1364</v>
      </c>
      <c r="I5414" s="36" t="s">
        <v>1361</v>
      </c>
    </row>
    <row r="5415" spans="1:9" x14ac:dyDescent="0.25">
      <c r="A5415" s="38" t="s">
        <v>485</v>
      </c>
      <c r="B5415" s="28">
        <v>9820</v>
      </c>
      <c r="C5415" s="28">
        <v>5650480</v>
      </c>
      <c r="D5415" s="46"/>
      <c r="E5415" s="35">
        <v>46155</v>
      </c>
      <c r="F5415" s="49">
        <v>0.79376157407407411</v>
      </c>
      <c r="G5415" s="37">
        <v>6.3</v>
      </c>
      <c r="H5415" s="36" t="s">
        <v>1363</v>
      </c>
      <c r="I5415" s="36" t="s">
        <v>1361</v>
      </c>
    </row>
    <row r="5416" spans="1:9" x14ac:dyDescent="0.25">
      <c r="A5416" s="38" t="s">
        <v>485</v>
      </c>
      <c r="B5416" s="28">
        <v>9820</v>
      </c>
      <c r="C5416" s="28">
        <v>5650480</v>
      </c>
      <c r="D5416" s="46"/>
      <c r="E5416" s="35">
        <v>46155</v>
      </c>
      <c r="F5416" s="49">
        <v>0.81646990740740744</v>
      </c>
      <c r="G5416" s="37">
        <v>6.3</v>
      </c>
      <c r="H5416" s="36" t="s">
        <v>1364</v>
      </c>
      <c r="I5416" s="36" t="s">
        <v>1361</v>
      </c>
    </row>
    <row r="5417" spans="1:9" x14ac:dyDescent="0.25">
      <c r="A5417" s="38" t="s">
        <v>485</v>
      </c>
      <c r="B5417" s="28">
        <v>9820</v>
      </c>
      <c r="C5417" s="28" t="s">
        <v>35</v>
      </c>
      <c r="D5417" s="46" t="s">
        <v>38</v>
      </c>
      <c r="E5417" s="35">
        <v>46155</v>
      </c>
      <c r="F5417" s="49">
        <v>0.932037037037037</v>
      </c>
      <c r="G5417" s="37">
        <v>6.3</v>
      </c>
      <c r="H5417" s="36" t="s">
        <v>1363</v>
      </c>
      <c r="I5417" s="36" t="s">
        <v>1361</v>
      </c>
    </row>
    <row r="5418" spans="1:9" x14ac:dyDescent="0.25">
      <c r="A5418" s="38" t="s">
        <v>485</v>
      </c>
      <c r="B5418" s="28">
        <v>9820</v>
      </c>
      <c r="C5418" s="28">
        <v>5667026</v>
      </c>
      <c r="D5418" s="46"/>
      <c r="E5418" s="35">
        <v>46156</v>
      </c>
      <c r="F5418" s="49">
        <v>0.26836805555555554</v>
      </c>
      <c r="G5418" s="37">
        <v>6.3</v>
      </c>
      <c r="H5418" s="36" t="s">
        <v>1367</v>
      </c>
      <c r="I5418" s="36" t="s">
        <v>1361</v>
      </c>
    </row>
    <row r="5419" spans="1:9" x14ac:dyDescent="0.25">
      <c r="A5419" s="38" t="s">
        <v>485</v>
      </c>
      <c r="B5419" s="28">
        <v>9820</v>
      </c>
      <c r="C5419" s="28">
        <v>5667026</v>
      </c>
      <c r="D5419" s="46"/>
      <c r="E5419" s="35">
        <v>46156</v>
      </c>
      <c r="F5419" s="49">
        <v>0.27229166666666665</v>
      </c>
      <c r="G5419" s="37">
        <v>6.3</v>
      </c>
      <c r="H5419" s="36" t="s">
        <v>1364</v>
      </c>
      <c r="I5419" s="36" t="s">
        <v>1361</v>
      </c>
    </row>
    <row r="5420" spans="1:9" x14ac:dyDescent="0.25">
      <c r="A5420" s="38" t="s">
        <v>485</v>
      </c>
      <c r="B5420" s="28">
        <v>9820</v>
      </c>
      <c r="C5420" s="28">
        <v>5668130</v>
      </c>
      <c r="D5420" s="46"/>
      <c r="E5420" s="35">
        <v>46156</v>
      </c>
      <c r="F5420" s="49">
        <v>0.75197916666666664</v>
      </c>
      <c r="G5420" s="37">
        <v>6.3</v>
      </c>
      <c r="H5420" s="36" t="s">
        <v>1360</v>
      </c>
      <c r="I5420" s="36" t="s">
        <v>1361</v>
      </c>
    </row>
    <row r="5421" spans="1:9" x14ac:dyDescent="0.25">
      <c r="A5421" s="38" t="s">
        <v>485</v>
      </c>
      <c r="B5421" s="28">
        <v>9820</v>
      </c>
      <c r="C5421" s="28">
        <v>5668130</v>
      </c>
      <c r="D5421" s="46"/>
      <c r="E5421" s="35">
        <v>46156</v>
      </c>
      <c r="F5421" s="49">
        <v>0.76840277777777777</v>
      </c>
      <c r="G5421" s="37">
        <v>6.3</v>
      </c>
      <c r="H5421" s="36" t="s">
        <v>1362</v>
      </c>
      <c r="I5421" s="36" t="s">
        <v>1361</v>
      </c>
    </row>
    <row r="5422" spans="1:9" x14ac:dyDescent="0.25">
      <c r="A5422" s="38" t="s">
        <v>485</v>
      </c>
      <c r="B5422" s="28">
        <v>9820</v>
      </c>
      <c r="C5422" s="28">
        <v>5668586</v>
      </c>
      <c r="D5422" s="46" t="s">
        <v>37</v>
      </c>
      <c r="E5422" s="35">
        <v>46156</v>
      </c>
      <c r="F5422" s="49">
        <v>0.83589120370370373</v>
      </c>
      <c r="G5422" s="37">
        <v>6.3</v>
      </c>
      <c r="H5422" s="36" t="s">
        <v>1369</v>
      </c>
      <c r="I5422" s="36" t="s">
        <v>1361</v>
      </c>
    </row>
    <row r="5423" spans="1:9" x14ac:dyDescent="0.25">
      <c r="A5423" s="38" t="s">
        <v>485</v>
      </c>
      <c r="B5423" s="28">
        <v>9820</v>
      </c>
      <c r="C5423" s="28">
        <v>5668586</v>
      </c>
      <c r="D5423" s="46" t="s">
        <v>37</v>
      </c>
      <c r="E5423" s="35">
        <v>46156</v>
      </c>
      <c r="F5423" s="49">
        <v>0.84870370370370374</v>
      </c>
      <c r="G5423" s="37">
        <v>6.3</v>
      </c>
      <c r="H5423" s="36" t="s">
        <v>1364</v>
      </c>
      <c r="I5423" s="36" t="s">
        <v>1361</v>
      </c>
    </row>
    <row r="5424" spans="1:9" x14ac:dyDescent="0.25">
      <c r="A5424" s="38" t="s">
        <v>485</v>
      </c>
      <c r="B5424" s="28">
        <v>9820</v>
      </c>
      <c r="C5424" s="28">
        <v>5669351</v>
      </c>
      <c r="D5424" s="46"/>
      <c r="E5424" s="35">
        <v>46156</v>
      </c>
      <c r="F5424" s="49">
        <v>0.97085648148148151</v>
      </c>
      <c r="G5424" s="37">
        <v>6.3</v>
      </c>
      <c r="H5424" s="36" t="s">
        <v>1360</v>
      </c>
      <c r="I5424" s="36" t="s">
        <v>1361</v>
      </c>
    </row>
    <row r="5425" spans="1:9" x14ac:dyDescent="0.25">
      <c r="A5425" s="38" t="s">
        <v>485</v>
      </c>
      <c r="B5425" s="28">
        <v>9820</v>
      </c>
      <c r="C5425" s="28">
        <v>5669351</v>
      </c>
      <c r="D5425" s="46"/>
      <c r="E5425" s="35">
        <v>46156</v>
      </c>
      <c r="F5425" s="49">
        <v>0.97825231481481478</v>
      </c>
      <c r="G5425" s="37">
        <v>6.3</v>
      </c>
      <c r="H5425" s="36" t="s">
        <v>1362</v>
      </c>
      <c r="I5425" s="36" t="s">
        <v>1361</v>
      </c>
    </row>
    <row r="5426" spans="1:9" x14ac:dyDescent="0.25">
      <c r="A5426" s="38" t="s">
        <v>485</v>
      </c>
      <c r="B5426" s="28">
        <v>9820</v>
      </c>
      <c r="C5426" s="28" t="s">
        <v>35</v>
      </c>
      <c r="D5426" s="46" t="s">
        <v>38</v>
      </c>
      <c r="E5426" s="35">
        <v>46156</v>
      </c>
      <c r="F5426" s="49">
        <v>0.99348379629629635</v>
      </c>
      <c r="G5426" s="37">
        <v>6.3</v>
      </c>
      <c r="H5426" s="36" t="s">
        <v>1363</v>
      </c>
      <c r="I5426" s="36" t="s">
        <v>1361</v>
      </c>
    </row>
    <row r="5427" spans="1:9" x14ac:dyDescent="0.25">
      <c r="A5427" s="38" t="s">
        <v>485</v>
      </c>
      <c r="B5427" s="28">
        <v>9820</v>
      </c>
      <c r="C5427" s="28" t="s">
        <v>35</v>
      </c>
      <c r="D5427" s="46" t="s">
        <v>38</v>
      </c>
      <c r="E5427" s="35">
        <v>46156</v>
      </c>
      <c r="F5427" s="49">
        <v>0.99873842592592588</v>
      </c>
      <c r="G5427" s="37">
        <v>6.3</v>
      </c>
      <c r="H5427" s="36" t="s">
        <v>1364</v>
      </c>
      <c r="I5427" s="36" t="s">
        <v>1361</v>
      </c>
    </row>
    <row r="5428" spans="1:9" x14ac:dyDescent="0.25">
      <c r="A5428" s="38" t="s">
        <v>485</v>
      </c>
      <c r="B5428" s="28">
        <v>9820</v>
      </c>
      <c r="C5428" s="28" t="s">
        <v>35</v>
      </c>
      <c r="D5428" s="46" t="s">
        <v>38</v>
      </c>
      <c r="E5428" s="35">
        <v>46157</v>
      </c>
      <c r="F5428" s="49">
        <v>9.2951388888888889E-2</v>
      </c>
      <c r="G5428" s="37">
        <v>6.3</v>
      </c>
      <c r="H5428" s="36" t="s">
        <v>1364</v>
      </c>
      <c r="I5428" s="36" t="s">
        <v>1361</v>
      </c>
    </row>
    <row r="5429" spans="1:9" x14ac:dyDescent="0.25">
      <c r="A5429" s="38" t="s">
        <v>485</v>
      </c>
      <c r="B5429" s="28">
        <v>9820</v>
      </c>
      <c r="C5429" s="28" t="s">
        <v>35</v>
      </c>
      <c r="D5429" s="46" t="s">
        <v>38</v>
      </c>
      <c r="E5429" s="35">
        <v>46157</v>
      </c>
      <c r="F5429" s="49">
        <v>0.1640625</v>
      </c>
      <c r="G5429" s="37">
        <v>6.3</v>
      </c>
      <c r="H5429" s="36" t="s">
        <v>1360</v>
      </c>
      <c r="I5429" s="36" t="s">
        <v>1361</v>
      </c>
    </row>
    <row r="5430" spans="1:9" x14ac:dyDescent="0.25">
      <c r="A5430" s="38" t="s">
        <v>485</v>
      </c>
      <c r="B5430" s="28">
        <v>9820</v>
      </c>
      <c r="C5430" s="28" t="s">
        <v>35</v>
      </c>
      <c r="D5430" s="46" t="s">
        <v>38</v>
      </c>
      <c r="E5430" s="35">
        <v>46157</v>
      </c>
      <c r="F5430" s="49">
        <v>0.17129629629629631</v>
      </c>
      <c r="G5430" s="37">
        <v>6.3</v>
      </c>
      <c r="H5430" s="36" t="s">
        <v>1366</v>
      </c>
      <c r="I5430" s="36" t="s">
        <v>1361</v>
      </c>
    </row>
    <row r="5431" spans="1:9" x14ac:dyDescent="0.25">
      <c r="A5431" s="38" t="s">
        <v>485</v>
      </c>
      <c r="B5431" s="28">
        <v>9820</v>
      </c>
      <c r="C5431" s="28" t="s">
        <v>35</v>
      </c>
      <c r="D5431" s="46" t="s">
        <v>38</v>
      </c>
      <c r="E5431" s="35">
        <v>46157</v>
      </c>
      <c r="F5431" s="49">
        <v>0.83539351851851851</v>
      </c>
      <c r="G5431" s="37">
        <v>6.3</v>
      </c>
      <c r="H5431" s="36" t="s">
        <v>1367</v>
      </c>
      <c r="I5431" s="36" t="s">
        <v>1361</v>
      </c>
    </row>
    <row r="5432" spans="1:9" x14ac:dyDescent="0.25">
      <c r="A5432" s="38" t="s">
        <v>485</v>
      </c>
      <c r="B5432" s="28">
        <v>9820</v>
      </c>
      <c r="C5432" s="28" t="s">
        <v>35</v>
      </c>
      <c r="D5432" s="46" t="s">
        <v>38</v>
      </c>
      <c r="E5432" s="35">
        <v>46157</v>
      </c>
      <c r="F5432" s="49">
        <v>0.8471643518518519</v>
      </c>
      <c r="G5432" s="37">
        <v>6.3</v>
      </c>
      <c r="H5432" s="36" t="s">
        <v>1364</v>
      </c>
      <c r="I5432" s="36" t="s">
        <v>1361</v>
      </c>
    </row>
    <row r="5433" spans="1:9" x14ac:dyDescent="0.25">
      <c r="A5433" s="38" t="s">
        <v>485</v>
      </c>
      <c r="B5433" s="28">
        <v>9820</v>
      </c>
      <c r="C5433" s="28" t="s">
        <v>35</v>
      </c>
      <c r="D5433" s="46" t="s">
        <v>38</v>
      </c>
      <c r="E5433" s="35">
        <v>46158</v>
      </c>
      <c r="F5433" s="49">
        <v>0.69741898148148151</v>
      </c>
      <c r="G5433" s="37">
        <v>6.3</v>
      </c>
      <c r="H5433" s="36" t="s">
        <v>1364</v>
      </c>
      <c r="I5433" s="36" t="s">
        <v>1365</v>
      </c>
    </row>
    <row r="5434" spans="1:9" x14ac:dyDescent="0.25">
      <c r="A5434" s="38" t="s">
        <v>485</v>
      </c>
      <c r="B5434" s="28">
        <v>9820</v>
      </c>
      <c r="C5434" s="28" t="s">
        <v>35</v>
      </c>
      <c r="D5434" s="46" t="s">
        <v>38</v>
      </c>
      <c r="E5434" s="35">
        <v>46158</v>
      </c>
      <c r="F5434" s="49">
        <v>0.95677083333333335</v>
      </c>
      <c r="G5434" s="37">
        <v>6.3</v>
      </c>
      <c r="H5434" s="36" t="s">
        <v>1363</v>
      </c>
      <c r="I5434" s="36" t="s">
        <v>1365</v>
      </c>
    </row>
    <row r="5435" spans="1:9" x14ac:dyDescent="0.25">
      <c r="A5435" s="38" t="s">
        <v>485</v>
      </c>
      <c r="B5435" s="28">
        <v>9820</v>
      </c>
      <c r="C5435" s="28" t="s">
        <v>35</v>
      </c>
      <c r="D5435" s="46" t="s">
        <v>38</v>
      </c>
      <c r="E5435" s="35">
        <v>46159</v>
      </c>
      <c r="F5435" s="49">
        <v>0.37369212962962961</v>
      </c>
      <c r="G5435" s="37">
        <v>6.3</v>
      </c>
      <c r="H5435" s="36" t="s">
        <v>1368</v>
      </c>
      <c r="I5435" s="36" t="s">
        <v>1365</v>
      </c>
    </row>
    <row r="5436" spans="1:9" x14ac:dyDescent="0.25">
      <c r="A5436" s="38" t="s">
        <v>485</v>
      </c>
      <c r="B5436" s="28">
        <v>9820</v>
      </c>
      <c r="C5436" s="28" t="s">
        <v>35</v>
      </c>
      <c r="D5436" s="46" t="s">
        <v>38</v>
      </c>
      <c r="E5436" s="35">
        <v>46159</v>
      </c>
      <c r="F5436" s="49">
        <v>0.95329861111111114</v>
      </c>
      <c r="G5436" s="37">
        <v>6.3</v>
      </c>
      <c r="H5436" s="36" t="s">
        <v>1360</v>
      </c>
      <c r="I5436" s="36" t="s">
        <v>1365</v>
      </c>
    </row>
    <row r="5437" spans="1:9" x14ac:dyDescent="0.25">
      <c r="A5437" s="38" t="s">
        <v>485</v>
      </c>
      <c r="B5437" s="28">
        <v>9820</v>
      </c>
      <c r="C5437" s="28" t="s">
        <v>35</v>
      </c>
      <c r="D5437" s="46" t="s">
        <v>38</v>
      </c>
      <c r="E5437" s="35">
        <v>46159</v>
      </c>
      <c r="F5437" s="49">
        <v>0.96092592592592596</v>
      </c>
      <c r="G5437" s="37">
        <v>6.3</v>
      </c>
      <c r="H5437" s="36" t="s">
        <v>1362</v>
      </c>
      <c r="I5437" s="36" t="s">
        <v>1365</v>
      </c>
    </row>
    <row r="5438" spans="1:9" x14ac:dyDescent="0.25">
      <c r="A5438" s="38" t="s">
        <v>485</v>
      </c>
      <c r="B5438" s="28">
        <v>9820</v>
      </c>
      <c r="C5438" s="28" t="s">
        <v>35</v>
      </c>
      <c r="D5438" s="46" t="s">
        <v>38</v>
      </c>
      <c r="E5438" s="35">
        <v>46159</v>
      </c>
      <c r="F5438" s="49">
        <v>0.97472222222222227</v>
      </c>
      <c r="G5438" s="37">
        <v>6.3</v>
      </c>
      <c r="H5438" s="36" t="s">
        <v>1363</v>
      </c>
      <c r="I5438" s="36" t="s">
        <v>1365</v>
      </c>
    </row>
    <row r="5439" spans="1:9" x14ac:dyDescent="0.25">
      <c r="A5439" s="38" t="s">
        <v>485</v>
      </c>
      <c r="B5439" s="28">
        <v>9820</v>
      </c>
      <c r="C5439" s="28" t="s">
        <v>35</v>
      </c>
      <c r="D5439" s="46" t="s">
        <v>38</v>
      </c>
      <c r="E5439" s="35">
        <v>46159</v>
      </c>
      <c r="F5439" s="49">
        <v>0.9798958333333333</v>
      </c>
      <c r="G5439" s="37">
        <v>6.3</v>
      </c>
      <c r="H5439" s="36" t="s">
        <v>1364</v>
      </c>
      <c r="I5439" s="36" t="s">
        <v>1365</v>
      </c>
    </row>
    <row r="5440" spans="1:9" x14ac:dyDescent="0.25">
      <c r="A5440" s="38" t="s">
        <v>394</v>
      </c>
      <c r="B5440" s="28">
        <v>9821</v>
      </c>
      <c r="C5440" s="28" t="s">
        <v>35</v>
      </c>
      <c r="D5440" s="46" t="s">
        <v>38</v>
      </c>
      <c r="E5440" s="35">
        <v>46154</v>
      </c>
      <c r="F5440" s="49">
        <v>0.59464120370370366</v>
      </c>
      <c r="G5440" s="37">
        <v>6.3</v>
      </c>
      <c r="H5440" s="36" t="s">
        <v>1360</v>
      </c>
      <c r="I5440" s="36" t="s">
        <v>1361</v>
      </c>
    </row>
    <row r="5441" spans="1:9" x14ac:dyDescent="0.25">
      <c r="A5441" s="38" t="s">
        <v>394</v>
      </c>
      <c r="B5441" s="28">
        <v>9821</v>
      </c>
      <c r="C5441" s="28" t="s">
        <v>35</v>
      </c>
      <c r="D5441" s="46" t="s">
        <v>38</v>
      </c>
      <c r="E5441" s="35">
        <v>46154</v>
      </c>
      <c r="F5441" s="49">
        <v>0.87189814814814814</v>
      </c>
      <c r="G5441" s="37">
        <v>6.3</v>
      </c>
      <c r="H5441" s="36" t="s">
        <v>1364</v>
      </c>
      <c r="I5441" s="36" t="s">
        <v>1361</v>
      </c>
    </row>
    <row r="5442" spans="1:9" x14ac:dyDescent="0.25">
      <c r="A5442" s="38" t="s">
        <v>394</v>
      </c>
      <c r="B5442" s="28">
        <v>9821</v>
      </c>
      <c r="C5442" s="28" t="s">
        <v>35</v>
      </c>
      <c r="D5442" s="46" t="s">
        <v>38</v>
      </c>
      <c r="E5442" s="35">
        <v>46155</v>
      </c>
      <c r="F5442" s="49">
        <v>0.26604166666666668</v>
      </c>
      <c r="G5442" s="37">
        <v>6.3</v>
      </c>
      <c r="H5442" s="36" t="s">
        <v>1363</v>
      </c>
      <c r="I5442" s="36" t="s">
        <v>1361</v>
      </c>
    </row>
    <row r="5443" spans="1:9" x14ac:dyDescent="0.25">
      <c r="A5443" s="38" t="s">
        <v>394</v>
      </c>
      <c r="B5443" s="28">
        <v>9821</v>
      </c>
      <c r="C5443" s="28" t="s">
        <v>35</v>
      </c>
      <c r="D5443" s="46" t="s">
        <v>38</v>
      </c>
      <c r="E5443" s="35">
        <v>46155</v>
      </c>
      <c r="F5443" s="49">
        <v>0.27944444444444444</v>
      </c>
      <c r="G5443" s="37">
        <v>6.3</v>
      </c>
      <c r="H5443" s="36" t="s">
        <v>1364</v>
      </c>
      <c r="I5443" s="36" t="s">
        <v>1361</v>
      </c>
    </row>
    <row r="5444" spans="1:9" x14ac:dyDescent="0.25">
      <c r="A5444" s="38" t="s">
        <v>394</v>
      </c>
      <c r="B5444" s="28">
        <v>9821</v>
      </c>
      <c r="C5444" s="28" t="s">
        <v>35</v>
      </c>
      <c r="D5444" s="46" t="s">
        <v>38</v>
      </c>
      <c r="E5444" s="35">
        <v>46156</v>
      </c>
      <c r="F5444" s="49">
        <v>0.29243055555555558</v>
      </c>
      <c r="G5444" s="37">
        <v>6.3</v>
      </c>
      <c r="H5444" s="36" t="s">
        <v>1364</v>
      </c>
      <c r="I5444" s="36" t="s">
        <v>1361</v>
      </c>
    </row>
    <row r="5445" spans="1:9" x14ac:dyDescent="0.25">
      <c r="A5445" s="38" t="s">
        <v>394</v>
      </c>
      <c r="B5445" s="28">
        <v>9821</v>
      </c>
      <c r="C5445" s="28" t="s">
        <v>35</v>
      </c>
      <c r="D5445" s="46" t="s">
        <v>38</v>
      </c>
      <c r="E5445" s="35">
        <v>46156</v>
      </c>
      <c r="F5445" s="49">
        <v>0.66112268518518513</v>
      </c>
      <c r="G5445" s="37">
        <v>6.3</v>
      </c>
      <c r="H5445" s="36" t="s">
        <v>1360</v>
      </c>
      <c r="I5445" s="36" t="s">
        <v>1361</v>
      </c>
    </row>
    <row r="5446" spans="1:9" x14ac:dyDescent="0.25">
      <c r="A5446" s="38" t="s">
        <v>394</v>
      </c>
      <c r="B5446" s="28">
        <v>9821</v>
      </c>
      <c r="C5446" s="28" t="s">
        <v>1346</v>
      </c>
      <c r="D5446" s="46"/>
      <c r="E5446" s="35">
        <v>46158</v>
      </c>
      <c r="F5446" s="49">
        <v>0.96894675925925922</v>
      </c>
      <c r="G5446" s="37">
        <v>6.3</v>
      </c>
      <c r="H5446" s="36" t="s">
        <v>1360</v>
      </c>
      <c r="I5446" s="36" t="s">
        <v>1365</v>
      </c>
    </row>
    <row r="5447" spans="1:9" x14ac:dyDescent="0.25">
      <c r="A5447" s="38" t="s">
        <v>394</v>
      </c>
      <c r="B5447" s="28">
        <v>9821</v>
      </c>
      <c r="C5447" s="28" t="s">
        <v>1346</v>
      </c>
      <c r="D5447" s="46"/>
      <c r="E5447" s="35">
        <v>46158</v>
      </c>
      <c r="F5447" s="49">
        <v>0.97592592592592597</v>
      </c>
      <c r="G5447" s="37">
        <v>6.3</v>
      </c>
      <c r="H5447" s="36" t="s">
        <v>1362</v>
      </c>
      <c r="I5447" s="36" t="s">
        <v>1365</v>
      </c>
    </row>
    <row r="5448" spans="1:9" x14ac:dyDescent="0.25">
      <c r="A5448" s="38" t="s">
        <v>394</v>
      </c>
      <c r="B5448" s="28">
        <v>9821</v>
      </c>
      <c r="C5448" s="28" t="s">
        <v>35</v>
      </c>
      <c r="D5448" s="46" t="s">
        <v>38</v>
      </c>
      <c r="E5448" s="35">
        <v>46159</v>
      </c>
      <c r="F5448" s="49">
        <v>0.5708333333333333</v>
      </c>
      <c r="G5448" s="37">
        <v>6.3</v>
      </c>
      <c r="H5448" s="36" t="s">
        <v>1360</v>
      </c>
      <c r="I5448" s="36" t="s">
        <v>1365</v>
      </c>
    </row>
    <row r="5449" spans="1:9" x14ac:dyDescent="0.25">
      <c r="A5449" s="38" t="s">
        <v>394</v>
      </c>
      <c r="B5449" s="28">
        <v>9821</v>
      </c>
      <c r="C5449" s="28" t="s">
        <v>35</v>
      </c>
      <c r="D5449" s="46" t="s">
        <v>38</v>
      </c>
      <c r="E5449" s="35">
        <v>46159</v>
      </c>
      <c r="F5449" s="49">
        <v>0.57833333333333337</v>
      </c>
      <c r="G5449" s="37">
        <v>6.3</v>
      </c>
      <c r="H5449" s="36" t="s">
        <v>1362</v>
      </c>
      <c r="I5449" s="36" t="s">
        <v>1365</v>
      </c>
    </row>
    <row r="5450" spans="1:9" x14ac:dyDescent="0.25">
      <c r="A5450" s="38" t="s">
        <v>394</v>
      </c>
      <c r="B5450" s="28">
        <v>9821</v>
      </c>
      <c r="C5450" s="28">
        <v>5673375</v>
      </c>
      <c r="D5450" s="46"/>
      <c r="E5450" s="35">
        <v>46159</v>
      </c>
      <c r="F5450" s="49">
        <v>0.95065972222222217</v>
      </c>
      <c r="G5450" s="37">
        <v>6.3</v>
      </c>
      <c r="H5450" s="36" t="s">
        <v>1360</v>
      </c>
      <c r="I5450" s="36" t="s">
        <v>1365</v>
      </c>
    </row>
    <row r="5451" spans="1:9" x14ac:dyDescent="0.25">
      <c r="A5451" s="38" t="s">
        <v>394</v>
      </c>
      <c r="B5451" s="28">
        <v>9821</v>
      </c>
      <c r="C5451" s="28">
        <v>5673375</v>
      </c>
      <c r="D5451" s="46"/>
      <c r="E5451" s="35">
        <v>46159</v>
      </c>
      <c r="F5451" s="49">
        <v>0.95629629629629631</v>
      </c>
      <c r="G5451" s="37">
        <v>6.3</v>
      </c>
      <c r="H5451" s="36" t="s">
        <v>1368</v>
      </c>
      <c r="I5451" s="36" t="s">
        <v>1365</v>
      </c>
    </row>
    <row r="5452" spans="1:9" x14ac:dyDescent="0.25">
      <c r="A5452" s="38" t="s">
        <v>486</v>
      </c>
      <c r="B5452" s="28">
        <v>9834</v>
      </c>
      <c r="C5452" s="28">
        <v>5661269</v>
      </c>
      <c r="D5452" s="46"/>
      <c r="E5452" s="35">
        <v>46153</v>
      </c>
      <c r="F5452" s="49">
        <v>0.15328703703703703</v>
      </c>
      <c r="G5452" s="37">
        <v>6.3</v>
      </c>
      <c r="H5452" s="36" t="s">
        <v>1363</v>
      </c>
      <c r="I5452" s="36" t="s">
        <v>1361</v>
      </c>
    </row>
    <row r="5453" spans="1:9" x14ac:dyDescent="0.25">
      <c r="A5453" s="38" t="s">
        <v>486</v>
      </c>
      <c r="B5453" s="28">
        <v>9834</v>
      </c>
      <c r="C5453" s="28">
        <v>5661269</v>
      </c>
      <c r="D5453" s="46"/>
      <c r="E5453" s="35">
        <v>46153</v>
      </c>
      <c r="F5453" s="49">
        <v>0.15812499999999999</v>
      </c>
      <c r="G5453" s="37">
        <v>6.3</v>
      </c>
      <c r="H5453" s="36" t="s">
        <v>1364</v>
      </c>
      <c r="I5453" s="36" t="s">
        <v>1361</v>
      </c>
    </row>
    <row r="5454" spans="1:9" x14ac:dyDescent="0.25">
      <c r="A5454" s="38" t="s">
        <v>486</v>
      </c>
      <c r="B5454" s="28">
        <v>9834</v>
      </c>
      <c r="C5454" s="28">
        <v>5662980</v>
      </c>
      <c r="D5454" s="46" t="s">
        <v>37</v>
      </c>
      <c r="E5454" s="35">
        <v>46153</v>
      </c>
      <c r="F5454" s="49">
        <v>0.58011574074074079</v>
      </c>
      <c r="G5454" s="37">
        <v>6.3</v>
      </c>
      <c r="H5454" s="36" t="s">
        <v>1360</v>
      </c>
      <c r="I5454" s="36" t="s">
        <v>1361</v>
      </c>
    </row>
    <row r="5455" spans="1:9" x14ac:dyDescent="0.25">
      <c r="A5455" s="38" t="s">
        <v>486</v>
      </c>
      <c r="B5455" s="28">
        <v>9834</v>
      </c>
      <c r="C5455" s="28" t="s">
        <v>35</v>
      </c>
      <c r="D5455" s="46" t="s">
        <v>38</v>
      </c>
      <c r="E5455" s="35">
        <v>46155</v>
      </c>
      <c r="F5455" s="49">
        <v>0.2754050925925926</v>
      </c>
      <c r="G5455" s="37">
        <v>6.3</v>
      </c>
      <c r="H5455" s="36" t="s">
        <v>1363</v>
      </c>
      <c r="I5455" s="36" t="s">
        <v>1361</v>
      </c>
    </row>
    <row r="5456" spans="1:9" x14ac:dyDescent="0.25">
      <c r="A5456" s="38" t="s">
        <v>486</v>
      </c>
      <c r="B5456" s="28">
        <v>9834</v>
      </c>
      <c r="C5456" s="28" t="s">
        <v>35</v>
      </c>
      <c r="D5456" s="46" t="s">
        <v>38</v>
      </c>
      <c r="E5456" s="35">
        <v>46155</v>
      </c>
      <c r="F5456" s="49">
        <v>0.29076388888888888</v>
      </c>
      <c r="G5456" s="37">
        <v>6.3</v>
      </c>
      <c r="H5456" s="36" t="s">
        <v>1364</v>
      </c>
      <c r="I5456" s="36" t="s">
        <v>1361</v>
      </c>
    </row>
    <row r="5457" spans="1:9" x14ac:dyDescent="0.25">
      <c r="A5457" s="38" t="s">
        <v>486</v>
      </c>
      <c r="B5457" s="28">
        <v>9834</v>
      </c>
      <c r="C5457" s="28">
        <v>5666343</v>
      </c>
      <c r="D5457" s="46"/>
      <c r="E5457" s="35">
        <v>46155</v>
      </c>
      <c r="F5457" s="49">
        <v>0.43939814814814815</v>
      </c>
      <c r="G5457" s="37">
        <v>6.3</v>
      </c>
      <c r="H5457" s="36" t="s">
        <v>1360</v>
      </c>
      <c r="I5457" s="36" t="s">
        <v>1361</v>
      </c>
    </row>
    <row r="5458" spans="1:9" x14ac:dyDescent="0.25">
      <c r="A5458" s="38" t="s">
        <v>486</v>
      </c>
      <c r="B5458" s="28">
        <v>9834</v>
      </c>
      <c r="C5458" s="28">
        <v>5666343</v>
      </c>
      <c r="D5458" s="46"/>
      <c r="E5458" s="35">
        <v>46155</v>
      </c>
      <c r="F5458" s="49">
        <v>0.4571412037037037</v>
      </c>
      <c r="G5458" s="37">
        <v>6.3</v>
      </c>
      <c r="H5458" s="36" t="s">
        <v>1362</v>
      </c>
      <c r="I5458" s="36" t="s">
        <v>1361</v>
      </c>
    </row>
    <row r="5459" spans="1:9" x14ac:dyDescent="0.25">
      <c r="A5459" s="38" t="s">
        <v>486</v>
      </c>
      <c r="B5459" s="28">
        <v>9834</v>
      </c>
      <c r="C5459" s="28">
        <v>5665836</v>
      </c>
      <c r="D5459" s="46"/>
      <c r="E5459" s="35">
        <v>46155</v>
      </c>
      <c r="F5459" s="49">
        <v>0.52461805555555552</v>
      </c>
      <c r="G5459" s="37">
        <v>6.3</v>
      </c>
      <c r="H5459" s="36" t="s">
        <v>1363</v>
      </c>
      <c r="I5459" s="36" t="s">
        <v>1361</v>
      </c>
    </row>
    <row r="5460" spans="1:9" x14ac:dyDescent="0.25">
      <c r="A5460" s="38" t="s">
        <v>486</v>
      </c>
      <c r="B5460" s="28">
        <v>9834</v>
      </c>
      <c r="C5460" s="28">
        <v>5665836</v>
      </c>
      <c r="D5460" s="46"/>
      <c r="E5460" s="35">
        <v>46155</v>
      </c>
      <c r="F5460" s="49">
        <v>0.53083333333333338</v>
      </c>
      <c r="G5460" s="37">
        <v>6.3</v>
      </c>
      <c r="H5460" s="36" t="s">
        <v>1364</v>
      </c>
      <c r="I5460" s="36" t="s">
        <v>1361</v>
      </c>
    </row>
    <row r="5461" spans="1:9" x14ac:dyDescent="0.25">
      <c r="A5461" s="38" t="s">
        <v>486</v>
      </c>
      <c r="B5461" s="28">
        <v>9834</v>
      </c>
      <c r="C5461" s="28" t="s">
        <v>35</v>
      </c>
      <c r="D5461" s="46" t="s">
        <v>38</v>
      </c>
      <c r="E5461" s="35">
        <v>46156</v>
      </c>
      <c r="F5461" s="49">
        <v>0.52606481481481482</v>
      </c>
      <c r="G5461" s="37">
        <v>6.3</v>
      </c>
      <c r="H5461" s="36" t="s">
        <v>1363</v>
      </c>
      <c r="I5461" s="36" t="s">
        <v>1361</v>
      </c>
    </row>
    <row r="5462" spans="1:9" x14ac:dyDescent="0.25">
      <c r="A5462" s="38" t="s">
        <v>486</v>
      </c>
      <c r="B5462" s="28">
        <v>9834</v>
      </c>
      <c r="C5462" s="28" t="s">
        <v>35</v>
      </c>
      <c r="D5462" s="46" t="s">
        <v>38</v>
      </c>
      <c r="E5462" s="35">
        <v>46156</v>
      </c>
      <c r="F5462" s="49">
        <v>0.55690972222222224</v>
      </c>
      <c r="G5462" s="37">
        <v>6.3</v>
      </c>
      <c r="H5462" s="36" t="s">
        <v>1370</v>
      </c>
      <c r="I5462" s="36" t="s">
        <v>1361</v>
      </c>
    </row>
    <row r="5463" spans="1:9" x14ac:dyDescent="0.25">
      <c r="A5463" s="38" t="s">
        <v>486</v>
      </c>
      <c r="B5463" s="28">
        <v>9834</v>
      </c>
      <c r="C5463" s="28" t="s">
        <v>35</v>
      </c>
      <c r="D5463" s="46" t="s">
        <v>38</v>
      </c>
      <c r="E5463" s="35">
        <v>46156</v>
      </c>
      <c r="F5463" s="49">
        <v>0.64528935185185188</v>
      </c>
      <c r="G5463" s="37">
        <v>6.3</v>
      </c>
      <c r="H5463" s="36" t="s">
        <v>1368</v>
      </c>
      <c r="I5463" s="36" t="s">
        <v>1361</v>
      </c>
    </row>
    <row r="5464" spans="1:9" x14ac:dyDescent="0.25">
      <c r="A5464" s="38" t="s">
        <v>486</v>
      </c>
      <c r="B5464" s="28">
        <v>9834</v>
      </c>
      <c r="C5464" s="28" t="s">
        <v>35</v>
      </c>
      <c r="D5464" s="46" t="s">
        <v>38</v>
      </c>
      <c r="E5464" s="35">
        <v>46156</v>
      </c>
      <c r="F5464" s="49">
        <v>0.82034722222222223</v>
      </c>
      <c r="G5464" s="37">
        <v>6.3</v>
      </c>
      <c r="H5464" s="36" t="s">
        <v>1364</v>
      </c>
      <c r="I5464" s="36" t="s">
        <v>1361</v>
      </c>
    </row>
    <row r="5465" spans="1:9" x14ac:dyDescent="0.25">
      <c r="A5465" s="38" t="s">
        <v>486</v>
      </c>
      <c r="B5465" s="28">
        <v>9834</v>
      </c>
      <c r="C5465" s="28" t="s">
        <v>35</v>
      </c>
      <c r="D5465" s="46" t="s">
        <v>38</v>
      </c>
      <c r="E5465" s="35">
        <v>46156</v>
      </c>
      <c r="F5465" s="49">
        <v>0.89325231481481482</v>
      </c>
      <c r="G5465" s="37">
        <v>6.3</v>
      </c>
      <c r="H5465" s="36" t="s">
        <v>1360</v>
      </c>
      <c r="I5465" s="36" t="s">
        <v>1361</v>
      </c>
    </row>
    <row r="5466" spans="1:9" x14ac:dyDescent="0.25">
      <c r="A5466" s="38" t="s">
        <v>486</v>
      </c>
      <c r="B5466" s="28">
        <v>9834</v>
      </c>
      <c r="C5466" s="28" t="s">
        <v>35</v>
      </c>
      <c r="D5466" s="46" t="s">
        <v>38</v>
      </c>
      <c r="E5466" s="35">
        <v>46156</v>
      </c>
      <c r="F5466" s="49">
        <v>0.90043981481481483</v>
      </c>
      <c r="G5466" s="37">
        <v>6.3</v>
      </c>
      <c r="H5466" s="36" t="s">
        <v>1362</v>
      </c>
      <c r="I5466" s="36" t="s">
        <v>1361</v>
      </c>
    </row>
    <row r="5467" spans="1:9" x14ac:dyDescent="0.25">
      <c r="A5467" s="38" t="s">
        <v>486</v>
      </c>
      <c r="B5467" s="28">
        <v>9834</v>
      </c>
      <c r="C5467" s="28" t="s">
        <v>1347</v>
      </c>
      <c r="D5467" s="46"/>
      <c r="E5467" s="35">
        <v>46157</v>
      </c>
      <c r="F5467" s="49">
        <v>0.48505787037037035</v>
      </c>
      <c r="G5467" s="37">
        <v>6.3</v>
      </c>
      <c r="H5467" s="36" t="s">
        <v>1360</v>
      </c>
      <c r="I5467" s="36" t="s">
        <v>1361</v>
      </c>
    </row>
    <row r="5468" spans="1:9" x14ac:dyDescent="0.25">
      <c r="A5468" s="38" t="s">
        <v>486</v>
      </c>
      <c r="B5468" s="28">
        <v>9834</v>
      </c>
      <c r="C5468" s="28" t="s">
        <v>1347</v>
      </c>
      <c r="D5468" s="46"/>
      <c r="E5468" s="35">
        <v>46157</v>
      </c>
      <c r="F5468" s="49">
        <v>0.49465277777777777</v>
      </c>
      <c r="G5468" s="37">
        <v>6.3</v>
      </c>
      <c r="H5468" s="36" t="s">
        <v>1362</v>
      </c>
      <c r="I5468" s="36" t="s">
        <v>1361</v>
      </c>
    </row>
    <row r="5469" spans="1:9" x14ac:dyDescent="0.25">
      <c r="A5469" s="38" t="s">
        <v>486</v>
      </c>
      <c r="B5469" s="28">
        <v>9834</v>
      </c>
      <c r="C5469" s="28" t="s">
        <v>35</v>
      </c>
      <c r="D5469" s="46" t="s">
        <v>38</v>
      </c>
      <c r="E5469" s="35">
        <v>46158</v>
      </c>
      <c r="F5469" s="49">
        <v>0.70586805555555554</v>
      </c>
      <c r="G5469" s="37">
        <v>6.3</v>
      </c>
      <c r="H5469" s="36" t="s">
        <v>1367</v>
      </c>
      <c r="I5469" s="36" t="s">
        <v>1365</v>
      </c>
    </row>
    <row r="5470" spans="1:9" x14ac:dyDescent="0.25">
      <c r="A5470" s="38" t="s">
        <v>486</v>
      </c>
      <c r="B5470" s="28">
        <v>9834</v>
      </c>
      <c r="C5470" s="28" t="s">
        <v>35</v>
      </c>
      <c r="D5470" s="46" t="s">
        <v>38</v>
      </c>
      <c r="E5470" s="35">
        <v>46158</v>
      </c>
      <c r="F5470" s="49">
        <v>0.7182291666666667</v>
      </c>
      <c r="G5470" s="37">
        <v>6.3</v>
      </c>
      <c r="H5470" s="36" t="s">
        <v>1364</v>
      </c>
      <c r="I5470" s="36" t="s">
        <v>1365</v>
      </c>
    </row>
    <row r="5471" spans="1:9" x14ac:dyDescent="0.25">
      <c r="A5471" s="38" t="s">
        <v>486</v>
      </c>
      <c r="B5471" s="28">
        <v>9834</v>
      </c>
      <c r="C5471" s="28">
        <v>5672254</v>
      </c>
      <c r="D5471" s="46"/>
      <c r="E5471" s="35">
        <v>46159</v>
      </c>
      <c r="F5471" s="49">
        <v>0.3944097222222222</v>
      </c>
      <c r="G5471" s="37">
        <v>6.3</v>
      </c>
      <c r="H5471" s="36" t="s">
        <v>1363</v>
      </c>
      <c r="I5471" s="36" t="s">
        <v>1365</v>
      </c>
    </row>
    <row r="5472" spans="1:9" x14ac:dyDescent="0.25">
      <c r="A5472" s="38" t="s">
        <v>486</v>
      </c>
      <c r="B5472" s="28">
        <v>9834</v>
      </c>
      <c r="C5472" s="28">
        <v>5672254</v>
      </c>
      <c r="D5472" s="46"/>
      <c r="E5472" s="35">
        <v>46159</v>
      </c>
      <c r="F5472" s="49">
        <v>0.39944444444444444</v>
      </c>
      <c r="G5472" s="37">
        <v>6.3</v>
      </c>
      <c r="H5472" s="36" t="s">
        <v>1364</v>
      </c>
      <c r="I5472" s="36" t="s">
        <v>1365</v>
      </c>
    </row>
    <row r="5473" spans="1:9" x14ac:dyDescent="0.25">
      <c r="A5473" s="38" t="s">
        <v>486</v>
      </c>
      <c r="B5473" s="28">
        <v>9834</v>
      </c>
      <c r="C5473" s="28" t="s">
        <v>1348</v>
      </c>
      <c r="D5473" s="46"/>
      <c r="E5473" s="35">
        <v>46159</v>
      </c>
      <c r="F5473" s="49">
        <v>0.45760416666666665</v>
      </c>
      <c r="G5473" s="37">
        <v>6.3</v>
      </c>
      <c r="H5473" s="36" t="s">
        <v>1360</v>
      </c>
      <c r="I5473" s="36" t="s">
        <v>1365</v>
      </c>
    </row>
    <row r="5474" spans="1:9" x14ac:dyDescent="0.25">
      <c r="A5474" s="38" t="s">
        <v>486</v>
      </c>
      <c r="B5474" s="28">
        <v>9834</v>
      </c>
      <c r="C5474" s="28" t="s">
        <v>1348</v>
      </c>
      <c r="D5474" s="46"/>
      <c r="E5474" s="35">
        <v>46159</v>
      </c>
      <c r="F5474" s="49">
        <v>0.46409722222222222</v>
      </c>
      <c r="G5474" s="37">
        <v>6.3</v>
      </c>
      <c r="H5474" s="36" t="s">
        <v>1362</v>
      </c>
      <c r="I5474" s="36" t="s">
        <v>1365</v>
      </c>
    </row>
    <row r="5475" spans="1:9" x14ac:dyDescent="0.25">
      <c r="A5475" s="38" t="s">
        <v>256</v>
      </c>
      <c r="B5475" s="28">
        <v>9837</v>
      </c>
      <c r="C5475" s="28">
        <v>5663231</v>
      </c>
      <c r="D5475" s="46"/>
      <c r="E5475" s="35">
        <v>46153</v>
      </c>
      <c r="F5475" s="49">
        <v>0.70292824074074078</v>
      </c>
      <c r="G5475" s="37">
        <v>6.3</v>
      </c>
      <c r="H5475" s="36" t="s">
        <v>1360</v>
      </c>
      <c r="I5475" s="36" t="s">
        <v>1361</v>
      </c>
    </row>
    <row r="5476" spans="1:9" x14ac:dyDescent="0.25">
      <c r="A5476" s="38" t="s">
        <v>256</v>
      </c>
      <c r="B5476" s="28">
        <v>9837</v>
      </c>
      <c r="C5476" s="28">
        <v>5663231</v>
      </c>
      <c r="D5476" s="46"/>
      <c r="E5476" s="35">
        <v>46153</v>
      </c>
      <c r="F5476" s="49">
        <v>0.71859953703703705</v>
      </c>
      <c r="G5476" s="37">
        <v>6.3</v>
      </c>
      <c r="H5476" s="36" t="s">
        <v>1362</v>
      </c>
      <c r="I5476" s="36" t="s">
        <v>1361</v>
      </c>
    </row>
    <row r="5477" spans="1:9" x14ac:dyDescent="0.25">
      <c r="A5477" s="38" t="s">
        <v>256</v>
      </c>
      <c r="B5477" s="28">
        <v>9837</v>
      </c>
      <c r="C5477" s="28">
        <v>5664402</v>
      </c>
      <c r="D5477" s="46"/>
      <c r="E5477" s="35">
        <v>46155</v>
      </c>
      <c r="F5477" s="49">
        <v>0.31063657407407408</v>
      </c>
      <c r="G5477" s="37">
        <v>6.3</v>
      </c>
      <c r="H5477" s="36" t="s">
        <v>1363</v>
      </c>
      <c r="I5477" s="36" t="s">
        <v>1361</v>
      </c>
    </row>
    <row r="5478" spans="1:9" x14ac:dyDescent="0.25">
      <c r="A5478" s="38" t="s">
        <v>256</v>
      </c>
      <c r="B5478" s="28">
        <v>9837</v>
      </c>
      <c r="C5478" s="28">
        <v>5664402</v>
      </c>
      <c r="D5478" s="46"/>
      <c r="E5478" s="35">
        <v>46155</v>
      </c>
      <c r="F5478" s="49">
        <v>0.33010416666666664</v>
      </c>
      <c r="G5478" s="37">
        <v>6.3</v>
      </c>
      <c r="H5478" s="36" t="s">
        <v>1364</v>
      </c>
      <c r="I5478" s="36" t="s">
        <v>1361</v>
      </c>
    </row>
    <row r="5479" spans="1:9" x14ac:dyDescent="0.25">
      <c r="A5479" s="38" t="s">
        <v>256</v>
      </c>
      <c r="B5479" s="28">
        <v>9837</v>
      </c>
      <c r="C5479" s="28">
        <v>5666252</v>
      </c>
      <c r="D5479" s="46"/>
      <c r="E5479" s="35">
        <v>46155</v>
      </c>
      <c r="F5479" s="49">
        <v>0.41473379629629631</v>
      </c>
      <c r="G5479" s="37">
        <v>6.3</v>
      </c>
      <c r="H5479" s="36" t="s">
        <v>1360</v>
      </c>
      <c r="I5479" s="36" t="s">
        <v>1361</v>
      </c>
    </row>
    <row r="5480" spans="1:9" x14ac:dyDescent="0.25">
      <c r="A5480" s="38" t="s">
        <v>256</v>
      </c>
      <c r="B5480" s="28">
        <v>9837</v>
      </c>
      <c r="C5480" s="28">
        <v>5666252</v>
      </c>
      <c r="D5480" s="46"/>
      <c r="E5480" s="35">
        <v>46155</v>
      </c>
      <c r="F5480" s="49">
        <v>0.44155092592592593</v>
      </c>
      <c r="G5480" s="37">
        <v>6.3</v>
      </c>
      <c r="H5480" s="36" t="s">
        <v>1362</v>
      </c>
      <c r="I5480" s="36" t="s">
        <v>1361</v>
      </c>
    </row>
    <row r="5481" spans="1:9" x14ac:dyDescent="0.25">
      <c r="A5481" s="38" t="s">
        <v>495</v>
      </c>
      <c r="B5481" s="28">
        <v>9844</v>
      </c>
      <c r="C5481" s="28">
        <v>10680548</v>
      </c>
      <c r="D5481" s="46"/>
      <c r="E5481" s="35">
        <v>46159</v>
      </c>
      <c r="F5481" s="49">
        <v>0.61170138888888892</v>
      </c>
      <c r="G5481" s="37">
        <v>6.3</v>
      </c>
      <c r="H5481" s="36" t="s">
        <v>1360</v>
      </c>
      <c r="I5481" s="36" t="s">
        <v>1365</v>
      </c>
    </row>
    <row r="5482" spans="1:9" x14ac:dyDescent="0.25">
      <c r="A5482" s="38" t="s">
        <v>495</v>
      </c>
      <c r="B5482" s="28">
        <v>9844</v>
      </c>
      <c r="C5482" s="28">
        <v>10680548</v>
      </c>
      <c r="D5482" s="46"/>
      <c r="E5482" s="35">
        <v>46159</v>
      </c>
      <c r="F5482" s="49">
        <v>0.61954861111111115</v>
      </c>
      <c r="G5482" s="37">
        <v>6.3</v>
      </c>
      <c r="H5482" s="36" t="s">
        <v>1362</v>
      </c>
      <c r="I5482" s="36" t="s">
        <v>1365</v>
      </c>
    </row>
    <row r="5483" spans="1:9" x14ac:dyDescent="0.25">
      <c r="A5483" s="38" t="s">
        <v>495</v>
      </c>
      <c r="B5483" s="28">
        <v>9844</v>
      </c>
      <c r="C5483" s="28">
        <v>10680542</v>
      </c>
      <c r="D5483" s="46"/>
      <c r="E5483" s="35">
        <v>46159</v>
      </c>
      <c r="F5483" s="49">
        <v>0.71928240740740745</v>
      </c>
      <c r="G5483" s="37">
        <v>6.3</v>
      </c>
      <c r="H5483" s="36" t="s">
        <v>1360</v>
      </c>
      <c r="I5483" s="36" t="s">
        <v>1365</v>
      </c>
    </row>
    <row r="5484" spans="1:9" x14ac:dyDescent="0.25">
      <c r="A5484" s="38" t="s">
        <v>495</v>
      </c>
      <c r="B5484" s="28">
        <v>9844</v>
      </c>
      <c r="C5484" s="28">
        <v>10680542</v>
      </c>
      <c r="D5484" s="46"/>
      <c r="E5484" s="35">
        <v>46159</v>
      </c>
      <c r="F5484" s="49">
        <v>0.7279282407407407</v>
      </c>
      <c r="G5484" s="37">
        <v>6.3</v>
      </c>
      <c r="H5484" s="36" t="s">
        <v>1362</v>
      </c>
      <c r="I5484" s="36" t="s">
        <v>1365</v>
      </c>
    </row>
    <row r="5485" spans="1:9" x14ac:dyDescent="0.25">
      <c r="A5485" s="38" t="s">
        <v>229</v>
      </c>
      <c r="B5485" s="28">
        <v>9883</v>
      </c>
      <c r="C5485" s="28">
        <v>5663143</v>
      </c>
      <c r="D5485" s="46"/>
      <c r="E5485" s="35">
        <v>46153</v>
      </c>
      <c r="F5485" s="49">
        <v>0.75140046296296292</v>
      </c>
      <c r="G5485" s="37">
        <v>6.3</v>
      </c>
      <c r="H5485" s="36" t="s">
        <v>1364</v>
      </c>
      <c r="I5485" s="36" t="s">
        <v>1361</v>
      </c>
    </row>
    <row r="5486" spans="1:9" x14ac:dyDescent="0.25">
      <c r="A5486" s="38" t="s">
        <v>229</v>
      </c>
      <c r="B5486" s="28">
        <v>9883</v>
      </c>
      <c r="C5486" s="28">
        <v>5663445</v>
      </c>
      <c r="D5486" s="46"/>
      <c r="E5486" s="35">
        <v>46153</v>
      </c>
      <c r="F5486" s="49">
        <v>0.85438657407407403</v>
      </c>
      <c r="G5486" s="37">
        <v>6.3</v>
      </c>
      <c r="H5486" s="36" t="s">
        <v>1360</v>
      </c>
      <c r="I5486" s="36" t="s">
        <v>1361</v>
      </c>
    </row>
    <row r="5487" spans="1:9" x14ac:dyDescent="0.25">
      <c r="A5487" s="38" t="s">
        <v>229</v>
      </c>
      <c r="B5487" s="28">
        <v>9883</v>
      </c>
      <c r="C5487" s="28">
        <v>5663445</v>
      </c>
      <c r="D5487" s="46"/>
      <c r="E5487" s="35">
        <v>46153</v>
      </c>
      <c r="F5487" s="49">
        <v>0.86140046296296291</v>
      </c>
      <c r="G5487" s="37">
        <v>6.3</v>
      </c>
      <c r="H5487" s="36" t="s">
        <v>1362</v>
      </c>
      <c r="I5487" s="36" t="s">
        <v>1361</v>
      </c>
    </row>
    <row r="5488" spans="1:9" x14ac:dyDescent="0.25">
      <c r="A5488" s="38" t="s">
        <v>229</v>
      </c>
      <c r="B5488" s="28">
        <v>9883</v>
      </c>
      <c r="C5488" s="28">
        <v>5665029</v>
      </c>
      <c r="D5488" s="46"/>
      <c r="E5488" s="35">
        <v>46154</v>
      </c>
      <c r="F5488" s="49">
        <v>0.82085648148148149</v>
      </c>
      <c r="G5488" s="37">
        <v>6.3</v>
      </c>
      <c r="H5488" s="36" t="s">
        <v>1370</v>
      </c>
      <c r="I5488" s="36" t="s">
        <v>1361</v>
      </c>
    </row>
    <row r="5489" spans="1:9" x14ac:dyDescent="0.25">
      <c r="A5489" s="38" t="s">
        <v>229</v>
      </c>
      <c r="B5489" s="28">
        <v>9883</v>
      </c>
      <c r="C5489" s="28" t="s">
        <v>35</v>
      </c>
      <c r="D5489" s="46" t="s">
        <v>38</v>
      </c>
      <c r="E5489" s="35">
        <v>46154</v>
      </c>
      <c r="F5489" s="49">
        <v>0.88765046296296302</v>
      </c>
      <c r="G5489" s="37">
        <v>6.3</v>
      </c>
      <c r="H5489" s="36" t="s">
        <v>1360</v>
      </c>
      <c r="I5489" s="36" t="s">
        <v>1361</v>
      </c>
    </row>
    <row r="5490" spans="1:9" x14ac:dyDescent="0.25">
      <c r="A5490" s="38" t="s">
        <v>229</v>
      </c>
      <c r="B5490" s="28">
        <v>9883</v>
      </c>
      <c r="C5490" s="28" t="s">
        <v>35</v>
      </c>
      <c r="D5490" s="46" t="s">
        <v>38</v>
      </c>
      <c r="E5490" s="35">
        <v>46155</v>
      </c>
      <c r="F5490" s="49">
        <v>0.43032407407407408</v>
      </c>
      <c r="G5490" s="37">
        <v>6.3</v>
      </c>
      <c r="H5490" s="36" t="s">
        <v>1360</v>
      </c>
      <c r="I5490" s="36" t="s">
        <v>1361</v>
      </c>
    </row>
    <row r="5491" spans="1:9" x14ac:dyDescent="0.25">
      <c r="A5491" s="38" t="s">
        <v>229</v>
      </c>
      <c r="B5491" s="28">
        <v>9883</v>
      </c>
      <c r="C5491" s="28">
        <v>5667057</v>
      </c>
      <c r="D5491" s="46"/>
      <c r="E5491" s="35">
        <v>46155</v>
      </c>
      <c r="F5491" s="49">
        <v>0.87913194444444442</v>
      </c>
      <c r="G5491" s="37">
        <v>6.3</v>
      </c>
      <c r="H5491" s="36" t="s">
        <v>1370</v>
      </c>
      <c r="I5491" s="36" t="s">
        <v>1361</v>
      </c>
    </row>
    <row r="5492" spans="1:9" x14ac:dyDescent="0.25">
      <c r="A5492" s="38" t="s">
        <v>229</v>
      </c>
      <c r="B5492" s="28">
        <v>9883</v>
      </c>
      <c r="C5492" s="28">
        <v>5667057</v>
      </c>
      <c r="D5492" s="46"/>
      <c r="E5492" s="35">
        <v>46155</v>
      </c>
      <c r="F5492" s="49">
        <v>0.88453703703703701</v>
      </c>
      <c r="G5492" s="37">
        <v>6.3</v>
      </c>
      <c r="H5492" s="36" t="s">
        <v>1364</v>
      </c>
      <c r="I5492" s="36" t="s">
        <v>1361</v>
      </c>
    </row>
    <row r="5493" spans="1:9" x14ac:dyDescent="0.25">
      <c r="A5493" s="38" t="s">
        <v>229</v>
      </c>
      <c r="B5493" s="28">
        <v>9883</v>
      </c>
      <c r="C5493" s="28" t="s">
        <v>35</v>
      </c>
      <c r="D5493" s="46" t="s">
        <v>38</v>
      </c>
      <c r="E5493" s="35">
        <v>46155</v>
      </c>
      <c r="F5493" s="49">
        <v>0.9380208333333333</v>
      </c>
      <c r="G5493" s="37">
        <v>6.3</v>
      </c>
      <c r="H5493" s="36" t="s">
        <v>1360</v>
      </c>
      <c r="I5493" s="36" t="s">
        <v>1361</v>
      </c>
    </row>
    <row r="5494" spans="1:9" x14ac:dyDescent="0.25">
      <c r="A5494" s="38" t="s">
        <v>229</v>
      </c>
      <c r="B5494" s="28">
        <v>9883</v>
      </c>
      <c r="C5494" s="28" t="s">
        <v>35</v>
      </c>
      <c r="D5494" s="46" t="s">
        <v>38</v>
      </c>
      <c r="E5494" s="35">
        <v>46157</v>
      </c>
      <c r="F5494" s="49">
        <v>0.64749999999999996</v>
      </c>
      <c r="G5494" s="37">
        <v>6.3</v>
      </c>
      <c r="H5494" s="36" t="s">
        <v>1370</v>
      </c>
      <c r="I5494" s="36" t="s">
        <v>1361</v>
      </c>
    </row>
    <row r="5495" spans="1:9" x14ac:dyDescent="0.25">
      <c r="A5495" s="38" t="s">
        <v>229</v>
      </c>
      <c r="B5495" s="28">
        <v>9883</v>
      </c>
      <c r="C5495" s="28">
        <v>5668938</v>
      </c>
      <c r="D5495" s="46"/>
      <c r="E5495" s="35">
        <v>46157</v>
      </c>
      <c r="F5495" s="49">
        <v>0.71902777777777782</v>
      </c>
      <c r="G5495" s="37">
        <v>6.3</v>
      </c>
      <c r="H5495" s="36" t="s">
        <v>1367</v>
      </c>
      <c r="I5495" s="36" t="s">
        <v>1361</v>
      </c>
    </row>
    <row r="5496" spans="1:9" x14ac:dyDescent="0.25">
      <c r="A5496" s="38" t="s">
        <v>229</v>
      </c>
      <c r="B5496" s="28">
        <v>9883</v>
      </c>
      <c r="C5496" s="28">
        <v>5668938</v>
      </c>
      <c r="D5496" s="46"/>
      <c r="E5496" s="35">
        <v>46157</v>
      </c>
      <c r="F5496" s="49">
        <v>0.7371064814814815</v>
      </c>
      <c r="G5496" s="37">
        <v>6.3</v>
      </c>
      <c r="H5496" s="36" t="s">
        <v>1364</v>
      </c>
      <c r="I5496" s="36" t="s">
        <v>1361</v>
      </c>
    </row>
    <row r="5497" spans="1:9" x14ac:dyDescent="0.25">
      <c r="A5497" s="38" t="s">
        <v>229</v>
      </c>
      <c r="B5497" s="28">
        <v>9883</v>
      </c>
      <c r="C5497" s="28">
        <v>5671177</v>
      </c>
      <c r="D5497" s="46"/>
      <c r="E5497" s="35">
        <v>46158</v>
      </c>
      <c r="F5497" s="49">
        <v>0.3382060185185185</v>
      </c>
      <c r="G5497" s="37">
        <v>6.3</v>
      </c>
      <c r="H5497" s="36" t="s">
        <v>1363</v>
      </c>
      <c r="I5497" s="36" t="s">
        <v>1365</v>
      </c>
    </row>
    <row r="5498" spans="1:9" x14ac:dyDescent="0.25">
      <c r="A5498" s="38" t="s">
        <v>229</v>
      </c>
      <c r="B5498" s="28">
        <v>9883</v>
      </c>
      <c r="C5498" s="28">
        <v>5671177</v>
      </c>
      <c r="D5498" s="46"/>
      <c r="E5498" s="35">
        <v>46158</v>
      </c>
      <c r="F5498" s="49">
        <v>0.34392361111111114</v>
      </c>
      <c r="G5498" s="37">
        <v>6.3</v>
      </c>
      <c r="H5498" s="36" t="s">
        <v>1364</v>
      </c>
      <c r="I5498" s="36" t="s">
        <v>1365</v>
      </c>
    </row>
    <row r="5499" spans="1:9" x14ac:dyDescent="0.25">
      <c r="A5499" s="38" t="s">
        <v>229</v>
      </c>
      <c r="B5499" s="28">
        <v>9883</v>
      </c>
      <c r="C5499" s="28" t="s">
        <v>35</v>
      </c>
      <c r="D5499" s="46" t="s">
        <v>38</v>
      </c>
      <c r="E5499" s="35">
        <v>46158</v>
      </c>
      <c r="F5499" s="49">
        <v>0.54200231481481487</v>
      </c>
      <c r="G5499" s="37">
        <v>6.3</v>
      </c>
      <c r="H5499" s="36" t="s">
        <v>1360</v>
      </c>
      <c r="I5499" s="36" t="s">
        <v>1365</v>
      </c>
    </row>
    <row r="5500" spans="1:9" x14ac:dyDescent="0.25">
      <c r="A5500" s="38" t="s">
        <v>229</v>
      </c>
      <c r="B5500" s="28">
        <v>9883</v>
      </c>
      <c r="C5500" s="28">
        <v>5671182</v>
      </c>
      <c r="D5500" s="46"/>
      <c r="E5500" s="35">
        <v>46159</v>
      </c>
      <c r="F5500" s="49">
        <v>0.38218750000000001</v>
      </c>
      <c r="G5500" s="37">
        <v>6.3</v>
      </c>
      <c r="H5500" s="36" t="s">
        <v>1363</v>
      </c>
      <c r="I5500" s="36" t="s">
        <v>1365</v>
      </c>
    </row>
    <row r="5501" spans="1:9" x14ac:dyDescent="0.25">
      <c r="A5501" s="38" t="s">
        <v>229</v>
      </c>
      <c r="B5501" s="28">
        <v>9883</v>
      </c>
      <c r="C5501" s="28">
        <v>5671182</v>
      </c>
      <c r="D5501" s="46"/>
      <c r="E5501" s="35">
        <v>46159</v>
      </c>
      <c r="F5501" s="49">
        <v>0.38728009259259261</v>
      </c>
      <c r="G5501" s="37">
        <v>6.3</v>
      </c>
      <c r="H5501" s="36" t="s">
        <v>1364</v>
      </c>
      <c r="I5501" s="36" t="s">
        <v>1365</v>
      </c>
    </row>
    <row r="5502" spans="1:9" x14ac:dyDescent="0.25">
      <c r="A5502" s="38" t="s">
        <v>229</v>
      </c>
      <c r="B5502" s="28">
        <v>9883</v>
      </c>
      <c r="C5502" s="28">
        <v>5672592</v>
      </c>
      <c r="D5502" s="46"/>
      <c r="E5502" s="35">
        <v>46159</v>
      </c>
      <c r="F5502" s="49">
        <v>0.58537037037037032</v>
      </c>
      <c r="G5502" s="37">
        <v>6.3</v>
      </c>
      <c r="H5502" s="36" t="s">
        <v>1360</v>
      </c>
      <c r="I5502" s="36" t="s">
        <v>1365</v>
      </c>
    </row>
    <row r="5503" spans="1:9" x14ac:dyDescent="0.25">
      <c r="A5503" s="38" t="s">
        <v>229</v>
      </c>
      <c r="B5503" s="28">
        <v>9883</v>
      </c>
      <c r="C5503" s="28">
        <v>5672592</v>
      </c>
      <c r="D5503" s="46"/>
      <c r="E5503" s="35">
        <v>46159</v>
      </c>
      <c r="F5503" s="49">
        <v>0.59128472222222217</v>
      </c>
      <c r="G5503" s="37">
        <v>6.3</v>
      </c>
      <c r="H5503" s="36" t="s">
        <v>1368</v>
      </c>
      <c r="I5503" s="36" t="s">
        <v>1365</v>
      </c>
    </row>
    <row r="5504" spans="1:9" x14ac:dyDescent="0.25">
      <c r="A5504" s="38" t="s">
        <v>487</v>
      </c>
      <c r="B5504" s="28">
        <v>9887</v>
      </c>
      <c r="C5504" s="28" t="s">
        <v>1349</v>
      </c>
      <c r="D5504" s="46"/>
      <c r="E5504" s="35">
        <v>46153</v>
      </c>
      <c r="F5504" s="49">
        <v>0.91569444444444448</v>
      </c>
      <c r="G5504" s="37">
        <v>6.3</v>
      </c>
      <c r="H5504" s="36" t="s">
        <v>1360</v>
      </c>
      <c r="I5504" s="36" t="s">
        <v>1361</v>
      </c>
    </row>
    <row r="5505" spans="1:9" x14ac:dyDescent="0.25">
      <c r="A5505" s="38" t="s">
        <v>487</v>
      </c>
      <c r="B5505" s="28">
        <v>9887</v>
      </c>
      <c r="C5505" s="28" t="s">
        <v>1349</v>
      </c>
      <c r="D5505" s="46"/>
      <c r="E5505" s="35">
        <v>46153</v>
      </c>
      <c r="F5505" s="49">
        <v>0.92320601851851847</v>
      </c>
      <c r="G5505" s="37">
        <v>6.3</v>
      </c>
      <c r="H5505" s="36" t="s">
        <v>1362</v>
      </c>
      <c r="I5505" s="36" t="s">
        <v>1361</v>
      </c>
    </row>
    <row r="5506" spans="1:9" x14ac:dyDescent="0.25">
      <c r="A5506" s="38" t="s">
        <v>487</v>
      </c>
      <c r="B5506" s="28">
        <v>9887</v>
      </c>
      <c r="C5506" s="28">
        <v>5666221</v>
      </c>
      <c r="D5506" s="46"/>
      <c r="E5506" s="35">
        <v>46155</v>
      </c>
      <c r="F5506" s="49">
        <v>0.90771990740740738</v>
      </c>
      <c r="G5506" s="37">
        <v>6.3</v>
      </c>
      <c r="H5506" s="36" t="s">
        <v>1360</v>
      </c>
      <c r="I5506" s="36" t="s">
        <v>1361</v>
      </c>
    </row>
    <row r="5507" spans="1:9" x14ac:dyDescent="0.25">
      <c r="A5507" s="38" t="s">
        <v>487</v>
      </c>
      <c r="B5507" s="28">
        <v>9887</v>
      </c>
      <c r="C5507" s="28">
        <v>5666221</v>
      </c>
      <c r="D5507" s="46"/>
      <c r="E5507" s="35">
        <v>46155</v>
      </c>
      <c r="F5507" s="49">
        <v>0.91490740740740739</v>
      </c>
      <c r="G5507" s="37">
        <v>6.3</v>
      </c>
      <c r="H5507" s="36" t="s">
        <v>1362</v>
      </c>
      <c r="I5507" s="36" t="s">
        <v>1361</v>
      </c>
    </row>
    <row r="5508" spans="1:9" x14ac:dyDescent="0.25">
      <c r="A5508" s="38" t="s">
        <v>487</v>
      </c>
      <c r="B5508" s="28">
        <v>9887</v>
      </c>
      <c r="C5508" s="28" t="s">
        <v>1350</v>
      </c>
      <c r="D5508" s="46"/>
      <c r="E5508" s="35">
        <v>46156</v>
      </c>
      <c r="F5508" s="49">
        <v>0.41490740740740739</v>
      </c>
      <c r="G5508" s="37">
        <v>6.3</v>
      </c>
      <c r="H5508" s="36" t="s">
        <v>1360</v>
      </c>
      <c r="I5508" s="36" t="s">
        <v>1361</v>
      </c>
    </row>
    <row r="5509" spans="1:9" x14ac:dyDescent="0.25">
      <c r="A5509" s="38" t="s">
        <v>487</v>
      </c>
      <c r="B5509" s="28">
        <v>9887</v>
      </c>
      <c r="C5509" s="28" t="s">
        <v>1350</v>
      </c>
      <c r="D5509" s="46"/>
      <c r="E5509" s="35">
        <v>46156</v>
      </c>
      <c r="F5509" s="49">
        <v>0.42748842592592595</v>
      </c>
      <c r="G5509" s="37">
        <v>6.3</v>
      </c>
      <c r="H5509" s="36" t="s">
        <v>1362</v>
      </c>
      <c r="I5509" s="36" t="s">
        <v>1361</v>
      </c>
    </row>
    <row r="5510" spans="1:9" x14ac:dyDescent="0.25">
      <c r="A5510" s="38" t="s">
        <v>487</v>
      </c>
      <c r="B5510" s="28">
        <v>9887</v>
      </c>
      <c r="C5510" s="28" t="s">
        <v>1351</v>
      </c>
      <c r="D5510" s="46"/>
      <c r="E5510" s="35">
        <v>46156</v>
      </c>
      <c r="F5510" s="49">
        <v>0.94284722222222217</v>
      </c>
      <c r="G5510" s="37">
        <v>6.3</v>
      </c>
      <c r="H5510" s="36" t="s">
        <v>1360</v>
      </c>
      <c r="I5510" s="36" t="s">
        <v>1361</v>
      </c>
    </row>
    <row r="5511" spans="1:9" x14ac:dyDescent="0.25">
      <c r="A5511" s="38" t="s">
        <v>487</v>
      </c>
      <c r="B5511" s="28">
        <v>9887</v>
      </c>
      <c r="C5511" s="28" t="s">
        <v>1351</v>
      </c>
      <c r="D5511" s="46"/>
      <c r="E5511" s="35">
        <v>46156</v>
      </c>
      <c r="F5511" s="49">
        <v>0.95042824074074073</v>
      </c>
      <c r="G5511" s="37">
        <v>6.3</v>
      </c>
      <c r="H5511" s="36" t="s">
        <v>1362</v>
      </c>
      <c r="I5511" s="36" t="s">
        <v>1361</v>
      </c>
    </row>
    <row r="5512" spans="1:9" x14ac:dyDescent="0.25">
      <c r="A5512" s="38" t="s">
        <v>487</v>
      </c>
      <c r="B5512" s="28">
        <v>9887</v>
      </c>
      <c r="C5512" s="28">
        <v>5670212</v>
      </c>
      <c r="D5512" s="46"/>
      <c r="E5512" s="35">
        <v>46157</v>
      </c>
      <c r="F5512" s="49">
        <v>0.76314814814814813</v>
      </c>
      <c r="G5512" s="37">
        <v>6.3</v>
      </c>
      <c r="H5512" s="36" t="s">
        <v>1360</v>
      </c>
      <c r="I5512" s="36" t="s">
        <v>1361</v>
      </c>
    </row>
    <row r="5513" spans="1:9" x14ac:dyDescent="0.25">
      <c r="A5513" s="38" t="s">
        <v>488</v>
      </c>
      <c r="B5513" s="28">
        <v>9891</v>
      </c>
      <c r="C5513" s="28">
        <v>5662161</v>
      </c>
      <c r="D5513" s="46"/>
      <c r="E5513" s="35">
        <v>46153</v>
      </c>
      <c r="F5513" s="49">
        <v>3.0983796296296297E-2</v>
      </c>
      <c r="G5513" s="37">
        <v>6.3</v>
      </c>
      <c r="H5513" s="36" t="s">
        <v>1360</v>
      </c>
      <c r="I5513" s="36" t="s">
        <v>1361</v>
      </c>
    </row>
    <row r="5514" spans="1:9" x14ac:dyDescent="0.25">
      <c r="A5514" s="38" t="s">
        <v>488</v>
      </c>
      <c r="B5514" s="28">
        <v>9891</v>
      </c>
      <c r="C5514" s="28">
        <v>5662161</v>
      </c>
      <c r="D5514" s="46"/>
      <c r="E5514" s="35">
        <v>46153</v>
      </c>
      <c r="F5514" s="49">
        <v>3.7511574074074072E-2</v>
      </c>
      <c r="G5514" s="37">
        <v>6.3</v>
      </c>
      <c r="H5514" s="36" t="s">
        <v>1362</v>
      </c>
      <c r="I5514" s="36" t="s">
        <v>1361</v>
      </c>
    </row>
    <row r="5515" spans="1:9" x14ac:dyDescent="0.25">
      <c r="A5515" s="38" t="s">
        <v>488</v>
      </c>
      <c r="B5515" s="28">
        <v>9891</v>
      </c>
      <c r="C5515" s="28">
        <v>5663315</v>
      </c>
      <c r="D5515" s="46"/>
      <c r="E5515" s="35">
        <v>46153</v>
      </c>
      <c r="F5515" s="49">
        <v>0.83159722222222221</v>
      </c>
      <c r="G5515" s="37">
        <v>6.3</v>
      </c>
      <c r="H5515" s="36" t="s">
        <v>1360</v>
      </c>
      <c r="I5515" s="36" t="s">
        <v>1361</v>
      </c>
    </row>
    <row r="5516" spans="1:9" x14ac:dyDescent="0.25">
      <c r="A5516" s="38" t="s">
        <v>488</v>
      </c>
      <c r="B5516" s="28">
        <v>9891</v>
      </c>
      <c r="C5516" s="28">
        <v>5663315</v>
      </c>
      <c r="D5516" s="46"/>
      <c r="E5516" s="35">
        <v>46153</v>
      </c>
      <c r="F5516" s="49">
        <v>0.83758101851851852</v>
      </c>
      <c r="G5516" s="37">
        <v>6.3</v>
      </c>
      <c r="H5516" s="36" t="s">
        <v>1368</v>
      </c>
      <c r="I5516" s="36" t="s">
        <v>1361</v>
      </c>
    </row>
    <row r="5517" spans="1:9" x14ac:dyDescent="0.25">
      <c r="A5517" s="38" t="s">
        <v>488</v>
      </c>
      <c r="B5517" s="28">
        <v>9891</v>
      </c>
      <c r="C5517" s="28">
        <v>5663471</v>
      </c>
      <c r="D5517" s="46"/>
      <c r="E5517" s="35">
        <v>46153</v>
      </c>
      <c r="F5517" s="49">
        <v>0.99011574074074071</v>
      </c>
      <c r="G5517" s="37">
        <v>6.3</v>
      </c>
      <c r="H5517" s="36" t="s">
        <v>1360</v>
      </c>
      <c r="I5517" s="36" t="s">
        <v>1361</v>
      </c>
    </row>
    <row r="5518" spans="1:9" x14ac:dyDescent="0.25">
      <c r="A5518" s="38" t="s">
        <v>488</v>
      </c>
      <c r="B5518" s="28">
        <v>9891</v>
      </c>
      <c r="C5518" s="28">
        <v>5663471</v>
      </c>
      <c r="D5518" s="46"/>
      <c r="E5518" s="35">
        <v>46153</v>
      </c>
      <c r="F5518" s="49">
        <v>0.9946180555555556</v>
      </c>
      <c r="G5518" s="37">
        <v>6.3</v>
      </c>
      <c r="H5518" s="36" t="s">
        <v>1366</v>
      </c>
      <c r="I5518" s="36" t="s">
        <v>1361</v>
      </c>
    </row>
    <row r="5519" spans="1:9" x14ac:dyDescent="0.25">
      <c r="A5519" s="38" t="s">
        <v>488</v>
      </c>
      <c r="B5519" s="28">
        <v>9891</v>
      </c>
      <c r="C5519" s="28" t="s">
        <v>35</v>
      </c>
      <c r="D5519" s="46" t="s">
        <v>38</v>
      </c>
      <c r="E5519" s="35">
        <v>46154</v>
      </c>
      <c r="F5519" s="49">
        <v>2.5219907407407406E-2</v>
      </c>
      <c r="G5519" s="37">
        <v>6.3</v>
      </c>
      <c r="H5519" s="36" t="s">
        <v>1367</v>
      </c>
      <c r="I5519" s="36" t="s">
        <v>1361</v>
      </c>
    </row>
    <row r="5520" spans="1:9" x14ac:dyDescent="0.25">
      <c r="A5520" s="38" t="s">
        <v>488</v>
      </c>
      <c r="B5520" s="28">
        <v>9891</v>
      </c>
      <c r="C5520" s="28" t="s">
        <v>1352</v>
      </c>
      <c r="D5520" s="46"/>
      <c r="E5520" s="35">
        <v>46156</v>
      </c>
      <c r="F5520" s="49">
        <v>0.51887731481481481</v>
      </c>
      <c r="G5520" s="37">
        <v>6.3</v>
      </c>
      <c r="H5520" s="36" t="s">
        <v>1360</v>
      </c>
      <c r="I5520" s="36" t="s">
        <v>1361</v>
      </c>
    </row>
    <row r="5521" spans="1:9" x14ac:dyDescent="0.25">
      <c r="A5521" s="38" t="s">
        <v>488</v>
      </c>
      <c r="B5521" s="28">
        <v>9891</v>
      </c>
      <c r="C5521" s="28" t="s">
        <v>1352</v>
      </c>
      <c r="D5521" s="46"/>
      <c r="E5521" s="35">
        <v>46156</v>
      </c>
      <c r="F5521" s="49">
        <v>0.52973379629629624</v>
      </c>
      <c r="G5521" s="37">
        <v>6.3</v>
      </c>
      <c r="H5521" s="36" t="s">
        <v>1362</v>
      </c>
      <c r="I5521" s="36" t="s">
        <v>1361</v>
      </c>
    </row>
    <row r="5522" spans="1:9" x14ac:dyDescent="0.25">
      <c r="A5522" s="38" t="s">
        <v>488</v>
      </c>
      <c r="B5522" s="28">
        <v>9891</v>
      </c>
      <c r="C5522" s="28">
        <v>5669364</v>
      </c>
      <c r="D5522" s="46" t="s">
        <v>37</v>
      </c>
      <c r="E5522" s="35">
        <v>46156</v>
      </c>
      <c r="F5522" s="49">
        <v>0.98032407407407407</v>
      </c>
      <c r="G5522" s="37">
        <v>6.3</v>
      </c>
      <c r="H5522" s="36" t="s">
        <v>1360</v>
      </c>
      <c r="I5522" s="36" t="s">
        <v>1361</v>
      </c>
    </row>
    <row r="5523" spans="1:9" x14ac:dyDescent="0.25">
      <c r="A5523" s="38" t="s">
        <v>488</v>
      </c>
      <c r="B5523" s="28">
        <v>9891</v>
      </c>
      <c r="C5523" s="28">
        <v>5669364</v>
      </c>
      <c r="D5523" s="46" t="s">
        <v>37</v>
      </c>
      <c r="E5523" s="35">
        <v>46156</v>
      </c>
      <c r="F5523" s="49">
        <v>0.98924768518518513</v>
      </c>
      <c r="G5523" s="37">
        <v>6.3</v>
      </c>
      <c r="H5523" s="36" t="s">
        <v>1362</v>
      </c>
      <c r="I5523" s="36" t="s">
        <v>1361</v>
      </c>
    </row>
    <row r="5524" spans="1:9" x14ac:dyDescent="0.25">
      <c r="A5524" s="38" t="s">
        <v>488</v>
      </c>
      <c r="B5524" s="28">
        <v>9891</v>
      </c>
      <c r="C5524" s="28" t="s">
        <v>1353</v>
      </c>
      <c r="D5524" s="46"/>
      <c r="E5524" s="35">
        <v>46157</v>
      </c>
      <c r="F5524" s="49">
        <v>0.86206018518518523</v>
      </c>
      <c r="G5524" s="37">
        <v>6.3</v>
      </c>
      <c r="H5524" s="36" t="s">
        <v>1360</v>
      </c>
      <c r="I5524" s="36" t="s">
        <v>1361</v>
      </c>
    </row>
    <row r="5525" spans="1:9" x14ac:dyDescent="0.25">
      <c r="A5525" s="38" t="s">
        <v>488</v>
      </c>
      <c r="B5525" s="28">
        <v>9891</v>
      </c>
      <c r="C5525" s="28" t="s">
        <v>1353</v>
      </c>
      <c r="D5525" s="46"/>
      <c r="E5525" s="35">
        <v>46157</v>
      </c>
      <c r="F5525" s="49">
        <v>0.87211805555555555</v>
      </c>
      <c r="G5525" s="37">
        <v>6.3</v>
      </c>
      <c r="H5525" s="36" t="s">
        <v>1362</v>
      </c>
      <c r="I5525" s="36" t="s">
        <v>1361</v>
      </c>
    </row>
    <row r="5526" spans="1:9" x14ac:dyDescent="0.25">
      <c r="A5526" s="38" t="s">
        <v>489</v>
      </c>
      <c r="B5526" s="28">
        <v>9896</v>
      </c>
      <c r="C5526" s="28" t="s">
        <v>35</v>
      </c>
      <c r="D5526" s="46" t="s">
        <v>38</v>
      </c>
      <c r="E5526" s="35">
        <v>46157</v>
      </c>
      <c r="F5526" s="49">
        <v>0.56245370370370373</v>
      </c>
      <c r="G5526" s="37">
        <v>6.3</v>
      </c>
      <c r="H5526" s="36" t="s">
        <v>1362</v>
      </c>
      <c r="I5526" s="36" t="s">
        <v>1361</v>
      </c>
    </row>
    <row r="5527" spans="1:9" x14ac:dyDescent="0.25">
      <c r="A5527" s="38" t="s">
        <v>213</v>
      </c>
      <c r="B5527" s="28">
        <v>9922</v>
      </c>
      <c r="C5527" s="28">
        <v>5664158</v>
      </c>
      <c r="D5527" s="46"/>
      <c r="E5527" s="35">
        <v>46154</v>
      </c>
      <c r="F5527" s="49">
        <v>4.3900462962962961E-2</v>
      </c>
      <c r="G5527" s="37">
        <v>6.3</v>
      </c>
      <c r="H5527" s="36" t="s">
        <v>1360</v>
      </c>
      <c r="I5527" s="36" t="s">
        <v>1361</v>
      </c>
    </row>
    <row r="5528" spans="1:9" x14ac:dyDescent="0.25">
      <c r="A5528" s="38" t="s">
        <v>213</v>
      </c>
      <c r="B5528" s="28">
        <v>9922</v>
      </c>
      <c r="C5528" s="28">
        <v>5665635</v>
      </c>
      <c r="D5528" s="46"/>
      <c r="E5528" s="35">
        <v>46154</v>
      </c>
      <c r="F5528" s="49">
        <v>0.98871527777777779</v>
      </c>
      <c r="G5528" s="37">
        <v>6.3</v>
      </c>
      <c r="H5528" s="36" t="s">
        <v>1360</v>
      </c>
      <c r="I5528" s="36" t="s">
        <v>1361</v>
      </c>
    </row>
    <row r="5529" spans="1:9" x14ac:dyDescent="0.25">
      <c r="A5529" s="38" t="s">
        <v>213</v>
      </c>
      <c r="B5529" s="28">
        <v>9922</v>
      </c>
      <c r="C5529" s="28">
        <v>5665635</v>
      </c>
      <c r="D5529" s="46"/>
      <c r="E5529" s="35">
        <v>46154</v>
      </c>
      <c r="F5529" s="49">
        <v>0.99520833333333336</v>
      </c>
      <c r="G5529" s="37">
        <v>6.3</v>
      </c>
      <c r="H5529" s="36" t="s">
        <v>1362</v>
      </c>
      <c r="I5529" s="36" t="s">
        <v>1361</v>
      </c>
    </row>
    <row r="5530" spans="1:9" x14ac:dyDescent="0.25">
      <c r="A5530" s="38" t="s">
        <v>351</v>
      </c>
      <c r="B5530" s="28">
        <v>9935</v>
      </c>
      <c r="C5530" s="28" t="s">
        <v>1354</v>
      </c>
      <c r="D5530" s="46"/>
      <c r="E5530" s="35">
        <v>46153</v>
      </c>
      <c r="F5530" s="49">
        <v>0.88848379629629626</v>
      </c>
      <c r="G5530" s="37">
        <v>6.3</v>
      </c>
      <c r="H5530" s="36" t="s">
        <v>1360</v>
      </c>
      <c r="I5530" s="36" t="s">
        <v>1361</v>
      </c>
    </row>
    <row r="5531" spans="1:9" x14ac:dyDescent="0.25">
      <c r="A5531" s="38" t="s">
        <v>351</v>
      </c>
      <c r="B5531" s="28">
        <v>9935</v>
      </c>
      <c r="C5531" s="28" t="s">
        <v>1354</v>
      </c>
      <c r="D5531" s="46"/>
      <c r="E5531" s="35">
        <v>46153</v>
      </c>
      <c r="F5531" s="49">
        <v>0.89534722222222218</v>
      </c>
      <c r="G5531" s="37">
        <v>6.3</v>
      </c>
      <c r="H5531" s="36" t="s">
        <v>1362</v>
      </c>
      <c r="I5531" s="36" t="s">
        <v>1361</v>
      </c>
    </row>
    <row r="5532" spans="1:9" x14ac:dyDescent="0.25">
      <c r="A5532" s="38" t="s">
        <v>351</v>
      </c>
      <c r="B5532" s="28">
        <v>9935</v>
      </c>
      <c r="C5532" s="28">
        <v>5662926</v>
      </c>
      <c r="D5532" s="46"/>
      <c r="E5532" s="35">
        <v>46153</v>
      </c>
      <c r="F5532" s="49">
        <v>0.95578703703703705</v>
      </c>
      <c r="G5532" s="37">
        <v>6.3</v>
      </c>
      <c r="H5532" s="36" t="s">
        <v>1360</v>
      </c>
      <c r="I5532" s="36" t="s">
        <v>1361</v>
      </c>
    </row>
    <row r="5533" spans="1:9" x14ac:dyDescent="0.25">
      <c r="A5533" s="38" t="s">
        <v>351</v>
      </c>
      <c r="B5533" s="28">
        <v>9935</v>
      </c>
      <c r="C5533" s="28">
        <v>5664996</v>
      </c>
      <c r="D5533" s="46"/>
      <c r="E5533" s="35">
        <v>46154</v>
      </c>
      <c r="F5533" s="49">
        <v>0.94763888888888892</v>
      </c>
      <c r="G5533" s="37">
        <v>6.3</v>
      </c>
      <c r="H5533" s="36" t="s">
        <v>1360</v>
      </c>
      <c r="I5533" s="36" t="s">
        <v>1361</v>
      </c>
    </row>
    <row r="5534" spans="1:9" x14ac:dyDescent="0.25">
      <c r="A5534" s="38" t="s">
        <v>351</v>
      </c>
      <c r="B5534" s="28">
        <v>9935</v>
      </c>
      <c r="C5534" s="28">
        <v>5664996</v>
      </c>
      <c r="D5534" s="46"/>
      <c r="E5534" s="35">
        <v>46154</v>
      </c>
      <c r="F5534" s="49">
        <v>0.95468750000000002</v>
      </c>
      <c r="G5534" s="37">
        <v>6.3</v>
      </c>
      <c r="H5534" s="36" t="s">
        <v>1362</v>
      </c>
      <c r="I5534" s="36" t="s">
        <v>1361</v>
      </c>
    </row>
    <row r="5535" spans="1:9" x14ac:dyDescent="0.25">
      <c r="A5535" s="38" t="s">
        <v>351</v>
      </c>
      <c r="B5535" s="28">
        <v>9935</v>
      </c>
      <c r="C5535" s="28" t="s">
        <v>1355</v>
      </c>
      <c r="D5535" s="46"/>
      <c r="E5535" s="35">
        <v>46156</v>
      </c>
      <c r="F5535" s="49">
        <v>1.8414351851851852E-2</v>
      </c>
      <c r="G5535" s="37">
        <v>6.3</v>
      </c>
      <c r="H5535" s="36" t="s">
        <v>1360</v>
      </c>
      <c r="I5535" s="36" t="s">
        <v>1361</v>
      </c>
    </row>
    <row r="5536" spans="1:9" x14ac:dyDescent="0.25">
      <c r="A5536" s="38" t="s">
        <v>351</v>
      </c>
      <c r="B5536" s="28">
        <v>9935</v>
      </c>
      <c r="C5536" s="28" t="s">
        <v>1355</v>
      </c>
      <c r="D5536" s="46"/>
      <c r="E5536" s="35">
        <v>46156</v>
      </c>
      <c r="F5536" s="49">
        <v>2.5532407407407406E-2</v>
      </c>
      <c r="G5536" s="37">
        <v>6.3</v>
      </c>
      <c r="H5536" s="36" t="s">
        <v>1362</v>
      </c>
      <c r="I5536" s="36" t="s">
        <v>1361</v>
      </c>
    </row>
    <row r="5537" spans="1:9" x14ac:dyDescent="0.25">
      <c r="A5537" s="38" t="s">
        <v>351</v>
      </c>
      <c r="B5537" s="28">
        <v>9935</v>
      </c>
      <c r="C5537" s="28">
        <v>5670660</v>
      </c>
      <c r="D5537" s="46"/>
      <c r="E5537" s="35">
        <v>46157</v>
      </c>
      <c r="F5537" s="49">
        <v>0.99025462962962962</v>
      </c>
      <c r="G5537" s="37">
        <v>6.3</v>
      </c>
      <c r="H5537" s="36" t="s">
        <v>1360</v>
      </c>
      <c r="I5537" s="36" t="s">
        <v>1365</v>
      </c>
    </row>
    <row r="5538" spans="1:9" x14ac:dyDescent="0.25">
      <c r="A5538" s="38" t="s">
        <v>351</v>
      </c>
      <c r="B5538" s="28">
        <v>9935</v>
      </c>
      <c r="C5538" s="28">
        <v>5670660</v>
      </c>
      <c r="D5538" s="46"/>
      <c r="E5538" s="35">
        <v>46157</v>
      </c>
      <c r="F5538" s="49">
        <v>0.99527777777777782</v>
      </c>
      <c r="G5538" s="37">
        <v>6.3</v>
      </c>
      <c r="H5538" s="36" t="s">
        <v>1366</v>
      </c>
      <c r="I5538" s="36" t="s">
        <v>1365</v>
      </c>
    </row>
    <row r="5539" spans="1:9" x14ac:dyDescent="0.25">
      <c r="A5539" s="38" t="s">
        <v>203</v>
      </c>
      <c r="B5539" s="28">
        <v>9938</v>
      </c>
      <c r="C5539" s="28">
        <v>5647312</v>
      </c>
      <c r="D5539" s="46"/>
      <c r="E5539" s="35">
        <v>46155</v>
      </c>
      <c r="F5539" s="49">
        <v>0.63947916666666671</v>
      </c>
      <c r="G5539" s="37">
        <v>6.3</v>
      </c>
      <c r="H5539" s="36" t="s">
        <v>1360</v>
      </c>
      <c r="I5539" s="36" t="s">
        <v>1361</v>
      </c>
    </row>
    <row r="5540" spans="1:9" x14ac:dyDescent="0.25">
      <c r="A5540" s="38" t="s">
        <v>203</v>
      </c>
      <c r="B5540" s="28">
        <v>9938</v>
      </c>
      <c r="C5540" s="28">
        <v>5647312</v>
      </c>
      <c r="D5540" s="46"/>
      <c r="E5540" s="35">
        <v>46155</v>
      </c>
      <c r="F5540" s="49">
        <v>0.64946759259259257</v>
      </c>
      <c r="G5540" s="37">
        <v>6.3</v>
      </c>
      <c r="H5540" s="36" t="s">
        <v>1362</v>
      </c>
      <c r="I5540" s="36" t="s">
        <v>1361</v>
      </c>
    </row>
    <row r="5541" spans="1:9" x14ac:dyDescent="0.25">
      <c r="A5541" s="38" t="s">
        <v>203</v>
      </c>
      <c r="B5541" s="28">
        <v>9938</v>
      </c>
      <c r="C5541" s="28">
        <v>5666688</v>
      </c>
      <c r="D5541" s="46"/>
      <c r="E5541" s="35">
        <v>46155</v>
      </c>
      <c r="F5541" s="49">
        <v>0.71883101851851849</v>
      </c>
      <c r="G5541" s="37">
        <v>6.3</v>
      </c>
      <c r="H5541" s="36" t="s">
        <v>1363</v>
      </c>
      <c r="I5541" s="36" t="s">
        <v>1361</v>
      </c>
    </row>
    <row r="5542" spans="1:9" x14ac:dyDescent="0.25">
      <c r="A5542" s="38" t="s">
        <v>203</v>
      </c>
      <c r="B5542" s="28">
        <v>9938</v>
      </c>
      <c r="C5542" s="28">
        <v>5666688</v>
      </c>
      <c r="D5542" s="46"/>
      <c r="E5542" s="35">
        <v>46155</v>
      </c>
      <c r="F5542" s="49">
        <v>0.73209490740740746</v>
      </c>
      <c r="G5542" s="37">
        <v>6.3</v>
      </c>
      <c r="H5542" s="36" t="s">
        <v>1364</v>
      </c>
      <c r="I5542" s="36" t="s">
        <v>1361</v>
      </c>
    </row>
    <row r="5543" spans="1:9" x14ac:dyDescent="0.25">
      <c r="A5543" s="38" t="s">
        <v>203</v>
      </c>
      <c r="B5543" s="28">
        <v>9938</v>
      </c>
      <c r="C5543" s="28">
        <v>5667120</v>
      </c>
      <c r="D5543" s="46"/>
      <c r="E5543" s="35">
        <v>46155</v>
      </c>
      <c r="F5543" s="49">
        <v>0.81761574074074073</v>
      </c>
      <c r="G5543" s="37">
        <v>6.3</v>
      </c>
      <c r="H5543" s="36" t="s">
        <v>1360</v>
      </c>
      <c r="I5543" s="36" t="s">
        <v>1361</v>
      </c>
    </row>
    <row r="5544" spans="1:9" x14ac:dyDescent="0.25">
      <c r="A5544" s="38" t="s">
        <v>203</v>
      </c>
      <c r="B5544" s="28">
        <v>9938</v>
      </c>
      <c r="C5544" s="28">
        <v>5667120</v>
      </c>
      <c r="D5544" s="46"/>
      <c r="E5544" s="35">
        <v>46155</v>
      </c>
      <c r="F5544" s="49">
        <v>0.8370023148148148</v>
      </c>
      <c r="G5544" s="37">
        <v>6.3</v>
      </c>
      <c r="H5544" s="36" t="s">
        <v>1362</v>
      </c>
      <c r="I5544" s="36" t="s">
        <v>1361</v>
      </c>
    </row>
    <row r="5545" spans="1:9" x14ac:dyDescent="0.25">
      <c r="A5545" s="38" t="s">
        <v>203</v>
      </c>
      <c r="B5545" s="28">
        <v>9938</v>
      </c>
      <c r="C5545" s="28" t="s">
        <v>1356</v>
      </c>
      <c r="D5545" s="46"/>
      <c r="E5545" s="35">
        <v>46156</v>
      </c>
      <c r="F5545" s="49">
        <v>0.6610300925925926</v>
      </c>
      <c r="G5545" s="37">
        <v>6.3</v>
      </c>
      <c r="H5545" s="36" t="s">
        <v>1360</v>
      </c>
      <c r="I5545" s="36" t="s">
        <v>1361</v>
      </c>
    </row>
    <row r="5546" spans="1:9" x14ac:dyDescent="0.25">
      <c r="A5546" s="38" t="s">
        <v>203</v>
      </c>
      <c r="B5546" s="28">
        <v>9938</v>
      </c>
      <c r="C5546" s="28" t="s">
        <v>1356</v>
      </c>
      <c r="D5546" s="46"/>
      <c r="E5546" s="35">
        <v>46156</v>
      </c>
      <c r="F5546" s="49">
        <v>0.67972222222222223</v>
      </c>
      <c r="G5546" s="37">
        <v>6.3</v>
      </c>
      <c r="H5546" s="36" t="s">
        <v>1362</v>
      </c>
      <c r="I5546" s="36" t="s">
        <v>1361</v>
      </c>
    </row>
    <row r="5547" spans="1:9" x14ac:dyDescent="0.25">
      <c r="A5547" s="38" t="s">
        <v>203</v>
      </c>
      <c r="B5547" s="28">
        <v>9938</v>
      </c>
      <c r="C5547" s="28">
        <v>5670869</v>
      </c>
      <c r="D5547" s="46"/>
      <c r="E5547" s="35">
        <v>46157</v>
      </c>
      <c r="F5547" s="49">
        <v>0.85085648148148152</v>
      </c>
      <c r="G5547" s="37">
        <v>6.3</v>
      </c>
      <c r="H5547" s="36" t="s">
        <v>1360</v>
      </c>
      <c r="I5547" s="36" t="s">
        <v>1361</v>
      </c>
    </row>
    <row r="5548" spans="1:9" x14ac:dyDescent="0.25">
      <c r="A5548" s="38" t="s">
        <v>203</v>
      </c>
      <c r="B5548" s="28">
        <v>9938</v>
      </c>
      <c r="C5548" s="28">
        <v>5670869</v>
      </c>
      <c r="D5548" s="46"/>
      <c r="E5548" s="35">
        <v>46157</v>
      </c>
      <c r="F5548" s="49">
        <v>0.8625694444444445</v>
      </c>
      <c r="G5548" s="37">
        <v>6.3</v>
      </c>
      <c r="H5548" s="36" t="s">
        <v>1362</v>
      </c>
      <c r="I5548" s="36" t="s">
        <v>1361</v>
      </c>
    </row>
    <row r="5549" spans="1:9" x14ac:dyDescent="0.25">
      <c r="A5549" s="38" t="s">
        <v>203</v>
      </c>
      <c r="B5549" s="28">
        <v>9938</v>
      </c>
      <c r="C5549" s="28">
        <v>5669720</v>
      </c>
      <c r="D5549" s="46"/>
      <c r="E5549" s="35">
        <v>46157</v>
      </c>
      <c r="F5549" s="49">
        <v>0.95586805555555554</v>
      </c>
      <c r="G5549" s="37">
        <v>6.3</v>
      </c>
      <c r="H5549" s="36" t="s">
        <v>1360</v>
      </c>
      <c r="I5549" s="36" t="s">
        <v>1365</v>
      </c>
    </row>
    <row r="5550" spans="1:9" x14ac:dyDescent="0.25">
      <c r="A5550" s="38" t="s">
        <v>203</v>
      </c>
      <c r="B5550" s="28">
        <v>9938</v>
      </c>
      <c r="C5550" s="28">
        <v>5669720</v>
      </c>
      <c r="D5550" s="46"/>
      <c r="E5550" s="35">
        <v>46157</v>
      </c>
      <c r="F5550" s="49">
        <v>0.96378472222222222</v>
      </c>
      <c r="G5550" s="37">
        <v>6.3</v>
      </c>
      <c r="H5550" s="36" t="s">
        <v>1362</v>
      </c>
      <c r="I5550" s="36" t="s">
        <v>1365</v>
      </c>
    </row>
    <row r="5551" spans="1:9" x14ac:dyDescent="0.25">
      <c r="A5551" s="38" t="s">
        <v>203</v>
      </c>
      <c r="B5551" s="28">
        <v>9938</v>
      </c>
      <c r="C5551" s="28">
        <v>5671912</v>
      </c>
      <c r="D5551" s="46"/>
      <c r="E5551" s="35">
        <v>46158</v>
      </c>
      <c r="F5551" s="49">
        <v>0.86501157407407403</v>
      </c>
      <c r="G5551" s="37">
        <v>6.3</v>
      </c>
      <c r="H5551" s="36" t="s">
        <v>1360</v>
      </c>
      <c r="I5551" s="36" t="s">
        <v>1365</v>
      </c>
    </row>
    <row r="5552" spans="1:9" x14ac:dyDescent="0.25">
      <c r="A5552" s="38" t="s">
        <v>203</v>
      </c>
      <c r="B5552" s="28">
        <v>9938</v>
      </c>
      <c r="C5552" s="28">
        <v>5671912</v>
      </c>
      <c r="D5552" s="46"/>
      <c r="E5552" s="35">
        <v>46158</v>
      </c>
      <c r="F5552" s="49">
        <v>0.8724305555555556</v>
      </c>
      <c r="G5552" s="37">
        <v>6.3</v>
      </c>
      <c r="H5552" s="36" t="s">
        <v>1362</v>
      </c>
      <c r="I5552" s="36" t="s">
        <v>1365</v>
      </c>
    </row>
    <row r="5553" spans="1:9" x14ac:dyDescent="0.25">
      <c r="A5553" s="38" t="s">
        <v>203</v>
      </c>
      <c r="B5553" s="28">
        <v>9938</v>
      </c>
      <c r="C5553" s="28" t="s">
        <v>1357</v>
      </c>
      <c r="D5553" s="46"/>
      <c r="E5553" s="35">
        <v>46158</v>
      </c>
      <c r="F5553" s="49">
        <v>0.96537037037037032</v>
      </c>
      <c r="G5553" s="37">
        <v>6.3</v>
      </c>
      <c r="H5553" s="36" t="s">
        <v>1360</v>
      </c>
      <c r="I5553" s="36" t="s">
        <v>1365</v>
      </c>
    </row>
    <row r="5554" spans="1:9" x14ac:dyDescent="0.25">
      <c r="A5554" s="38" t="s">
        <v>203</v>
      </c>
      <c r="B5554" s="28">
        <v>9938</v>
      </c>
      <c r="C5554" s="28" t="s">
        <v>1357</v>
      </c>
      <c r="D5554" s="46"/>
      <c r="E5554" s="35">
        <v>46158</v>
      </c>
      <c r="F5554" s="49">
        <v>0.97218749999999998</v>
      </c>
      <c r="G5554" s="37">
        <v>6.3</v>
      </c>
      <c r="H5554" s="36" t="s">
        <v>1368</v>
      </c>
      <c r="I5554" s="36" t="s">
        <v>1365</v>
      </c>
    </row>
    <row r="5555" spans="1:9" x14ac:dyDescent="0.25">
      <c r="A5555" s="38" t="s">
        <v>209</v>
      </c>
      <c r="B5555" s="28">
        <v>9950</v>
      </c>
      <c r="C5555" s="28">
        <v>5662009</v>
      </c>
      <c r="D5555" s="46"/>
      <c r="E5555" s="35">
        <v>46153</v>
      </c>
      <c r="F5555" s="49">
        <v>0.22398148148148148</v>
      </c>
      <c r="G5555" s="37">
        <v>6.3</v>
      </c>
      <c r="H5555" s="36" t="s">
        <v>1369</v>
      </c>
      <c r="I5555" s="36" t="s">
        <v>1361</v>
      </c>
    </row>
    <row r="5556" spans="1:9" x14ac:dyDescent="0.25">
      <c r="A5556" s="38" t="s">
        <v>209</v>
      </c>
      <c r="B5556" s="28">
        <v>9950</v>
      </c>
      <c r="C5556" s="28">
        <v>5662009</v>
      </c>
      <c r="D5556" s="46"/>
      <c r="E5556" s="35">
        <v>46153</v>
      </c>
      <c r="F5556" s="49">
        <v>0.22918981481481482</v>
      </c>
      <c r="G5556" s="37">
        <v>6.3</v>
      </c>
      <c r="H5556" s="36" t="s">
        <v>1364</v>
      </c>
      <c r="I5556" s="36" t="s">
        <v>1361</v>
      </c>
    </row>
    <row r="5557" spans="1:9" x14ac:dyDescent="0.25">
      <c r="A5557" s="38" t="s">
        <v>209</v>
      </c>
      <c r="B5557" s="28">
        <v>9950</v>
      </c>
      <c r="C5557" s="28">
        <v>5660784</v>
      </c>
      <c r="D5557" s="46"/>
      <c r="E5557" s="35">
        <v>46153</v>
      </c>
      <c r="F5557" s="49">
        <v>0.83001157407407411</v>
      </c>
      <c r="G5557" s="37">
        <v>6.3</v>
      </c>
      <c r="H5557" s="36" t="s">
        <v>1360</v>
      </c>
      <c r="I5557" s="36" t="s">
        <v>1361</v>
      </c>
    </row>
    <row r="5558" spans="1:9" x14ac:dyDescent="0.25">
      <c r="A5558" s="38" t="s">
        <v>209</v>
      </c>
      <c r="B5558" s="28">
        <v>9950</v>
      </c>
      <c r="C5558" s="28">
        <v>5660784</v>
      </c>
      <c r="D5558" s="46"/>
      <c r="E5558" s="35">
        <v>46153</v>
      </c>
      <c r="F5558" s="49">
        <v>0.83849537037037036</v>
      </c>
      <c r="G5558" s="37">
        <v>6.3</v>
      </c>
      <c r="H5558" s="36" t="s">
        <v>1362</v>
      </c>
      <c r="I5558" s="36" t="s">
        <v>1361</v>
      </c>
    </row>
    <row r="5559" spans="1:9" x14ac:dyDescent="0.25">
      <c r="A5559" s="38" t="s">
        <v>209</v>
      </c>
      <c r="B5559" s="28">
        <v>9950</v>
      </c>
      <c r="C5559" s="28" t="s">
        <v>35</v>
      </c>
      <c r="D5559" s="46" t="s">
        <v>38</v>
      </c>
      <c r="E5559" s="35">
        <v>46155</v>
      </c>
      <c r="F5559" s="49">
        <v>0.21599537037037037</v>
      </c>
      <c r="G5559" s="37">
        <v>6.3</v>
      </c>
      <c r="H5559" s="36" t="s">
        <v>1369</v>
      </c>
      <c r="I5559" s="36" t="s">
        <v>1361</v>
      </c>
    </row>
    <row r="5560" spans="1:9" x14ac:dyDescent="0.25">
      <c r="A5560" s="38" t="s">
        <v>209</v>
      </c>
      <c r="B5560" s="28">
        <v>9950</v>
      </c>
      <c r="C5560" s="28" t="s">
        <v>35</v>
      </c>
      <c r="D5560" s="46" t="s">
        <v>38</v>
      </c>
      <c r="E5560" s="35">
        <v>46155</v>
      </c>
      <c r="F5560" s="49">
        <v>0.2217824074074074</v>
      </c>
      <c r="G5560" s="37">
        <v>6.3</v>
      </c>
      <c r="H5560" s="36" t="s">
        <v>1364</v>
      </c>
      <c r="I5560" s="36" t="s">
        <v>1361</v>
      </c>
    </row>
    <row r="5561" spans="1:9" x14ac:dyDescent="0.25">
      <c r="A5561" s="38" t="s">
        <v>209</v>
      </c>
      <c r="B5561" s="28">
        <v>9950</v>
      </c>
      <c r="C5561" s="28">
        <v>5666152</v>
      </c>
      <c r="D5561" s="46"/>
      <c r="E5561" s="35">
        <v>46155</v>
      </c>
      <c r="F5561" s="49">
        <v>0.35949074074074072</v>
      </c>
      <c r="G5561" s="37">
        <v>6.3</v>
      </c>
      <c r="H5561" s="36" t="s">
        <v>1360</v>
      </c>
      <c r="I5561" s="36" t="s">
        <v>1361</v>
      </c>
    </row>
    <row r="5562" spans="1:9" x14ac:dyDescent="0.25">
      <c r="A5562" s="38" t="s">
        <v>209</v>
      </c>
      <c r="B5562" s="28">
        <v>9950</v>
      </c>
      <c r="C5562" s="28">
        <v>5666152</v>
      </c>
      <c r="D5562" s="46"/>
      <c r="E5562" s="35">
        <v>46155</v>
      </c>
      <c r="F5562" s="49">
        <v>0.3923611111111111</v>
      </c>
      <c r="G5562" s="37">
        <v>6.3</v>
      </c>
      <c r="H5562" s="36" t="s">
        <v>1362</v>
      </c>
      <c r="I5562" s="36" t="s">
        <v>1361</v>
      </c>
    </row>
    <row r="5563" spans="1:9" x14ac:dyDescent="0.25">
      <c r="A5563" s="38" t="s">
        <v>209</v>
      </c>
      <c r="B5563" s="28">
        <v>9950</v>
      </c>
      <c r="C5563" s="28">
        <v>5666395</v>
      </c>
      <c r="D5563" s="46"/>
      <c r="E5563" s="35">
        <v>46155</v>
      </c>
      <c r="F5563" s="49">
        <v>0.60204861111111108</v>
      </c>
      <c r="G5563" s="37">
        <v>6.3</v>
      </c>
      <c r="H5563" s="36" t="s">
        <v>1364</v>
      </c>
      <c r="I5563" s="36" t="s">
        <v>1361</v>
      </c>
    </row>
    <row r="5564" spans="1:9" x14ac:dyDescent="0.25">
      <c r="A5564" s="38" t="s">
        <v>209</v>
      </c>
      <c r="B5564" s="28">
        <v>9950</v>
      </c>
      <c r="C5564" s="28">
        <v>5667086</v>
      </c>
      <c r="D5564" s="46"/>
      <c r="E5564" s="35">
        <v>46155</v>
      </c>
      <c r="F5564" s="49">
        <v>0.79740740740740745</v>
      </c>
      <c r="G5564" s="37">
        <v>6.3</v>
      </c>
      <c r="H5564" s="36" t="s">
        <v>1360</v>
      </c>
      <c r="I5564" s="36" t="s">
        <v>1361</v>
      </c>
    </row>
    <row r="5565" spans="1:9" x14ac:dyDescent="0.25">
      <c r="A5565" s="38" t="s">
        <v>209</v>
      </c>
      <c r="B5565" s="28">
        <v>9950</v>
      </c>
      <c r="C5565" s="28" t="s">
        <v>35</v>
      </c>
      <c r="D5565" s="46" t="s">
        <v>38</v>
      </c>
      <c r="E5565" s="35">
        <v>46155</v>
      </c>
      <c r="F5565" s="49">
        <v>0.90483796296296293</v>
      </c>
      <c r="G5565" s="37">
        <v>6.3</v>
      </c>
      <c r="H5565" s="36" t="s">
        <v>1368</v>
      </c>
      <c r="I5565" s="36" t="s">
        <v>1361</v>
      </c>
    </row>
    <row r="5566" spans="1:9" x14ac:dyDescent="0.25">
      <c r="A5566" s="38" t="s">
        <v>209</v>
      </c>
      <c r="B5566" s="28">
        <v>9950</v>
      </c>
      <c r="C5566" s="28">
        <v>5666194</v>
      </c>
      <c r="D5566" s="46"/>
      <c r="E5566" s="35">
        <v>46156</v>
      </c>
      <c r="F5566" s="49">
        <v>0.34581018518518519</v>
      </c>
      <c r="G5566" s="37">
        <v>6.3</v>
      </c>
      <c r="H5566" s="36" t="s">
        <v>1364</v>
      </c>
      <c r="I5566" s="36" t="s">
        <v>1361</v>
      </c>
    </row>
    <row r="5567" spans="1:9" x14ac:dyDescent="0.25">
      <c r="A5567" s="38" t="s">
        <v>209</v>
      </c>
      <c r="B5567" s="28">
        <v>9950</v>
      </c>
      <c r="C5567" s="28" t="s">
        <v>35</v>
      </c>
      <c r="D5567" s="46" t="s">
        <v>38</v>
      </c>
      <c r="E5567" s="35">
        <v>46156</v>
      </c>
      <c r="F5567" s="49">
        <v>0.40922453703703704</v>
      </c>
      <c r="G5567" s="37">
        <v>6.3</v>
      </c>
      <c r="H5567" s="36" t="s">
        <v>1369</v>
      </c>
      <c r="I5567" s="36" t="s">
        <v>1361</v>
      </c>
    </row>
    <row r="5568" spans="1:9" x14ac:dyDescent="0.25">
      <c r="A5568" s="38" t="s">
        <v>209</v>
      </c>
      <c r="B5568" s="28">
        <v>9950</v>
      </c>
      <c r="C5568" s="28" t="s">
        <v>1358</v>
      </c>
      <c r="D5568" s="46"/>
      <c r="E5568" s="35">
        <v>46157</v>
      </c>
      <c r="F5568" s="49">
        <v>0.3815972222222222</v>
      </c>
      <c r="G5568" s="37">
        <v>6.3</v>
      </c>
      <c r="H5568" s="36" t="s">
        <v>1360</v>
      </c>
      <c r="I5568" s="36" t="s">
        <v>1361</v>
      </c>
    </row>
    <row r="5569" spans="1:9" x14ac:dyDescent="0.25">
      <c r="A5569" s="38" t="s">
        <v>209</v>
      </c>
      <c r="B5569" s="28">
        <v>9950</v>
      </c>
      <c r="C5569" s="28" t="s">
        <v>1358</v>
      </c>
      <c r="D5569" s="46"/>
      <c r="E5569" s="35">
        <v>46157</v>
      </c>
      <c r="F5569" s="49">
        <v>0.39344907407407409</v>
      </c>
      <c r="G5569" s="37">
        <v>6.3</v>
      </c>
      <c r="H5569" s="36" t="s">
        <v>1362</v>
      </c>
      <c r="I5569" s="36" t="s">
        <v>1361</v>
      </c>
    </row>
    <row r="5570" spans="1:9" x14ac:dyDescent="0.25">
      <c r="A5570" s="38" t="s">
        <v>209</v>
      </c>
      <c r="B5570" s="28">
        <v>9950</v>
      </c>
      <c r="C5570" s="28">
        <v>5669616</v>
      </c>
      <c r="D5570" s="46"/>
      <c r="E5570" s="35">
        <v>46157</v>
      </c>
      <c r="F5570" s="49">
        <v>0.75388888888888894</v>
      </c>
      <c r="G5570" s="37">
        <v>6.3</v>
      </c>
      <c r="H5570" s="36" t="s">
        <v>1360</v>
      </c>
      <c r="I5570" s="36" t="s">
        <v>1361</v>
      </c>
    </row>
    <row r="5571" spans="1:9" x14ac:dyDescent="0.25">
      <c r="A5571" s="38" t="s">
        <v>209</v>
      </c>
      <c r="B5571" s="28">
        <v>9950</v>
      </c>
      <c r="C5571" s="28">
        <v>5671053</v>
      </c>
      <c r="D5571" s="46"/>
      <c r="E5571" s="35">
        <v>46157</v>
      </c>
      <c r="F5571" s="49">
        <v>0.95423611111111106</v>
      </c>
      <c r="G5571" s="37">
        <v>6.3</v>
      </c>
      <c r="H5571" s="36" t="s">
        <v>1360</v>
      </c>
      <c r="I5571" s="36" t="s">
        <v>1361</v>
      </c>
    </row>
    <row r="5572" spans="1:9" x14ac:dyDescent="0.25">
      <c r="A5572" s="38" t="s">
        <v>209</v>
      </c>
      <c r="B5572" s="28">
        <v>9950</v>
      </c>
      <c r="C5572" s="28" t="s">
        <v>35</v>
      </c>
      <c r="D5572" s="46" t="s">
        <v>38</v>
      </c>
      <c r="E5572" s="35">
        <v>46158</v>
      </c>
      <c r="F5572" s="49">
        <v>0.9307523148148148</v>
      </c>
      <c r="G5572" s="37">
        <v>6.3</v>
      </c>
      <c r="H5572" s="36" t="s">
        <v>1362</v>
      </c>
      <c r="I5572" s="36" t="s">
        <v>1365</v>
      </c>
    </row>
    <row r="5573" spans="1:9" x14ac:dyDescent="0.25">
      <c r="A5573" s="38" t="s">
        <v>210</v>
      </c>
      <c r="B5573" s="28">
        <v>9980</v>
      </c>
      <c r="C5573" s="28">
        <v>10638114</v>
      </c>
      <c r="D5573" s="46"/>
      <c r="E5573" s="35">
        <v>46153</v>
      </c>
      <c r="F5573" s="49">
        <v>0.19125</v>
      </c>
      <c r="G5573" s="37">
        <v>6.3</v>
      </c>
      <c r="H5573" s="36" t="s">
        <v>1369</v>
      </c>
      <c r="I5573" s="36" t="s">
        <v>1361</v>
      </c>
    </row>
    <row r="5574" spans="1:9" x14ac:dyDescent="0.25">
      <c r="A5574" s="38" t="s">
        <v>210</v>
      </c>
      <c r="B5574" s="28">
        <v>9980</v>
      </c>
      <c r="C5574" s="28">
        <v>10638114</v>
      </c>
      <c r="D5574" s="46"/>
      <c r="E5574" s="35">
        <v>46153</v>
      </c>
      <c r="F5574" s="49">
        <v>0.1975462962962963</v>
      </c>
      <c r="G5574" s="37">
        <v>6.3</v>
      </c>
      <c r="H5574" s="36" t="s">
        <v>1364</v>
      </c>
      <c r="I5574" s="36" t="s">
        <v>1361</v>
      </c>
    </row>
    <row r="5575" spans="1:9" x14ac:dyDescent="0.25">
      <c r="A5575" s="38" t="s">
        <v>210</v>
      </c>
      <c r="B5575" s="28">
        <v>9980</v>
      </c>
      <c r="C5575" s="28">
        <v>10642667</v>
      </c>
      <c r="D5575" s="46" t="s">
        <v>36</v>
      </c>
      <c r="E5575" s="35">
        <v>46153</v>
      </c>
      <c r="F5575" s="49">
        <v>0.33778935185185183</v>
      </c>
      <c r="G5575" s="37">
        <v>6.3</v>
      </c>
      <c r="H5575" s="36" t="s">
        <v>1360</v>
      </c>
      <c r="I5575" s="36" t="s">
        <v>1361</v>
      </c>
    </row>
    <row r="5576" spans="1:9" x14ac:dyDescent="0.25">
      <c r="A5576" s="38" t="s">
        <v>210</v>
      </c>
      <c r="B5576" s="28">
        <v>9980</v>
      </c>
      <c r="C5576" s="28">
        <v>10638163</v>
      </c>
      <c r="D5576" s="46"/>
      <c r="E5576" s="35">
        <v>46153</v>
      </c>
      <c r="F5576" s="49">
        <v>0.51756944444444442</v>
      </c>
      <c r="G5576" s="37">
        <v>6.3</v>
      </c>
      <c r="H5576" s="36" t="s">
        <v>1369</v>
      </c>
      <c r="I5576" s="36" t="s">
        <v>1361</v>
      </c>
    </row>
    <row r="5577" spans="1:9" x14ac:dyDescent="0.25">
      <c r="A5577" s="38" t="s">
        <v>210</v>
      </c>
      <c r="B5577" s="28">
        <v>9980</v>
      </c>
      <c r="C5577" s="28">
        <v>10638163</v>
      </c>
      <c r="D5577" s="46"/>
      <c r="E5577" s="35">
        <v>46153</v>
      </c>
      <c r="F5577" s="49">
        <v>0.52356481481481476</v>
      </c>
      <c r="G5577" s="37">
        <v>6.3</v>
      </c>
      <c r="H5577" s="36" t="s">
        <v>1364</v>
      </c>
      <c r="I5577" s="36" t="s">
        <v>1361</v>
      </c>
    </row>
    <row r="5578" spans="1:9" x14ac:dyDescent="0.25">
      <c r="A5578" s="38" t="s">
        <v>210</v>
      </c>
      <c r="B5578" s="28">
        <v>9980</v>
      </c>
      <c r="C5578" s="28">
        <v>10638417</v>
      </c>
      <c r="D5578" s="46" t="s">
        <v>36</v>
      </c>
      <c r="E5578" s="35">
        <v>46153</v>
      </c>
      <c r="F5578" s="49">
        <v>0.57532407407407404</v>
      </c>
      <c r="G5578" s="37">
        <v>6.3</v>
      </c>
      <c r="H5578" s="36" t="s">
        <v>1360</v>
      </c>
      <c r="I5578" s="36" t="s">
        <v>1361</v>
      </c>
    </row>
    <row r="5579" spans="1:9" x14ac:dyDescent="0.25">
      <c r="A5579" s="38" t="s">
        <v>210</v>
      </c>
      <c r="B5579" s="28">
        <v>9980</v>
      </c>
      <c r="C5579" s="28">
        <v>5663292</v>
      </c>
      <c r="D5579" s="46"/>
      <c r="E5579" s="35">
        <v>46154</v>
      </c>
      <c r="F5579" s="49">
        <v>0.18717592592592591</v>
      </c>
      <c r="G5579" s="37">
        <v>6.3</v>
      </c>
      <c r="H5579" s="36" t="s">
        <v>1363</v>
      </c>
      <c r="I5579" s="36" t="s">
        <v>1361</v>
      </c>
    </row>
    <row r="5580" spans="1:9" x14ac:dyDescent="0.25">
      <c r="A5580" s="38" t="s">
        <v>210</v>
      </c>
      <c r="B5580" s="28">
        <v>9980</v>
      </c>
      <c r="C5580" s="28">
        <v>5663292</v>
      </c>
      <c r="D5580" s="46"/>
      <c r="E5580" s="35">
        <v>46154</v>
      </c>
      <c r="F5580" s="49">
        <v>0.19285879629629629</v>
      </c>
      <c r="G5580" s="37">
        <v>6.3</v>
      </c>
      <c r="H5580" s="36" t="s">
        <v>1364</v>
      </c>
      <c r="I5580" s="36" t="s">
        <v>1361</v>
      </c>
    </row>
    <row r="5581" spans="1:9" x14ac:dyDescent="0.25">
      <c r="A5581" s="38" t="s">
        <v>210</v>
      </c>
      <c r="B5581" s="28">
        <v>9980</v>
      </c>
      <c r="C5581" s="28">
        <v>10650487</v>
      </c>
      <c r="D5581" s="46"/>
      <c r="E5581" s="35">
        <v>46154</v>
      </c>
      <c r="F5581" s="49">
        <v>0.41312500000000002</v>
      </c>
      <c r="G5581" s="37">
        <v>6.3</v>
      </c>
      <c r="H5581" s="36" t="s">
        <v>1360</v>
      </c>
      <c r="I5581" s="36" t="s">
        <v>1361</v>
      </c>
    </row>
    <row r="5582" spans="1:9" x14ac:dyDescent="0.25">
      <c r="A5582" s="38" t="s">
        <v>210</v>
      </c>
      <c r="B5582" s="28">
        <v>9980</v>
      </c>
      <c r="C5582" s="28">
        <v>10650487</v>
      </c>
      <c r="D5582" s="46"/>
      <c r="E5582" s="35">
        <v>46154</v>
      </c>
      <c r="F5582" s="49">
        <v>0.42466435185185186</v>
      </c>
      <c r="G5582" s="37">
        <v>6.3</v>
      </c>
      <c r="H5582" s="36" t="s">
        <v>1368</v>
      </c>
      <c r="I5582" s="36" t="s">
        <v>1361</v>
      </c>
    </row>
    <row r="5583" spans="1:9" x14ac:dyDescent="0.25">
      <c r="A5583" s="38" t="s">
        <v>210</v>
      </c>
      <c r="B5583" s="28">
        <v>9980</v>
      </c>
      <c r="C5583" s="28">
        <v>10644902</v>
      </c>
      <c r="D5583" s="46"/>
      <c r="E5583" s="35">
        <v>46154</v>
      </c>
      <c r="F5583" s="49">
        <v>0.51394675925925926</v>
      </c>
      <c r="G5583" s="37">
        <v>6.3</v>
      </c>
      <c r="H5583" s="36" t="s">
        <v>1363</v>
      </c>
      <c r="I5583" s="36" t="s">
        <v>1361</v>
      </c>
    </row>
    <row r="5584" spans="1:9" x14ac:dyDescent="0.25">
      <c r="A5584" s="38" t="s">
        <v>210</v>
      </c>
      <c r="B5584" s="28">
        <v>9980</v>
      </c>
      <c r="C5584" s="28">
        <v>10644902</v>
      </c>
      <c r="D5584" s="46"/>
      <c r="E5584" s="35">
        <v>46154</v>
      </c>
      <c r="F5584" s="49">
        <v>0.51997685185185183</v>
      </c>
      <c r="G5584" s="37">
        <v>6.3</v>
      </c>
      <c r="H5584" s="36" t="s">
        <v>1364</v>
      </c>
      <c r="I5584" s="36" t="s">
        <v>1361</v>
      </c>
    </row>
    <row r="5585" spans="1:9" x14ac:dyDescent="0.25">
      <c r="A5585" s="38" t="s">
        <v>210</v>
      </c>
      <c r="B5585" s="28">
        <v>9980</v>
      </c>
      <c r="C5585" s="28" t="s">
        <v>35</v>
      </c>
      <c r="D5585" s="46" t="s">
        <v>38</v>
      </c>
      <c r="E5585" s="35">
        <v>46154</v>
      </c>
      <c r="F5585" s="49">
        <v>0.77768518518518515</v>
      </c>
      <c r="G5585" s="37">
        <v>6.3</v>
      </c>
      <c r="H5585" s="36" t="s">
        <v>1360</v>
      </c>
      <c r="I5585" s="36" t="s">
        <v>1361</v>
      </c>
    </row>
    <row r="5586" spans="1:9" x14ac:dyDescent="0.25">
      <c r="A5586" s="38" t="s">
        <v>210</v>
      </c>
      <c r="B5586" s="28">
        <v>9980</v>
      </c>
      <c r="C5586" s="28" t="s">
        <v>35</v>
      </c>
      <c r="D5586" s="46" t="s">
        <v>38</v>
      </c>
      <c r="E5586" s="35">
        <v>46155</v>
      </c>
      <c r="F5586" s="49">
        <v>0.24678240740740739</v>
      </c>
      <c r="G5586" s="37">
        <v>6.3</v>
      </c>
      <c r="H5586" s="36" t="s">
        <v>1363</v>
      </c>
      <c r="I5586" s="36" t="s">
        <v>1361</v>
      </c>
    </row>
    <row r="5587" spans="1:9" x14ac:dyDescent="0.25">
      <c r="A5587" s="38" t="s">
        <v>210</v>
      </c>
      <c r="B5587" s="28">
        <v>9980</v>
      </c>
      <c r="C5587" s="28" t="s">
        <v>35</v>
      </c>
      <c r="D5587" s="46" t="s">
        <v>38</v>
      </c>
      <c r="E5587" s="35">
        <v>46155</v>
      </c>
      <c r="F5587" s="49">
        <v>0.25450231481481483</v>
      </c>
      <c r="G5587" s="37">
        <v>6.3</v>
      </c>
      <c r="H5587" s="36" t="s">
        <v>1364</v>
      </c>
      <c r="I5587" s="36" t="s">
        <v>1361</v>
      </c>
    </row>
    <row r="5588" spans="1:9" x14ac:dyDescent="0.25">
      <c r="A5588" s="38" t="s">
        <v>210</v>
      </c>
      <c r="B5588" s="28">
        <v>9980</v>
      </c>
      <c r="C5588" s="28" t="s">
        <v>35</v>
      </c>
      <c r="D5588" s="46" t="s">
        <v>38</v>
      </c>
      <c r="E5588" s="35">
        <v>46155</v>
      </c>
      <c r="F5588" s="49">
        <v>0.62718750000000001</v>
      </c>
      <c r="G5588" s="37">
        <v>6.3</v>
      </c>
      <c r="H5588" s="36" t="s">
        <v>1369</v>
      </c>
      <c r="I5588" s="36" t="s">
        <v>1361</v>
      </c>
    </row>
    <row r="5589" spans="1:9" x14ac:dyDescent="0.25">
      <c r="A5589" s="38" t="s">
        <v>210</v>
      </c>
      <c r="B5589" s="28">
        <v>9980</v>
      </c>
      <c r="C5589" s="28" t="s">
        <v>35</v>
      </c>
      <c r="D5589" s="46" t="s">
        <v>38</v>
      </c>
      <c r="E5589" s="35">
        <v>46155</v>
      </c>
      <c r="F5589" s="49">
        <v>0.63350694444444444</v>
      </c>
      <c r="G5589" s="37">
        <v>6.3</v>
      </c>
      <c r="H5589" s="36" t="s">
        <v>1364</v>
      </c>
      <c r="I5589" s="36" t="s">
        <v>1361</v>
      </c>
    </row>
    <row r="5590" spans="1:9" x14ac:dyDescent="0.25">
      <c r="A5590" s="38" t="s">
        <v>210</v>
      </c>
      <c r="B5590" s="28">
        <v>9980</v>
      </c>
      <c r="C5590" s="28">
        <v>10674721</v>
      </c>
      <c r="D5590" s="46"/>
      <c r="E5590" s="35">
        <v>46157</v>
      </c>
      <c r="F5590" s="49">
        <v>0.62516203703703699</v>
      </c>
      <c r="G5590" s="37">
        <v>6.3</v>
      </c>
      <c r="H5590" s="36" t="s">
        <v>1360</v>
      </c>
      <c r="I5590" s="36" t="s">
        <v>1361</v>
      </c>
    </row>
    <row r="5591" spans="1:9" x14ac:dyDescent="0.25">
      <c r="A5591" s="38" t="s">
        <v>210</v>
      </c>
      <c r="B5591" s="28">
        <v>9980</v>
      </c>
      <c r="C5591" s="28">
        <v>10674721</v>
      </c>
      <c r="D5591" s="46"/>
      <c r="E5591" s="35">
        <v>46157</v>
      </c>
      <c r="F5591" s="49">
        <v>0.6400231481481482</v>
      </c>
      <c r="G5591" s="37">
        <v>6.3</v>
      </c>
      <c r="H5591" s="36" t="s">
        <v>1362</v>
      </c>
      <c r="I5591" s="36" t="s">
        <v>1361</v>
      </c>
    </row>
    <row r="5592" spans="1:9" x14ac:dyDescent="0.25">
      <c r="A5592" s="38" t="s">
        <v>210</v>
      </c>
      <c r="B5592" s="28">
        <v>9980</v>
      </c>
      <c r="C5592" s="28">
        <v>10675045</v>
      </c>
      <c r="D5592" s="46"/>
      <c r="E5592" s="35">
        <v>46158</v>
      </c>
      <c r="F5592" s="49">
        <v>0.35129629629629627</v>
      </c>
      <c r="G5592" s="37">
        <v>6.3</v>
      </c>
      <c r="H5592" s="36" t="s">
        <v>1363</v>
      </c>
      <c r="I5592" s="36" t="s">
        <v>1365</v>
      </c>
    </row>
    <row r="5593" spans="1:9" x14ac:dyDescent="0.25">
      <c r="A5593" s="38" t="s">
        <v>210</v>
      </c>
      <c r="B5593" s="28">
        <v>9980</v>
      </c>
      <c r="C5593" s="28">
        <v>10675045</v>
      </c>
      <c r="D5593" s="46"/>
      <c r="E5593" s="35">
        <v>46158</v>
      </c>
      <c r="F5593" s="49">
        <v>0.35684027777777777</v>
      </c>
      <c r="G5593" s="37">
        <v>6.3</v>
      </c>
      <c r="H5593" s="36" t="s">
        <v>1364</v>
      </c>
      <c r="I5593" s="36" t="s">
        <v>1365</v>
      </c>
    </row>
    <row r="5594" spans="1:9" x14ac:dyDescent="0.25">
      <c r="A5594" s="38" t="s">
        <v>210</v>
      </c>
      <c r="B5594" s="28">
        <v>9980</v>
      </c>
      <c r="C5594" s="28">
        <v>10675013</v>
      </c>
      <c r="D5594" s="46"/>
      <c r="E5594" s="35">
        <v>46158</v>
      </c>
      <c r="F5594" s="49">
        <v>0.52248842592592593</v>
      </c>
      <c r="G5594" s="37">
        <v>6.3</v>
      </c>
      <c r="H5594" s="36" t="s">
        <v>1363</v>
      </c>
      <c r="I5594" s="36" t="s">
        <v>1365</v>
      </c>
    </row>
    <row r="5595" spans="1:9" x14ac:dyDescent="0.25">
      <c r="A5595" s="38" t="s">
        <v>210</v>
      </c>
      <c r="B5595" s="28">
        <v>9980</v>
      </c>
      <c r="C5595" s="28">
        <v>10675013</v>
      </c>
      <c r="D5595" s="46"/>
      <c r="E5595" s="35">
        <v>46158</v>
      </c>
      <c r="F5595" s="49">
        <v>0.52892361111111108</v>
      </c>
      <c r="G5595" s="37">
        <v>6.3</v>
      </c>
      <c r="H5595" s="36" t="s">
        <v>1364</v>
      </c>
      <c r="I5595" s="36" t="s">
        <v>1365</v>
      </c>
    </row>
    <row r="5596" spans="1:9" x14ac:dyDescent="0.25">
      <c r="A5596" s="38" t="s">
        <v>210</v>
      </c>
      <c r="B5596" s="28">
        <v>9980</v>
      </c>
      <c r="C5596" s="28">
        <v>10675341</v>
      </c>
      <c r="D5596" s="46"/>
      <c r="E5596" s="35">
        <v>46158</v>
      </c>
      <c r="F5596" s="49">
        <v>0.64322916666666663</v>
      </c>
      <c r="G5596" s="37">
        <v>6.3</v>
      </c>
      <c r="H5596" s="36" t="s">
        <v>1360</v>
      </c>
      <c r="I5596" s="36" t="s">
        <v>1365</v>
      </c>
    </row>
    <row r="5597" spans="1:9" x14ac:dyDescent="0.25">
      <c r="A5597" s="38" t="s">
        <v>210</v>
      </c>
      <c r="B5597" s="28">
        <v>9980</v>
      </c>
      <c r="C5597" s="28">
        <v>10675341</v>
      </c>
      <c r="D5597" s="46"/>
      <c r="E5597" s="35">
        <v>46158</v>
      </c>
      <c r="F5597" s="49">
        <v>0.65346064814814819</v>
      </c>
      <c r="G5597" s="37">
        <v>6.3</v>
      </c>
      <c r="H5597" s="36" t="s">
        <v>1362</v>
      </c>
      <c r="I5597" s="36" t="s">
        <v>1365</v>
      </c>
    </row>
    <row r="5598" spans="1:9" x14ac:dyDescent="0.25">
      <c r="A5598" s="38" t="s">
        <v>135</v>
      </c>
      <c r="B5598" s="28">
        <v>9991</v>
      </c>
      <c r="C5598" s="28">
        <v>5659643</v>
      </c>
      <c r="D5598" s="46"/>
      <c r="E5598" s="35">
        <v>46153</v>
      </c>
      <c r="F5598" s="49">
        <v>0.26124999999999998</v>
      </c>
      <c r="G5598" s="37">
        <v>6.3</v>
      </c>
      <c r="H5598" s="36" t="s">
        <v>1363</v>
      </c>
      <c r="I5598" s="36" t="s">
        <v>1361</v>
      </c>
    </row>
    <row r="5599" spans="1:9" x14ac:dyDescent="0.25">
      <c r="A5599" s="38" t="s">
        <v>135</v>
      </c>
      <c r="B5599" s="28">
        <v>9991</v>
      </c>
      <c r="C5599" s="28">
        <v>5659643</v>
      </c>
      <c r="D5599" s="46"/>
      <c r="E5599" s="35">
        <v>46153</v>
      </c>
      <c r="F5599" s="49">
        <v>0.26771990740740742</v>
      </c>
      <c r="G5599" s="37">
        <v>6.3</v>
      </c>
      <c r="H5599" s="36" t="s">
        <v>1364</v>
      </c>
      <c r="I5599" s="36" t="s">
        <v>1361</v>
      </c>
    </row>
    <row r="5600" spans="1:9" x14ac:dyDescent="0.25">
      <c r="A5600" s="38" t="s">
        <v>135</v>
      </c>
      <c r="B5600" s="28">
        <v>9991</v>
      </c>
      <c r="C5600" s="28">
        <v>5666072</v>
      </c>
      <c r="D5600" s="46"/>
      <c r="E5600" s="35">
        <v>46155</v>
      </c>
      <c r="F5600" s="49">
        <v>0.28289351851851852</v>
      </c>
      <c r="G5600" s="37">
        <v>6.3</v>
      </c>
      <c r="H5600" s="36" t="s">
        <v>1360</v>
      </c>
      <c r="I5600" s="36" t="s">
        <v>1361</v>
      </c>
    </row>
    <row r="5601" spans="1:9" x14ac:dyDescent="0.25">
      <c r="A5601" s="38" t="s">
        <v>135</v>
      </c>
      <c r="B5601" s="28">
        <v>9991</v>
      </c>
      <c r="C5601" s="28">
        <v>5666072</v>
      </c>
      <c r="D5601" s="46"/>
      <c r="E5601" s="35">
        <v>46155</v>
      </c>
      <c r="F5601" s="49">
        <v>0.30453703703703705</v>
      </c>
      <c r="G5601" s="37">
        <v>6.3</v>
      </c>
      <c r="H5601" s="36" t="s">
        <v>1362</v>
      </c>
      <c r="I5601" s="36" t="s">
        <v>1361</v>
      </c>
    </row>
    <row r="5602" spans="1:9" x14ac:dyDescent="0.25">
      <c r="A5602" s="38" t="s">
        <v>135</v>
      </c>
      <c r="B5602" s="28">
        <v>9991</v>
      </c>
      <c r="C5602" s="28" t="s">
        <v>1359</v>
      </c>
      <c r="D5602" s="46"/>
      <c r="E5602" s="35">
        <v>46155</v>
      </c>
      <c r="F5602" s="49">
        <v>0.59237268518518515</v>
      </c>
      <c r="G5602" s="37">
        <v>6.3</v>
      </c>
      <c r="H5602" s="36" t="s">
        <v>1360</v>
      </c>
      <c r="I5602" s="36" t="s">
        <v>1361</v>
      </c>
    </row>
    <row r="5603" spans="1:9" x14ac:dyDescent="0.25">
      <c r="A5603" s="38" t="s">
        <v>135</v>
      </c>
      <c r="B5603" s="28">
        <v>9991</v>
      </c>
      <c r="C5603" s="28" t="s">
        <v>1359</v>
      </c>
      <c r="D5603" s="46"/>
      <c r="E5603" s="35">
        <v>46155</v>
      </c>
      <c r="F5603" s="49">
        <v>0.6007986111111111</v>
      </c>
      <c r="G5603" s="37">
        <v>6.3</v>
      </c>
      <c r="H5603" s="36" t="s">
        <v>1362</v>
      </c>
      <c r="I5603" s="36" t="s">
        <v>1361</v>
      </c>
    </row>
    <row r="5604" spans="1:9" x14ac:dyDescent="0.25">
      <c r="A5604" s="38" t="s">
        <v>135</v>
      </c>
      <c r="B5604" s="28">
        <v>9991</v>
      </c>
      <c r="C5604" s="28">
        <v>5666631</v>
      </c>
      <c r="D5604" s="46"/>
      <c r="E5604" s="35">
        <v>46155</v>
      </c>
      <c r="F5604" s="49">
        <v>0.70306712962962958</v>
      </c>
      <c r="G5604" s="37">
        <v>6.3</v>
      </c>
      <c r="H5604" s="36" t="s">
        <v>1363</v>
      </c>
      <c r="I5604" s="36" t="s">
        <v>1361</v>
      </c>
    </row>
    <row r="5605" spans="1:9" x14ac:dyDescent="0.25">
      <c r="A5605" s="38" t="s">
        <v>135</v>
      </c>
      <c r="B5605" s="28">
        <v>9991</v>
      </c>
      <c r="C5605" s="28">
        <v>5666631</v>
      </c>
      <c r="D5605" s="46"/>
      <c r="E5605" s="35">
        <v>46155</v>
      </c>
      <c r="F5605" s="49">
        <v>0.71331018518518519</v>
      </c>
      <c r="G5605" s="37">
        <v>6.3</v>
      </c>
      <c r="H5605" s="36" t="s">
        <v>1364</v>
      </c>
      <c r="I5605" s="36" t="s">
        <v>1361</v>
      </c>
    </row>
    <row r="5606" spans="1:9" x14ac:dyDescent="0.25">
      <c r="A5606" s="38" t="s">
        <v>135</v>
      </c>
      <c r="B5606" s="28">
        <v>9991</v>
      </c>
      <c r="C5606" s="28" t="s">
        <v>35</v>
      </c>
      <c r="D5606" s="46" t="s">
        <v>38</v>
      </c>
      <c r="E5606" s="35">
        <v>46155</v>
      </c>
      <c r="F5606" s="49">
        <v>0.85266203703703702</v>
      </c>
      <c r="G5606" s="37">
        <v>6.3</v>
      </c>
      <c r="H5606" s="36" t="s">
        <v>1363</v>
      </c>
      <c r="I5606" s="36" t="s">
        <v>1361</v>
      </c>
    </row>
    <row r="5607" spans="1:9" x14ac:dyDescent="0.25">
      <c r="A5607" s="38" t="s">
        <v>135</v>
      </c>
      <c r="B5607" s="28">
        <v>9991</v>
      </c>
      <c r="C5607" s="28" t="s">
        <v>35</v>
      </c>
      <c r="D5607" s="46" t="s">
        <v>38</v>
      </c>
      <c r="E5607" s="35">
        <v>46155</v>
      </c>
      <c r="F5607" s="49">
        <v>0.86662037037037032</v>
      </c>
      <c r="G5607" s="37">
        <v>6.3</v>
      </c>
      <c r="H5607" s="36" t="s">
        <v>1364</v>
      </c>
      <c r="I5607" s="36" t="s">
        <v>1361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3A2A-ADEF-4E8F-9E84-6E6947F8B4E6}">
  <sheetPr>
    <tabColor theme="0"/>
  </sheetPr>
  <dimension ref="A1:N38"/>
  <sheetViews>
    <sheetView workbookViewId="0">
      <selection sqref="A1:C1"/>
    </sheetView>
  </sheetViews>
  <sheetFormatPr baseColWidth="10" defaultColWidth="11.44140625" defaultRowHeight="14.4" x14ac:dyDescent="0.3"/>
  <cols>
    <col min="1" max="1" width="11.88671875" bestFit="1" customWidth="1"/>
    <col min="2" max="3" width="15.5546875" bestFit="1" customWidth="1"/>
    <col min="5" max="5" width="4.109375" customWidth="1"/>
    <col min="6" max="6" width="11.88671875" bestFit="1" customWidth="1"/>
    <col min="7" max="8" width="15.5546875" bestFit="1" customWidth="1"/>
    <col min="10" max="10" width="4.109375" customWidth="1"/>
    <col min="11" max="11" width="11.88671875" bestFit="1" customWidth="1"/>
    <col min="12" max="13" width="15.5546875" bestFit="1" customWidth="1"/>
    <col min="15" max="111" width="8" bestFit="1" customWidth="1"/>
    <col min="112" max="112" width="11.88671875" bestFit="1" customWidth="1"/>
  </cols>
  <sheetData>
    <row r="1" spans="1:14" x14ac:dyDescent="0.3">
      <c r="A1" s="60" t="s">
        <v>19</v>
      </c>
      <c r="B1" s="60"/>
      <c r="C1" s="60"/>
      <c r="D1" s="9">
        <f>GETPIVOTDATA("Suma Reembolso",$A$4)</f>
        <v>0</v>
      </c>
      <c r="F1" s="60" t="s">
        <v>20</v>
      </c>
      <c r="G1" s="60"/>
      <c r="H1" s="60"/>
      <c r="I1" s="9">
        <f>GETPIVOTDATA("Suma Reembolso",$F$4)</f>
        <v>0</v>
      </c>
      <c r="K1" s="60" t="s">
        <v>21</v>
      </c>
      <c r="L1" s="60"/>
      <c r="M1" s="60"/>
      <c r="N1" s="9">
        <f>GETPIVOTDATA("Suma Reembolso",$K$4)</f>
        <v>0</v>
      </c>
    </row>
    <row r="2" spans="1:14" x14ac:dyDescent="0.3">
      <c r="A2" s="1" t="s">
        <v>3</v>
      </c>
      <c r="B2" t="s">
        <v>22</v>
      </c>
      <c r="F2" s="1" t="s">
        <v>3</v>
      </c>
      <c r="G2" t="s">
        <v>23</v>
      </c>
      <c r="K2" s="1" t="s">
        <v>3</v>
      </c>
      <c r="L2" t="s">
        <v>24</v>
      </c>
    </row>
    <row r="4" spans="1:14" x14ac:dyDescent="0.3">
      <c r="A4" s="1" t="s">
        <v>25</v>
      </c>
      <c r="B4" t="s">
        <v>26</v>
      </c>
      <c r="C4" t="s">
        <v>27</v>
      </c>
      <c r="F4" s="1" t="s">
        <v>25</v>
      </c>
      <c r="G4" t="s">
        <v>26</v>
      </c>
      <c r="H4" t="s">
        <v>27</v>
      </c>
      <c r="K4" s="1" t="s">
        <v>25</v>
      </c>
      <c r="L4" t="s">
        <v>26</v>
      </c>
      <c r="M4" t="s">
        <v>27</v>
      </c>
    </row>
    <row r="5" spans="1:14" x14ac:dyDescent="0.3">
      <c r="A5" s="2">
        <v>1698</v>
      </c>
      <c r="F5" s="2">
        <v>404</v>
      </c>
      <c r="K5" s="2">
        <v>404</v>
      </c>
    </row>
    <row r="6" spans="1:14" x14ac:dyDescent="0.3">
      <c r="A6" s="2">
        <v>3386</v>
      </c>
      <c r="F6" s="2">
        <v>423</v>
      </c>
      <c r="K6" s="2">
        <v>423</v>
      </c>
    </row>
    <row r="7" spans="1:14" x14ac:dyDescent="0.3">
      <c r="A7" s="2">
        <v>1413</v>
      </c>
      <c r="F7" s="2">
        <v>561</v>
      </c>
      <c r="K7" s="2">
        <v>561</v>
      </c>
    </row>
    <row r="8" spans="1:14" x14ac:dyDescent="0.3">
      <c r="A8" s="2">
        <v>1615</v>
      </c>
      <c r="F8" s="2">
        <v>722</v>
      </c>
      <c r="K8" s="2">
        <v>722</v>
      </c>
    </row>
    <row r="9" spans="1:14" x14ac:dyDescent="0.3">
      <c r="A9" s="2">
        <v>1675</v>
      </c>
      <c r="F9" s="2">
        <v>1981</v>
      </c>
      <c r="K9" s="2">
        <v>1981</v>
      </c>
    </row>
    <row r="10" spans="1:14" x14ac:dyDescent="0.3">
      <c r="A10" s="2">
        <v>208</v>
      </c>
      <c r="F10" s="2">
        <v>2035</v>
      </c>
      <c r="K10" s="2">
        <v>2035</v>
      </c>
    </row>
    <row r="11" spans="1:14" x14ac:dyDescent="0.3">
      <c r="A11" s="2">
        <v>1440</v>
      </c>
      <c r="F11" s="2">
        <v>2501</v>
      </c>
      <c r="K11" s="2">
        <v>2501</v>
      </c>
    </row>
    <row r="12" spans="1:14" x14ac:dyDescent="0.3">
      <c r="A12" s="2">
        <v>769</v>
      </c>
      <c r="F12" s="2">
        <v>2631</v>
      </c>
      <c r="K12" s="2">
        <v>2631</v>
      </c>
    </row>
    <row r="13" spans="1:14" x14ac:dyDescent="0.3">
      <c r="A13" s="2">
        <v>923</v>
      </c>
      <c r="F13" s="2">
        <v>5032</v>
      </c>
      <c r="K13" s="2">
        <v>5032</v>
      </c>
    </row>
    <row r="14" spans="1:14" x14ac:dyDescent="0.3">
      <c r="A14" s="2">
        <v>229</v>
      </c>
      <c r="F14" s="2">
        <v>521</v>
      </c>
      <c r="K14" s="2">
        <v>2135</v>
      </c>
    </row>
    <row r="15" spans="1:14" x14ac:dyDescent="0.3">
      <c r="A15" s="2">
        <v>713</v>
      </c>
      <c r="F15" s="2">
        <v>2135</v>
      </c>
      <c r="K15" s="2">
        <v>2220</v>
      </c>
    </row>
    <row r="16" spans="1:14" x14ac:dyDescent="0.3">
      <c r="A16" s="2">
        <v>902</v>
      </c>
      <c r="F16" s="2">
        <v>2220</v>
      </c>
      <c r="K16" s="2">
        <v>2278</v>
      </c>
    </row>
    <row r="17" spans="1:11" x14ac:dyDescent="0.3">
      <c r="A17" s="2">
        <v>828</v>
      </c>
      <c r="F17" s="2">
        <v>2253</v>
      </c>
      <c r="K17" s="2">
        <v>3173</v>
      </c>
    </row>
    <row r="18" spans="1:11" x14ac:dyDescent="0.3">
      <c r="A18" s="2">
        <v>2703</v>
      </c>
      <c r="F18" s="2">
        <v>2278</v>
      </c>
      <c r="K18" s="2">
        <v>5130</v>
      </c>
    </row>
    <row r="19" spans="1:11" x14ac:dyDescent="0.3">
      <c r="A19" s="2">
        <v>223</v>
      </c>
      <c r="F19" s="2">
        <v>3173</v>
      </c>
      <c r="K19" s="2">
        <v>420</v>
      </c>
    </row>
    <row r="20" spans="1:11" x14ac:dyDescent="0.3">
      <c r="A20" s="2">
        <v>1567</v>
      </c>
      <c r="F20" s="2">
        <v>5130</v>
      </c>
      <c r="K20" s="2">
        <v>2246</v>
      </c>
    </row>
    <row r="21" spans="1:11" x14ac:dyDescent="0.3">
      <c r="A21" s="2" t="s">
        <v>28</v>
      </c>
      <c r="F21" s="2">
        <v>420</v>
      </c>
      <c r="K21" s="2">
        <v>627</v>
      </c>
    </row>
    <row r="22" spans="1:11" x14ac:dyDescent="0.3">
      <c r="F22" s="2">
        <v>2246</v>
      </c>
      <c r="K22" s="2">
        <v>688</v>
      </c>
    </row>
    <row r="23" spans="1:11" x14ac:dyDescent="0.3">
      <c r="F23" s="2">
        <v>627</v>
      </c>
      <c r="K23" s="2">
        <v>2254</v>
      </c>
    </row>
    <row r="24" spans="1:11" x14ac:dyDescent="0.3">
      <c r="F24" s="2">
        <v>688</v>
      </c>
      <c r="K24" s="2">
        <v>466</v>
      </c>
    </row>
    <row r="25" spans="1:11" x14ac:dyDescent="0.3">
      <c r="F25" s="2">
        <v>2254</v>
      </c>
      <c r="K25" s="2">
        <v>412</v>
      </c>
    </row>
    <row r="26" spans="1:11" x14ac:dyDescent="0.3">
      <c r="F26" s="2">
        <v>398</v>
      </c>
      <c r="K26" s="2">
        <v>2039</v>
      </c>
    </row>
    <row r="27" spans="1:11" x14ac:dyDescent="0.3">
      <c r="F27" s="2">
        <v>466</v>
      </c>
      <c r="K27" s="2">
        <v>3456</v>
      </c>
    </row>
    <row r="28" spans="1:11" x14ac:dyDescent="0.3">
      <c r="F28" s="2">
        <v>2647</v>
      </c>
      <c r="K28" s="2">
        <v>2701</v>
      </c>
    </row>
    <row r="29" spans="1:11" x14ac:dyDescent="0.3">
      <c r="F29" s="2">
        <v>412</v>
      </c>
      <c r="K29" s="2">
        <v>529</v>
      </c>
    </row>
    <row r="30" spans="1:11" x14ac:dyDescent="0.3">
      <c r="F30" s="2">
        <v>2039</v>
      </c>
      <c r="K30" s="2">
        <v>626</v>
      </c>
    </row>
    <row r="31" spans="1:11" x14ac:dyDescent="0.3">
      <c r="F31" s="2">
        <v>2627</v>
      </c>
      <c r="K31" s="2">
        <v>331</v>
      </c>
    </row>
    <row r="32" spans="1:11" x14ac:dyDescent="0.3">
      <c r="F32" s="2">
        <v>3456</v>
      </c>
      <c r="K32" s="2" t="s">
        <v>28</v>
      </c>
    </row>
    <row r="33" spans="6:6" x14ac:dyDescent="0.3">
      <c r="F33" s="2">
        <v>2701</v>
      </c>
    </row>
    <row r="34" spans="6:6" x14ac:dyDescent="0.3">
      <c r="F34" s="2">
        <v>529</v>
      </c>
    </row>
    <row r="35" spans="6:6" x14ac:dyDescent="0.3">
      <c r="F35" s="2">
        <v>626</v>
      </c>
    </row>
    <row r="36" spans="6:6" x14ac:dyDescent="0.3">
      <c r="F36" s="2">
        <v>331</v>
      </c>
    </row>
    <row r="37" spans="6:6" x14ac:dyDescent="0.3">
      <c r="F37" s="2">
        <v>7092</v>
      </c>
    </row>
    <row r="38" spans="6:6" x14ac:dyDescent="0.3">
      <c r="F38" s="2" t="s">
        <v>28</v>
      </c>
    </row>
  </sheetData>
  <mergeCells count="3">
    <mergeCell ref="A1:C1"/>
    <mergeCell ref="F1:H1"/>
    <mergeCell ref="K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66FC-2384-44CD-98B4-012506290F2B}">
  <sheetPr>
    <tabColor theme="0"/>
  </sheetPr>
  <dimension ref="A1:W203"/>
  <sheetViews>
    <sheetView workbookViewId="0">
      <selection activeCell="B9" sqref="B9"/>
    </sheetView>
  </sheetViews>
  <sheetFormatPr baseColWidth="10" defaultColWidth="11.44140625" defaultRowHeight="14.4" x14ac:dyDescent="0.3"/>
  <cols>
    <col min="1" max="1" width="16.5546875" customWidth="1"/>
    <col min="2" max="2" width="29.33203125" bestFit="1" customWidth="1"/>
    <col min="4" max="4" width="4.109375" customWidth="1"/>
    <col min="5" max="5" width="16.5546875" bestFit="1" customWidth="1"/>
    <col min="6" max="6" width="29.33203125" bestFit="1" customWidth="1"/>
    <col min="8" max="8" width="4.109375" customWidth="1"/>
    <col min="9" max="9" width="16.5546875" bestFit="1" customWidth="1"/>
    <col min="10" max="10" width="29.33203125" bestFit="1" customWidth="1"/>
    <col min="12" max="12" width="4.109375" customWidth="1"/>
    <col min="13" max="13" width="16.5546875" bestFit="1" customWidth="1"/>
    <col min="14" max="14" width="29.33203125" customWidth="1"/>
    <col min="16" max="16" width="4.109375" customWidth="1"/>
    <col min="17" max="17" width="16.5546875" customWidth="1"/>
    <col min="18" max="18" width="29.33203125" bestFit="1" customWidth="1"/>
    <col min="20" max="20" width="4.109375" customWidth="1"/>
    <col min="21" max="21" width="16.5546875" bestFit="1" customWidth="1"/>
    <col min="22" max="22" width="29.33203125" bestFit="1" customWidth="1"/>
  </cols>
  <sheetData>
    <row r="1" spans="1:23" x14ac:dyDescent="0.3">
      <c r="A1" s="60" t="s">
        <v>29</v>
      </c>
      <c r="B1" s="60"/>
      <c r="C1" s="9">
        <f>GETPIVOTDATA("Monto",$A$6)</f>
        <v>2237.3999999999996</v>
      </c>
      <c r="E1" s="60" t="s">
        <v>30</v>
      </c>
      <c r="F1" s="60"/>
      <c r="G1" s="9">
        <f>GETPIVOTDATA("Monto",$E$6)</f>
        <v>2600.3999999999996</v>
      </c>
      <c r="I1" s="60" t="s">
        <v>31</v>
      </c>
      <c r="J1" s="60"/>
      <c r="K1" s="9">
        <f>GETPIVOTDATA("Monto",$I$5)</f>
        <v>567.59999999999991</v>
      </c>
      <c r="M1" s="60" t="s">
        <v>32</v>
      </c>
      <c r="N1" s="60"/>
      <c r="O1" s="9">
        <f>GETPIVOTDATA("Monto",$M$5)</f>
        <v>759.00000000000034</v>
      </c>
      <c r="Q1" s="60" t="s">
        <v>33</v>
      </c>
      <c r="R1" s="60"/>
      <c r="S1" s="9">
        <f>GETPIVOTDATA("Monto",$Q$5)</f>
        <v>72.599999999999994</v>
      </c>
      <c r="U1" s="60" t="s">
        <v>34</v>
      </c>
      <c r="V1" s="60"/>
      <c r="W1" s="9">
        <f>GETPIVOTDATA("Monto",$U$5)</f>
        <v>257.39999999999992</v>
      </c>
    </row>
    <row r="2" spans="1:23" x14ac:dyDescent="0.3">
      <c r="A2" s="1" t="s">
        <v>12</v>
      </c>
      <c r="B2" t="s">
        <v>35</v>
      </c>
      <c r="E2" s="1" t="s">
        <v>12</v>
      </c>
      <c r="F2" t="s">
        <v>35</v>
      </c>
      <c r="I2" s="1" t="s">
        <v>13</v>
      </c>
      <c r="J2" t="s">
        <v>36</v>
      </c>
      <c r="M2" s="1" t="s">
        <v>13</v>
      </c>
      <c r="N2" t="s">
        <v>36</v>
      </c>
      <c r="Q2" s="1" t="s">
        <v>13</v>
      </c>
      <c r="R2" t="s">
        <v>37</v>
      </c>
      <c r="U2" s="1" t="s">
        <v>13</v>
      </c>
      <c r="V2" t="s">
        <v>37</v>
      </c>
    </row>
    <row r="3" spans="1:23" x14ac:dyDescent="0.3">
      <c r="A3" s="1" t="s">
        <v>13</v>
      </c>
      <c r="B3" t="s">
        <v>38</v>
      </c>
      <c r="E3" s="1" t="s">
        <v>13</v>
      </c>
      <c r="F3" t="s">
        <v>38</v>
      </c>
      <c r="I3" s="1" t="s">
        <v>39</v>
      </c>
      <c r="J3" t="s">
        <v>40</v>
      </c>
      <c r="M3" s="1" t="s">
        <v>39</v>
      </c>
      <c r="N3" t="s">
        <v>41</v>
      </c>
      <c r="Q3" s="1" t="s">
        <v>39</v>
      </c>
      <c r="R3" t="s">
        <v>40</v>
      </c>
      <c r="U3" s="1" t="s">
        <v>39</v>
      </c>
      <c r="V3" t="s">
        <v>41</v>
      </c>
    </row>
    <row r="4" spans="1:23" x14ac:dyDescent="0.3">
      <c r="A4" s="1" t="s">
        <v>39</v>
      </c>
      <c r="B4" t="s">
        <v>40</v>
      </c>
      <c r="E4" s="1" t="s">
        <v>39</v>
      </c>
      <c r="F4" t="s">
        <v>41</v>
      </c>
    </row>
    <row r="5" spans="1:23" x14ac:dyDescent="0.3">
      <c r="I5" s="1" t="s">
        <v>25</v>
      </c>
      <c r="J5" t="s">
        <v>42</v>
      </c>
      <c r="M5" s="1" t="s">
        <v>25</v>
      </c>
      <c r="N5" t="s">
        <v>42</v>
      </c>
      <c r="Q5" s="1" t="s">
        <v>25</v>
      </c>
      <c r="R5" t="s">
        <v>42</v>
      </c>
      <c r="U5" s="1" t="s">
        <v>25</v>
      </c>
      <c r="V5" t="s">
        <v>42</v>
      </c>
    </row>
    <row r="6" spans="1:23" x14ac:dyDescent="0.3">
      <c r="A6" s="1" t="s">
        <v>25</v>
      </c>
      <c r="B6" t="s">
        <v>42</v>
      </c>
      <c r="E6" s="1" t="s">
        <v>25</v>
      </c>
      <c r="F6" t="s">
        <v>42</v>
      </c>
      <c r="I6" s="2">
        <v>404</v>
      </c>
      <c r="J6">
        <v>13.2</v>
      </c>
      <c r="M6" s="2">
        <v>204</v>
      </c>
      <c r="N6">
        <v>13.2</v>
      </c>
      <c r="Q6" s="2">
        <v>301</v>
      </c>
      <c r="R6">
        <v>6.6</v>
      </c>
      <c r="U6" s="2">
        <v>213</v>
      </c>
      <c r="V6">
        <v>13.2</v>
      </c>
    </row>
    <row r="7" spans="1:23" x14ac:dyDescent="0.3">
      <c r="A7" s="2">
        <v>241</v>
      </c>
      <c r="B7">
        <v>13.2</v>
      </c>
      <c r="E7" s="2">
        <v>204</v>
      </c>
      <c r="F7">
        <v>13.2</v>
      </c>
      <c r="I7" s="2">
        <v>408</v>
      </c>
      <c r="J7">
        <v>6.6</v>
      </c>
      <c r="M7" s="2">
        <v>213</v>
      </c>
      <c r="N7">
        <v>13.2</v>
      </c>
      <c r="Q7" s="2">
        <v>659</v>
      </c>
      <c r="R7">
        <v>13.2</v>
      </c>
      <c r="U7" s="2">
        <v>240</v>
      </c>
      <c r="V7">
        <v>6.6</v>
      </c>
    </row>
    <row r="8" spans="1:23" x14ac:dyDescent="0.3">
      <c r="A8" s="2">
        <v>331</v>
      </c>
      <c r="B8">
        <v>13.2</v>
      </c>
      <c r="E8" s="2">
        <v>205</v>
      </c>
      <c r="F8">
        <v>26.4</v>
      </c>
      <c r="I8" s="2">
        <v>423</v>
      </c>
      <c r="J8">
        <v>6.6</v>
      </c>
      <c r="M8" s="2">
        <v>219</v>
      </c>
      <c r="N8">
        <v>6.6</v>
      </c>
      <c r="Q8" s="2">
        <v>1403</v>
      </c>
      <c r="R8">
        <v>13.2</v>
      </c>
      <c r="U8" s="2">
        <v>674</v>
      </c>
      <c r="V8">
        <v>6.6</v>
      </c>
    </row>
    <row r="9" spans="1:23" x14ac:dyDescent="0.3">
      <c r="A9" s="2">
        <v>380</v>
      </c>
      <c r="B9">
        <v>6.6</v>
      </c>
      <c r="E9" s="2">
        <v>207</v>
      </c>
      <c r="F9">
        <v>19.799999999999997</v>
      </c>
      <c r="I9" s="2">
        <v>460</v>
      </c>
      <c r="J9">
        <v>13.2</v>
      </c>
      <c r="M9" s="2">
        <v>220</v>
      </c>
      <c r="N9">
        <v>6.6</v>
      </c>
      <c r="Q9" s="2">
        <v>3173</v>
      </c>
      <c r="R9">
        <v>13.2</v>
      </c>
      <c r="U9" s="2">
        <v>690</v>
      </c>
      <c r="V9">
        <v>13.2</v>
      </c>
    </row>
    <row r="10" spans="1:23" x14ac:dyDescent="0.3">
      <c r="A10" s="2">
        <v>411</v>
      </c>
      <c r="B10">
        <v>13.2</v>
      </c>
      <c r="E10" s="2">
        <v>208</v>
      </c>
      <c r="F10">
        <v>26.4</v>
      </c>
      <c r="I10" s="2">
        <v>660</v>
      </c>
      <c r="J10">
        <v>6.6</v>
      </c>
      <c r="M10" s="2">
        <v>222</v>
      </c>
      <c r="N10">
        <v>6.6</v>
      </c>
      <c r="Q10" s="2">
        <v>7609</v>
      </c>
      <c r="R10">
        <v>26.4</v>
      </c>
      <c r="U10" s="2">
        <v>716</v>
      </c>
      <c r="V10">
        <v>6.6</v>
      </c>
    </row>
    <row r="11" spans="1:23" x14ac:dyDescent="0.3">
      <c r="A11" s="2">
        <v>412</v>
      </c>
      <c r="B11">
        <v>13.2</v>
      </c>
      <c r="E11" s="2">
        <v>210</v>
      </c>
      <c r="F11">
        <v>26.4</v>
      </c>
      <c r="I11" s="2">
        <v>1532</v>
      </c>
      <c r="J11">
        <v>13.2</v>
      </c>
      <c r="M11" s="2">
        <v>229</v>
      </c>
      <c r="N11">
        <v>13.2</v>
      </c>
      <c r="Q11" s="2" t="s">
        <v>28</v>
      </c>
      <c r="R11">
        <v>72.599999999999994</v>
      </c>
      <c r="U11" s="2">
        <v>790</v>
      </c>
      <c r="V11">
        <v>13.2</v>
      </c>
    </row>
    <row r="12" spans="1:23" x14ac:dyDescent="0.3">
      <c r="A12" s="2">
        <v>446</v>
      </c>
      <c r="B12">
        <v>39.6</v>
      </c>
      <c r="E12" s="2">
        <v>213</v>
      </c>
      <c r="F12">
        <v>26.4</v>
      </c>
      <c r="I12" s="2">
        <v>2014</v>
      </c>
      <c r="J12">
        <v>6.6</v>
      </c>
      <c r="M12" s="2">
        <v>239</v>
      </c>
      <c r="N12">
        <v>13.2</v>
      </c>
      <c r="U12" s="2">
        <v>821</v>
      </c>
      <c r="V12">
        <v>13.2</v>
      </c>
    </row>
    <row r="13" spans="1:23" x14ac:dyDescent="0.3">
      <c r="A13" s="2">
        <v>529</v>
      </c>
      <c r="B13">
        <v>26.4</v>
      </c>
      <c r="E13" s="2">
        <v>226</v>
      </c>
      <c r="F13">
        <v>13.2</v>
      </c>
      <c r="I13" s="2">
        <v>2163</v>
      </c>
      <c r="J13">
        <v>19.799999999999997</v>
      </c>
      <c r="M13" s="2">
        <v>245</v>
      </c>
      <c r="N13">
        <v>19.799999999999997</v>
      </c>
      <c r="U13" s="2">
        <v>828</v>
      </c>
      <c r="V13">
        <v>13.2</v>
      </c>
    </row>
    <row r="14" spans="1:23" x14ac:dyDescent="0.3">
      <c r="A14" s="2">
        <v>561</v>
      </c>
      <c r="B14">
        <v>6.6</v>
      </c>
      <c r="E14" s="2">
        <v>227</v>
      </c>
      <c r="F14">
        <v>13.2</v>
      </c>
      <c r="I14" s="2">
        <v>2168</v>
      </c>
      <c r="J14">
        <v>6.6</v>
      </c>
      <c r="M14" s="2">
        <v>251</v>
      </c>
      <c r="N14">
        <v>19.799999999999997</v>
      </c>
      <c r="U14" s="2">
        <v>923</v>
      </c>
      <c r="V14">
        <v>13.2</v>
      </c>
    </row>
    <row r="15" spans="1:23" x14ac:dyDescent="0.3">
      <c r="A15" s="2">
        <v>591</v>
      </c>
      <c r="B15">
        <v>39.6</v>
      </c>
      <c r="E15" s="2">
        <v>229</v>
      </c>
      <c r="F15">
        <v>13.2</v>
      </c>
      <c r="I15" s="2">
        <v>2278</v>
      </c>
      <c r="J15">
        <v>13.2</v>
      </c>
      <c r="M15" s="2">
        <v>258</v>
      </c>
      <c r="N15">
        <v>6.6</v>
      </c>
      <c r="U15" s="2">
        <v>926</v>
      </c>
      <c r="V15">
        <v>13.2</v>
      </c>
    </row>
    <row r="16" spans="1:23" x14ac:dyDescent="0.3">
      <c r="A16" s="2">
        <v>684</v>
      </c>
      <c r="B16">
        <v>19.799999999999997</v>
      </c>
      <c r="E16" s="2">
        <v>233</v>
      </c>
      <c r="F16">
        <v>33</v>
      </c>
      <c r="I16" s="2">
        <v>3016</v>
      </c>
      <c r="J16">
        <v>6.6</v>
      </c>
      <c r="M16" s="2">
        <v>279</v>
      </c>
      <c r="N16">
        <v>13.2</v>
      </c>
      <c r="U16" s="2">
        <v>927</v>
      </c>
      <c r="V16">
        <v>13.2</v>
      </c>
    </row>
    <row r="17" spans="1:22" x14ac:dyDescent="0.3">
      <c r="A17" s="2">
        <v>722</v>
      </c>
      <c r="B17">
        <v>19.799999999999997</v>
      </c>
      <c r="E17" s="2">
        <v>239</v>
      </c>
      <c r="F17">
        <v>13.2</v>
      </c>
      <c r="I17" s="2">
        <v>3036</v>
      </c>
      <c r="J17">
        <v>112.19999999999996</v>
      </c>
      <c r="M17" s="2">
        <v>286</v>
      </c>
      <c r="N17">
        <v>13.2</v>
      </c>
      <c r="U17" s="2">
        <v>1224</v>
      </c>
      <c r="V17">
        <v>6.6</v>
      </c>
    </row>
    <row r="18" spans="1:22" x14ac:dyDescent="0.3">
      <c r="A18" s="2">
        <v>746</v>
      </c>
      <c r="B18">
        <v>19.799999999999997</v>
      </c>
      <c r="E18" s="2">
        <v>240</v>
      </c>
      <c r="F18">
        <v>19.799999999999997</v>
      </c>
      <c r="I18" s="2">
        <v>3038</v>
      </c>
      <c r="J18">
        <v>13.2</v>
      </c>
      <c r="M18" s="2">
        <v>674</v>
      </c>
      <c r="N18">
        <v>6.6</v>
      </c>
      <c r="U18" s="2">
        <v>1227</v>
      </c>
      <c r="V18">
        <v>13.2</v>
      </c>
    </row>
    <row r="19" spans="1:22" x14ac:dyDescent="0.3">
      <c r="A19" s="2">
        <v>1400</v>
      </c>
      <c r="B19">
        <v>6.6</v>
      </c>
      <c r="C19" s="2"/>
      <c r="D19" s="2"/>
      <c r="E19" s="2">
        <v>250</v>
      </c>
      <c r="F19">
        <v>13.2</v>
      </c>
      <c r="I19" s="2">
        <v>3041</v>
      </c>
      <c r="J19">
        <v>13.2</v>
      </c>
      <c r="M19" s="2">
        <v>690</v>
      </c>
      <c r="N19">
        <v>13.2</v>
      </c>
      <c r="U19" s="2">
        <v>1698</v>
      </c>
      <c r="V19">
        <v>13.2</v>
      </c>
    </row>
    <row r="20" spans="1:22" x14ac:dyDescent="0.3">
      <c r="A20" s="2">
        <v>1403</v>
      </c>
      <c r="B20">
        <v>6.6</v>
      </c>
      <c r="C20" s="2"/>
      <c r="D20" s="2"/>
      <c r="E20" s="2">
        <v>251</v>
      </c>
      <c r="F20">
        <v>39.6</v>
      </c>
      <c r="I20" s="2">
        <v>3118</v>
      </c>
      <c r="J20">
        <v>6.6</v>
      </c>
      <c r="M20" s="2">
        <v>706</v>
      </c>
      <c r="N20">
        <v>13.2</v>
      </c>
      <c r="U20" s="2">
        <v>2563</v>
      </c>
      <c r="V20">
        <v>33</v>
      </c>
    </row>
    <row r="21" spans="1:22" x14ac:dyDescent="0.3">
      <c r="A21" s="2">
        <v>1422</v>
      </c>
      <c r="B21">
        <v>26.4</v>
      </c>
      <c r="C21" s="2"/>
      <c r="D21" s="2"/>
      <c r="E21" s="2">
        <v>258</v>
      </c>
      <c r="F21">
        <v>26.4</v>
      </c>
      <c r="I21" s="2">
        <v>3130</v>
      </c>
      <c r="J21">
        <v>6.6</v>
      </c>
      <c r="M21" s="2">
        <v>715</v>
      </c>
      <c r="N21">
        <v>6.6</v>
      </c>
      <c r="U21" s="2">
        <v>3294</v>
      </c>
      <c r="V21">
        <v>13.2</v>
      </c>
    </row>
    <row r="22" spans="1:22" x14ac:dyDescent="0.3">
      <c r="A22" s="2">
        <v>1576</v>
      </c>
      <c r="B22">
        <v>13.2</v>
      </c>
      <c r="C22" s="2"/>
      <c r="D22" s="2"/>
      <c r="E22" s="2">
        <v>279</v>
      </c>
      <c r="F22">
        <v>19.799999999999997</v>
      </c>
      <c r="I22" s="2">
        <v>3169</v>
      </c>
      <c r="J22">
        <v>13.2</v>
      </c>
      <c r="M22" s="2">
        <v>730</v>
      </c>
      <c r="N22">
        <v>13.2</v>
      </c>
      <c r="U22" s="2">
        <v>203</v>
      </c>
      <c r="V22">
        <v>13.2</v>
      </c>
    </row>
    <row r="23" spans="1:22" x14ac:dyDescent="0.3">
      <c r="A23" s="2">
        <v>1915</v>
      </c>
      <c r="B23">
        <v>33</v>
      </c>
      <c r="C23" s="2"/>
      <c r="D23" s="2"/>
      <c r="E23" s="2">
        <v>294</v>
      </c>
      <c r="F23">
        <v>26.4</v>
      </c>
      <c r="I23" s="2">
        <v>3173</v>
      </c>
      <c r="J23">
        <v>6.6</v>
      </c>
      <c r="M23" s="2">
        <v>761</v>
      </c>
      <c r="N23">
        <v>6.6</v>
      </c>
      <c r="U23" s="2">
        <v>2583</v>
      </c>
      <c r="V23">
        <v>13.2</v>
      </c>
    </row>
    <row r="24" spans="1:22" x14ac:dyDescent="0.3">
      <c r="A24" s="2">
        <v>1981</v>
      </c>
      <c r="B24">
        <v>13.2</v>
      </c>
      <c r="C24" s="2"/>
      <c r="D24" s="2"/>
      <c r="E24" s="2">
        <v>674</v>
      </c>
      <c r="F24">
        <v>6.6</v>
      </c>
      <c r="I24" s="2">
        <v>3202</v>
      </c>
      <c r="J24">
        <v>13.2</v>
      </c>
      <c r="M24" s="2">
        <v>803</v>
      </c>
      <c r="N24">
        <v>26.4</v>
      </c>
      <c r="U24" s="2">
        <v>2703</v>
      </c>
      <c r="V24">
        <v>26.4</v>
      </c>
    </row>
    <row r="25" spans="1:22" x14ac:dyDescent="0.3">
      <c r="A25" s="2">
        <v>2006</v>
      </c>
      <c r="B25">
        <v>19.799999999999997</v>
      </c>
      <c r="C25" s="2"/>
      <c r="D25" s="2"/>
      <c r="E25" s="2">
        <v>690</v>
      </c>
      <c r="F25">
        <v>66</v>
      </c>
      <c r="I25" s="2">
        <v>3243</v>
      </c>
      <c r="J25">
        <v>6.6</v>
      </c>
      <c r="M25" s="2">
        <v>818</v>
      </c>
      <c r="N25">
        <v>6.6</v>
      </c>
      <c r="U25" s="2" t="s">
        <v>28</v>
      </c>
      <c r="V25">
        <v>257.39999999999992</v>
      </c>
    </row>
    <row r="26" spans="1:22" x14ac:dyDescent="0.3">
      <c r="A26" s="2">
        <v>2035</v>
      </c>
      <c r="B26">
        <v>6.6</v>
      </c>
      <c r="C26" s="2"/>
      <c r="D26" s="2"/>
      <c r="E26" s="2">
        <v>702</v>
      </c>
      <c r="F26">
        <v>46.2</v>
      </c>
      <c r="I26" s="2">
        <v>3289</v>
      </c>
      <c r="J26">
        <v>6.6</v>
      </c>
      <c r="M26" s="2">
        <v>826</v>
      </c>
      <c r="N26">
        <v>13.2</v>
      </c>
    </row>
    <row r="27" spans="1:22" x14ac:dyDescent="0.3">
      <c r="A27" s="2">
        <v>2039</v>
      </c>
      <c r="B27">
        <v>6.6</v>
      </c>
      <c r="C27" s="2"/>
      <c r="D27" s="2"/>
      <c r="E27" s="2">
        <v>706</v>
      </c>
      <c r="F27">
        <v>6.6</v>
      </c>
      <c r="I27" s="2">
        <v>3349</v>
      </c>
      <c r="J27">
        <v>26.4</v>
      </c>
      <c r="M27" s="2">
        <v>847</v>
      </c>
      <c r="N27">
        <v>13.2</v>
      </c>
    </row>
    <row r="28" spans="1:22" x14ac:dyDescent="0.3">
      <c r="A28" s="2">
        <v>2186</v>
      </c>
      <c r="B28">
        <v>6.6</v>
      </c>
      <c r="C28" s="2"/>
      <c r="D28" s="2"/>
      <c r="E28" s="2">
        <v>707</v>
      </c>
      <c r="F28">
        <v>13.2</v>
      </c>
      <c r="I28" s="2">
        <v>3504</v>
      </c>
      <c r="J28">
        <v>13.2</v>
      </c>
      <c r="M28" s="2">
        <v>858</v>
      </c>
      <c r="N28">
        <v>6.6</v>
      </c>
    </row>
    <row r="29" spans="1:22" x14ac:dyDescent="0.3">
      <c r="A29" s="2">
        <v>2197</v>
      </c>
      <c r="B29">
        <v>13.2</v>
      </c>
      <c r="C29" s="2"/>
      <c r="D29" s="2"/>
      <c r="E29" s="2">
        <v>708</v>
      </c>
      <c r="F29">
        <v>6.6</v>
      </c>
      <c r="I29" s="2">
        <v>7116</v>
      </c>
      <c r="J29">
        <v>13.2</v>
      </c>
      <c r="M29" s="2">
        <v>859</v>
      </c>
      <c r="N29">
        <v>6.6</v>
      </c>
    </row>
    <row r="30" spans="1:22" x14ac:dyDescent="0.3">
      <c r="A30" s="2">
        <v>2218</v>
      </c>
      <c r="B30">
        <v>6.6</v>
      </c>
      <c r="C30" s="2"/>
      <c r="D30" s="2"/>
      <c r="E30" s="2">
        <v>715</v>
      </c>
      <c r="F30">
        <v>13.2</v>
      </c>
      <c r="I30" s="2">
        <v>7608</v>
      </c>
      <c r="J30">
        <v>13.2</v>
      </c>
      <c r="M30" s="2">
        <v>917</v>
      </c>
      <c r="N30">
        <v>13.2</v>
      </c>
    </row>
    <row r="31" spans="1:22" x14ac:dyDescent="0.3">
      <c r="A31" s="2">
        <v>2231</v>
      </c>
      <c r="B31">
        <v>33</v>
      </c>
      <c r="C31" s="2"/>
      <c r="D31" s="2"/>
      <c r="E31" s="2">
        <v>716</v>
      </c>
      <c r="F31">
        <v>19.799999999999997</v>
      </c>
      <c r="I31" s="2">
        <v>9502</v>
      </c>
      <c r="J31">
        <v>6.6</v>
      </c>
      <c r="M31" s="2">
        <v>991</v>
      </c>
      <c r="N31">
        <v>13.2</v>
      </c>
    </row>
    <row r="32" spans="1:22" x14ac:dyDescent="0.3">
      <c r="A32" s="2">
        <v>2244</v>
      </c>
      <c r="B32">
        <v>13.2</v>
      </c>
      <c r="C32" s="2"/>
      <c r="D32" s="2"/>
      <c r="E32" s="2">
        <v>730</v>
      </c>
      <c r="F32">
        <v>19.799999999999997</v>
      </c>
      <c r="I32" s="2">
        <v>3404</v>
      </c>
      <c r="J32">
        <v>46.2</v>
      </c>
      <c r="M32" s="2">
        <v>1411</v>
      </c>
      <c r="N32">
        <v>13.2</v>
      </c>
    </row>
    <row r="33" spans="1:14" x14ac:dyDescent="0.3">
      <c r="A33" s="2">
        <v>2246</v>
      </c>
      <c r="B33">
        <v>13.2</v>
      </c>
      <c r="C33" s="2"/>
      <c r="D33" s="2"/>
      <c r="E33" s="2">
        <v>734</v>
      </c>
      <c r="F33">
        <v>13.2</v>
      </c>
      <c r="I33" s="2">
        <v>7042</v>
      </c>
      <c r="J33">
        <v>13.2</v>
      </c>
      <c r="M33" s="2">
        <v>1413</v>
      </c>
      <c r="N33">
        <v>13.2</v>
      </c>
    </row>
    <row r="34" spans="1:14" x14ac:dyDescent="0.3">
      <c r="A34" s="2">
        <v>2254</v>
      </c>
      <c r="B34">
        <v>13.2</v>
      </c>
      <c r="C34" s="2"/>
      <c r="D34" s="2"/>
      <c r="E34" s="2">
        <v>756</v>
      </c>
      <c r="F34">
        <v>13.2</v>
      </c>
      <c r="I34" s="2">
        <v>3114</v>
      </c>
      <c r="J34">
        <v>13.2</v>
      </c>
      <c r="M34" s="2">
        <v>1420</v>
      </c>
      <c r="N34">
        <v>6.6</v>
      </c>
    </row>
    <row r="35" spans="1:14" x14ac:dyDescent="0.3">
      <c r="A35" s="2">
        <v>2261</v>
      </c>
      <c r="B35">
        <v>6.6</v>
      </c>
      <c r="C35" s="2"/>
      <c r="D35" s="2"/>
      <c r="E35" s="2">
        <v>757</v>
      </c>
      <c r="F35">
        <v>13.2</v>
      </c>
      <c r="I35" s="2">
        <v>3398</v>
      </c>
      <c r="J35">
        <v>13.2</v>
      </c>
      <c r="M35" s="2">
        <v>1421</v>
      </c>
      <c r="N35">
        <v>6.6</v>
      </c>
    </row>
    <row r="36" spans="1:14" x14ac:dyDescent="0.3">
      <c r="A36" s="2">
        <v>2285</v>
      </c>
      <c r="B36">
        <v>6.6</v>
      </c>
      <c r="C36" s="2"/>
      <c r="D36" s="2"/>
      <c r="E36" s="2">
        <v>761</v>
      </c>
      <c r="F36">
        <v>39.6</v>
      </c>
      <c r="I36" s="2">
        <v>2654</v>
      </c>
      <c r="J36">
        <v>13.2</v>
      </c>
      <c r="M36" s="2">
        <v>1443</v>
      </c>
      <c r="N36">
        <v>6.6</v>
      </c>
    </row>
    <row r="37" spans="1:14" x14ac:dyDescent="0.3">
      <c r="A37" s="2">
        <v>2316</v>
      </c>
      <c r="B37">
        <v>13.2</v>
      </c>
      <c r="C37" s="2"/>
      <c r="D37" s="2"/>
      <c r="E37" s="2">
        <v>763</v>
      </c>
      <c r="F37">
        <v>19.799999999999997</v>
      </c>
      <c r="I37" s="2">
        <v>2673</v>
      </c>
      <c r="J37">
        <v>13.2</v>
      </c>
      <c r="M37" s="2">
        <v>1467</v>
      </c>
      <c r="N37">
        <v>26.4</v>
      </c>
    </row>
    <row r="38" spans="1:14" x14ac:dyDescent="0.3">
      <c r="A38" s="2">
        <v>2323</v>
      </c>
      <c r="B38">
        <v>13.2</v>
      </c>
      <c r="C38" s="2"/>
      <c r="D38" s="2"/>
      <c r="E38" s="2">
        <v>769</v>
      </c>
      <c r="F38">
        <v>6.6</v>
      </c>
      <c r="I38" s="2">
        <v>7554</v>
      </c>
      <c r="J38">
        <v>6.6</v>
      </c>
      <c r="M38" s="2">
        <v>1470</v>
      </c>
      <c r="N38">
        <v>13.2</v>
      </c>
    </row>
    <row r="39" spans="1:14" x14ac:dyDescent="0.3">
      <c r="A39" s="2">
        <v>2372</v>
      </c>
      <c r="B39">
        <v>39.6</v>
      </c>
      <c r="C39" s="2"/>
      <c r="D39" s="2"/>
      <c r="E39" s="2">
        <v>770</v>
      </c>
      <c r="F39">
        <v>6.6</v>
      </c>
      <c r="I39" s="2">
        <v>3357</v>
      </c>
      <c r="J39">
        <v>6.6</v>
      </c>
      <c r="M39" s="2">
        <v>1471</v>
      </c>
      <c r="N39">
        <v>6.6</v>
      </c>
    </row>
    <row r="40" spans="1:14" x14ac:dyDescent="0.3">
      <c r="A40" s="2">
        <v>2394</v>
      </c>
      <c r="B40">
        <v>59.400000000000006</v>
      </c>
      <c r="C40" s="2"/>
      <c r="D40" s="2"/>
      <c r="E40" s="2">
        <v>781</v>
      </c>
      <c r="F40">
        <v>6.6</v>
      </c>
      <c r="I40" s="2">
        <v>2764</v>
      </c>
      <c r="J40">
        <v>6.6</v>
      </c>
      <c r="M40" s="2">
        <v>1484</v>
      </c>
      <c r="N40">
        <v>13.2</v>
      </c>
    </row>
    <row r="41" spans="1:14" x14ac:dyDescent="0.3">
      <c r="A41" s="2">
        <v>2416</v>
      </c>
      <c r="B41">
        <v>6.6</v>
      </c>
      <c r="C41" s="2"/>
      <c r="D41" s="2"/>
      <c r="E41" s="2">
        <v>785</v>
      </c>
      <c r="F41">
        <v>26.4</v>
      </c>
      <c r="I41" s="2">
        <v>2467</v>
      </c>
      <c r="J41">
        <v>6.6</v>
      </c>
      <c r="M41" s="2">
        <v>1489</v>
      </c>
      <c r="N41">
        <v>13.2</v>
      </c>
    </row>
    <row r="42" spans="1:14" x14ac:dyDescent="0.3">
      <c r="A42" s="2">
        <v>2441</v>
      </c>
      <c r="B42">
        <v>33</v>
      </c>
      <c r="C42" s="2"/>
      <c r="D42" s="2"/>
      <c r="E42" s="2">
        <v>790</v>
      </c>
      <c r="F42">
        <v>13.2</v>
      </c>
      <c r="I42" s="2">
        <v>2779</v>
      </c>
      <c r="J42">
        <v>26.4</v>
      </c>
      <c r="M42" s="2">
        <v>1524</v>
      </c>
      <c r="N42">
        <v>52.800000000000004</v>
      </c>
    </row>
    <row r="43" spans="1:14" x14ac:dyDescent="0.3">
      <c r="A43" s="2">
        <v>2442</v>
      </c>
      <c r="B43">
        <v>13.2</v>
      </c>
      <c r="C43" s="2"/>
      <c r="D43" s="2"/>
      <c r="E43" s="2">
        <v>793</v>
      </c>
      <c r="F43">
        <v>19.799999999999997</v>
      </c>
      <c r="I43" s="2">
        <v>2450</v>
      </c>
      <c r="J43">
        <v>19.799999999999997</v>
      </c>
      <c r="M43" s="2">
        <v>1603</v>
      </c>
      <c r="N43">
        <v>13.2</v>
      </c>
    </row>
    <row r="44" spans="1:14" x14ac:dyDescent="0.3">
      <c r="A44" s="2">
        <v>2463</v>
      </c>
      <c r="B44">
        <v>13.2</v>
      </c>
      <c r="C44" s="2"/>
      <c r="D44" s="2"/>
      <c r="E44" s="2">
        <v>795</v>
      </c>
      <c r="F44">
        <v>13.2</v>
      </c>
      <c r="I44" s="2" t="s">
        <v>28</v>
      </c>
      <c r="J44">
        <v>567.59999999999991</v>
      </c>
      <c r="M44" s="2">
        <v>1624</v>
      </c>
      <c r="N44">
        <v>13.2</v>
      </c>
    </row>
    <row r="45" spans="1:14" x14ac:dyDescent="0.3">
      <c r="A45" s="2">
        <v>3006</v>
      </c>
      <c r="B45">
        <v>13.2</v>
      </c>
      <c r="C45" s="2"/>
      <c r="D45" s="2"/>
      <c r="E45" s="2">
        <v>800</v>
      </c>
      <c r="F45">
        <v>19.799999999999997</v>
      </c>
      <c r="M45" s="2">
        <v>1631</v>
      </c>
      <c r="N45">
        <v>13.2</v>
      </c>
    </row>
    <row r="46" spans="1:14" x14ac:dyDescent="0.3">
      <c r="A46" s="2">
        <v>3016</v>
      </c>
      <c r="B46">
        <v>6.6</v>
      </c>
      <c r="C46" s="2"/>
      <c r="D46" s="2"/>
      <c r="E46" s="2">
        <v>807</v>
      </c>
      <c r="F46">
        <v>6.6</v>
      </c>
      <c r="M46" s="2">
        <v>1665</v>
      </c>
      <c r="N46">
        <v>13.2</v>
      </c>
    </row>
    <row r="47" spans="1:14" x14ac:dyDescent="0.3">
      <c r="A47" s="2">
        <v>3038</v>
      </c>
      <c r="B47">
        <v>6.6</v>
      </c>
      <c r="C47" s="2"/>
      <c r="D47" s="2"/>
      <c r="E47" s="2">
        <v>818</v>
      </c>
      <c r="F47">
        <v>33</v>
      </c>
      <c r="M47" s="2">
        <v>2356</v>
      </c>
      <c r="N47">
        <v>6.6</v>
      </c>
    </row>
    <row r="48" spans="1:14" x14ac:dyDescent="0.3">
      <c r="A48" s="2">
        <v>3047</v>
      </c>
      <c r="B48">
        <v>33</v>
      </c>
      <c r="C48" s="2"/>
      <c r="D48" s="2"/>
      <c r="E48" s="2">
        <v>821</v>
      </c>
      <c r="F48">
        <v>33</v>
      </c>
      <c r="M48" s="2">
        <v>2563</v>
      </c>
      <c r="N48">
        <v>13.2</v>
      </c>
    </row>
    <row r="49" spans="1:14" x14ac:dyDescent="0.3">
      <c r="A49" s="2">
        <v>3061</v>
      </c>
      <c r="B49">
        <v>33</v>
      </c>
      <c r="C49" s="2"/>
      <c r="D49" s="2"/>
      <c r="E49" s="2">
        <v>830</v>
      </c>
      <c r="F49">
        <v>19.799999999999997</v>
      </c>
      <c r="M49" s="2">
        <v>3294</v>
      </c>
      <c r="N49">
        <v>13.2</v>
      </c>
    </row>
    <row r="50" spans="1:14" x14ac:dyDescent="0.3">
      <c r="A50" s="2">
        <v>3068</v>
      </c>
      <c r="B50">
        <v>26.4</v>
      </c>
      <c r="C50" s="2"/>
      <c r="D50" s="2"/>
      <c r="E50" s="2">
        <v>836</v>
      </c>
      <c r="F50">
        <v>6.6</v>
      </c>
      <c r="M50" s="2">
        <v>7628</v>
      </c>
      <c r="N50">
        <v>39.6</v>
      </c>
    </row>
    <row r="51" spans="1:14" x14ac:dyDescent="0.3">
      <c r="A51" s="2">
        <v>3095</v>
      </c>
      <c r="B51">
        <v>19.799999999999997</v>
      </c>
      <c r="C51" s="2"/>
      <c r="D51" s="2"/>
      <c r="E51" s="2">
        <v>837</v>
      </c>
      <c r="F51">
        <v>59.400000000000006</v>
      </c>
      <c r="M51" s="2">
        <v>9510</v>
      </c>
      <c r="N51">
        <v>19.799999999999997</v>
      </c>
    </row>
    <row r="52" spans="1:14" x14ac:dyDescent="0.3">
      <c r="A52" s="2">
        <v>3125</v>
      </c>
      <c r="B52">
        <v>13.2</v>
      </c>
      <c r="C52" s="2"/>
      <c r="D52" s="2"/>
      <c r="E52" s="2">
        <v>840</v>
      </c>
      <c r="F52">
        <v>13.2</v>
      </c>
      <c r="M52" s="2">
        <v>223</v>
      </c>
      <c r="N52">
        <v>13.2</v>
      </c>
    </row>
    <row r="53" spans="1:14" x14ac:dyDescent="0.3">
      <c r="A53" s="2">
        <v>3143</v>
      </c>
      <c r="B53">
        <v>13.2</v>
      </c>
      <c r="C53" s="2"/>
      <c r="D53" s="2"/>
      <c r="E53" s="2">
        <v>845</v>
      </c>
      <c r="F53">
        <v>6.6</v>
      </c>
      <c r="M53" s="2">
        <v>823</v>
      </c>
      <c r="N53">
        <v>6.6</v>
      </c>
    </row>
    <row r="54" spans="1:14" x14ac:dyDescent="0.3">
      <c r="A54" s="2">
        <v>3153</v>
      </c>
      <c r="B54">
        <v>39.6</v>
      </c>
      <c r="C54" s="2"/>
      <c r="D54" s="2"/>
      <c r="E54" s="2">
        <v>846</v>
      </c>
      <c r="F54">
        <v>6.6</v>
      </c>
      <c r="M54" s="2">
        <v>1453</v>
      </c>
      <c r="N54">
        <v>6.6</v>
      </c>
    </row>
    <row r="55" spans="1:14" x14ac:dyDescent="0.3">
      <c r="A55" s="2">
        <v>3173</v>
      </c>
      <c r="B55">
        <v>26.4</v>
      </c>
      <c r="C55" s="2"/>
      <c r="D55" s="2"/>
      <c r="E55" s="2">
        <v>850</v>
      </c>
      <c r="F55">
        <v>52.800000000000004</v>
      </c>
      <c r="M55" s="2">
        <v>2653</v>
      </c>
      <c r="N55">
        <v>13.2</v>
      </c>
    </row>
    <row r="56" spans="1:14" x14ac:dyDescent="0.3">
      <c r="A56" s="2">
        <v>3202</v>
      </c>
      <c r="B56">
        <v>26.4</v>
      </c>
      <c r="C56" s="2"/>
      <c r="D56" s="2"/>
      <c r="E56" s="2">
        <v>858</v>
      </c>
      <c r="F56">
        <v>13.2</v>
      </c>
      <c r="M56" s="2">
        <v>2093</v>
      </c>
      <c r="N56">
        <v>13.2</v>
      </c>
    </row>
    <row r="57" spans="1:14" x14ac:dyDescent="0.3">
      <c r="A57" s="2">
        <v>3243</v>
      </c>
      <c r="B57">
        <v>6.6</v>
      </c>
      <c r="C57" s="2"/>
      <c r="D57" s="2"/>
      <c r="E57" s="2">
        <v>859</v>
      </c>
      <c r="F57">
        <v>19.799999999999997</v>
      </c>
      <c r="M57" s="2">
        <v>2578</v>
      </c>
      <c r="N57">
        <v>6.6</v>
      </c>
    </row>
    <row r="58" spans="1:14" x14ac:dyDescent="0.3">
      <c r="A58" s="2">
        <v>3309</v>
      </c>
      <c r="B58">
        <v>13.2</v>
      </c>
      <c r="C58" s="2"/>
      <c r="D58" s="2"/>
      <c r="E58" s="2">
        <v>865</v>
      </c>
      <c r="F58">
        <v>33</v>
      </c>
      <c r="M58" s="2">
        <v>2594</v>
      </c>
      <c r="N58">
        <v>19.799999999999997</v>
      </c>
    </row>
    <row r="59" spans="1:14" x14ac:dyDescent="0.3">
      <c r="A59" s="2">
        <v>3349</v>
      </c>
      <c r="B59">
        <v>6.6</v>
      </c>
      <c r="C59" s="2"/>
      <c r="D59" s="2"/>
      <c r="E59" s="2">
        <v>902</v>
      </c>
      <c r="F59">
        <v>13.2</v>
      </c>
      <c r="M59" s="2">
        <v>9008</v>
      </c>
      <c r="N59">
        <v>13.2</v>
      </c>
    </row>
    <row r="60" spans="1:14" x14ac:dyDescent="0.3">
      <c r="A60" s="2">
        <v>3504</v>
      </c>
      <c r="B60">
        <v>13.2</v>
      </c>
      <c r="C60" s="2"/>
      <c r="D60" s="2"/>
      <c r="E60" s="2">
        <v>903</v>
      </c>
      <c r="F60">
        <v>33</v>
      </c>
      <c r="M60" s="2">
        <v>234</v>
      </c>
      <c r="N60">
        <v>13.2</v>
      </c>
    </row>
    <row r="61" spans="1:14" x14ac:dyDescent="0.3">
      <c r="A61" s="2">
        <v>7015</v>
      </c>
      <c r="B61">
        <v>13.2</v>
      </c>
      <c r="C61" s="2"/>
      <c r="D61" s="2"/>
      <c r="E61" s="2">
        <v>917</v>
      </c>
      <c r="F61">
        <v>13.2</v>
      </c>
      <c r="M61" s="2">
        <v>1592</v>
      </c>
      <c r="N61">
        <v>6.6</v>
      </c>
    </row>
    <row r="62" spans="1:14" x14ac:dyDescent="0.3">
      <c r="A62" s="2">
        <v>7032</v>
      </c>
      <c r="B62">
        <v>13.2</v>
      </c>
      <c r="C62" s="2"/>
      <c r="D62" s="2"/>
      <c r="E62" s="2">
        <v>923</v>
      </c>
      <c r="F62">
        <v>13.2</v>
      </c>
      <c r="M62" s="2">
        <v>9016</v>
      </c>
      <c r="N62">
        <v>26.4</v>
      </c>
    </row>
    <row r="63" spans="1:14" x14ac:dyDescent="0.3">
      <c r="A63" s="2">
        <v>7046</v>
      </c>
      <c r="B63">
        <v>6.6</v>
      </c>
      <c r="C63" s="2"/>
      <c r="D63" s="2"/>
      <c r="E63" s="2">
        <v>926</v>
      </c>
      <c r="F63">
        <v>6.6</v>
      </c>
      <c r="M63" s="2" t="s">
        <v>28</v>
      </c>
      <c r="N63">
        <v>759.00000000000034</v>
      </c>
    </row>
    <row r="64" spans="1:14" x14ac:dyDescent="0.3">
      <c r="A64" s="2">
        <v>7116</v>
      </c>
      <c r="B64">
        <v>19.799999999999997</v>
      </c>
      <c r="C64" s="2"/>
      <c r="D64" s="2"/>
      <c r="E64" s="2">
        <v>927</v>
      </c>
      <c r="F64">
        <v>26.4</v>
      </c>
    </row>
    <row r="65" spans="1:6" x14ac:dyDescent="0.3">
      <c r="A65" s="2">
        <v>7609</v>
      </c>
      <c r="B65">
        <v>26.4</v>
      </c>
      <c r="C65" s="2"/>
      <c r="D65" s="2"/>
      <c r="E65" s="2">
        <v>952</v>
      </c>
      <c r="F65">
        <v>13.2</v>
      </c>
    </row>
    <row r="66" spans="1:6" x14ac:dyDescent="0.3">
      <c r="A66" s="2">
        <v>9281</v>
      </c>
      <c r="B66">
        <v>13.2</v>
      </c>
      <c r="C66" s="2"/>
      <c r="D66" s="2"/>
      <c r="E66" s="2">
        <v>987</v>
      </c>
      <c r="F66">
        <v>13.2</v>
      </c>
    </row>
    <row r="67" spans="1:6" x14ac:dyDescent="0.3">
      <c r="A67" s="2">
        <v>9502</v>
      </c>
      <c r="B67">
        <v>13.2</v>
      </c>
      <c r="C67" s="2"/>
      <c r="D67" s="2"/>
      <c r="E67" s="2">
        <v>989</v>
      </c>
      <c r="F67">
        <v>13.2</v>
      </c>
    </row>
    <row r="68" spans="1:6" x14ac:dyDescent="0.3">
      <c r="A68" s="2">
        <v>390</v>
      </c>
      <c r="B68">
        <v>26.4</v>
      </c>
      <c r="C68" s="2"/>
      <c r="D68" s="2"/>
      <c r="E68" s="2">
        <v>991</v>
      </c>
      <c r="F68">
        <v>6.6</v>
      </c>
    </row>
    <row r="69" spans="1:6" x14ac:dyDescent="0.3">
      <c r="A69" s="2">
        <v>307</v>
      </c>
      <c r="B69">
        <v>19.799999999999997</v>
      </c>
      <c r="C69" s="2"/>
      <c r="D69" s="2"/>
      <c r="E69" s="2">
        <v>1226</v>
      </c>
      <c r="F69">
        <v>13.2</v>
      </c>
    </row>
    <row r="70" spans="1:6" x14ac:dyDescent="0.3">
      <c r="A70" s="2">
        <v>2030</v>
      </c>
      <c r="B70">
        <v>13.2</v>
      </c>
      <c r="C70" s="2"/>
      <c r="D70" s="2"/>
      <c r="E70" s="2">
        <v>1401</v>
      </c>
      <c r="F70">
        <v>39.6</v>
      </c>
    </row>
    <row r="71" spans="1:6" x14ac:dyDescent="0.3">
      <c r="A71" s="2">
        <v>2135</v>
      </c>
      <c r="B71">
        <v>6.6</v>
      </c>
      <c r="C71" s="2"/>
      <c r="D71" s="2"/>
      <c r="E71" s="2">
        <v>1402</v>
      </c>
      <c r="F71">
        <v>19.799999999999997</v>
      </c>
    </row>
    <row r="72" spans="1:6" x14ac:dyDescent="0.3">
      <c r="A72" s="2">
        <v>2308</v>
      </c>
      <c r="B72">
        <v>6.6</v>
      </c>
      <c r="C72" s="2"/>
      <c r="D72" s="2"/>
      <c r="E72" s="2">
        <v>1411</v>
      </c>
      <c r="F72">
        <v>26.4</v>
      </c>
    </row>
    <row r="73" spans="1:6" x14ac:dyDescent="0.3">
      <c r="A73" s="2">
        <v>2322</v>
      </c>
      <c r="B73">
        <v>19.799999999999997</v>
      </c>
      <c r="C73" s="2"/>
      <c r="D73" s="2"/>
      <c r="E73" s="2">
        <v>1413</v>
      </c>
      <c r="F73">
        <v>98.999999999999972</v>
      </c>
    </row>
    <row r="74" spans="1:6" x14ac:dyDescent="0.3">
      <c r="A74" s="2">
        <v>2341</v>
      </c>
      <c r="B74">
        <v>39.6</v>
      </c>
      <c r="C74" s="2"/>
      <c r="D74" s="2"/>
      <c r="E74" s="2">
        <v>1415</v>
      </c>
      <c r="F74">
        <v>72.599999999999994</v>
      </c>
    </row>
    <row r="75" spans="1:6" x14ac:dyDescent="0.3">
      <c r="A75" s="2">
        <v>2615</v>
      </c>
      <c r="B75">
        <v>19.799999999999997</v>
      </c>
      <c r="C75" s="2"/>
      <c r="D75" s="2"/>
      <c r="E75" s="2">
        <v>1416</v>
      </c>
      <c r="F75">
        <v>13.2</v>
      </c>
    </row>
    <row r="76" spans="1:6" x14ac:dyDescent="0.3">
      <c r="A76" s="2">
        <v>3158</v>
      </c>
      <c r="B76">
        <v>19.799999999999997</v>
      </c>
      <c r="C76" s="2"/>
      <c r="D76" s="2"/>
      <c r="E76" s="2">
        <v>1420</v>
      </c>
      <c r="F76">
        <v>19.799999999999997</v>
      </c>
    </row>
    <row r="77" spans="1:6" x14ac:dyDescent="0.3">
      <c r="A77" s="2">
        <v>3215</v>
      </c>
      <c r="B77">
        <v>6.6</v>
      </c>
      <c r="C77" s="2"/>
      <c r="D77" s="2"/>
      <c r="E77" s="2">
        <v>1421</v>
      </c>
      <c r="F77">
        <v>19.799999999999997</v>
      </c>
    </row>
    <row r="78" spans="1:6" x14ac:dyDescent="0.3">
      <c r="A78" s="2">
        <v>3404</v>
      </c>
      <c r="B78">
        <v>39.6</v>
      </c>
      <c r="C78" s="2"/>
      <c r="D78" s="2"/>
      <c r="E78" s="2">
        <v>1425</v>
      </c>
      <c r="F78">
        <v>6.6</v>
      </c>
    </row>
    <row r="79" spans="1:6" x14ac:dyDescent="0.3">
      <c r="A79" s="2">
        <v>7042</v>
      </c>
      <c r="B79">
        <v>26.4</v>
      </c>
      <c r="C79" s="2"/>
      <c r="D79" s="2"/>
      <c r="E79" s="2">
        <v>1434</v>
      </c>
      <c r="F79">
        <v>19.799999999999997</v>
      </c>
    </row>
    <row r="80" spans="1:6" x14ac:dyDescent="0.3">
      <c r="A80" s="2">
        <v>2235</v>
      </c>
      <c r="B80">
        <v>26.4</v>
      </c>
      <c r="C80" s="2"/>
      <c r="D80" s="2"/>
      <c r="E80" s="2">
        <v>1437</v>
      </c>
      <c r="F80">
        <v>6.6</v>
      </c>
    </row>
    <row r="81" spans="1:6" x14ac:dyDescent="0.3">
      <c r="A81" s="2">
        <v>2501</v>
      </c>
      <c r="B81">
        <v>6.6</v>
      </c>
      <c r="C81" s="2"/>
      <c r="D81" s="2"/>
      <c r="E81" s="2">
        <v>1441</v>
      </c>
      <c r="F81">
        <v>6.6</v>
      </c>
    </row>
    <row r="82" spans="1:6" x14ac:dyDescent="0.3">
      <c r="A82" s="2">
        <v>2520</v>
      </c>
      <c r="B82">
        <v>13.2</v>
      </c>
      <c r="C82" s="2"/>
      <c r="D82" s="2"/>
      <c r="E82" s="2">
        <v>1443</v>
      </c>
      <c r="F82">
        <v>13.2</v>
      </c>
    </row>
    <row r="83" spans="1:6" x14ac:dyDescent="0.3">
      <c r="A83" s="2">
        <v>3398</v>
      </c>
      <c r="B83">
        <v>26.4</v>
      </c>
      <c r="C83" s="2"/>
      <c r="D83" s="2"/>
      <c r="E83" s="2">
        <v>1445</v>
      </c>
      <c r="F83">
        <v>33</v>
      </c>
    </row>
    <row r="84" spans="1:6" x14ac:dyDescent="0.3">
      <c r="A84" s="2">
        <v>3402</v>
      </c>
      <c r="B84">
        <v>72.599999999999994</v>
      </c>
      <c r="C84" s="2"/>
      <c r="D84" s="2"/>
      <c r="E84" s="2">
        <v>1447</v>
      </c>
      <c r="F84">
        <v>26.4</v>
      </c>
    </row>
    <row r="85" spans="1:6" x14ac:dyDescent="0.3">
      <c r="A85" s="2">
        <v>704</v>
      </c>
      <c r="B85">
        <v>6.6</v>
      </c>
      <c r="C85" s="2"/>
      <c r="D85" s="2"/>
      <c r="E85" s="2">
        <v>1448</v>
      </c>
      <c r="F85">
        <v>66</v>
      </c>
    </row>
    <row r="86" spans="1:6" x14ac:dyDescent="0.3">
      <c r="A86" s="2">
        <v>2051</v>
      </c>
      <c r="B86">
        <v>13.2</v>
      </c>
      <c r="C86" s="2"/>
      <c r="D86" s="2"/>
      <c r="E86" s="2">
        <v>1463</v>
      </c>
      <c r="F86">
        <v>6.6</v>
      </c>
    </row>
    <row r="87" spans="1:6" x14ac:dyDescent="0.3">
      <c r="A87" s="2">
        <v>2632</v>
      </c>
      <c r="B87">
        <v>19.799999999999997</v>
      </c>
      <c r="C87" s="2"/>
      <c r="D87" s="2"/>
      <c r="E87" s="2">
        <v>1466</v>
      </c>
      <c r="F87">
        <v>13.2</v>
      </c>
    </row>
    <row r="88" spans="1:6" x14ac:dyDescent="0.3">
      <c r="A88" s="2">
        <v>2654</v>
      </c>
      <c r="B88">
        <v>19.799999999999997</v>
      </c>
      <c r="C88" s="2"/>
      <c r="D88" s="2"/>
      <c r="E88" s="2">
        <v>1471</v>
      </c>
      <c r="F88">
        <v>19.799999999999997</v>
      </c>
    </row>
    <row r="89" spans="1:6" x14ac:dyDescent="0.3">
      <c r="A89" s="2">
        <v>3425</v>
      </c>
      <c r="B89">
        <v>13.2</v>
      </c>
      <c r="C89" s="2"/>
      <c r="D89" s="2"/>
      <c r="E89" s="2">
        <v>1480</v>
      </c>
      <c r="F89">
        <v>13.2</v>
      </c>
    </row>
    <row r="90" spans="1:6" x14ac:dyDescent="0.3">
      <c r="A90" s="2">
        <v>216</v>
      </c>
      <c r="B90">
        <v>33</v>
      </c>
      <c r="C90" s="2"/>
      <c r="D90" s="2"/>
      <c r="E90" s="2">
        <v>1489</v>
      </c>
      <c r="F90">
        <v>33</v>
      </c>
    </row>
    <row r="91" spans="1:6" x14ac:dyDescent="0.3">
      <c r="A91" s="2">
        <v>2324</v>
      </c>
      <c r="B91">
        <v>6.6</v>
      </c>
      <c r="C91" s="2"/>
      <c r="D91" s="2"/>
      <c r="E91" s="2">
        <v>1603</v>
      </c>
      <c r="F91">
        <v>6.6</v>
      </c>
    </row>
    <row r="92" spans="1:6" x14ac:dyDescent="0.3">
      <c r="A92" s="2">
        <v>2673</v>
      </c>
      <c r="B92">
        <v>6.6</v>
      </c>
      <c r="C92" s="2"/>
      <c r="D92" s="2"/>
      <c r="E92" s="2">
        <v>1665</v>
      </c>
      <c r="F92">
        <v>13.2</v>
      </c>
    </row>
    <row r="93" spans="1:6" x14ac:dyDescent="0.3">
      <c r="A93" s="2">
        <v>2674</v>
      </c>
      <c r="B93">
        <v>6.6</v>
      </c>
      <c r="C93" s="2"/>
      <c r="D93" s="2"/>
      <c r="E93" s="2">
        <v>1698</v>
      </c>
      <c r="F93">
        <v>26.4</v>
      </c>
    </row>
    <row r="94" spans="1:6" x14ac:dyDescent="0.3">
      <c r="A94" s="2">
        <v>2739</v>
      </c>
      <c r="B94">
        <v>19.799999999999997</v>
      </c>
      <c r="C94" s="2"/>
      <c r="D94" s="2"/>
      <c r="E94" s="2">
        <v>1699</v>
      </c>
      <c r="F94">
        <v>105.59999999999997</v>
      </c>
    </row>
    <row r="95" spans="1:6" x14ac:dyDescent="0.3">
      <c r="A95" s="2">
        <v>7045</v>
      </c>
      <c r="B95">
        <v>13.2</v>
      </c>
      <c r="C95" s="2"/>
      <c r="D95" s="2"/>
      <c r="E95" s="2">
        <v>2356</v>
      </c>
      <c r="F95">
        <v>19.799999999999997</v>
      </c>
    </row>
    <row r="96" spans="1:6" x14ac:dyDescent="0.3">
      <c r="A96" s="2">
        <v>7106</v>
      </c>
      <c r="B96">
        <v>33</v>
      </c>
      <c r="C96" s="2"/>
      <c r="D96" s="2"/>
      <c r="E96" s="2">
        <v>2557</v>
      </c>
      <c r="F96">
        <v>13.2</v>
      </c>
    </row>
    <row r="97" spans="1:6" x14ac:dyDescent="0.3">
      <c r="A97" s="2">
        <v>9000</v>
      </c>
      <c r="B97">
        <v>46.2</v>
      </c>
      <c r="C97" s="2"/>
      <c r="D97" s="2"/>
      <c r="E97" s="2">
        <v>2563</v>
      </c>
      <c r="F97">
        <v>13.2</v>
      </c>
    </row>
    <row r="98" spans="1:6" x14ac:dyDescent="0.3">
      <c r="A98" s="2">
        <v>3401</v>
      </c>
      <c r="B98">
        <v>6.6</v>
      </c>
      <c r="C98" s="2"/>
      <c r="D98" s="2"/>
      <c r="E98" s="2">
        <v>3081</v>
      </c>
      <c r="F98">
        <v>13.2</v>
      </c>
    </row>
    <row r="99" spans="1:6" x14ac:dyDescent="0.3">
      <c r="A99" s="2">
        <v>7100</v>
      </c>
      <c r="B99">
        <v>79.199999999999989</v>
      </c>
      <c r="C99" s="2"/>
      <c r="D99" s="2"/>
      <c r="E99" s="2">
        <v>3236</v>
      </c>
      <c r="F99">
        <v>13.2</v>
      </c>
    </row>
    <row r="100" spans="1:6" x14ac:dyDescent="0.3">
      <c r="A100" s="2">
        <v>7554</v>
      </c>
      <c r="B100">
        <v>6.6</v>
      </c>
      <c r="C100" s="2"/>
      <c r="D100" s="2"/>
      <c r="E100" s="2">
        <v>3294</v>
      </c>
      <c r="F100">
        <v>13.2</v>
      </c>
    </row>
    <row r="101" spans="1:6" x14ac:dyDescent="0.3">
      <c r="A101" s="2">
        <v>3520</v>
      </c>
      <c r="B101">
        <v>39.6</v>
      </c>
      <c r="C101" s="2"/>
      <c r="D101" s="2"/>
      <c r="E101" s="2">
        <v>7028</v>
      </c>
      <c r="F101">
        <v>39.6</v>
      </c>
    </row>
    <row r="102" spans="1:6" x14ac:dyDescent="0.3">
      <c r="A102" s="2">
        <v>2746</v>
      </c>
      <c r="B102">
        <v>33</v>
      </c>
      <c r="C102" s="2"/>
      <c r="D102" s="2"/>
      <c r="E102" s="2">
        <v>7628</v>
      </c>
      <c r="F102">
        <v>26.4</v>
      </c>
    </row>
    <row r="103" spans="1:6" x14ac:dyDescent="0.3">
      <c r="A103" s="2">
        <v>479</v>
      </c>
      <c r="B103">
        <v>6.6</v>
      </c>
      <c r="C103" s="2"/>
      <c r="D103" s="2"/>
      <c r="E103" s="2">
        <v>9510</v>
      </c>
      <c r="F103">
        <v>39.6</v>
      </c>
    </row>
    <row r="104" spans="1:6" x14ac:dyDescent="0.3">
      <c r="A104" s="2">
        <v>2533</v>
      </c>
      <c r="B104">
        <v>26.4</v>
      </c>
      <c r="C104" s="2"/>
      <c r="D104" s="2"/>
      <c r="E104" s="2">
        <v>3292</v>
      </c>
      <c r="F104">
        <v>39.6</v>
      </c>
    </row>
    <row r="105" spans="1:6" x14ac:dyDescent="0.3">
      <c r="A105" s="2">
        <v>2690</v>
      </c>
      <c r="B105">
        <v>26.4</v>
      </c>
      <c r="C105" s="2"/>
      <c r="D105" s="2"/>
      <c r="E105" s="2">
        <v>203</v>
      </c>
      <c r="F105">
        <v>19.799999999999997</v>
      </c>
    </row>
    <row r="106" spans="1:6" x14ac:dyDescent="0.3">
      <c r="A106" s="2">
        <v>3453</v>
      </c>
      <c r="B106">
        <v>26.4</v>
      </c>
      <c r="C106" s="2"/>
      <c r="D106" s="2"/>
      <c r="E106" s="2">
        <v>260</v>
      </c>
      <c r="F106">
        <v>19.799999999999997</v>
      </c>
    </row>
    <row r="107" spans="1:6" x14ac:dyDescent="0.3">
      <c r="A107" s="2">
        <v>7051</v>
      </c>
      <c r="B107">
        <v>26.4</v>
      </c>
      <c r="C107" s="2"/>
      <c r="D107" s="2"/>
      <c r="E107" s="2">
        <v>823</v>
      </c>
      <c r="F107">
        <v>13.2</v>
      </c>
    </row>
    <row r="108" spans="1:6" x14ac:dyDescent="0.3">
      <c r="A108" s="2">
        <v>7065</v>
      </c>
      <c r="B108">
        <v>13.2</v>
      </c>
      <c r="C108" s="2"/>
      <c r="D108" s="2"/>
      <c r="E108" s="2">
        <v>939</v>
      </c>
      <c r="F108">
        <v>26.4</v>
      </c>
    </row>
    <row r="109" spans="1:6" x14ac:dyDescent="0.3">
      <c r="A109" s="2">
        <v>2784</v>
      </c>
      <c r="B109">
        <v>6.6</v>
      </c>
      <c r="C109" s="2"/>
      <c r="D109" s="2"/>
      <c r="E109" s="2">
        <v>1406</v>
      </c>
      <c r="F109">
        <v>26.4</v>
      </c>
    </row>
    <row r="110" spans="1:6" x14ac:dyDescent="0.3">
      <c r="A110" s="2">
        <v>2753</v>
      </c>
      <c r="B110">
        <v>13.2</v>
      </c>
      <c r="C110" s="2"/>
      <c r="D110" s="2"/>
      <c r="E110" s="2">
        <v>2583</v>
      </c>
      <c r="F110">
        <v>13.2</v>
      </c>
    </row>
    <row r="111" spans="1:6" x14ac:dyDescent="0.3">
      <c r="A111" s="2">
        <v>396</v>
      </c>
      <c r="B111">
        <v>26.4</v>
      </c>
      <c r="C111" s="2"/>
      <c r="D111" s="2"/>
      <c r="E111" s="2">
        <v>2653</v>
      </c>
      <c r="F111">
        <v>13.2</v>
      </c>
    </row>
    <row r="112" spans="1:6" x14ac:dyDescent="0.3">
      <c r="A112" s="2">
        <v>2807</v>
      </c>
      <c r="B112">
        <v>39.6</v>
      </c>
      <c r="C112" s="2"/>
      <c r="D112" s="2"/>
      <c r="E112" s="2">
        <v>2703</v>
      </c>
      <c r="F112">
        <v>6.6</v>
      </c>
    </row>
    <row r="113" spans="1:6" x14ac:dyDescent="0.3">
      <c r="A113" s="2">
        <v>3607</v>
      </c>
      <c r="B113">
        <v>13.2</v>
      </c>
      <c r="C113" s="2"/>
      <c r="D113" s="2"/>
      <c r="E113" s="2">
        <v>2549</v>
      </c>
      <c r="F113">
        <v>19.799999999999997</v>
      </c>
    </row>
    <row r="114" spans="1:6" x14ac:dyDescent="0.3">
      <c r="A114" s="2">
        <v>7634</v>
      </c>
      <c r="B114">
        <v>39.6</v>
      </c>
      <c r="C114" s="2"/>
      <c r="D114" s="2"/>
      <c r="E114" s="2">
        <v>988</v>
      </c>
      <c r="F114">
        <v>13.2</v>
      </c>
    </row>
    <row r="115" spans="1:6" x14ac:dyDescent="0.3">
      <c r="A115" s="2">
        <v>2467</v>
      </c>
      <c r="B115">
        <v>52.800000000000004</v>
      </c>
      <c r="C115" s="2"/>
      <c r="D115" s="2"/>
      <c r="E115" s="2">
        <v>271</v>
      </c>
      <c r="F115">
        <v>52.800000000000004</v>
      </c>
    </row>
    <row r="116" spans="1:6" x14ac:dyDescent="0.3">
      <c r="A116" s="2">
        <v>267</v>
      </c>
      <c r="B116">
        <v>33</v>
      </c>
      <c r="C116" s="2"/>
      <c r="D116" s="2"/>
      <c r="E116" s="2">
        <v>9017</v>
      </c>
      <c r="F116">
        <v>26.4</v>
      </c>
    </row>
    <row r="117" spans="1:6" x14ac:dyDescent="0.3">
      <c r="A117" s="2">
        <v>2194</v>
      </c>
      <c r="B117">
        <v>6.6</v>
      </c>
      <c r="C117" s="2"/>
      <c r="D117" s="2"/>
      <c r="E117" s="2">
        <v>9008</v>
      </c>
      <c r="F117">
        <v>26.4</v>
      </c>
    </row>
    <row r="118" spans="1:6" x14ac:dyDescent="0.3">
      <c r="A118" s="2">
        <v>2289</v>
      </c>
      <c r="B118">
        <v>6.6</v>
      </c>
      <c r="C118" s="2"/>
      <c r="D118" s="2"/>
      <c r="E118" s="2">
        <v>234</v>
      </c>
      <c r="F118">
        <v>26.4</v>
      </c>
    </row>
    <row r="119" spans="1:6" x14ac:dyDescent="0.3">
      <c r="A119" s="2">
        <v>3613</v>
      </c>
      <c r="B119">
        <v>6.6</v>
      </c>
      <c r="C119" s="2"/>
      <c r="D119" s="2"/>
      <c r="E119" s="2">
        <v>1592</v>
      </c>
      <c r="F119">
        <v>33</v>
      </c>
    </row>
    <row r="120" spans="1:6" x14ac:dyDescent="0.3">
      <c r="A120" s="2">
        <v>2450</v>
      </c>
      <c r="B120">
        <v>6.6</v>
      </c>
      <c r="C120" s="2"/>
      <c r="D120" s="2"/>
      <c r="E120" s="2">
        <v>9016</v>
      </c>
      <c r="F120">
        <v>46.2</v>
      </c>
    </row>
    <row r="121" spans="1:6" x14ac:dyDescent="0.3">
      <c r="A121" s="2" t="s">
        <v>28</v>
      </c>
      <c r="B121">
        <v>2237.3999999999996</v>
      </c>
      <c r="C121" s="2"/>
      <c r="D121" s="2"/>
      <c r="E121" s="2">
        <v>9020</v>
      </c>
      <c r="F121">
        <v>13.2</v>
      </c>
    </row>
    <row r="122" spans="1:6" x14ac:dyDescent="0.3">
      <c r="C122" s="2"/>
      <c r="D122" s="2"/>
      <c r="E122" s="2" t="s">
        <v>28</v>
      </c>
      <c r="F122">
        <v>2600.3999999999996</v>
      </c>
    </row>
    <row r="123" spans="1:6" x14ac:dyDescent="0.3">
      <c r="C123" s="2"/>
      <c r="D123" s="2"/>
    </row>
    <row r="124" spans="1:6" x14ac:dyDescent="0.3">
      <c r="C124" s="2"/>
      <c r="D124" s="2"/>
    </row>
    <row r="125" spans="1:6" x14ac:dyDescent="0.3">
      <c r="C125" s="2"/>
      <c r="D125" s="2"/>
    </row>
    <row r="126" spans="1:6" x14ac:dyDescent="0.3">
      <c r="C126" s="2"/>
      <c r="D126" s="2"/>
    </row>
    <row r="127" spans="1:6" x14ac:dyDescent="0.3">
      <c r="C127" s="2"/>
      <c r="D127" s="2"/>
    </row>
    <row r="128" spans="1:6" x14ac:dyDescent="0.3">
      <c r="C128" s="2"/>
      <c r="D128" s="2"/>
    </row>
    <row r="129" spans="3:4" x14ac:dyDescent="0.3">
      <c r="C129" s="2"/>
      <c r="D129" s="2"/>
    </row>
    <row r="130" spans="3:4" x14ac:dyDescent="0.3">
      <c r="C130" s="2"/>
      <c r="D130" s="2"/>
    </row>
    <row r="131" spans="3:4" x14ac:dyDescent="0.3">
      <c r="C131" s="2"/>
      <c r="D131" s="2"/>
    </row>
    <row r="132" spans="3:4" x14ac:dyDescent="0.3">
      <c r="C132" s="2"/>
      <c r="D132" s="2"/>
    </row>
    <row r="133" spans="3:4" x14ac:dyDescent="0.3">
      <c r="C133" s="2"/>
      <c r="D133" s="2"/>
    </row>
    <row r="134" spans="3:4" x14ac:dyDescent="0.3">
      <c r="C134" s="2"/>
      <c r="D134" s="2"/>
    </row>
    <row r="135" spans="3:4" x14ac:dyDescent="0.3">
      <c r="C135" s="2"/>
      <c r="D135" s="2"/>
    </row>
    <row r="136" spans="3:4" x14ac:dyDescent="0.3">
      <c r="C136" s="2"/>
      <c r="D136" s="2"/>
    </row>
    <row r="137" spans="3:4" x14ac:dyDescent="0.3">
      <c r="C137" s="2"/>
      <c r="D137" s="2"/>
    </row>
    <row r="138" spans="3:4" x14ac:dyDescent="0.3">
      <c r="C138" s="2"/>
      <c r="D138" s="2"/>
    </row>
    <row r="139" spans="3:4" x14ac:dyDescent="0.3">
      <c r="C139" s="2"/>
      <c r="D139" s="2"/>
    </row>
    <row r="140" spans="3:4" x14ac:dyDescent="0.3">
      <c r="C140" s="2"/>
      <c r="D140" s="2"/>
    </row>
    <row r="141" spans="3:4" x14ac:dyDescent="0.3">
      <c r="C141" s="2"/>
      <c r="D141" s="2"/>
    </row>
    <row r="142" spans="3:4" x14ac:dyDescent="0.3">
      <c r="C142" s="2"/>
      <c r="D142" s="2"/>
    </row>
    <row r="143" spans="3:4" x14ac:dyDescent="0.3">
      <c r="C143" s="2"/>
      <c r="D143" s="2"/>
    </row>
    <row r="144" spans="3:4" x14ac:dyDescent="0.3">
      <c r="C144" s="2"/>
      <c r="D144" s="2"/>
    </row>
    <row r="145" spans="3:4" x14ac:dyDescent="0.3">
      <c r="C145" s="2"/>
      <c r="D145" s="2"/>
    </row>
    <row r="146" spans="3:4" x14ac:dyDescent="0.3">
      <c r="C146" s="2"/>
      <c r="D146" s="2"/>
    </row>
    <row r="147" spans="3:4" x14ac:dyDescent="0.3">
      <c r="C147" s="2"/>
      <c r="D147" s="2"/>
    </row>
    <row r="148" spans="3:4" x14ac:dyDescent="0.3">
      <c r="C148" s="2"/>
      <c r="D148" s="2"/>
    </row>
    <row r="149" spans="3:4" x14ac:dyDescent="0.3">
      <c r="C149" s="2"/>
      <c r="D149" s="2"/>
    </row>
    <row r="150" spans="3:4" x14ac:dyDescent="0.3">
      <c r="C150" s="2"/>
      <c r="D150" s="2"/>
    </row>
    <row r="151" spans="3:4" x14ac:dyDescent="0.3">
      <c r="C151" s="2"/>
      <c r="D151" s="2"/>
    </row>
    <row r="152" spans="3:4" x14ac:dyDescent="0.3">
      <c r="C152" s="2"/>
      <c r="D152" s="2"/>
    </row>
    <row r="153" spans="3:4" x14ac:dyDescent="0.3">
      <c r="C153" s="2"/>
      <c r="D153" s="2"/>
    </row>
    <row r="154" spans="3:4" x14ac:dyDescent="0.3">
      <c r="C154" s="2"/>
      <c r="D154" s="2"/>
    </row>
    <row r="155" spans="3:4" x14ac:dyDescent="0.3">
      <c r="C155" s="2"/>
      <c r="D155" s="2"/>
    </row>
    <row r="156" spans="3:4" x14ac:dyDescent="0.3">
      <c r="C156" s="2"/>
      <c r="D156" s="2"/>
    </row>
    <row r="157" spans="3:4" x14ac:dyDescent="0.3">
      <c r="C157" s="2"/>
      <c r="D157" s="2"/>
    </row>
    <row r="158" spans="3:4" x14ac:dyDescent="0.3">
      <c r="C158" s="2"/>
      <c r="D158" s="2"/>
    </row>
    <row r="159" spans="3:4" x14ac:dyDescent="0.3">
      <c r="C159" s="2"/>
      <c r="D159" s="2"/>
    </row>
    <row r="160" spans="3:4" x14ac:dyDescent="0.3">
      <c r="C160" s="2"/>
      <c r="D160" s="2"/>
    </row>
    <row r="161" spans="3:4" x14ac:dyDescent="0.3">
      <c r="C161" s="2"/>
      <c r="D161" s="2"/>
    </row>
    <row r="162" spans="3:4" x14ac:dyDescent="0.3">
      <c r="C162" s="2"/>
      <c r="D162" s="2"/>
    </row>
    <row r="163" spans="3:4" x14ac:dyDescent="0.3">
      <c r="C163" s="2"/>
      <c r="D163" s="2"/>
    </row>
    <row r="164" spans="3:4" x14ac:dyDescent="0.3">
      <c r="C164" s="2"/>
      <c r="D164" s="2"/>
    </row>
    <row r="165" spans="3:4" x14ac:dyDescent="0.3">
      <c r="C165" s="2"/>
      <c r="D165" s="2"/>
    </row>
    <row r="166" spans="3:4" x14ac:dyDescent="0.3">
      <c r="C166" s="2"/>
      <c r="D166" s="2"/>
    </row>
    <row r="167" spans="3:4" x14ac:dyDescent="0.3">
      <c r="C167" s="2"/>
      <c r="D167" s="2"/>
    </row>
    <row r="168" spans="3:4" x14ac:dyDescent="0.3">
      <c r="C168" s="2"/>
      <c r="D168" s="2"/>
    </row>
    <row r="169" spans="3:4" x14ac:dyDescent="0.3">
      <c r="C169" s="2"/>
      <c r="D169" s="2"/>
    </row>
    <row r="170" spans="3:4" x14ac:dyDescent="0.3">
      <c r="C170" s="2"/>
      <c r="D170" s="2"/>
    </row>
    <row r="171" spans="3:4" x14ac:dyDescent="0.3">
      <c r="C171" s="2"/>
      <c r="D171" s="2"/>
    </row>
    <row r="172" spans="3:4" x14ac:dyDescent="0.3">
      <c r="C172" s="2"/>
      <c r="D172" s="2"/>
    </row>
    <row r="173" spans="3:4" x14ac:dyDescent="0.3">
      <c r="C173" s="2"/>
      <c r="D173" s="2"/>
    </row>
    <row r="174" spans="3:4" x14ac:dyDescent="0.3">
      <c r="C174" s="2"/>
      <c r="D174" s="2"/>
    </row>
    <row r="175" spans="3:4" x14ac:dyDescent="0.3">
      <c r="C175" s="2"/>
      <c r="D175" s="2"/>
    </row>
    <row r="176" spans="3:4" x14ac:dyDescent="0.3">
      <c r="C176" s="2"/>
      <c r="D176" s="2"/>
    </row>
    <row r="177" spans="3:4" x14ac:dyDescent="0.3">
      <c r="C177" s="2"/>
      <c r="D177" s="2"/>
    </row>
    <row r="178" spans="3:4" x14ac:dyDescent="0.3">
      <c r="C178" s="2"/>
      <c r="D178" s="2"/>
    </row>
    <row r="179" spans="3:4" x14ac:dyDescent="0.3">
      <c r="C179" s="2"/>
      <c r="D179" s="2"/>
    </row>
    <row r="180" spans="3:4" x14ac:dyDescent="0.3">
      <c r="C180" s="2"/>
      <c r="D180" s="2"/>
    </row>
    <row r="181" spans="3:4" x14ac:dyDescent="0.3">
      <c r="C181" s="2"/>
      <c r="D181" s="2"/>
    </row>
    <row r="182" spans="3:4" x14ac:dyDescent="0.3">
      <c r="C182" s="2"/>
      <c r="D182" s="2"/>
    </row>
    <row r="183" spans="3:4" x14ac:dyDescent="0.3">
      <c r="C183" s="2"/>
      <c r="D183" s="2"/>
    </row>
    <row r="184" spans="3:4" x14ac:dyDescent="0.3">
      <c r="C184" s="2"/>
      <c r="D184" s="2"/>
    </row>
    <row r="185" spans="3:4" x14ac:dyDescent="0.3">
      <c r="C185" s="2"/>
      <c r="D185" s="2"/>
    </row>
    <row r="186" spans="3:4" x14ac:dyDescent="0.3">
      <c r="C186" s="2"/>
      <c r="D186" s="2"/>
    </row>
    <row r="187" spans="3:4" x14ac:dyDescent="0.3">
      <c r="C187" s="2"/>
      <c r="D187" s="2"/>
    </row>
    <row r="188" spans="3:4" x14ac:dyDescent="0.3">
      <c r="C188" s="2"/>
      <c r="D188" s="2"/>
    </row>
    <row r="189" spans="3:4" x14ac:dyDescent="0.3">
      <c r="C189" s="2"/>
      <c r="D189" s="2"/>
    </row>
    <row r="190" spans="3:4" x14ac:dyDescent="0.3">
      <c r="C190" s="2"/>
      <c r="D190" s="2"/>
    </row>
    <row r="191" spans="3:4" x14ac:dyDescent="0.3">
      <c r="C191" s="2"/>
      <c r="D191" s="2"/>
    </row>
    <row r="192" spans="3:4" x14ac:dyDescent="0.3">
      <c r="C192" s="2"/>
      <c r="D192" s="2"/>
    </row>
    <row r="193" spans="3:4" x14ac:dyDescent="0.3">
      <c r="C193" s="2"/>
      <c r="D193" s="2"/>
    </row>
    <row r="194" spans="3:4" x14ac:dyDescent="0.3">
      <c r="C194" s="2"/>
      <c r="D194" s="2"/>
    </row>
    <row r="195" spans="3:4" x14ac:dyDescent="0.3">
      <c r="C195" s="2"/>
      <c r="D195" s="2"/>
    </row>
    <row r="196" spans="3:4" x14ac:dyDescent="0.3">
      <c r="C196" s="2"/>
      <c r="D196" s="2"/>
    </row>
    <row r="197" spans="3:4" x14ac:dyDescent="0.3">
      <c r="C197" s="2"/>
      <c r="D197" s="2"/>
    </row>
    <row r="198" spans="3:4" x14ac:dyDescent="0.3">
      <c r="C198" s="2"/>
      <c r="D198" s="2"/>
    </row>
    <row r="199" spans="3:4" x14ac:dyDescent="0.3">
      <c r="C199" s="2"/>
      <c r="D199" s="2"/>
    </row>
    <row r="200" spans="3:4" x14ac:dyDescent="0.3">
      <c r="C200" s="2"/>
      <c r="D200" s="2"/>
    </row>
    <row r="201" spans="3:4" x14ac:dyDescent="0.3">
      <c r="C201" s="2"/>
      <c r="D201" s="2"/>
    </row>
    <row r="202" spans="3:4" x14ac:dyDescent="0.3">
      <c r="C202" s="2"/>
      <c r="D202" s="2"/>
    </row>
    <row r="203" spans="3:4" x14ac:dyDescent="0.3">
      <c r="C203" s="2"/>
      <c r="D203" s="2"/>
    </row>
  </sheetData>
  <mergeCells count="6">
    <mergeCell ref="Q1:R1"/>
    <mergeCell ref="U1:V1"/>
    <mergeCell ref="A1:B1"/>
    <mergeCell ref="E1:F1"/>
    <mergeCell ref="I1:J1"/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F1C58-4DB0-4339-B556-E6FC39812DBE}">
  <sheetPr>
    <tabColor theme="0"/>
  </sheetPr>
  <dimension ref="A1:H466"/>
  <sheetViews>
    <sheetView tabSelected="1" zoomScale="85" zoomScaleNormal="85" workbookViewId="0">
      <selection activeCell="B30" sqref="B30"/>
    </sheetView>
  </sheetViews>
  <sheetFormatPr baseColWidth="10" defaultColWidth="11.44140625" defaultRowHeight="14.4" x14ac:dyDescent="0.3"/>
  <cols>
    <col min="2" max="5" width="39.44140625" customWidth="1"/>
    <col min="6" max="7" width="33" customWidth="1"/>
    <col min="8" max="8" width="18.33203125" bestFit="1" customWidth="1"/>
  </cols>
  <sheetData>
    <row r="1" spans="1:8" ht="23.4" customHeight="1" x14ac:dyDescent="0.3">
      <c r="A1" s="7" t="s">
        <v>11</v>
      </c>
      <c r="B1" s="3" t="s">
        <v>43</v>
      </c>
      <c r="C1" s="3" t="s">
        <v>44</v>
      </c>
      <c r="D1" s="4" t="s">
        <v>45</v>
      </c>
      <c r="E1" s="4" t="s">
        <v>46</v>
      </c>
      <c r="F1" s="3" t="s">
        <v>47</v>
      </c>
      <c r="G1" s="3" t="s">
        <v>1373</v>
      </c>
      <c r="H1" s="3" t="s">
        <v>1372</v>
      </c>
    </row>
    <row r="2" spans="1:8" x14ac:dyDescent="0.3">
      <c r="A2" s="8">
        <v>717</v>
      </c>
      <c r="B2" s="5">
        <f>+SUMIFS(Tabla16[Importe],Tabla16[MOVIL],Tabla38[[#This Row],[MOVIL]],Tabla16[OBSV],"DESCONTAR POR USO PERSONAL")</f>
        <v>0</v>
      </c>
      <c r="C2" s="5">
        <f>+SUMIFS(Tabla16[Importe],Tabla16[MOVIL],Tabla38[[#This Row],[MOVIL]],Tabla16[OBSV],"DESCONTAR POR INCIDENCIA")</f>
        <v>0</v>
      </c>
      <c r="D2" s="5">
        <f>+SUMIFS(Tabla16[Importe],Tabla16[MOVIL],Tabla38[[#This Row],[MOVIL]],Tabla16[OBSV],"DESCONTAR SERVICIO EN EFECTIVO")</f>
        <v>0</v>
      </c>
      <c r="E2" s="5">
        <f>+IFERROR(VLOOKUP(Tabla38[[#This Row],[MOVIL]],Tabla1[[#All],[MOVIL]:[COBRO POR NUEVA INCLUSIÓN]],4,FALSE),0)</f>
        <v>0</v>
      </c>
      <c r="F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" s="5"/>
      <c r="H2" s="5" t="str">
        <f>_xlfn.XLOOKUP(Tabla38[[#This Row],[MOVIL]],[1]LIQUIDACION!$B:$B,[1]LIQUIDACION!$A:$A,"-",0)</f>
        <v>AEROPUERTO</v>
      </c>
    </row>
    <row r="3" spans="1:8" x14ac:dyDescent="0.3">
      <c r="A3" s="59">
        <v>210</v>
      </c>
      <c r="B3" s="5">
        <f>+SUMIFS(Tabla16[Importe],Tabla16[MOVIL],Tabla38[[#This Row],[MOVIL]],Tabla16[OBSV],"DESCONTAR POR USO PERSONAL")</f>
        <v>18.899999999999999</v>
      </c>
      <c r="C3" s="5">
        <f>+SUMIFS(Tabla16[Importe],Tabla16[MOVIL],Tabla38[[#This Row],[MOVIL]],Tabla16[OBSV],"DESCONTAR POR INCIDENCIA")</f>
        <v>12.6</v>
      </c>
      <c r="D3" s="5">
        <f>+SUMIFS(Tabla16[Importe],Tabla16[MOVIL],Tabla38[[#This Row],[MOVIL]],Tabla16[OBSV],"DESCONTAR SERVICIO EN EFECTIVO")</f>
        <v>0</v>
      </c>
      <c r="E3" s="5">
        <f>+IFERROR(VLOOKUP(Tabla38[[#This Row],[MOVIL]],Tabla1[[#All],[MOVIL]:[COBRO POR NUEVA INCLUSIÓN]],4,FALSE),0)</f>
        <v>0</v>
      </c>
      <c r="F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" s="5"/>
      <c r="H3" s="5" t="str">
        <f>_xlfn.XLOOKUP(Tabla38[[#This Row],[MOVIL]],[1]LIQUIDACION!$B:$B,[1]LIQUIDACION!$A:$A,"-",0)</f>
        <v>AEROPUERTO</v>
      </c>
    </row>
    <row r="4" spans="1:8" x14ac:dyDescent="0.3">
      <c r="A4" s="8">
        <v>2246</v>
      </c>
      <c r="B4" s="5">
        <f>+SUMIFS(Tabla16[Importe],Tabla16[MOVIL],Tabla38[[#This Row],[MOVIL]],Tabla16[OBSV],"DESCONTAR POR USO PERSONAL")</f>
        <v>0</v>
      </c>
      <c r="C4" s="5">
        <f>+SUMIFS(Tabla16[Importe],Tabla16[MOVIL],Tabla38[[#This Row],[MOVIL]],Tabla16[OBSV],"DESCONTAR POR INCIDENCIA")</f>
        <v>0</v>
      </c>
      <c r="D4" s="5">
        <f>+SUMIFS(Tabla16[Importe],Tabla16[MOVIL],Tabla38[[#This Row],[MOVIL]],Tabla16[OBSV],"DESCONTAR SERVICIO EN EFECTIVO")</f>
        <v>0</v>
      </c>
      <c r="E4" s="5">
        <f>+IFERROR(VLOOKUP(Tabla38[[#This Row],[MOVIL]],Tabla1[[#All],[MOVIL]:[COBRO POR NUEVA INCLUSIÓN]],4,FALSE),0)</f>
        <v>0</v>
      </c>
      <c r="F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" s="5"/>
      <c r="H4" s="5" t="str">
        <f>_xlfn.XLOOKUP(Tabla38[[#This Row],[MOVIL]],[1]LIQUIDACION!$B:$B,[1]LIQUIDACION!$A:$A,"-",0)</f>
        <v>MEMBRESÍA URBANO</v>
      </c>
    </row>
    <row r="5" spans="1:8" x14ac:dyDescent="0.3">
      <c r="A5" s="59">
        <v>1981</v>
      </c>
      <c r="B5" s="5">
        <f>+SUMIFS(Tabla16[Importe],Tabla16[MOVIL],Tabla38[[#This Row],[MOVIL]],Tabla16[OBSV],"DESCONTAR POR USO PERSONAL")</f>
        <v>44.099999999999994</v>
      </c>
      <c r="C5" s="5">
        <f>+SUMIFS(Tabla16[Importe],Tabla16[MOVIL],Tabla38[[#This Row],[MOVIL]],Tabla16[OBSV],"DESCONTAR POR INCIDENCIA")</f>
        <v>0</v>
      </c>
      <c r="D5" s="5">
        <f>+SUMIFS(Tabla16[Importe],Tabla16[MOVIL],Tabla38[[#This Row],[MOVIL]],Tabla16[OBSV],"DESCONTAR SERVICIO EN EFECTIVO")</f>
        <v>0</v>
      </c>
      <c r="E5" s="5">
        <f>+IFERROR(VLOOKUP(Tabla38[[#This Row],[MOVIL]],Tabla1[[#All],[MOVIL]:[COBRO POR NUEVA INCLUSIÓN]],4,FALSE),0)</f>
        <v>0</v>
      </c>
      <c r="F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5" s="5"/>
      <c r="H5" s="5" t="str">
        <f>_xlfn.XLOOKUP(Tabla38[[#This Row],[MOVIL]],[1]LIQUIDACION!$B:$B,[1]LIQUIDACION!$A:$A,"-",0)</f>
        <v>URBANO</v>
      </c>
    </row>
    <row r="6" spans="1:8" x14ac:dyDescent="0.3">
      <c r="A6" s="8">
        <v>772</v>
      </c>
      <c r="B6" s="5">
        <f>+SUMIFS(Tabla16[Importe],Tabla16[MOVIL],Tabla38[[#This Row],[MOVIL]],Tabla16[OBSV],"DESCONTAR POR USO PERSONAL")</f>
        <v>0</v>
      </c>
      <c r="C6" s="5">
        <f>+SUMIFS(Tabla16[Importe],Tabla16[MOVIL],Tabla38[[#This Row],[MOVIL]],Tabla16[OBSV],"DESCONTAR POR INCIDENCIA")</f>
        <v>0</v>
      </c>
      <c r="D6" s="5">
        <f>+SUMIFS(Tabla16[Importe],Tabla16[MOVIL],Tabla38[[#This Row],[MOVIL]],Tabla16[OBSV],"DESCONTAR SERVICIO EN EFECTIVO")</f>
        <v>0</v>
      </c>
      <c r="E6" s="5">
        <f>+IFERROR(VLOOKUP(Tabla38[[#This Row],[MOVIL]],Tabla1[[#All],[MOVIL]:[COBRO POR NUEVA INCLUSIÓN]],4,FALSE),0)</f>
        <v>0</v>
      </c>
      <c r="F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" s="5"/>
      <c r="H6" s="5" t="str">
        <f>_xlfn.XLOOKUP(Tabla38[[#This Row],[MOVIL]],[1]LIQUIDACION!$B:$B,[1]LIQUIDACION!$A:$A,"-",0)</f>
        <v>AEROPUERTO</v>
      </c>
    </row>
    <row r="7" spans="1:8" x14ac:dyDescent="0.3">
      <c r="A7" s="59">
        <v>3243</v>
      </c>
      <c r="B7" s="5">
        <f>+SUMIFS(Tabla16[Importe],Tabla16[MOVIL],Tabla38[[#This Row],[MOVIL]],Tabla16[OBSV],"DESCONTAR POR USO PERSONAL")</f>
        <v>18.899999999999999</v>
      </c>
      <c r="C7" s="5">
        <f>+SUMIFS(Tabla16[Importe],Tabla16[MOVIL],Tabla38[[#This Row],[MOVIL]],Tabla16[OBSV],"DESCONTAR POR INCIDENCIA")</f>
        <v>0</v>
      </c>
      <c r="D7" s="5">
        <f>+SUMIFS(Tabla16[Importe],Tabla16[MOVIL],Tabla38[[#This Row],[MOVIL]],Tabla16[OBSV],"DESCONTAR SERVICIO EN EFECTIVO")</f>
        <v>0</v>
      </c>
      <c r="E7" s="5">
        <f>+IFERROR(VLOOKUP(Tabla38[[#This Row],[MOVIL]],Tabla1[[#All],[MOVIL]:[COBRO POR NUEVA INCLUSIÓN]],4,FALSE),0)</f>
        <v>0</v>
      </c>
      <c r="F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7" s="5"/>
      <c r="H7" s="5" t="str">
        <f>_xlfn.XLOOKUP(Tabla38[[#This Row],[MOVIL]],[1]LIQUIDACION!$B:$B,[1]LIQUIDACION!$A:$A,"-",0)</f>
        <v>AEROLINEAS</v>
      </c>
    </row>
    <row r="8" spans="1:8" x14ac:dyDescent="0.3">
      <c r="A8" s="8">
        <v>9214</v>
      </c>
      <c r="B8" s="5">
        <f>+SUMIFS(Tabla16[Importe],Tabla16[MOVIL],Tabla38[[#This Row],[MOVIL]],Tabla16[OBSV],"DESCONTAR POR USO PERSONAL")</f>
        <v>0</v>
      </c>
      <c r="C8" s="5">
        <f>+SUMIFS(Tabla16[Importe],Tabla16[MOVIL],Tabla38[[#This Row],[MOVIL]],Tabla16[OBSV],"DESCONTAR POR INCIDENCIA")</f>
        <v>0</v>
      </c>
      <c r="D8" s="5">
        <f>+SUMIFS(Tabla16[Importe],Tabla16[MOVIL],Tabla38[[#This Row],[MOVIL]],Tabla16[OBSV],"DESCONTAR SERVICIO EN EFECTIVO")</f>
        <v>0</v>
      </c>
      <c r="E8" s="5">
        <f>+IFERROR(VLOOKUP(Tabla38[[#This Row],[MOVIL]],Tabla1[[#All],[MOVIL]:[COBRO POR NUEVA INCLUSIÓN]],4,FALSE),0)</f>
        <v>0</v>
      </c>
      <c r="F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" s="5"/>
      <c r="H8" s="5" t="str">
        <f>_xlfn.XLOOKUP(Tabla38[[#This Row],[MOVIL]],[1]LIQUIDACION!$B:$B,[1]LIQUIDACION!$A:$A,"-",0)</f>
        <v>MEMBRESÍA URBANO</v>
      </c>
    </row>
    <row r="9" spans="1:8" x14ac:dyDescent="0.3">
      <c r="A9" s="59">
        <v>674</v>
      </c>
      <c r="B9" s="5">
        <f>+SUMIFS(Tabla16[Importe],Tabla16[MOVIL],Tabla38[[#This Row],[MOVIL]],Tabla16[OBSV],"DESCONTAR POR USO PERSONAL")</f>
        <v>50.399999999999991</v>
      </c>
      <c r="C9" s="5">
        <f>+SUMIFS(Tabla16[Importe],Tabla16[MOVIL],Tabla38[[#This Row],[MOVIL]],Tabla16[OBSV],"DESCONTAR POR INCIDENCIA")</f>
        <v>0</v>
      </c>
      <c r="D9" s="5">
        <f>+SUMIFS(Tabla16[Importe],Tabla16[MOVIL],Tabla38[[#This Row],[MOVIL]],Tabla16[OBSV],"DESCONTAR SERVICIO EN EFECTIVO")</f>
        <v>0</v>
      </c>
      <c r="E9" s="5">
        <f>+IFERROR(VLOOKUP(Tabla38[[#This Row],[MOVIL]],Tabla1[[#All],[MOVIL]:[COBRO POR NUEVA INCLUSIÓN]],4,FALSE),0)</f>
        <v>0</v>
      </c>
      <c r="F9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9" s="5"/>
      <c r="H9" s="5" t="str">
        <f>_xlfn.XLOOKUP(Tabla38[[#This Row],[MOVIL]],[1]LIQUIDACION!$B:$B,[1]LIQUIDACION!$A:$A,"-",0)</f>
        <v>URBANO</v>
      </c>
    </row>
    <row r="10" spans="1:8" x14ac:dyDescent="0.3">
      <c r="A10" s="8">
        <v>230</v>
      </c>
      <c r="B10" s="5">
        <f>+SUMIFS(Tabla16[Importe],Tabla16[MOVIL],Tabla38[[#This Row],[MOVIL]],Tabla16[OBSV],"DESCONTAR POR USO PERSONAL")</f>
        <v>0</v>
      </c>
      <c r="C10" s="5">
        <f>+SUMIFS(Tabla16[Importe],Tabla16[MOVIL],Tabla38[[#This Row],[MOVIL]],Tabla16[OBSV],"DESCONTAR POR INCIDENCIA")</f>
        <v>0</v>
      </c>
      <c r="D10" s="5">
        <f>+SUMIFS(Tabla16[Importe],Tabla16[MOVIL],Tabla38[[#This Row],[MOVIL]],Tabla16[OBSV],"DESCONTAR SERVICIO EN EFECTIVO")</f>
        <v>0</v>
      </c>
      <c r="E10" s="5">
        <f>+IFERROR(VLOOKUP(Tabla38[[#This Row],[MOVIL]],Tabla1[[#All],[MOVIL]:[COBRO POR NUEVA INCLUSIÓN]],4,FALSE),0)</f>
        <v>0</v>
      </c>
      <c r="F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" s="5"/>
      <c r="H10" s="5" t="str">
        <f>_xlfn.XLOOKUP(Tabla38[[#This Row],[MOVIL]],[1]LIQUIDACION!$B:$B,[1]LIQUIDACION!$A:$A,"-",0)</f>
        <v>AEROPUERTO</v>
      </c>
    </row>
    <row r="11" spans="1:8" x14ac:dyDescent="0.3">
      <c r="A11" s="8">
        <v>7090</v>
      </c>
      <c r="B11" s="5">
        <f>+SUMIFS(Tabla16[Importe],Tabla16[MOVIL],Tabla38[[#This Row],[MOVIL]],Tabla16[OBSV],"DESCONTAR POR USO PERSONAL")</f>
        <v>18.899999999999999</v>
      </c>
      <c r="C11" s="5">
        <f>+SUMIFS(Tabla16[Importe],Tabla16[MOVIL],Tabla38[[#This Row],[MOVIL]],Tabla16[OBSV],"DESCONTAR POR INCIDENCIA")</f>
        <v>0</v>
      </c>
      <c r="D11" s="5">
        <f>+SUMIFS(Tabla16[Importe],Tabla16[MOVIL],Tabla38[[#This Row],[MOVIL]],Tabla16[OBSV],"DESCONTAR SERVICIO EN EFECTIVO")</f>
        <v>0</v>
      </c>
      <c r="E11" s="5">
        <f>+IFERROR(VLOOKUP(Tabla38[[#This Row],[MOVIL]],Tabla1[[#All],[MOVIL]:[COBRO POR NUEVA INCLUSIÓN]],4,FALSE),0)</f>
        <v>0</v>
      </c>
      <c r="F1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" s="5"/>
      <c r="H11" s="5" t="s">
        <v>1374</v>
      </c>
    </row>
    <row r="12" spans="1:8" x14ac:dyDescent="0.3">
      <c r="A12" s="59">
        <v>2586</v>
      </c>
      <c r="B12" s="5">
        <f>+SUMIFS(Tabla16[Importe],Tabla16[MOVIL],Tabla38[[#This Row],[MOVIL]],Tabla16[OBSV],"DESCONTAR POR USO PERSONAL")</f>
        <v>31.5</v>
      </c>
      <c r="C12" s="5">
        <f>+SUMIFS(Tabla16[Importe],Tabla16[MOVIL],Tabla38[[#This Row],[MOVIL]],Tabla16[OBSV],"DESCONTAR POR INCIDENCIA")</f>
        <v>0</v>
      </c>
      <c r="D12" s="5">
        <f>+SUMIFS(Tabla16[Importe],Tabla16[MOVIL],Tabla38[[#This Row],[MOVIL]],Tabla16[OBSV],"DESCONTAR SERVICIO EN EFECTIVO")</f>
        <v>0</v>
      </c>
      <c r="E12" s="5">
        <f>+IFERROR(VLOOKUP(Tabla38[[#This Row],[MOVIL]],Tabla1[[#All],[MOVIL]:[COBRO POR NUEVA INCLUSIÓN]],4,FALSE),0)</f>
        <v>0</v>
      </c>
      <c r="F1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" s="5"/>
      <c r="H12" s="5" t="str">
        <f>_xlfn.XLOOKUP(Tabla38[[#This Row],[MOVIL]],[1]LIQUIDACION!$B:$B,[1]LIQUIDACION!$A:$A,"-",0)</f>
        <v>URBANO</v>
      </c>
    </row>
    <row r="13" spans="1:8" x14ac:dyDescent="0.3">
      <c r="A13" s="59">
        <v>1524</v>
      </c>
      <c r="B13" s="5">
        <f>+SUMIFS(Tabla16[Importe],Tabla16[MOVIL],Tabla38[[#This Row],[MOVIL]],Tabla16[OBSV],"DESCONTAR POR USO PERSONAL")</f>
        <v>62.999999999999986</v>
      </c>
      <c r="C13" s="5">
        <f>+SUMIFS(Tabla16[Importe],Tabla16[MOVIL],Tabla38[[#This Row],[MOVIL]],Tabla16[OBSV],"DESCONTAR POR INCIDENCIA")</f>
        <v>0</v>
      </c>
      <c r="D13" s="5">
        <f>+SUMIFS(Tabla16[Importe],Tabla16[MOVIL],Tabla38[[#This Row],[MOVIL]],Tabla16[OBSV],"DESCONTAR SERVICIO EN EFECTIVO")</f>
        <v>12.6</v>
      </c>
      <c r="E13" s="5">
        <f>+IFERROR(VLOOKUP(Tabla38[[#This Row],[MOVIL]],Tabla1[[#All],[MOVIL]:[COBRO POR NUEVA INCLUSIÓN]],4,FALSE),0)</f>
        <v>0</v>
      </c>
      <c r="F1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3" s="5"/>
      <c r="H13" s="5" t="str">
        <f>_xlfn.XLOOKUP(Tabla38[[#This Row],[MOVIL]],[1]LIQUIDACION!$B:$B,[1]LIQUIDACION!$A:$A,"-",0)</f>
        <v>AEROPUERTO VAN</v>
      </c>
    </row>
    <row r="14" spans="1:8" x14ac:dyDescent="0.3">
      <c r="A14" s="59">
        <v>7065</v>
      </c>
      <c r="B14" s="5">
        <f>+SUMIFS(Tabla16[Importe],Tabla16[MOVIL],Tabla38[[#This Row],[MOVIL]],Tabla16[OBSV],"DESCONTAR POR USO PERSONAL")</f>
        <v>25.2</v>
      </c>
      <c r="C14" s="5">
        <f>+SUMIFS(Tabla16[Importe],Tabla16[MOVIL],Tabla38[[#This Row],[MOVIL]],Tabla16[OBSV],"DESCONTAR POR INCIDENCIA")</f>
        <v>0</v>
      </c>
      <c r="D14" s="5">
        <f>+SUMIFS(Tabla16[Importe],Tabla16[MOVIL],Tabla38[[#This Row],[MOVIL]],Tabla16[OBSV],"DESCONTAR SERVICIO EN EFECTIVO")</f>
        <v>0</v>
      </c>
      <c r="E14" s="5">
        <f>+IFERROR(VLOOKUP(Tabla38[[#This Row],[MOVIL]],Tabla1[[#All],[MOVIL]:[COBRO POR NUEVA INCLUSIÓN]],4,FALSE),0)</f>
        <v>0</v>
      </c>
      <c r="F1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" s="5"/>
      <c r="H14" s="5" t="str">
        <f>_xlfn.XLOOKUP(Tabla38[[#This Row],[MOVIL]],[1]LIQUIDACION!$B:$B,[1]LIQUIDACION!$A:$A,"-",0)</f>
        <v>MEMBRESÍA URBANO</v>
      </c>
    </row>
    <row r="15" spans="1:8" x14ac:dyDescent="0.3">
      <c r="A15" s="8">
        <v>766</v>
      </c>
      <c r="B15" s="5">
        <f>+SUMIFS(Tabla16[Importe],Tabla16[MOVIL],Tabla38[[#This Row],[MOVIL]],Tabla16[OBSV],"DESCONTAR POR USO PERSONAL")</f>
        <v>0</v>
      </c>
      <c r="C15" s="5">
        <f>+SUMIFS(Tabla16[Importe],Tabla16[MOVIL],Tabla38[[#This Row],[MOVIL]],Tabla16[OBSV],"DESCONTAR POR INCIDENCIA")</f>
        <v>0</v>
      </c>
      <c r="D15" s="5">
        <f>+SUMIFS(Tabla16[Importe],Tabla16[MOVIL],Tabla38[[#This Row],[MOVIL]],Tabla16[OBSV],"DESCONTAR SERVICIO EN EFECTIVO")</f>
        <v>0</v>
      </c>
      <c r="E15" s="5">
        <f>+IFERROR(VLOOKUP(Tabla38[[#This Row],[MOVIL]],Tabla1[[#All],[MOVIL]:[COBRO POR NUEVA INCLUSIÓN]],4,FALSE),0)</f>
        <v>0</v>
      </c>
      <c r="F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" s="5"/>
      <c r="H15" s="5" t="str">
        <f>_xlfn.XLOOKUP(Tabla38[[#This Row],[MOVIL]],[1]LIQUIDACION!$B:$B,[1]LIQUIDACION!$A:$A,"-",0)</f>
        <v>AEROPUERTO</v>
      </c>
    </row>
    <row r="16" spans="1:8" x14ac:dyDescent="0.3">
      <c r="A16" s="59">
        <v>2308</v>
      </c>
      <c r="B16" s="5">
        <f>+SUMIFS(Tabla16[Importe],Tabla16[MOVIL],Tabla38[[#This Row],[MOVIL]],Tabla16[OBSV],"DESCONTAR POR USO PERSONAL")</f>
        <v>6.3</v>
      </c>
      <c r="C16" s="5">
        <f>+SUMIFS(Tabla16[Importe],Tabla16[MOVIL],Tabla38[[#This Row],[MOVIL]],Tabla16[OBSV],"DESCONTAR POR INCIDENCIA")</f>
        <v>0</v>
      </c>
      <c r="D16" s="5">
        <f>+SUMIFS(Tabla16[Importe],Tabla16[MOVIL],Tabla38[[#This Row],[MOVIL]],Tabla16[OBSV],"DESCONTAR SERVICIO EN EFECTIVO")</f>
        <v>0</v>
      </c>
      <c r="E16" s="5">
        <f>+IFERROR(VLOOKUP(Tabla38[[#This Row],[MOVIL]],Tabla1[[#All],[MOVIL]:[COBRO POR NUEVA INCLUSIÓN]],4,FALSE),0)</f>
        <v>0</v>
      </c>
      <c r="F1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6" s="5"/>
      <c r="H16" s="5" t="str">
        <f>_xlfn.XLOOKUP(Tabla38[[#This Row],[MOVIL]],[1]LIQUIDACION!$B:$B,[1]LIQUIDACION!$A:$A,"-",0)</f>
        <v>URBANO</v>
      </c>
    </row>
    <row r="17" spans="1:8" x14ac:dyDescent="0.3">
      <c r="A17" s="59">
        <v>826</v>
      </c>
      <c r="B17" s="5">
        <f>+SUMIFS(Tabla16[Importe],Tabla16[MOVIL],Tabla38[[#This Row],[MOVIL]],Tabla16[OBSV],"DESCONTAR POR USO PERSONAL")</f>
        <v>6.3</v>
      </c>
      <c r="C17" s="5">
        <f>+SUMIFS(Tabla16[Importe],Tabla16[MOVIL],Tabla38[[#This Row],[MOVIL]],Tabla16[OBSV],"DESCONTAR POR INCIDENCIA")</f>
        <v>0</v>
      </c>
      <c r="D17" s="5">
        <f>+SUMIFS(Tabla16[Importe],Tabla16[MOVIL],Tabla38[[#This Row],[MOVIL]],Tabla16[OBSV],"DESCONTAR SERVICIO EN EFECTIVO")</f>
        <v>12.6</v>
      </c>
      <c r="E17" s="5">
        <f>+IFERROR(VLOOKUP(Tabla38[[#This Row],[MOVIL]],Tabla1[[#All],[MOVIL]:[COBRO POR NUEVA INCLUSIÓN]],4,FALSE),0)</f>
        <v>0</v>
      </c>
      <c r="F1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7" s="5"/>
      <c r="H17" s="5" t="str">
        <f>_xlfn.XLOOKUP(Tabla38[[#This Row],[MOVIL]],[1]LIQUIDACION!$B:$B,[1]LIQUIDACION!$A:$A,"-",0)</f>
        <v>AEROPUERTO</v>
      </c>
    </row>
    <row r="18" spans="1:8" x14ac:dyDescent="0.3">
      <c r="A18" s="8">
        <v>9259</v>
      </c>
      <c r="B18" s="5">
        <f>+SUMIFS(Tabla16[Importe],Tabla16[MOVIL],Tabla38[[#This Row],[MOVIL]],Tabla16[OBSV],"DESCONTAR POR USO PERSONAL")</f>
        <v>0</v>
      </c>
      <c r="C18" s="5">
        <f>+SUMIFS(Tabla16[Importe],Tabla16[MOVIL],Tabla38[[#This Row],[MOVIL]],Tabla16[OBSV],"DESCONTAR POR INCIDENCIA")</f>
        <v>0</v>
      </c>
      <c r="D18" s="5">
        <f>+SUMIFS(Tabla16[Importe],Tabla16[MOVIL],Tabla38[[#This Row],[MOVIL]],Tabla16[OBSV],"DESCONTAR SERVICIO EN EFECTIVO")</f>
        <v>0</v>
      </c>
      <c r="E18" s="5">
        <f>+IFERROR(VLOOKUP(Tabla38[[#This Row],[MOVIL]],Tabla1[[#All],[MOVIL]:[COBRO POR NUEVA INCLUSIÓN]],4,FALSE),0)</f>
        <v>0</v>
      </c>
      <c r="F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" s="5"/>
      <c r="H18" s="5" t="s">
        <v>1374</v>
      </c>
    </row>
    <row r="19" spans="1:8" x14ac:dyDescent="0.3">
      <c r="A19" s="59">
        <v>2463</v>
      </c>
      <c r="B19" s="5">
        <f>+SUMIFS(Tabla16[Importe],Tabla16[MOVIL],Tabla38[[#This Row],[MOVIL]],Tabla16[OBSV],"DESCONTAR POR USO PERSONAL")</f>
        <v>25.2</v>
      </c>
      <c r="C19" s="5">
        <f>+SUMIFS(Tabla16[Importe],Tabla16[MOVIL],Tabla38[[#This Row],[MOVIL]],Tabla16[OBSV],"DESCONTAR POR INCIDENCIA")</f>
        <v>0</v>
      </c>
      <c r="D19" s="5">
        <f>+SUMIFS(Tabla16[Importe],Tabla16[MOVIL],Tabla38[[#This Row],[MOVIL]],Tabla16[OBSV],"DESCONTAR SERVICIO EN EFECTIVO")</f>
        <v>0</v>
      </c>
      <c r="E19" s="5">
        <f>+IFERROR(VLOOKUP(Tabla38[[#This Row],[MOVIL]],Tabla1[[#All],[MOVIL]:[COBRO POR NUEVA INCLUSIÓN]],4,FALSE),0)</f>
        <v>0</v>
      </c>
      <c r="F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" s="5"/>
      <c r="H19" s="5" t="str">
        <f>_xlfn.XLOOKUP(Tabla38[[#This Row],[MOVIL]],[1]LIQUIDACION!$B:$B,[1]LIQUIDACION!$A:$A,"-",0)</f>
        <v>URBANO</v>
      </c>
    </row>
    <row r="20" spans="1:8" x14ac:dyDescent="0.3">
      <c r="A20" s="8">
        <v>9761</v>
      </c>
      <c r="B20" s="5">
        <f>+SUMIFS(Tabla16[Importe],Tabla16[MOVIL],Tabla38[[#This Row],[MOVIL]],Tabla16[OBSV],"DESCONTAR POR USO PERSONAL")</f>
        <v>6.3</v>
      </c>
      <c r="C20" s="5">
        <f>+SUMIFS(Tabla16[Importe],Tabla16[MOVIL],Tabla38[[#This Row],[MOVIL]],Tabla16[OBSV],"DESCONTAR POR INCIDENCIA")</f>
        <v>0</v>
      </c>
      <c r="D20" s="5">
        <f>+SUMIFS(Tabla16[Importe],Tabla16[MOVIL],Tabla38[[#This Row],[MOVIL]],Tabla16[OBSV],"DESCONTAR SERVICIO EN EFECTIVO")</f>
        <v>12.6</v>
      </c>
      <c r="E20" s="5">
        <f>+IFERROR(VLOOKUP(Tabla38[[#This Row],[MOVIL]],Tabla1[[#All],[MOVIL]:[COBRO POR NUEVA INCLUSIÓN]],4,FALSE),0)</f>
        <v>0</v>
      </c>
      <c r="F2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0" s="5"/>
      <c r="H20" s="5" t="s">
        <v>1374</v>
      </c>
    </row>
    <row r="21" spans="1:8" x14ac:dyDescent="0.3">
      <c r="A21" s="59">
        <v>9226</v>
      </c>
      <c r="B21" s="5">
        <f>+SUMIFS(Tabla16[Importe],Tabla16[MOVIL],Tabla38[[#This Row],[MOVIL]],Tabla16[OBSV],"DESCONTAR POR USO PERSONAL")</f>
        <v>6.3</v>
      </c>
      <c r="C21" s="5">
        <f>+SUMIFS(Tabla16[Importe],Tabla16[MOVIL],Tabla38[[#This Row],[MOVIL]],Tabla16[OBSV],"DESCONTAR POR INCIDENCIA")</f>
        <v>0</v>
      </c>
      <c r="D21" s="5">
        <f>+SUMIFS(Tabla16[Importe],Tabla16[MOVIL],Tabla38[[#This Row],[MOVIL]],Tabla16[OBSV],"DESCONTAR SERVICIO EN EFECTIVO")</f>
        <v>0</v>
      </c>
      <c r="E21" s="5">
        <f>+IFERROR(VLOOKUP(Tabla38[[#This Row],[MOVIL]],Tabla1[[#All],[MOVIL]:[COBRO POR NUEVA INCLUSIÓN]],4,FALSE),0)</f>
        <v>0</v>
      </c>
      <c r="F2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" s="5"/>
      <c r="H21" s="5" t="str">
        <f>_xlfn.XLOOKUP(Tabla38[[#This Row],[MOVIL]],[1]LIQUIDACION!$B:$B,[1]LIQUIDACION!$A:$A,"-",0)</f>
        <v>MEMBRESÍA URBANO</v>
      </c>
    </row>
    <row r="22" spans="1:8" x14ac:dyDescent="0.3">
      <c r="A22" s="59">
        <v>2848</v>
      </c>
      <c r="B22" s="5">
        <f>+SUMIFS(Tabla16[Importe],Tabla16[MOVIL],Tabla38[[#This Row],[MOVIL]],Tabla16[OBSV],"DESCONTAR POR USO PERSONAL")</f>
        <v>12.6</v>
      </c>
      <c r="C22" s="5">
        <f>+SUMIFS(Tabla16[Importe],Tabla16[MOVIL],Tabla38[[#This Row],[MOVIL]],Tabla16[OBSV],"DESCONTAR POR INCIDENCIA")</f>
        <v>0</v>
      </c>
      <c r="D22" s="5">
        <f>+SUMIFS(Tabla16[Importe],Tabla16[MOVIL],Tabla38[[#This Row],[MOVIL]],Tabla16[OBSV],"DESCONTAR SERVICIO EN EFECTIVO")</f>
        <v>0</v>
      </c>
      <c r="E22" s="5">
        <f>+IFERROR(VLOOKUP(Tabla38[[#This Row],[MOVIL]],Tabla1[[#All],[MOVIL]:[COBRO POR NUEVA INCLUSIÓN]],4,FALSE),0)</f>
        <v>0</v>
      </c>
      <c r="F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" s="5"/>
      <c r="H22" s="5" t="str">
        <f>_xlfn.XLOOKUP(Tabla38[[#This Row],[MOVIL]],[1]LIQUIDACION!$B:$B,[1]LIQUIDACION!$A:$A,"-",0)</f>
        <v>AEROPUERTO</v>
      </c>
    </row>
    <row r="23" spans="1:8" x14ac:dyDescent="0.3">
      <c r="A23" s="59">
        <v>790</v>
      </c>
      <c r="B23" s="5">
        <f>+SUMIFS(Tabla16[Importe],Tabla16[MOVIL],Tabla38[[#This Row],[MOVIL]],Tabla16[OBSV],"DESCONTAR POR USO PERSONAL")</f>
        <v>6.3</v>
      </c>
      <c r="C23" s="5">
        <f>+SUMIFS(Tabla16[Importe],Tabla16[MOVIL],Tabla38[[#This Row],[MOVIL]],Tabla16[OBSV],"DESCONTAR POR INCIDENCIA")</f>
        <v>0</v>
      </c>
      <c r="D23" s="5">
        <f>+SUMIFS(Tabla16[Importe],Tabla16[MOVIL],Tabla38[[#This Row],[MOVIL]],Tabla16[OBSV],"DESCONTAR SERVICIO EN EFECTIVO")</f>
        <v>0</v>
      </c>
      <c r="E23" s="5">
        <f>+IFERROR(VLOOKUP(Tabla38[[#This Row],[MOVIL]],Tabla1[[#All],[MOVIL]:[COBRO POR NUEVA INCLUSIÓN]],4,FALSE),0)</f>
        <v>0</v>
      </c>
      <c r="F2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3" s="5"/>
      <c r="H23" s="5" t="str">
        <f>_xlfn.XLOOKUP(Tabla38[[#This Row],[MOVIL]],[1]LIQUIDACION!$B:$B,[1]LIQUIDACION!$A:$A,"-",0)</f>
        <v>AEROPUERTO</v>
      </c>
    </row>
    <row r="24" spans="1:8" x14ac:dyDescent="0.3">
      <c r="A24" s="8">
        <v>7438</v>
      </c>
      <c r="B24" s="5">
        <f>+SUMIFS(Tabla16[Importe],Tabla16[MOVIL],Tabla38[[#This Row],[MOVIL]],Tabla16[OBSV],"DESCONTAR POR USO PERSONAL")</f>
        <v>0</v>
      </c>
      <c r="C24" s="5">
        <f>+SUMIFS(Tabla16[Importe],Tabla16[MOVIL],Tabla38[[#This Row],[MOVIL]],Tabla16[OBSV],"DESCONTAR POR INCIDENCIA")</f>
        <v>0</v>
      </c>
      <c r="D24" s="5">
        <f>+SUMIFS(Tabla16[Importe],Tabla16[MOVIL],Tabla38[[#This Row],[MOVIL]],Tabla16[OBSV],"DESCONTAR SERVICIO EN EFECTIVO")</f>
        <v>0</v>
      </c>
      <c r="E24" s="5">
        <f>+IFERROR(VLOOKUP(Tabla38[[#This Row],[MOVIL]],Tabla1[[#All],[MOVIL]:[COBRO POR NUEVA INCLUSIÓN]],4,FALSE),0)</f>
        <v>0</v>
      </c>
      <c r="F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4" s="5"/>
      <c r="H24" s="5" t="s">
        <v>1374</v>
      </c>
    </row>
    <row r="25" spans="1:8" x14ac:dyDescent="0.3">
      <c r="A25" s="8">
        <v>529</v>
      </c>
      <c r="B25" s="5">
        <f>+SUMIFS(Tabla16[Importe],Tabla16[MOVIL],Tabla38[[#This Row],[MOVIL]],Tabla16[OBSV],"DESCONTAR POR USO PERSONAL")</f>
        <v>0</v>
      </c>
      <c r="C25" s="5">
        <f>+SUMIFS(Tabla16[Importe],Tabla16[MOVIL],Tabla38[[#This Row],[MOVIL]],Tabla16[OBSV],"DESCONTAR POR INCIDENCIA")</f>
        <v>0</v>
      </c>
      <c r="D25" s="5">
        <f>+SUMIFS(Tabla16[Importe],Tabla16[MOVIL],Tabla38[[#This Row],[MOVIL]],Tabla16[OBSV],"DESCONTAR SERVICIO EN EFECTIVO")</f>
        <v>0</v>
      </c>
      <c r="E25" s="5">
        <f>+IFERROR(VLOOKUP(Tabla38[[#This Row],[MOVIL]],Tabla1[[#All],[MOVIL]:[COBRO POR NUEVA INCLUSIÓN]],4,FALSE),0)</f>
        <v>0</v>
      </c>
      <c r="F2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" s="5"/>
      <c r="H25" s="5" t="str">
        <f>_xlfn.XLOOKUP(Tabla38[[#This Row],[MOVIL]],[1]LIQUIDACION!$B:$B,[1]LIQUIDACION!$A:$A,"-",0)</f>
        <v>URBANO</v>
      </c>
    </row>
    <row r="26" spans="1:8" x14ac:dyDescent="0.3">
      <c r="A26" s="8">
        <v>675</v>
      </c>
      <c r="B26" s="5">
        <f>+SUMIFS(Tabla16[Importe],Tabla16[MOVIL],Tabla38[[#This Row],[MOVIL]],Tabla16[OBSV],"DESCONTAR POR USO PERSONAL")</f>
        <v>0</v>
      </c>
      <c r="C26" s="5">
        <f>+SUMIFS(Tabla16[Importe],Tabla16[MOVIL],Tabla38[[#This Row],[MOVIL]],Tabla16[OBSV],"DESCONTAR POR INCIDENCIA")</f>
        <v>0</v>
      </c>
      <c r="D26" s="5">
        <f>+SUMIFS(Tabla16[Importe],Tabla16[MOVIL],Tabla38[[#This Row],[MOVIL]],Tabla16[OBSV],"DESCONTAR SERVICIO EN EFECTIVO")</f>
        <v>0</v>
      </c>
      <c r="E26" s="5">
        <f>+IFERROR(VLOOKUP(Tabla38[[#This Row],[MOVIL]],Tabla1[[#All],[MOVIL]:[COBRO POR NUEVA INCLUSIÓN]],4,FALSE),0)</f>
        <v>0</v>
      </c>
      <c r="F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6" s="5"/>
      <c r="H26" s="5" t="str">
        <f>_xlfn.XLOOKUP(Tabla38[[#This Row],[MOVIL]],[1]LIQUIDACION!$B:$B,[1]LIQUIDACION!$A:$A,"-",0)</f>
        <v>URBANO</v>
      </c>
    </row>
    <row r="27" spans="1:8" x14ac:dyDescent="0.3">
      <c r="A27" s="8">
        <v>5162</v>
      </c>
      <c r="B27" s="5">
        <f>+SUMIFS(Tabla16[Importe],Tabla16[MOVIL],Tabla38[[#This Row],[MOVIL]],Tabla16[OBSV],"DESCONTAR POR USO PERSONAL")</f>
        <v>0</v>
      </c>
      <c r="C27" s="5">
        <f>+SUMIFS(Tabla16[Importe],Tabla16[MOVIL],Tabla38[[#This Row],[MOVIL]],Tabla16[OBSV],"DESCONTAR POR INCIDENCIA")</f>
        <v>0</v>
      </c>
      <c r="D27" s="5">
        <f>+SUMIFS(Tabla16[Importe],Tabla16[MOVIL],Tabla38[[#This Row],[MOVIL]],Tabla16[OBSV],"DESCONTAR SERVICIO EN EFECTIVO")</f>
        <v>0</v>
      </c>
      <c r="E27" s="5">
        <f>+IFERROR(VLOOKUP(Tabla38[[#This Row],[MOVIL]],Tabla1[[#All],[MOVIL]:[COBRO POR NUEVA INCLUSIÓN]],4,FALSE),0)</f>
        <v>0</v>
      </c>
      <c r="F2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" s="5"/>
      <c r="H27" s="5" t="str">
        <f>_xlfn.XLOOKUP(Tabla38[[#This Row],[MOVIL]],[1]LIQUIDACION!$B:$B,[1]LIQUIDACION!$A:$A,"-",0)</f>
        <v>AEROLINEAS</v>
      </c>
    </row>
    <row r="28" spans="1:8" x14ac:dyDescent="0.3">
      <c r="A28" s="8">
        <v>3775</v>
      </c>
      <c r="B28" s="5">
        <f>+SUMIFS(Tabla16[Importe],Tabla16[MOVIL],Tabla38[[#This Row],[MOVIL]],Tabla16[OBSV],"DESCONTAR POR USO PERSONAL")</f>
        <v>0</v>
      </c>
      <c r="C28" s="5">
        <f>+SUMIFS(Tabla16[Importe],Tabla16[MOVIL],Tabla38[[#This Row],[MOVIL]],Tabla16[OBSV],"DESCONTAR POR INCIDENCIA")</f>
        <v>0</v>
      </c>
      <c r="D28" s="5">
        <f>+SUMIFS(Tabla16[Importe],Tabla16[MOVIL],Tabla38[[#This Row],[MOVIL]],Tabla16[OBSV],"DESCONTAR SERVICIO EN EFECTIVO")</f>
        <v>0</v>
      </c>
      <c r="E28" s="5">
        <f>+IFERROR(VLOOKUP(Tabla38[[#This Row],[MOVIL]],Tabla1[[#All],[MOVIL]:[COBRO POR NUEVA INCLUSIÓN]],4,FALSE),0)</f>
        <v>0</v>
      </c>
      <c r="F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" s="5"/>
      <c r="H28" s="5" t="str">
        <f>_xlfn.XLOOKUP(Tabla38[[#This Row],[MOVIL]],[1]LIQUIDACION!$B:$B,[1]LIQUIDACION!$A:$A,"-",0)</f>
        <v>URBANO PARTNER</v>
      </c>
    </row>
    <row r="29" spans="1:8" x14ac:dyDescent="0.3">
      <c r="A29" s="59">
        <v>2278</v>
      </c>
      <c r="B29" s="5">
        <f>+SUMIFS(Tabla16[Importe],Tabla16[MOVIL],Tabla38[[#This Row],[MOVIL]],Tabla16[OBSV],"DESCONTAR POR USO PERSONAL")</f>
        <v>6.3</v>
      </c>
      <c r="C29" s="5">
        <f>+SUMIFS(Tabla16[Importe],Tabla16[MOVIL],Tabla38[[#This Row],[MOVIL]],Tabla16[OBSV],"DESCONTAR POR INCIDENCIA")</f>
        <v>0</v>
      </c>
      <c r="D29" s="5">
        <f>+SUMIFS(Tabla16[Importe],Tabla16[MOVIL],Tabla38[[#This Row],[MOVIL]],Tabla16[OBSV],"DESCONTAR SERVICIO EN EFECTIVO")</f>
        <v>0</v>
      </c>
      <c r="E29" s="5">
        <f>+IFERROR(VLOOKUP(Tabla38[[#This Row],[MOVIL]],Tabla1[[#All],[MOVIL]:[COBRO POR NUEVA INCLUSIÓN]],4,FALSE),0)</f>
        <v>0</v>
      </c>
      <c r="F2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" s="5"/>
      <c r="H29" s="5" t="str">
        <f>_xlfn.XLOOKUP(Tabla38[[#This Row],[MOVIL]],[1]LIQUIDACION!$B:$B,[1]LIQUIDACION!$A:$A,"-",0)</f>
        <v>URBANO</v>
      </c>
    </row>
    <row r="30" spans="1:8" x14ac:dyDescent="0.3">
      <c r="A30" s="8">
        <v>2736</v>
      </c>
      <c r="B30" s="5">
        <f>+SUMIFS(Tabla16[Importe],Tabla16[MOVIL],Tabla38[[#This Row],[MOVIL]],Tabla16[OBSV],"DESCONTAR POR USO PERSONAL")</f>
        <v>0</v>
      </c>
      <c r="C30" s="5">
        <f>+SUMIFS(Tabla16[Importe],Tabla16[MOVIL],Tabla38[[#This Row],[MOVIL]],Tabla16[OBSV],"DESCONTAR POR INCIDENCIA")</f>
        <v>12.6</v>
      </c>
      <c r="D30" s="5">
        <f>+SUMIFS(Tabla16[Importe],Tabla16[MOVIL],Tabla38[[#This Row],[MOVIL]],Tabla16[OBSV],"DESCONTAR SERVICIO EN EFECTIVO")</f>
        <v>0</v>
      </c>
      <c r="E30" s="5">
        <f>+IFERROR(VLOOKUP(Tabla38[[#This Row],[MOVIL]],Tabla1[[#All],[MOVIL]:[COBRO POR NUEVA INCLUSIÓN]],4,FALSE),0)</f>
        <v>0</v>
      </c>
      <c r="F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" s="5"/>
      <c r="H30" s="5" t="s">
        <v>1374</v>
      </c>
    </row>
    <row r="31" spans="1:8" x14ac:dyDescent="0.3">
      <c r="A31" s="8">
        <v>633</v>
      </c>
      <c r="B31" s="5">
        <f>+SUMIFS(Tabla16[Importe],Tabla16[MOVIL],Tabla38[[#This Row],[MOVIL]],Tabla16[OBSV],"DESCONTAR POR USO PERSONAL")</f>
        <v>0</v>
      </c>
      <c r="C31" s="5">
        <f>+SUMIFS(Tabla16[Importe],Tabla16[MOVIL],Tabla38[[#This Row],[MOVIL]],Tabla16[OBSV],"DESCONTAR POR INCIDENCIA")</f>
        <v>0</v>
      </c>
      <c r="D31" s="5">
        <f>+SUMIFS(Tabla16[Importe],Tabla16[MOVIL],Tabla38[[#This Row],[MOVIL]],Tabla16[OBSV],"DESCONTAR SERVICIO EN EFECTIVO")</f>
        <v>0</v>
      </c>
      <c r="E31" s="5">
        <f>+IFERROR(VLOOKUP(Tabla38[[#This Row],[MOVIL]],Tabla1[[#All],[MOVIL]:[COBRO POR NUEVA INCLUSIÓN]],4,FALSE),0)</f>
        <v>0</v>
      </c>
      <c r="F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" s="5"/>
      <c r="H31" s="5" t="str">
        <f>_xlfn.XLOOKUP(Tabla38[[#This Row],[MOVIL]],[1]LIQUIDACION!$B:$B,[1]LIQUIDACION!$A:$A,"-",0)</f>
        <v>URBANO</v>
      </c>
    </row>
    <row r="32" spans="1:8" x14ac:dyDescent="0.3">
      <c r="A32" s="59">
        <v>1445</v>
      </c>
      <c r="B32" s="5">
        <f>+SUMIFS(Tabla16[Importe],Tabla16[MOVIL],Tabla38[[#This Row],[MOVIL]],Tabla16[OBSV],"DESCONTAR POR USO PERSONAL")</f>
        <v>75.59999999999998</v>
      </c>
      <c r="C32" s="5">
        <f>+SUMIFS(Tabla16[Importe],Tabla16[MOVIL],Tabla38[[#This Row],[MOVIL]],Tabla16[OBSV],"DESCONTAR POR INCIDENCIA")</f>
        <v>0</v>
      </c>
      <c r="D32" s="5">
        <f>+SUMIFS(Tabla16[Importe],Tabla16[MOVIL],Tabla38[[#This Row],[MOVIL]],Tabla16[OBSV],"DESCONTAR SERVICIO EN EFECTIVO")</f>
        <v>12.6</v>
      </c>
      <c r="E32" s="5">
        <f>+IFERROR(VLOOKUP(Tabla38[[#This Row],[MOVIL]],Tabla1[[#All],[MOVIL]:[COBRO POR NUEVA INCLUSIÓN]],4,FALSE),0)</f>
        <v>0</v>
      </c>
      <c r="F32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32" s="5"/>
      <c r="H32" s="5" t="str">
        <f>_xlfn.XLOOKUP(Tabla38[[#This Row],[MOVIL]],[1]LIQUIDACION!$B:$B,[1]LIQUIDACION!$A:$A,"-",0)</f>
        <v>AEROPUERTO</v>
      </c>
    </row>
    <row r="33" spans="1:8" x14ac:dyDescent="0.3">
      <c r="A33" s="59">
        <v>1226</v>
      </c>
      <c r="B33" s="5">
        <f>+SUMIFS(Tabla16[Importe],Tabla16[MOVIL],Tabla38[[#This Row],[MOVIL]],Tabla16[OBSV],"DESCONTAR POR USO PERSONAL")</f>
        <v>25.2</v>
      </c>
      <c r="C33" s="5">
        <f>+SUMIFS(Tabla16[Importe],Tabla16[MOVIL],Tabla38[[#This Row],[MOVIL]],Tabla16[OBSV],"DESCONTAR POR INCIDENCIA")</f>
        <v>0</v>
      </c>
      <c r="D33" s="5">
        <f>+SUMIFS(Tabla16[Importe],Tabla16[MOVIL],Tabla38[[#This Row],[MOVIL]],Tabla16[OBSV],"DESCONTAR SERVICIO EN EFECTIVO")</f>
        <v>0</v>
      </c>
      <c r="E33" s="5">
        <f>+IFERROR(VLOOKUP(Tabla38[[#This Row],[MOVIL]],Tabla1[[#All],[MOVIL]:[COBRO POR NUEVA INCLUSIÓN]],4,FALSE),0)</f>
        <v>0</v>
      </c>
      <c r="F3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" s="5"/>
      <c r="H33" s="5" t="str">
        <f>_xlfn.XLOOKUP(Tabla38[[#This Row],[MOVIL]],[1]LIQUIDACION!$B:$B,[1]LIQUIDACION!$A:$A,"-",0)</f>
        <v>AEROPUERTO</v>
      </c>
    </row>
    <row r="34" spans="1:8" x14ac:dyDescent="0.3">
      <c r="A34" s="59">
        <v>553</v>
      </c>
      <c r="B34" s="5">
        <f>+SUMIFS(Tabla16[Importe],Tabla16[MOVIL],Tabla38[[#This Row],[MOVIL]],Tabla16[OBSV],"DESCONTAR POR USO PERSONAL")</f>
        <v>6.3</v>
      </c>
      <c r="C34" s="5">
        <f>+SUMIFS(Tabla16[Importe],Tabla16[MOVIL],Tabla38[[#This Row],[MOVIL]],Tabla16[OBSV],"DESCONTAR POR INCIDENCIA")</f>
        <v>0</v>
      </c>
      <c r="D34" s="5">
        <f>+SUMIFS(Tabla16[Importe],Tabla16[MOVIL],Tabla38[[#This Row],[MOVIL]],Tabla16[OBSV],"DESCONTAR SERVICIO EN EFECTIVO")</f>
        <v>0</v>
      </c>
      <c r="E34" s="5">
        <f>+IFERROR(VLOOKUP(Tabla38[[#This Row],[MOVIL]],Tabla1[[#All],[MOVIL]:[COBRO POR NUEVA INCLUSIÓN]],4,FALSE),0)</f>
        <v>0</v>
      </c>
      <c r="F3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" s="5"/>
      <c r="H34" s="5" t="str">
        <f>_xlfn.XLOOKUP(Tabla38[[#This Row],[MOVIL]],[1]LIQUIDACION!$B:$B,[1]LIQUIDACION!$A:$A,"-",0)</f>
        <v>URBANO</v>
      </c>
    </row>
    <row r="35" spans="1:8" x14ac:dyDescent="0.3">
      <c r="A35" s="8">
        <v>3160</v>
      </c>
      <c r="B35" s="5">
        <f>+SUMIFS(Tabla16[Importe],Tabla16[MOVIL],Tabla38[[#This Row],[MOVIL]],Tabla16[OBSV],"DESCONTAR POR USO PERSONAL")</f>
        <v>0</v>
      </c>
      <c r="C35" s="5">
        <f>+SUMIFS(Tabla16[Importe],Tabla16[MOVIL],Tabla38[[#This Row],[MOVIL]],Tabla16[OBSV],"DESCONTAR POR INCIDENCIA")</f>
        <v>0</v>
      </c>
      <c r="D35" s="5">
        <f>+SUMIFS(Tabla16[Importe],Tabla16[MOVIL],Tabla38[[#This Row],[MOVIL]],Tabla16[OBSV],"DESCONTAR SERVICIO EN EFECTIVO")</f>
        <v>0</v>
      </c>
      <c r="E35" s="5">
        <f>+IFERROR(VLOOKUP(Tabla38[[#This Row],[MOVIL]],Tabla1[[#All],[MOVIL]:[COBRO POR NUEVA INCLUSIÓN]],4,FALSE),0)</f>
        <v>0</v>
      </c>
      <c r="F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" s="5"/>
      <c r="H35" s="5" t="str">
        <f>_xlfn.XLOOKUP(Tabla38[[#This Row],[MOVIL]],[1]LIQUIDACION!$B:$B,[1]LIQUIDACION!$A:$A,"-",0)</f>
        <v>AEROLINEAS</v>
      </c>
    </row>
    <row r="36" spans="1:8" x14ac:dyDescent="0.3">
      <c r="A36" s="8">
        <v>9604</v>
      </c>
      <c r="B36" s="5">
        <f>+SUMIFS(Tabla16[Importe],Tabla16[MOVIL],Tabla38[[#This Row],[MOVIL]],Tabla16[OBSV],"DESCONTAR POR USO PERSONAL")</f>
        <v>25.2</v>
      </c>
      <c r="C36" s="5">
        <f>+SUMIFS(Tabla16[Importe],Tabla16[MOVIL],Tabla38[[#This Row],[MOVIL]],Tabla16[OBSV],"DESCONTAR POR INCIDENCIA")</f>
        <v>0</v>
      </c>
      <c r="D36" s="5">
        <f>+SUMIFS(Tabla16[Importe],Tabla16[MOVIL],Tabla38[[#This Row],[MOVIL]],Tabla16[OBSV],"DESCONTAR SERVICIO EN EFECTIVO")</f>
        <v>0</v>
      </c>
      <c r="E36" s="5">
        <f>+IFERROR(VLOOKUP(Tabla38[[#This Row],[MOVIL]],Tabla1[[#All],[MOVIL]:[COBRO POR NUEVA INCLUSIÓN]],4,FALSE),0)</f>
        <v>0</v>
      </c>
      <c r="F3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" s="5"/>
      <c r="H36" s="5" t="s">
        <v>1374</v>
      </c>
    </row>
    <row r="37" spans="1:8" x14ac:dyDescent="0.3">
      <c r="A37" s="59">
        <v>807</v>
      </c>
      <c r="B37" s="5">
        <f>+SUMIFS(Tabla16[Importe],Tabla16[MOVIL],Tabla38[[#This Row],[MOVIL]],Tabla16[OBSV],"DESCONTAR POR USO PERSONAL")</f>
        <v>31.5</v>
      </c>
      <c r="C37" s="5">
        <f>+SUMIFS(Tabla16[Importe],Tabla16[MOVIL],Tabla38[[#This Row],[MOVIL]],Tabla16[OBSV],"DESCONTAR POR INCIDENCIA")</f>
        <v>0</v>
      </c>
      <c r="D37" s="5">
        <f>+SUMIFS(Tabla16[Importe],Tabla16[MOVIL],Tabla38[[#This Row],[MOVIL]],Tabla16[OBSV],"DESCONTAR SERVICIO EN EFECTIVO")</f>
        <v>0</v>
      </c>
      <c r="E37" s="5">
        <f>+IFERROR(VLOOKUP(Tabla38[[#This Row],[MOVIL]],Tabla1[[#All],[MOVIL]:[COBRO POR NUEVA INCLUSIÓN]],4,FALSE),0)</f>
        <v>0</v>
      </c>
      <c r="F37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" s="5"/>
      <c r="H37" s="5" t="str">
        <f>_xlfn.XLOOKUP(Tabla38[[#This Row],[MOVIL]],[1]LIQUIDACION!$B:$B,[1]LIQUIDACION!$A:$A,"-",0)</f>
        <v>AEROPUERTO</v>
      </c>
    </row>
    <row r="38" spans="1:8" x14ac:dyDescent="0.3">
      <c r="A38" s="8">
        <v>1537</v>
      </c>
      <c r="B38" s="5">
        <f>+SUMIFS(Tabla16[Importe],Tabla16[MOVIL],Tabla38[[#This Row],[MOVIL]],Tabla16[OBSV],"DESCONTAR POR USO PERSONAL")</f>
        <v>0</v>
      </c>
      <c r="C38" s="5">
        <f>+SUMIFS(Tabla16[Importe],Tabla16[MOVIL],Tabla38[[#This Row],[MOVIL]],Tabla16[OBSV],"DESCONTAR POR INCIDENCIA")</f>
        <v>0</v>
      </c>
      <c r="D38" s="5">
        <f>+SUMIFS(Tabla16[Importe],Tabla16[MOVIL],Tabla38[[#This Row],[MOVIL]],Tabla16[OBSV],"DESCONTAR SERVICIO EN EFECTIVO")</f>
        <v>0</v>
      </c>
      <c r="E38" s="5">
        <f>+IFERROR(VLOOKUP(Tabla38[[#This Row],[MOVIL]],Tabla1[[#All],[MOVIL]:[COBRO POR NUEVA INCLUSIÓN]],4,FALSE),0)</f>
        <v>0</v>
      </c>
      <c r="F3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" s="5"/>
      <c r="H38" s="5" t="str">
        <f>_xlfn.XLOOKUP(Tabla38[[#This Row],[MOVIL]],[1]LIQUIDACION!$B:$B,[1]LIQUIDACION!$A:$A,"-",0)</f>
        <v>AEROLINEAS</v>
      </c>
    </row>
    <row r="39" spans="1:8" x14ac:dyDescent="0.3">
      <c r="A39" s="59">
        <v>1673</v>
      </c>
      <c r="B39" s="5">
        <f>+SUMIFS(Tabla16[Importe],Tabla16[MOVIL],Tabla38[[#This Row],[MOVIL]],Tabla16[OBSV],"DESCONTAR POR USO PERSONAL")</f>
        <v>12.6</v>
      </c>
      <c r="C39" s="5">
        <f>+SUMIFS(Tabla16[Importe],Tabla16[MOVIL],Tabla38[[#This Row],[MOVIL]],Tabla16[OBSV],"DESCONTAR POR INCIDENCIA")</f>
        <v>0</v>
      </c>
      <c r="D39" s="5">
        <f>+SUMIFS(Tabla16[Importe],Tabla16[MOVIL],Tabla38[[#This Row],[MOVIL]],Tabla16[OBSV],"DESCONTAR SERVICIO EN EFECTIVO")</f>
        <v>12.6</v>
      </c>
      <c r="E39" s="5">
        <f>+IFERROR(VLOOKUP(Tabla38[[#This Row],[MOVIL]],Tabla1[[#All],[MOVIL]:[COBRO POR NUEVA INCLUSIÓN]],4,FALSE),0)</f>
        <v>0</v>
      </c>
      <c r="F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" s="5"/>
      <c r="H39" s="5" t="str">
        <f>_xlfn.XLOOKUP(Tabla38[[#This Row],[MOVIL]],[1]LIQUIDACION!$B:$B,[1]LIQUIDACION!$A:$A,"-",0)</f>
        <v>AEROPUERTO VAN</v>
      </c>
    </row>
    <row r="40" spans="1:8" x14ac:dyDescent="0.3">
      <c r="A40" s="59">
        <v>221</v>
      </c>
      <c r="B40" s="5">
        <f>+SUMIFS(Tabla16[Importe],Tabla16[MOVIL],Tabla38[[#This Row],[MOVIL]],Tabla16[OBSV],"DESCONTAR POR USO PERSONAL")</f>
        <v>62.999999999999986</v>
      </c>
      <c r="C40" s="5">
        <f>+SUMIFS(Tabla16[Importe],Tabla16[MOVIL],Tabla38[[#This Row],[MOVIL]],Tabla16[OBSV],"DESCONTAR POR INCIDENCIA")</f>
        <v>0</v>
      </c>
      <c r="D40" s="5">
        <f>+SUMIFS(Tabla16[Importe],Tabla16[MOVIL],Tabla38[[#This Row],[MOVIL]],Tabla16[OBSV],"DESCONTAR SERVICIO EN EFECTIVO")</f>
        <v>0</v>
      </c>
      <c r="E40" s="5">
        <f>+IFERROR(VLOOKUP(Tabla38[[#This Row],[MOVIL]],Tabla1[[#All],[MOVIL]:[COBRO POR NUEVA INCLUSIÓN]],4,FALSE),0)</f>
        <v>0</v>
      </c>
      <c r="F40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40" s="5"/>
      <c r="H40" s="5" t="str">
        <f>_xlfn.XLOOKUP(Tabla38[[#This Row],[MOVIL]],[1]LIQUIDACION!$B:$B,[1]LIQUIDACION!$A:$A,"-",0)</f>
        <v>AEROPUERTO</v>
      </c>
    </row>
    <row r="41" spans="1:8" x14ac:dyDescent="0.3">
      <c r="A41" s="59">
        <v>666</v>
      </c>
      <c r="B41" s="5">
        <f>+SUMIFS(Tabla16[Importe],Tabla16[MOVIL],Tabla38[[#This Row],[MOVIL]],Tabla16[OBSV],"DESCONTAR POR USO PERSONAL")</f>
        <v>12.6</v>
      </c>
      <c r="C41" s="5">
        <f>+SUMIFS(Tabla16[Importe],Tabla16[MOVIL],Tabla38[[#This Row],[MOVIL]],Tabla16[OBSV],"DESCONTAR POR INCIDENCIA")</f>
        <v>0</v>
      </c>
      <c r="D41" s="5">
        <f>+SUMIFS(Tabla16[Importe],Tabla16[MOVIL],Tabla38[[#This Row],[MOVIL]],Tabla16[OBSV],"DESCONTAR SERVICIO EN EFECTIVO")</f>
        <v>0</v>
      </c>
      <c r="E41" s="5">
        <f>+IFERROR(VLOOKUP(Tabla38[[#This Row],[MOVIL]],Tabla1[[#All],[MOVIL]:[COBRO POR NUEVA INCLUSIÓN]],4,FALSE),0)</f>
        <v>0</v>
      </c>
      <c r="F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" s="5"/>
      <c r="H41" s="5" t="str">
        <f>_xlfn.XLOOKUP(Tabla38[[#This Row],[MOVIL]],[1]LIQUIDACION!$B:$B,[1]LIQUIDACION!$A:$A,"-",0)</f>
        <v>URBANO</v>
      </c>
    </row>
    <row r="42" spans="1:8" x14ac:dyDescent="0.3">
      <c r="A42" s="8">
        <v>9245</v>
      </c>
      <c r="B42" s="5">
        <f>+SUMIFS(Tabla16[Importe],Tabla16[MOVIL],Tabla38[[#This Row],[MOVIL]],Tabla16[OBSV],"DESCONTAR POR USO PERSONAL")</f>
        <v>6.3</v>
      </c>
      <c r="C42" s="5">
        <f>+SUMIFS(Tabla16[Importe],Tabla16[MOVIL],Tabla38[[#This Row],[MOVIL]],Tabla16[OBSV],"DESCONTAR POR INCIDENCIA")</f>
        <v>0</v>
      </c>
      <c r="D42" s="5">
        <f>+SUMIFS(Tabla16[Importe],Tabla16[MOVIL],Tabla38[[#This Row],[MOVIL]],Tabla16[OBSV],"DESCONTAR SERVICIO EN EFECTIVO")</f>
        <v>0</v>
      </c>
      <c r="E42" s="5">
        <f>+IFERROR(VLOOKUP(Tabla38[[#This Row],[MOVIL]],Tabla1[[#All],[MOVIL]:[COBRO POR NUEVA INCLUSIÓN]],4,FALSE),0)</f>
        <v>0</v>
      </c>
      <c r="F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2" s="5"/>
      <c r="H42" s="5" t="s">
        <v>1374</v>
      </c>
    </row>
    <row r="43" spans="1:8" x14ac:dyDescent="0.3">
      <c r="A43" s="59">
        <v>1915</v>
      </c>
      <c r="B43" s="5">
        <f>+SUMIFS(Tabla16[Importe],Tabla16[MOVIL],Tabla38[[#This Row],[MOVIL]],Tabla16[OBSV],"DESCONTAR POR USO PERSONAL")</f>
        <v>18.899999999999999</v>
      </c>
      <c r="C43" s="5">
        <f>+SUMIFS(Tabla16[Importe],Tabla16[MOVIL],Tabla38[[#This Row],[MOVIL]],Tabla16[OBSV],"DESCONTAR POR INCIDENCIA")</f>
        <v>0</v>
      </c>
      <c r="D43" s="5">
        <f>+SUMIFS(Tabla16[Importe],Tabla16[MOVIL],Tabla38[[#This Row],[MOVIL]],Tabla16[OBSV],"DESCONTAR SERVICIO EN EFECTIVO")</f>
        <v>0</v>
      </c>
      <c r="E43" s="5">
        <f>+IFERROR(VLOOKUP(Tabla38[[#This Row],[MOVIL]],Tabla1[[#All],[MOVIL]:[COBRO POR NUEVA INCLUSIÓN]],4,FALSE),0)</f>
        <v>0</v>
      </c>
      <c r="F4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" s="5"/>
      <c r="H43" s="5" t="str">
        <f>_xlfn.XLOOKUP(Tabla38[[#This Row],[MOVIL]],[1]LIQUIDACION!$B:$B,[1]LIQUIDACION!$A:$A,"-",0)</f>
        <v>URBANO</v>
      </c>
    </row>
    <row r="44" spans="1:8" x14ac:dyDescent="0.3">
      <c r="A44" s="59">
        <v>5142</v>
      </c>
      <c r="B44" s="5">
        <f>+SUMIFS(Tabla16[Importe],Tabla16[MOVIL],Tabla38[[#This Row],[MOVIL]],Tabla16[OBSV],"DESCONTAR POR USO PERSONAL")</f>
        <v>12.6</v>
      </c>
      <c r="C44" s="5">
        <f>+SUMIFS(Tabla16[Importe],Tabla16[MOVIL],Tabla38[[#This Row],[MOVIL]],Tabla16[OBSV],"DESCONTAR POR INCIDENCIA")</f>
        <v>0</v>
      </c>
      <c r="D44" s="5">
        <f>+SUMIFS(Tabla16[Importe],Tabla16[MOVIL],Tabla38[[#This Row],[MOVIL]],Tabla16[OBSV],"DESCONTAR SERVICIO EN EFECTIVO")</f>
        <v>0</v>
      </c>
      <c r="E44" s="5">
        <f>+IFERROR(VLOOKUP(Tabla38[[#This Row],[MOVIL]],Tabla1[[#All],[MOVIL]:[COBRO POR NUEVA INCLUSIÓN]],4,FALSE),0)</f>
        <v>0</v>
      </c>
      <c r="F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4" s="5"/>
      <c r="H44" s="5" t="str">
        <f>_xlfn.XLOOKUP(Tabla38[[#This Row],[MOVIL]],[1]LIQUIDACION!$B:$B,[1]LIQUIDACION!$A:$A,"-",0)</f>
        <v>URBANO</v>
      </c>
    </row>
    <row r="45" spans="1:8" x14ac:dyDescent="0.3">
      <c r="A45" s="8">
        <v>3289</v>
      </c>
      <c r="B45" s="5">
        <f>+SUMIFS(Tabla16[Importe],Tabla16[MOVIL],Tabla38[[#This Row],[MOVIL]],Tabla16[OBSV],"DESCONTAR POR USO PERSONAL")</f>
        <v>0</v>
      </c>
      <c r="C45" s="5">
        <f>+SUMIFS(Tabla16[Importe],Tabla16[MOVIL],Tabla38[[#This Row],[MOVIL]],Tabla16[OBSV],"DESCONTAR POR INCIDENCIA")</f>
        <v>12.6</v>
      </c>
      <c r="D45" s="5">
        <f>+SUMIFS(Tabla16[Importe],Tabla16[MOVIL],Tabla38[[#This Row],[MOVIL]],Tabla16[OBSV],"DESCONTAR SERVICIO EN EFECTIVO")</f>
        <v>0</v>
      </c>
      <c r="E45" s="5">
        <f>+IFERROR(VLOOKUP(Tabla38[[#This Row],[MOVIL]],Tabla1[[#All],[MOVIL]:[COBRO POR NUEVA INCLUSIÓN]],4,FALSE),0)</f>
        <v>0</v>
      </c>
      <c r="F4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" s="5"/>
      <c r="H45" s="5" t="str">
        <f>_xlfn.XLOOKUP(Tabla38[[#This Row],[MOVIL]],[1]LIQUIDACION!$B:$B,[1]LIQUIDACION!$A:$A,"-",0)</f>
        <v>AEROLINEAS</v>
      </c>
    </row>
    <row r="46" spans="1:8" x14ac:dyDescent="0.3">
      <c r="A46" s="59">
        <v>5032</v>
      </c>
      <c r="B46" s="5">
        <f>+SUMIFS(Tabla16[Importe],Tabla16[MOVIL],Tabla38[[#This Row],[MOVIL]],Tabla16[OBSV],"DESCONTAR POR USO PERSONAL")</f>
        <v>12.6</v>
      </c>
      <c r="C46" s="5">
        <f>+SUMIFS(Tabla16[Importe],Tabla16[MOVIL],Tabla38[[#This Row],[MOVIL]],Tabla16[OBSV],"DESCONTAR POR INCIDENCIA")</f>
        <v>12.6</v>
      </c>
      <c r="D46" s="5">
        <f>+SUMIFS(Tabla16[Importe],Tabla16[MOVIL],Tabla38[[#This Row],[MOVIL]],Tabla16[OBSV],"DESCONTAR SERVICIO EN EFECTIVO")</f>
        <v>0</v>
      </c>
      <c r="E46" s="5">
        <f>+IFERROR(VLOOKUP(Tabla38[[#This Row],[MOVIL]],Tabla1[[#All],[MOVIL]:[COBRO POR NUEVA INCLUSIÓN]],4,FALSE),0)</f>
        <v>0</v>
      </c>
      <c r="F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6" s="5"/>
      <c r="H46" s="5" t="str">
        <f>_xlfn.XLOOKUP(Tabla38[[#This Row],[MOVIL]],[1]LIQUIDACION!$B:$B,[1]LIQUIDACION!$A:$A,"-",0)</f>
        <v>MEMBRESÍA URBANO</v>
      </c>
    </row>
    <row r="47" spans="1:8" x14ac:dyDescent="0.3">
      <c r="A47" s="8">
        <v>680</v>
      </c>
      <c r="B47" s="5">
        <f>+SUMIFS(Tabla16[Importe],Tabla16[MOVIL],Tabla38[[#This Row],[MOVIL]],Tabla16[OBSV],"DESCONTAR POR USO PERSONAL")</f>
        <v>0</v>
      </c>
      <c r="C47" s="5">
        <f>+SUMIFS(Tabla16[Importe],Tabla16[MOVIL],Tabla38[[#This Row],[MOVIL]],Tabla16[OBSV],"DESCONTAR POR INCIDENCIA")</f>
        <v>0</v>
      </c>
      <c r="D47" s="5">
        <f>+SUMIFS(Tabla16[Importe],Tabla16[MOVIL],Tabla38[[#This Row],[MOVIL]],Tabla16[OBSV],"DESCONTAR SERVICIO EN EFECTIVO")</f>
        <v>0</v>
      </c>
      <c r="E47" s="5">
        <f>+IFERROR(VLOOKUP(Tabla38[[#This Row],[MOVIL]],Tabla1[[#All],[MOVIL]:[COBRO POR NUEVA INCLUSIÓN]],4,FALSE),0)</f>
        <v>0</v>
      </c>
      <c r="F4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7" s="5"/>
      <c r="H47" s="5" t="str">
        <f>_xlfn.XLOOKUP(Tabla38[[#This Row],[MOVIL]],[1]LIQUIDACION!$B:$B,[1]LIQUIDACION!$A:$A,"-",0)</f>
        <v>URBANO</v>
      </c>
    </row>
    <row r="48" spans="1:8" x14ac:dyDescent="0.3">
      <c r="A48" s="59">
        <v>1601</v>
      </c>
      <c r="B48" s="5">
        <f>+SUMIFS(Tabla16[Importe],Tabla16[MOVIL],Tabla38[[#This Row],[MOVIL]],Tabla16[OBSV],"DESCONTAR POR USO PERSONAL")</f>
        <v>125.99999999999996</v>
      </c>
      <c r="C48" s="5">
        <f>+SUMIFS(Tabla16[Importe],Tabla16[MOVIL],Tabla38[[#This Row],[MOVIL]],Tabla16[OBSV],"DESCONTAR POR INCIDENCIA")</f>
        <v>12.6</v>
      </c>
      <c r="D48" s="5">
        <f>+SUMIFS(Tabla16[Importe],Tabla16[MOVIL],Tabla38[[#This Row],[MOVIL]],Tabla16[OBSV],"DESCONTAR SERVICIO EN EFECTIVO")</f>
        <v>0</v>
      </c>
      <c r="E48" s="5">
        <f>+IFERROR(VLOOKUP(Tabla38[[#This Row],[MOVIL]],Tabla1[[#All],[MOVIL]:[COBRO POR NUEVA INCLUSIÓN]],4,FALSE),0)</f>
        <v>0</v>
      </c>
      <c r="F48" s="5">
        <f>(Tabla38[[#This Row],[DESCUENTO POR USO PERSONAL PEX]]+Tabla38[[#This Row],[DESCUENTO POR INCIDENCIAS PEX]]+Tabla38[[#This Row],[DESCUENTO POR SERVICIOS EN EFECTIVO]]+Tabla38[[#This Row],[DESCUENTO POR NUEVA INCLUSION]])</f>
        <v>138.59999999999997</v>
      </c>
      <c r="G48" s="5"/>
      <c r="H48" s="5" t="str">
        <f>_xlfn.XLOOKUP(Tabla38[[#This Row],[MOVIL]],[1]LIQUIDACION!$B:$B,[1]LIQUIDACION!$A:$A,"-",0)</f>
        <v>AEROPUERTO VAN</v>
      </c>
    </row>
    <row r="49" spans="1:8" x14ac:dyDescent="0.3">
      <c r="A49" s="59">
        <v>831</v>
      </c>
      <c r="B49" s="5">
        <f>+SUMIFS(Tabla16[Importe],Tabla16[MOVIL],Tabla38[[#This Row],[MOVIL]],Tabla16[OBSV],"DESCONTAR POR USO PERSONAL")</f>
        <v>6.3</v>
      </c>
      <c r="C49" s="5">
        <f>+SUMIFS(Tabla16[Importe],Tabla16[MOVIL],Tabla38[[#This Row],[MOVIL]],Tabla16[OBSV],"DESCONTAR POR INCIDENCIA")</f>
        <v>0</v>
      </c>
      <c r="D49" s="5">
        <f>+SUMIFS(Tabla16[Importe],Tabla16[MOVIL],Tabla38[[#This Row],[MOVIL]],Tabla16[OBSV],"DESCONTAR SERVICIO EN EFECTIVO")</f>
        <v>0</v>
      </c>
      <c r="E49" s="5">
        <f>+IFERROR(VLOOKUP(Tabla38[[#This Row],[MOVIL]],Tabla1[[#All],[MOVIL]:[COBRO POR NUEVA INCLUSIÓN]],4,FALSE),0)</f>
        <v>0</v>
      </c>
      <c r="F4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9" s="5"/>
      <c r="H49" s="5" t="str">
        <f>_xlfn.XLOOKUP(Tabla38[[#This Row],[MOVIL]],[1]LIQUIDACION!$B:$B,[1]LIQUIDACION!$A:$A,"-",0)</f>
        <v>AEROPUERTO</v>
      </c>
    </row>
    <row r="50" spans="1:8" x14ac:dyDescent="0.3">
      <c r="A50" s="59">
        <v>1532</v>
      </c>
      <c r="B50" s="5">
        <f>+SUMIFS(Tabla16[Importe],Tabla16[MOVIL],Tabla38[[#This Row],[MOVIL]],Tabla16[OBSV],"DESCONTAR POR USO PERSONAL")</f>
        <v>50.399999999999991</v>
      </c>
      <c r="C50" s="5">
        <f>+SUMIFS(Tabla16[Importe],Tabla16[MOVIL],Tabla38[[#This Row],[MOVIL]],Tabla16[OBSV],"DESCONTAR POR INCIDENCIA")</f>
        <v>0</v>
      </c>
      <c r="D50" s="5">
        <f>+SUMIFS(Tabla16[Importe],Tabla16[MOVIL],Tabla38[[#This Row],[MOVIL]],Tabla16[OBSV],"DESCONTAR SERVICIO EN EFECTIVO")</f>
        <v>0</v>
      </c>
      <c r="E50" s="5">
        <f>+IFERROR(VLOOKUP(Tabla38[[#This Row],[MOVIL]],Tabla1[[#All],[MOVIL]:[COBRO POR NUEVA INCLUSIÓN]],4,FALSE),0)</f>
        <v>0</v>
      </c>
      <c r="F5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50" s="5"/>
      <c r="H50" s="5" t="str">
        <f>_xlfn.XLOOKUP(Tabla38[[#This Row],[MOVIL]],[1]LIQUIDACION!$B:$B,[1]LIQUIDACION!$A:$A,"-",0)</f>
        <v>AEROLINEAS</v>
      </c>
    </row>
    <row r="51" spans="1:8" x14ac:dyDescent="0.3">
      <c r="A51" s="59">
        <v>7027</v>
      </c>
      <c r="B51" s="5">
        <f>+SUMIFS(Tabla16[Importe],Tabla16[MOVIL],Tabla38[[#This Row],[MOVIL]],Tabla16[OBSV],"DESCONTAR POR USO PERSONAL")</f>
        <v>25.2</v>
      </c>
      <c r="C51" s="5">
        <f>+SUMIFS(Tabla16[Importe],Tabla16[MOVIL],Tabla38[[#This Row],[MOVIL]],Tabla16[OBSV],"DESCONTAR POR INCIDENCIA")</f>
        <v>12.6</v>
      </c>
      <c r="D51" s="5">
        <f>+SUMIFS(Tabla16[Importe],Tabla16[MOVIL],Tabla38[[#This Row],[MOVIL]],Tabla16[OBSV],"DESCONTAR SERVICIO EN EFECTIVO")</f>
        <v>0</v>
      </c>
      <c r="E51" s="5">
        <f>+IFERROR(VLOOKUP(Tabla38[[#This Row],[MOVIL]],Tabla1[[#All],[MOVIL]:[COBRO POR NUEVA INCLUSIÓN]],4,FALSE),0)</f>
        <v>0</v>
      </c>
      <c r="F5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51" s="5"/>
      <c r="H51" s="5" t="str">
        <f>_xlfn.XLOOKUP(Tabla38[[#This Row],[MOVIL]],[1]LIQUIDACION!$B:$B,[1]LIQUIDACION!$A:$A,"-",0)</f>
        <v>URBANO</v>
      </c>
    </row>
    <row r="52" spans="1:8" x14ac:dyDescent="0.3">
      <c r="A52" s="59">
        <v>1875</v>
      </c>
      <c r="B52" s="5">
        <f>+SUMIFS(Tabla16[Importe],Tabla16[MOVIL],Tabla38[[#This Row],[MOVIL]],Tabla16[OBSV],"DESCONTAR POR USO PERSONAL")</f>
        <v>6.3</v>
      </c>
      <c r="C52" s="5">
        <f>+SUMIFS(Tabla16[Importe],Tabla16[MOVIL],Tabla38[[#This Row],[MOVIL]],Tabla16[OBSV],"DESCONTAR POR INCIDENCIA")</f>
        <v>0</v>
      </c>
      <c r="D52" s="5">
        <f>+SUMIFS(Tabla16[Importe],Tabla16[MOVIL],Tabla38[[#This Row],[MOVIL]],Tabla16[OBSV],"DESCONTAR SERVICIO EN EFECTIVO")</f>
        <v>0</v>
      </c>
      <c r="E52" s="5">
        <f>+IFERROR(VLOOKUP(Tabla38[[#This Row],[MOVIL]],Tabla1[[#All],[MOVIL]:[COBRO POR NUEVA INCLUSIÓN]],4,FALSE),0)</f>
        <v>0</v>
      </c>
      <c r="F5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2" s="5"/>
      <c r="H52" s="5" t="str">
        <f>_xlfn.XLOOKUP(Tabla38[[#This Row],[MOVIL]],[1]LIQUIDACION!$B:$B,[1]LIQUIDACION!$A:$A,"-",0)</f>
        <v>AEROLINEAS</v>
      </c>
    </row>
    <row r="53" spans="1:8" x14ac:dyDescent="0.3">
      <c r="A53" s="59">
        <v>2547</v>
      </c>
      <c r="B53" s="5">
        <f>+SUMIFS(Tabla16[Importe],Tabla16[MOVIL],Tabla38[[#This Row],[MOVIL]],Tabla16[OBSV],"DESCONTAR POR USO PERSONAL")</f>
        <v>25.2</v>
      </c>
      <c r="C53" s="5">
        <f>+SUMIFS(Tabla16[Importe],Tabla16[MOVIL],Tabla38[[#This Row],[MOVIL]],Tabla16[OBSV],"DESCONTAR POR INCIDENCIA")</f>
        <v>12.6</v>
      </c>
      <c r="D53" s="5">
        <f>+SUMIFS(Tabla16[Importe],Tabla16[MOVIL],Tabla38[[#This Row],[MOVIL]],Tabla16[OBSV],"DESCONTAR SERVICIO EN EFECTIVO")</f>
        <v>0</v>
      </c>
      <c r="E53" s="5">
        <f>+IFERROR(VLOOKUP(Tabla38[[#This Row],[MOVIL]],Tabla1[[#All],[MOVIL]:[COBRO POR NUEVA INCLUSIÓN]],4,FALSE),0)</f>
        <v>0</v>
      </c>
      <c r="F5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53" s="5"/>
      <c r="H53" s="5" t="str">
        <f>_xlfn.XLOOKUP(Tabla38[[#This Row],[MOVIL]],[1]LIQUIDACION!$B:$B,[1]LIQUIDACION!$A:$A,"-",0)</f>
        <v>URBANO</v>
      </c>
    </row>
    <row r="54" spans="1:8" x14ac:dyDescent="0.3">
      <c r="A54" s="59">
        <v>9626</v>
      </c>
      <c r="B54" s="5">
        <f>+SUMIFS(Tabla16[Importe],Tabla16[MOVIL],Tabla38[[#This Row],[MOVIL]],Tabla16[OBSV],"DESCONTAR POR USO PERSONAL")</f>
        <v>18.899999999999999</v>
      </c>
      <c r="C54" s="5">
        <f>+SUMIFS(Tabla16[Importe],Tabla16[MOVIL],Tabla38[[#This Row],[MOVIL]],Tabla16[OBSV],"DESCONTAR POR INCIDENCIA")</f>
        <v>12.6</v>
      </c>
      <c r="D54" s="5">
        <f>+SUMIFS(Tabla16[Importe],Tabla16[MOVIL],Tabla38[[#This Row],[MOVIL]],Tabla16[OBSV],"DESCONTAR SERVICIO EN EFECTIVO")</f>
        <v>0</v>
      </c>
      <c r="E54" s="5">
        <f>+IFERROR(VLOOKUP(Tabla38[[#This Row],[MOVIL]],Tabla1[[#All],[MOVIL]:[COBRO POR NUEVA INCLUSIÓN]],4,FALSE),0)</f>
        <v>0</v>
      </c>
      <c r="F5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54" s="5"/>
      <c r="H54" s="5" t="str">
        <f>_xlfn.XLOOKUP(Tabla38[[#This Row],[MOVIL]],[1]LIQUIDACION!$B:$B,[1]LIQUIDACION!$A:$A,"-",0)</f>
        <v>AEROPUERTO</v>
      </c>
    </row>
    <row r="55" spans="1:8" x14ac:dyDescent="0.3">
      <c r="A55" s="59">
        <v>251</v>
      </c>
      <c r="B55" s="5">
        <f>+SUMIFS(Tabla16[Importe],Tabla16[MOVIL],Tabla38[[#This Row],[MOVIL]],Tabla16[OBSV],"DESCONTAR POR USO PERSONAL")</f>
        <v>37.799999999999997</v>
      </c>
      <c r="C55" s="5">
        <f>+SUMIFS(Tabla16[Importe],Tabla16[MOVIL],Tabla38[[#This Row],[MOVIL]],Tabla16[OBSV],"DESCONTAR POR INCIDENCIA")</f>
        <v>0</v>
      </c>
      <c r="D55" s="5">
        <f>+SUMIFS(Tabla16[Importe],Tabla16[MOVIL],Tabla38[[#This Row],[MOVIL]],Tabla16[OBSV],"DESCONTAR SERVICIO EN EFECTIVO")</f>
        <v>12.6</v>
      </c>
      <c r="E55" s="5">
        <f>+IFERROR(VLOOKUP(Tabla38[[#This Row],[MOVIL]],Tabla1[[#All],[MOVIL]:[COBRO POR NUEVA INCLUSIÓN]],4,FALSE),0)</f>
        <v>0</v>
      </c>
      <c r="F55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55" s="5"/>
      <c r="H55" s="5" t="str">
        <f>_xlfn.XLOOKUP(Tabla38[[#This Row],[MOVIL]],[1]LIQUIDACION!$B:$B,[1]LIQUIDACION!$A:$A,"-",0)</f>
        <v>AEROPUERTO</v>
      </c>
    </row>
    <row r="56" spans="1:8" x14ac:dyDescent="0.3">
      <c r="A56" s="8">
        <v>301</v>
      </c>
      <c r="B56" s="5">
        <f>+SUMIFS(Tabla16[Importe],Tabla16[MOVIL],Tabla38[[#This Row],[MOVIL]],Tabla16[OBSV],"DESCONTAR POR USO PERSONAL")</f>
        <v>0</v>
      </c>
      <c r="C56" s="5">
        <f>+SUMIFS(Tabla16[Importe],Tabla16[MOVIL],Tabla38[[#This Row],[MOVIL]],Tabla16[OBSV],"DESCONTAR POR INCIDENCIA")</f>
        <v>0</v>
      </c>
      <c r="D56" s="5">
        <f>+SUMIFS(Tabla16[Importe],Tabla16[MOVIL],Tabla38[[#This Row],[MOVIL]],Tabla16[OBSV],"DESCONTAR SERVICIO EN EFECTIVO")</f>
        <v>0</v>
      </c>
      <c r="E56" s="5">
        <f>+IFERROR(VLOOKUP(Tabla38[[#This Row],[MOVIL]],Tabla1[[#All],[MOVIL]:[COBRO POR NUEVA INCLUSIÓN]],4,FALSE),0)</f>
        <v>0</v>
      </c>
      <c r="F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56" s="5"/>
      <c r="H56" s="5" t="str">
        <f>_xlfn.XLOOKUP(Tabla38[[#This Row],[MOVIL]],[1]LIQUIDACION!$B:$B,[1]LIQUIDACION!$A:$A,"-",0)</f>
        <v>URBANO</v>
      </c>
    </row>
    <row r="57" spans="1:8" x14ac:dyDescent="0.3">
      <c r="A57" s="59">
        <v>3703</v>
      </c>
      <c r="B57" s="5">
        <f>+SUMIFS(Tabla16[Importe],Tabla16[MOVIL],Tabla38[[#This Row],[MOVIL]],Tabla16[OBSV],"DESCONTAR POR USO PERSONAL")</f>
        <v>18.899999999999999</v>
      </c>
      <c r="C57" s="5">
        <f>+SUMIFS(Tabla16[Importe],Tabla16[MOVIL],Tabla38[[#This Row],[MOVIL]],Tabla16[OBSV],"DESCONTAR POR INCIDENCIA")</f>
        <v>0</v>
      </c>
      <c r="D57" s="5">
        <f>+SUMIFS(Tabla16[Importe],Tabla16[MOVIL],Tabla38[[#This Row],[MOVIL]],Tabla16[OBSV],"DESCONTAR SERVICIO EN EFECTIVO")</f>
        <v>0</v>
      </c>
      <c r="E57" s="5">
        <f>+IFERROR(VLOOKUP(Tabla38[[#This Row],[MOVIL]],Tabla1[[#All],[MOVIL]:[COBRO POR NUEVA INCLUSIÓN]],4,FALSE),0)</f>
        <v>0</v>
      </c>
      <c r="F5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57" s="5"/>
      <c r="H57" s="5" t="str">
        <f>_xlfn.XLOOKUP(Tabla38[[#This Row],[MOVIL]],[1]LIQUIDACION!$B:$B,[1]LIQUIDACION!$A:$A,"-",0)</f>
        <v>AEROLINEAS</v>
      </c>
    </row>
    <row r="58" spans="1:8" x14ac:dyDescent="0.3">
      <c r="A58" s="59">
        <v>380</v>
      </c>
      <c r="B58" s="5">
        <f>+SUMIFS(Tabla16[Importe],Tabla16[MOVIL],Tabla38[[#This Row],[MOVIL]],Tabla16[OBSV],"DESCONTAR POR USO PERSONAL")</f>
        <v>6.3</v>
      </c>
      <c r="C58" s="5">
        <f>+SUMIFS(Tabla16[Importe],Tabla16[MOVIL],Tabla38[[#This Row],[MOVIL]],Tabla16[OBSV],"DESCONTAR POR INCIDENCIA")</f>
        <v>0</v>
      </c>
      <c r="D58" s="5">
        <f>+SUMIFS(Tabla16[Importe],Tabla16[MOVIL],Tabla38[[#This Row],[MOVIL]],Tabla16[OBSV],"DESCONTAR SERVICIO EN EFECTIVO")</f>
        <v>0</v>
      </c>
      <c r="E58" s="5">
        <f>+IFERROR(VLOOKUP(Tabla38[[#This Row],[MOVIL]],Tabla1[[#All],[MOVIL]:[COBRO POR NUEVA INCLUSIÓN]],4,FALSE),0)</f>
        <v>0</v>
      </c>
      <c r="F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58" s="5"/>
      <c r="H58" s="5" t="str">
        <f>_xlfn.XLOOKUP(Tabla38[[#This Row],[MOVIL]],[1]LIQUIDACION!$B:$B,[1]LIQUIDACION!$A:$A,"-",0)</f>
        <v>MEMBRESÍA URBANO</v>
      </c>
    </row>
    <row r="59" spans="1:8" x14ac:dyDescent="0.3">
      <c r="A59" s="59">
        <v>227</v>
      </c>
      <c r="B59" s="5">
        <f>+SUMIFS(Tabla16[Importe],Tabla16[MOVIL],Tabla38[[#This Row],[MOVIL]],Tabla16[OBSV],"DESCONTAR POR USO PERSONAL")</f>
        <v>25.2</v>
      </c>
      <c r="C59" s="5">
        <f>+SUMIFS(Tabla16[Importe],Tabla16[MOVIL],Tabla38[[#This Row],[MOVIL]],Tabla16[OBSV],"DESCONTAR POR INCIDENCIA")</f>
        <v>0</v>
      </c>
      <c r="D59" s="5">
        <f>+SUMIFS(Tabla16[Importe],Tabla16[MOVIL],Tabla38[[#This Row],[MOVIL]],Tabla16[OBSV],"DESCONTAR SERVICIO EN EFECTIVO")</f>
        <v>0</v>
      </c>
      <c r="E59" s="5">
        <f>+IFERROR(VLOOKUP(Tabla38[[#This Row],[MOVIL]],Tabla1[[#All],[MOVIL]:[COBRO POR NUEVA INCLUSIÓN]],4,FALSE),0)</f>
        <v>0</v>
      </c>
      <c r="F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59" s="5"/>
      <c r="H59" s="5" t="str">
        <f>_xlfn.XLOOKUP(Tabla38[[#This Row],[MOVIL]],[1]LIQUIDACION!$B:$B,[1]LIQUIDACION!$A:$A,"-",0)</f>
        <v>AEROPUERTO</v>
      </c>
    </row>
    <row r="60" spans="1:8" x14ac:dyDescent="0.3">
      <c r="A60" s="8">
        <v>2441</v>
      </c>
      <c r="B60" s="5">
        <f>+SUMIFS(Tabla16[Importe],Tabla16[MOVIL],Tabla38[[#This Row],[MOVIL]],Tabla16[OBSV],"DESCONTAR POR USO PERSONAL")</f>
        <v>0</v>
      </c>
      <c r="C60" s="5">
        <f>+SUMIFS(Tabla16[Importe],Tabla16[MOVIL],Tabla38[[#This Row],[MOVIL]],Tabla16[OBSV],"DESCONTAR POR INCIDENCIA")</f>
        <v>0</v>
      </c>
      <c r="D60" s="5">
        <f>+SUMIFS(Tabla16[Importe],Tabla16[MOVIL],Tabla38[[#This Row],[MOVIL]],Tabla16[OBSV],"DESCONTAR SERVICIO EN EFECTIVO")</f>
        <v>0</v>
      </c>
      <c r="E60" s="5">
        <f>+IFERROR(VLOOKUP(Tabla38[[#This Row],[MOVIL]],Tabla1[[#All],[MOVIL]:[COBRO POR NUEVA INCLUSIÓN]],4,FALSE),0)</f>
        <v>0</v>
      </c>
      <c r="F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0" s="5"/>
      <c r="H60" s="5" t="str">
        <f>_xlfn.XLOOKUP(Tabla38[[#This Row],[MOVIL]],[1]LIQUIDACION!$B:$B,[1]LIQUIDACION!$A:$A,"-",0)</f>
        <v>URBANO</v>
      </c>
    </row>
    <row r="61" spans="1:8" x14ac:dyDescent="0.3">
      <c r="A61" s="59">
        <v>658</v>
      </c>
      <c r="B61" s="5">
        <f>+SUMIFS(Tabla16[Importe],Tabla16[MOVIL],Tabla38[[#This Row],[MOVIL]],Tabla16[OBSV],"DESCONTAR POR USO PERSONAL")</f>
        <v>18.899999999999999</v>
      </c>
      <c r="C61" s="5">
        <f>+SUMIFS(Tabla16[Importe],Tabla16[MOVIL],Tabla38[[#This Row],[MOVIL]],Tabla16[OBSV],"DESCONTAR POR INCIDENCIA")</f>
        <v>0</v>
      </c>
      <c r="D61" s="5">
        <f>+SUMIFS(Tabla16[Importe],Tabla16[MOVIL],Tabla38[[#This Row],[MOVIL]],Tabla16[OBSV],"DESCONTAR SERVICIO EN EFECTIVO")</f>
        <v>0</v>
      </c>
      <c r="E61" s="5">
        <f>+IFERROR(VLOOKUP(Tabla38[[#This Row],[MOVIL]],Tabla1[[#All],[MOVIL]:[COBRO POR NUEVA INCLUSIÓN]],4,FALSE),0)</f>
        <v>0</v>
      </c>
      <c r="F6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61" s="5"/>
      <c r="H61" s="5" t="str">
        <f>_xlfn.XLOOKUP(Tabla38[[#This Row],[MOVIL]],[1]LIQUIDACION!$B:$B,[1]LIQUIDACION!$A:$A,"-",0)</f>
        <v>URBANO</v>
      </c>
    </row>
    <row r="62" spans="1:8" x14ac:dyDescent="0.3">
      <c r="A62" s="59">
        <v>3041</v>
      </c>
      <c r="B62" s="5">
        <f>+SUMIFS(Tabla16[Importe],Tabla16[MOVIL],Tabla38[[#This Row],[MOVIL]],Tabla16[OBSV],"DESCONTAR POR USO PERSONAL")</f>
        <v>6.3</v>
      </c>
      <c r="C62" s="5">
        <f>+SUMIFS(Tabla16[Importe],Tabla16[MOVIL],Tabla38[[#This Row],[MOVIL]],Tabla16[OBSV],"DESCONTAR POR INCIDENCIA")</f>
        <v>0</v>
      </c>
      <c r="D62" s="5">
        <f>+SUMIFS(Tabla16[Importe],Tabla16[MOVIL],Tabla38[[#This Row],[MOVIL]],Tabla16[OBSV],"DESCONTAR SERVICIO EN EFECTIVO")</f>
        <v>0</v>
      </c>
      <c r="E62" s="5">
        <f>+IFERROR(VLOOKUP(Tabla38[[#This Row],[MOVIL]],Tabla1[[#All],[MOVIL]:[COBRO POR NUEVA INCLUSIÓN]],4,FALSE),0)</f>
        <v>0</v>
      </c>
      <c r="F6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62" s="5"/>
      <c r="H62" s="5" t="str">
        <f>_xlfn.XLOOKUP(Tabla38[[#This Row],[MOVIL]],[1]LIQUIDACION!$B:$B,[1]LIQUIDACION!$A:$A,"-",0)</f>
        <v>AEROLINEAS</v>
      </c>
    </row>
    <row r="63" spans="1:8" x14ac:dyDescent="0.3">
      <c r="A63" s="8">
        <v>9004</v>
      </c>
      <c r="B63" s="5">
        <f>+SUMIFS(Tabla16[Importe],Tabla16[MOVIL],Tabla38[[#This Row],[MOVIL]],Tabla16[OBSV],"DESCONTAR POR USO PERSONAL")</f>
        <v>0</v>
      </c>
      <c r="C63" s="5">
        <f>+SUMIFS(Tabla16[Importe],Tabla16[MOVIL],Tabla38[[#This Row],[MOVIL]],Tabla16[OBSV],"DESCONTAR POR INCIDENCIA")</f>
        <v>0</v>
      </c>
      <c r="D63" s="5">
        <f>+SUMIFS(Tabla16[Importe],Tabla16[MOVIL],Tabla38[[#This Row],[MOVIL]],Tabla16[OBSV],"DESCONTAR SERVICIO EN EFECTIVO")</f>
        <v>37.799999999999997</v>
      </c>
      <c r="E63" s="5">
        <f>+IFERROR(VLOOKUP(Tabla38[[#This Row],[MOVIL]],Tabla1[[#All],[MOVIL]:[COBRO POR NUEVA INCLUSIÓN]],4,FALSE),0)</f>
        <v>0</v>
      </c>
      <c r="F6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63" s="5"/>
      <c r="H63" s="5" t="str">
        <f>_xlfn.XLOOKUP(Tabla38[[#This Row],[MOVIL]],[1]LIQUIDACION!$B:$B,[1]LIQUIDACION!$A:$A,"-",0)</f>
        <v>AEROPUERTO VAN</v>
      </c>
    </row>
    <row r="64" spans="1:8" x14ac:dyDescent="0.3">
      <c r="A64" s="8">
        <v>1576</v>
      </c>
      <c r="B64" s="5">
        <f>+SUMIFS(Tabla16[Importe],Tabla16[MOVIL],Tabla38[[#This Row],[MOVIL]],Tabla16[OBSV],"DESCONTAR POR USO PERSONAL")</f>
        <v>0</v>
      </c>
      <c r="C64" s="5">
        <f>+SUMIFS(Tabla16[Importe],Tabla16[MOVIL],Tabla38[[#This Row],[MOVIL]],Tabla16[OBSV],"DESCONTAR POR INCIDENCIA")</f>
        <v>0</v>
      </c>
      <c r="D64" s="5">
        <f>+SUMIFS(Tabla16[Importe],Tabla16[MOVIL],Tabla38[[#This Row],[MOVIL]],Tabla16[OBSV],"DESCONTAR SERVICIO EN EFECTIVO")</f>
        <v>0</v>
      </c>
      <c r="E64" s="5">
        <f>+IFERROR(VLOOKUP(Tabla38[[#This Row],[MOVIL]],Tabla1[[#All],[MOVIL]:[COBRO POR NUEVA INCLUSIÓN]],4,FALSE),0)</f>
        <v>0</v>
      </c>
      <c r="F6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64" s="5"/>
      <c r="H64" s="5" t="str">
        <f>_xlfn.XLOOKUP(Tabla38[[#This Row],[MOVIL]],[1]LIQUIDACION!$B:$B,[1]LIQUIDACION!$A:$A,"-",0)</f>
        <v>AEROLINEAS</v>
      </c>
    </row>
    <row r="65" spans="1:8" x14ac:dyDescent="0.3">
      <c r="A65" s="59">
        <v>9636</v>
      </c>
      <c r="B65" s="5">
        <f>+SUMIFS(Tabla16[Importe],Tabla16[MOVIL],Tabla38[[#This Row],[MOVIL]],Tabla16[OBSV],"DESCONTAR POR USO PERSONAL")</f>
        <v>6.3</v>
      </c>
      <c r="C65" s="5">
        <f>+SUMIFS(Tabla16[Importe],Tabla16[MOVIL],Tabla38[[#This Row],[MOVIL]],Tabla16[OBSV],"DESCONTAR POR INCIDENCIA")</f>
        <v>6.3</v>
      </c>
      <c r="D65" s="5">
        <f>+SUMIFS(Tabla16[Importe],Tabla16[MOVIL],Tabla38[[#This Row],[MOVIL]],Tabla16[OBSV],"DESCONTAR SERVICIO EN EFECTIVO")</f>
        <v>0</v>
      </c>
      <c r="E65" s="5">
        <f>+IFERROR(VLOOKUP(Tabla38[[#This Row],[MOVIL]],Tabla1[[#All],[MOVIL]:[COBRO POR NUEVA INCLUSIÓN]],4,FALSE),0)</f>
        <v>0</v>
      </c>
      <c r="F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5" s="5"/>
      <c r="H65" s="5" t="str">
        <f>_xlfn.XLOOKUP(Tabla38[[#This Row],[MOVIL]],[1]LIQUIDACION!$B:$B,[1]LIQUIDACION!$A:$A,"-",0)</f>
        <v>MEMBRESÍA URBANO</v>
      </c>
    </row>
    <row r="66" spans="1:8" x14ac:dyDescent="0.3">
      <c r="A66" s="59">
        <v>9991</v>
      </c>
      <c r="B66" s="5">
        <f>+SUMIFS(Tabla16[Importe],Tabla16[MOVIL],Tabla38[[#This Row],[MOVIL]],Tabla16[OBSV],"DESCONTAR POR USO PERSONAL")</f>
        <v>12.6</v>
      </c>
      <c r="C66" s="5">
        <f>+SUMIFS(Tabla16[Importe],Tabla16[MOVIL],Tabla38[[#This Row],[MOVIL]],Tabla16[OBSV],"DESCONTAR POR INCIDENCIA")</f>
        <v>0</v>
      </c>
      <c r="D66" s="5">
        <f>+SUMIFS(Tabla16[Importe],Tabla16[MOVIL],Tabla38[[#This Row],[MOVIL]],Tabla16[OBSV],"DESCONTAR SERVICIO EN EFECTIVO")</f>
        <v>0</v>
      </c>
      <c r="E66" s="5">
        <f>+IFERROR(VLOOKUP(Tabla38[[#This Row],[MOVIL]],Tabla1[[#All],[MOVIL]:[COBRO POR NUEVA INCLUSIÓN]],4,FALSE),0)</f>
        <v>0</v>
      </c>
      <c r="F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66" s="5"/>
      <c r="H66" s="5" t="str">
        <f>_xlfn.XLOOKUP(Tabla38[[#This Row],[MOVIL]],[1]LIQUIDACION!$B:$B,[1]LIQUIDACION!$A:$A,"-",0)</f>
        <v>AEROPUERTO</v>
      </c>
    </row>
    <row r="67" spans="1:8" x14ac:dyDescent="0.3">
      <c r="A67" s="59">
        <v>795</v>
      </c>
      <c r="B67" s="5">
        <f>+SUMIFS(Tabla16[Importe],Tabla16[MOVIL],Tabla38[[#This Row],[MOVIL]],Tabla16[OBSV],"DESCONTAR POR USO PERSONAL")</f>
        <v>44.099999999999994</v>
      </c>
      <c r="C67" s="5">
        <f>+SUMIFS(Tabla16[Importe],Tabla16[MOVIL],Tabla38[[#This Row],[MOVIL]],Tabla16[OBSV],"DESCONTAR POR INCIDENCIA")</f>
        <v>0</v>
      </c>
      <c r="D67" s="5">
        <f>+SUMIFS(Tabla16[Importe],Tabla16[MOVIL],Tabla38[[#This Row],[MOVIL]],Tabla16[OBSV],"DESCONTAR SERVICIO EN EFECTIVO")</f>
        <v>0</v>
      </c>
      <c r="E67" s="5">
        <f>+IFERROR(VLOOKUP(Tabla38[[#This Row],[MOVIL]],Tabla1[[#All],[MOVIL]:[COBRO POR NUEVA INCLUSIÓN]],4,FALSE),0)</f>
        <v>0</v>
      </c>
      <c r="F6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67" s="5"/>
      <c r="H67" s="5" t="str">
        <f>_xlfn.XLOOKUP(Tabla38[[#This Row],[MOVIL]],[1]LIQUIDACION!$B:$B,[1]LIQUIDACION!$A:$A,"-",0)</f>
        <v>AEROPUERTO</v>
      </c>
    </row>
    <row r="68" spans="1:8" x14ac:dyDescent="0.3">
      <c r="A68" s="59">
        <v>1447</v>
      </c>
      <c r="B68" s="5">
        <f>+SUMIFS(Tabla16[Importe],Tabla16[MOVIL],Tabla38[[#This Row],[MOVIL]],Tabla16[OBSV],"DESCONTAR POR USO PERSONAL")</f>
        <v>44.099999999999994</v>
      </c>
      <c r="C68" s="5">
        <f>+SUMIFS(Tabla16[Importe],Tabla16[MOVIL],Tabla38[[#This Row],[MOVIL]],Tabla16[OBSV],"DESCONTAR POR INCIDENCIA")</f>
        <v>0</v>
      </c>
      <c r="D68" s="5">
        <f>+SUMIFS(Tabla16[Importe],Tabla16[MOVIL],Tabla38[[#This Row],[MOVIL]],Tabla16[OBSV],"DESCONTAR SERVICIO EN EFECTIVO")</f>
        <v>0</v>
      </c>
      <c r="E68" s="5">
        <f>+IFERROR(VLOOKUP(Tabla38[[#This Row],[MOVIL]],Tabla1[[#All],[MOVIL]:[COBRO POR NUEVA INCLUSIÓN]],4,FALSE),0)</f>
        <v>0</v>
      </c>
      <c r="F68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68" s="5"/>
      <c r="H68" s="5" t="str">
        <f>_xlfn.XLOOKUP(Tabla38[[#This Row],[MOVIL]],[1]LIQUIDACION!$B:$B,[1]LIQUIDACION!$A:$A,"-",0)</f>
        <v>AEROPUERTO</v>
      </c>
    </row>
    <row r="69" spans="1:8" x14ac:dyDescent="0.3">
      <c r="A69" s="59">
        <v>4286</v>
      </c>
      <c r="B69" s="5">
        <f>+SUMIFS(Tabla16[Importe],Tabla16[MOVIL],Tabla38[[#This Row],[MOVIL]],Tabla16[OBSV],"DESCONTAR POR USO PERSONAL")</f>
        <v>25.2</v>
      </c>
      <c r="C69" s="5">
        <f>+SUMIFS(Tabla16[Importe],Tabla16[MOVIL],Tabla38[[#This Row],[MOVIL]],Tabla16[OBSV],"DESCONTAR POR INCIDENCIA")</f>
        <v>18.899999999999999</v>
      </c>
      <c r="D69" s="5">
        <f>+SUMIFS(Tabla16[Importe],Tabla16[MOVIL],Tabla38[[#This Row],[MOVIL]],Tabla16[OBSV],"DESCONTAR SERVICIO EN EFECTIVO")</f>
        <v>25.2</v>
      </c>
      <c r="E69" s="5">
        <f>+IFERROR(VLOOKUP(Tabla38[[#This Row],[MOVIL]],Tabla1[[#All],[MOVIL]:[COBRO POR NUEVA INCLUSIÓN]],4,FALSE),0)</f>
        <v>0</v>
      </c>
      <c r="F69" s="5">
        <f>(Tabla38[[#This Row],[DESCUENTO POR USO PERSONAL PEX]]+Tabla38[[#This Row],[DESCUENTO POR INCIDENCIAS PEX]]+Tabla38[[#This Row],[DESCUENTO POR SERVICIOS EN EFECTIVO]]+Tabla38[[#This Row],[DESCUENTO POR NUEVA INCLUSION]])</f>
        <v>69.3</v>
      </c>
      <c r="G69" s="5"/>
      <c r="H69" s="5" t="str">
        <f>_xlfn.XLOOKUP(Tabla38[[#This Row],[MOVIL]],[1]LIQUIDACION!$B:$B,[1]LIQUIDACION!$A:$A,"-",0)</f>
        <v>AEROPUERTO</v>
      </c>
    </row>
    <row r="70" spans="1:8" x14ac:dyDescent="0.3">
      <c r="A70" s="8">
        <v>9424</v>
      </c>
      <c r="B70" s="5">
        <f>+SUMIFS(Tabla16[Importe],Tabla16[MOVIL],Tabla38[[#This Row],[MOVIL]],Tabla16[OBSV],"DESCONTAR POR USO PERSONAL")</f>
        <v>18.899999999999999</v>
      </c>
      <c r="C70" s="5">
        <f>+SUMIFS(Tabla16[Importe],Tabla16[MOVIL],Tabla38[[#This Row],[MOVIL]],Tabla16[OBSV],"DESCONTAR POR INCIDENCIA")</f>
        <v>6.3</v>
      </c>
      <c r="D70" s="5">
        <f>+SUMIFS(Tabla16[Importe],Tabla16[MOVIL],Tabla38[[#This Row],[MOVIL]],Tabla16[OBSV],"DESCONTAR SERVICIO EN EFECTIVO")</f>
        <v>0</v>
      </c>
      <c r="E70" s="5">
        <f>+IFERROR(VLOOKUP(Tabla38[[#This Row],[MOVIL]],Tabla1[[#All],[MOVIL]:[COBRO POR NUEVA INCLUSIÓN]],4,FALSE),0)</f>
        <v>0</v>
      </c>
      <c r="F7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70" s="5"/>
      <c r="H70" s="5" t="s">
        <v>1374</v>
      </c>
    </row>
    <row r="71" spans="1:8" x14ac:dyDescent="0.3">
      <c r="A71" s="59">
        <v>1416</v>
      </c>
      <c r="B71" s="5">
        <f>+SUMIFS(Tabla16[Importe],Tabla16[MOVIL],Tabla38[[#This Row],[MOVIL]],Tabla16[OBSV],"DESCONTAR POR USO PERSONAL")</f>
        <v>44.099999999999994</v>
      </c>
      <c r="C71" s="5">
        <f>+SUMIFS(Tabla16[Importe],Tabla16[MOVIL],Tabla38[[#This Row],[MOVIL]],Tabla16[OBSV],"DESCONTAR POR INCIDENCIA")</f>
        <v>0</v>
      </c>
      <c r="D71" s="5">
        <f>+SUMIFS(Tabla16[Importe],Tabla16[MOVIL],Tabla38[[#This Row],[MOVIL]],Tabla16[OBSV],"DESCONTAR SERVICIO EN EFECTIVO")</f>
        <v>0</v>
      </c>
      <c r="E71" s="5">
        <f>+IFERROR(VLOOKUP(Tabla38[[#This Row],[MOVIL]],Tabla1[[#All],[MOVIL]:[COBRO POR NUEVA INCLUSIÓN]],4,FALSE),0)</f>
        <v>0</v>
      </c>
      <c r="F71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71" s="5"/>
      <c r="H71" s="5" t="str">
        <f>_xlfn.XLOOKUP(Tabla38[[#This Row],[MOVIL]],[1]LIQUIDACION!$B:$B,[1]LIQUIDACION!$A:$A,"-",0)</f>
        <v>AEROPUERTO</v>
      </c>
    </row>
    <row r="72" spans="1:8" x14ac:dyDescent="0.3">
      <c r="A72" s="59">
        <v>2520</v>
      </c>
      <c r="B72" s="5">
        <f>+SUMIFS(Tabla16[Importe],Tabla16[MOVIL],Tabla38[[#This Row],[MOVIL]],Tabla16[OBSV],"DESCONTAR POR USO PERSONAL")</f>
        <v>12.6</v>
      </c>
      <c r="C72" s="5">
        <f>+SUMIFS(Tabla16[Importe],Tabla16[MOVIL],Tabla38[[#This Row],[MOVIL]],Tabla16[OBSV],"DESCONTAR POR INCIDENCIA")</f>
        <v>0</v>
      </c>
      <c r="D72" s="5">
        <f>+SUMIFS(Tabla16[Importe],Tabla16[MOVIL],Tabla38[[#This Row],[MOVIL]],Tabla16[OBSV],"DESCONTAR SERVICIO EN EFECTIVO")</f>
        <v>0</v>
      </c>
      <c r="E72" s="5">
        <f>+IFERROR(VLOOKUP(Tabla38[[#This Row],[MOVIL]],Tabla1[[#All],[MOVIL]:[COBRO POR NUEVA INCLUSIÓN]],4,FALSE),0)</f>
        <v>0</v>
      </c>
      <c r="F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2" s="5"/>
      <c r="H72" s="5" t="str">
        <f>_xlfn.XLOOKUP(Tabla38[[#This Row],[MOVIL]],[1]LIQUIDACION!$B:$B,[1]LIQUIDACION!$A:$A,"-",0)</f>
        <v>MEMBRESÍA URBANO</v>
      </c>
    </row>
    <row r="73" spans="1:8" x14ac:dyDescent="0.3">
      <c r="A73" s="59">
        <v>2501</v>
      </c>
      <c r="B73" s="5">
        <f>+SUMIFS(Tabla16[Importe],Tabla16[MOVIL],Tabla38[[#This Row],[MOVIL]],Tabla16[OBSV],"DESCONTAR POR USO PERSONAL")</f>
        <v>12.6</v>
      </c>
      <c r="C73" s="5">
        <f>+SUMIFS(Tabla16[Importe],Tabla16[MOVIL],Tabla38[[#This Row],[MOVIL]],Tabla16[OBSV],"DESCONTAR POR INCIDENCIA")</f>
        <v>0</v>
      </c>
      <c r="D73" s="5">
        <f>+SUMIFS(Tabla16[Importe],Tabla16[MOVIL],Tabla38[[#This Row],[MOVIL]],Tabla16[OBSV],"DESCONTAR SERVICIO EN EFECTIVO")</f>
        <v>0</v>
      </c>
      <c r="E73" s="5">
        <f>+IFERROR(VLOOKUP(Tabla38[[#This Row],[MOVIL]],Tabla1[[#All],[MOVIL]:[COBRO POR NUEVA INCLUSIÓN]],4,FALSE),0)</f>
        <v>0</v>
      </c>
      <c r="F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73" s="5"/>
      <c r="H73" s="5" t="str">
        <f>_xlfn.XLOOKUP(Tabla38[[#This Row],[MOVIL]],[1]LIQUIDACION!$B:$B,[1]LIQUIDACION!$A:$A,"-",0)</f>
        <v>URBANO</v>
      </c>
    </row>
    <row r="74" spans="1:8" x14ac:dyDescent="0.3">
      <c r="A74" s="8">
        <v>423</v>
      </c>
      <c r="B74" s="5">
        <f>+SUMIFS(Tabla16[Importe],Tabla16[MOVIL],Tabla38[[#This Row],[MOVIL]],Tabla16[OBSV],"DESCONTAR POR USO PERSONAL")</f>
        <v>0</v>
      </c>
      <c r="C74" s="5">
        <f>+SUMIFS(Tabla16[Importe],Tabla16[MOVIL],Tabla38[[#This Row],[MOVIL]],Tabla16[OBSV],"DESCONTAR POR INCIDENCIA")</f>
        <v>0</v>
      </c>
      <c r="D74" s="5">
        <f>+SUMIFS(Tabla16[Importe],Tabla16[MOVIL],Tabla38[[#This Row],[MOVIL]],Tabla16[OBSV],"DESCONTAR SERVICIO EN EFECTIVO")</f>
        <v>0</v>
      </c>
      <c r="E74" s="5">
        <f>+IFERROR(VLOOKUP(Tabla38[[#This Row],[MOVIL]],Tabla1[[#All],[MOVIL]:[COBRO POR NUEVA INCLUSIÓN]],4,FALSE),0)</f>
        <v>0</v>
      </c>
      <c r="F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4" s="5"/>
      <c r="H74" s="5" t="str">
        <f>_xlfn.XLOOKUP(Tabla38[[#This Row],[MOVIL]],[1]LIQUIDACION!$B:$B,[1]LIQUIDACION!$A:$A,"-",0)</f>
        <v>MEMBRESÍA URBANO</v>
      </c>
    </row>
    <row r="75" spans="1:8" x14ac:dyDescent="0.3">
      <c r="A75" s="8">
        <v>2005</v>
      </c>
      <c r="B75" s="5">
        <f>+SUMIFS(Tabla16[Importe],Tabla16[MOVIL],Tabla38[[#This Row],[MOVIL]],Tabla16[OBSV],"DESCONTAR POR USO PERSONAL")</f>
        <v>0</v>
      </c>
      <c r="C75" s="5">
        <f>+SUMIFS(Tabla16[Importe],Tabla16[MOVIL],Tabla38[[#This Row],[MOVIL]],Tabla16[OBSV],"DESCONTAR POR INCIDENCIA")</f>
        <v>0</v>
      </c>
      <c r="D75" s="5">
        <f>+SUMIFS(Tabla16[Importe],Tabla16[MOVIL],Tabla38[[#This Row],[MOVIL]],Tabla16[OBSV],"DESCONTAR SERVICIO EN EFECTIVO")</f>
        <v>0</v>
      </c>
      <c r="E75" s="5">
        <f>+IFERROR(VLOOKUP(Tabla38[[#This Row],[MOVIL]],Tabla1[[#All],[MOVIL]:[COBRO POR NUEVA INCLUSIÓN]],4,FALSE),0)</f>
        <v>0</v>
      </c>
      <c r="F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5" s="5"/>
      <c r="H75" s="5" t="str">
        <f>_xlfn.XLOOKUP(Tabla38[[#This Row],[MOVIL]],[1]LIQUIDACION!$B:$B,[1]LIQUIDACION!$A:$A,"-",0)</f>
        <v>MEMBRESÍA URBANO</v>
      </c>
    </row>
    <row r="76" spans="1:8" x14ac:dyDescent="0.3">
      <c r="A76" s="59">
        <v>707</v>
      </c>
      <c r="B76" s="5">
        <f>+SUMIFS(Tabla16[Importe],Tabla16[MOVIL],Tabla38[[#This Row],[MOVIL]],Tabla16[OBSV],"DESCONTAR POR USO PERSONAL")</f>
        <v>12.6</v>
      </c>
      <c r="C76" s="5">
        <f>+SUMIFS(Tabla16[Importe],Tabla16[MOVIL],Tabla38[[#This Row],[MOVIL]],Tabla16[OBSV],"DESCONTAR POR INCIDENCIA")</f>
        <v>0</v>
      </c>
      <c r="D76" s="5">
        <f>+SUMIFS(Tabla16[Importe],Tabla16[MOVIL],Tabla38[[#This Row],[MOVIL]],Tabla16[OBSV],"DESCONTAR SERVICIO EN EFECTIVO")</f>
        <v>18.899999999999999</v>
      </c>
      <c r="E76" s="5">
        <f>+IFERROR(VLOOKUP(Tabla38[[#This Row],[MOVIL]],Tabla1[[#All],[MOVIL]:[COBRO POR NUEVA INCLUSIÓN]],4,FALSE),0)</f>
        <v>0</v>
      </c>
      <c r="F7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6" s="5"/>
      <c r="H76" s="5" t="str">
        <f>_xlfn.XLOOKUP(Tabla38[[#This Row],[MOVIL]],[1]LIQUIDACION!$B:$B,[1]LIQUIDACION!$A:$A,"-",0)</f>
        <v>AEROPUERTO</v>
      </c>
    </row>
    <row r="77" spans="1:8" x14ac:dyDescent="0.3">
      <c r="A77" s="8">
        <v>846</v>
      </c>
      <c r="B77" s="5">
        <f>+SUMIFS(Tabla16[Importe],Tabla16[MOVIL],Tabla38[[#This Row],[MOVIL]],Tabla16[OBSV],"DESCONTAR POR USO PERSONAL")</f>
        <v>0</v>
      </c>
      <c r="C77" s="5">
        <f>+SUMIFS(Tabla16[Importe],Tabla16[MOVIL],Tabla38[[#This Row],[MOVIL]],Tabla16[OBSV],"DESCONTAR POR INCIDENCIA")</f>
        <v>0</v>
      </c>
      <c r="D77" s="5">
        <f>+SUMIFS(Tabla16[Importe],Tabla16[MOVIL],Tabla38[[#This Row],[MOVIL]],Tabla16[OBSV],"DESCONTAR SERVICIO EN EFECTIVO")</f>
        <v>0</v>
      </c>
      <c r="E77" s="5">
        <f>+IFERROR(VLOOKUP(Tabla38[[#This Row],[MOVIL]],Tabla1[[#All],[MOVIL]:[COBRO POR NUEVA INCLUSIÓN]],4,FALSE),0)</f>
        <v>0</v>
      </c>
      <c r="F7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7" s="5"/>
      <c r="H77" s="5" t="str">
        <f>_xlfn.XLOOKUP(Tabla38[[#This Row],[MOVIL]],[1]LIQUIDACION!$B:$B,[1]LIQUIDACION!$A:$A,"-",0)</f>
        <v>AEROPUERTO</v>
      </c>
    </row>
    <row r="78" spans="1:8" x14ac:dyDescent="0.3">
      <c r="A78" s="8">
        <v>9682</v>
      </c>
      <c r="B78" s="5">
        <f>+SUMIFS(Tabla16[Importe],Tabla16[MOVIL],Tabla38[[#This Row],[MOVIL]],Tabla16[OBSV],"DESCONTAR POR USO PERSONAL")</f>
        <v>0</v>
      </c>
      <c r="C78" s="5">
        <f>+SUMIFS(Tabla16[Importe],Tabla16[MOVIL],Tabla38[[#This Row],[MOVIL]],Tabla16[OBSV],"DESCONTAR POR INCIDENCIA")</f>
        <v>0</v>
      </c>
      <c r="D78" s="5">
        <f>+SUMIFS(Tabla16[Importe],Tabla16[MOVIL],Tabla38[[#This Row],[MOVIL]],Tabla16[OBSV],"DESCONTAR SERVICIO EN EFECTIVO")</f>
        <v>0</v>
      </c>
      <c r="E78" s="5">
        <f>+IFERROR(VLOOKUP(Tabla38[[#This Row],[MOVIL]],Tabla1[[#All],[MOVIL]:[COBRO POR NUEVA INCLUSIÓN]],4,FALSE),0)</f>
        <v>0</v>
      </c>
      <c r="F7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78" s="5"/>
      <c r="H78" s="5" t="str">
        <f>_xlfn.XLOOKUP(Tabla38[[#This Row],[MOVIL]],[1]LIQUIDACION!$B:$B,[1]LIQUIDACION!$A:$A,"-",0)</f>
        <v>URBANO</v>
      </c>
    </row>
    <row r="79" spans="1:8" x14ac:dyDescent="0.3">
      <c r="A79" s="59">
        <v>1594</v>
      </c>
      <c r="B79" s="5">
        <f>+SUMIFS(Tabla16[Importe],Tabla16[MOVIL],Tabla38[[#This Row],[MOVIL]],Tabla16[OBSV],"DESCONTAR POR USO PERSONAL")</f>
        <v>31.5</v>
      </c>
      <c r="C79" s="5">
        <f>+SUMIFS(Tabla16[Importe],Tabla16[MOVIL],Tabla38[[#This Row],[MOVIL]],Tabla16[OBSV],"DESCONTAR POR INCIDENCIA")</f>
        <v>0</v>
      </c>
      <c r="D79" s="5">
        <f>+SUMIFS(Tabla16[Importe],Tabla16[MOVIL],Tabla38[[#This Row],[MOVIL]],Tabla16[OBSV],"DESCONTAR SERVICIO EN EFECTIVO")</f>
        <v>0</v>
      </c>
      <c r="E79" s="5">
        <f>+IFERROR(VLOOKUP(Tabla38[[#This Row],[MOVIL]],Tabla1[[#All],[MOVIL]:[COBRO POR NUEVA INCLUSIÓN]],4,FALSE),0)</f>
        <v>0</v>
      </c>
      <c r="F7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79" s="5"/>
      <c r="H79" s="5" t="str">
        <f>_xlfn.XLOOKUP(Tabla38[[#This Row],[MOVIL]],[1]LIQUIDACION!$B:$B,[1]LIQUIDACION!$A:$A,"-",0)</f>
        <v>AEROPUERTO</v>
      </c>
    </row>
    <row r="80" spans="1:8" x14ac:dyDescent="0.3">
      <c r="A80" s="8">
        <v>3047</v>
      </c>
      <c r="B80" s="5">
        <f>+SUMIFS(Tabla16[Importe],Tabla16[MOVIL],Tabla38[[#This Row],[MOVIL]],Tabla16[OBSV],"DESCONTAR POR USO PERSONAL")</f>
        <v>0</v>
      </c>
      <c r="C80" s="5">
        <f>+SUMIFS(Tabla16[Importe],Tabla16[MOVIL],Tabla38[[#This Row],[MOVIL]],Tabla16[OBSV],"DESCONTAR POR INCIDENCIA")</f>
        <v>0</v>
      </c>
      <c r="D80" s="5">
        <f>+SUMIFS(Tabla16[Importe],Tabla16[MOVIL],Tabla38[[#This Row],[MOVIL]],Tabla16[OBSV],"DESCONTAR SERVICIO EN EFECTIVO")</f>
        <v>0</v>
      </c>
      <c r="E80" s="5">
        <f>+IFERROR(VLOOKUP(Tabla38[[#This Row],[MOVIL]],Tabla1[[#All],[MOVIL]:[COBRO POR NUEVA INCLUSIÓN]],4,FALSE),0)</f>
        <v>0</v>
      </c>
      <c r="F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0" s="5"/>
      <c r="H80" s="5" t="str">
        <f>_xlfn.XLOOKUP(Tabla38[[#This Row],[MOVIL]],[1]LIQUIDACION!$B:$B,[1]LIQUIDACION!$A:$A,"-",0)</f>
        <v>AEROLINEAS</v>
      </c>
    </row>
    <row r="81" spans="1:8" x14ac:dyDescent="0.3">
      <c r="A81" s="59">
        <v>2051</v>
      </c>
      <c r="B81" s="5">
        <f>+SUMIFS(Tabla16[Importe],Tabla16[MOVIL],Tabla38[[#This Row],[MOVIL]],Tabla16[OBSV],"DESCONTAR POR USO PERSONAL")</f>
        <v>25.2</v>
      </c>
      <c r="C81" s="5">
        <f>+SUMIFS(Tabla16[Importe],Tabla16[MOVIL],Tabla38[[#This Row],[MOVIL]],Tabla16[OBSV],"DESCONTAR POR INCIDENCIA")</f>
        <v>0</v>
      </c>
      <c r="D81" s="5">
        <f>+SUMIFS(Tabla16[Importe],Tabla16[MOVIL],Tabla38[[#This Row],[MOVIL]],Tabla16[OBSV],"DESCONTAR SERVICIO EN EFECTIVO")</f>
        <v>0</v>
      </c>
      <c r="E81" s="5">
        <f>+IFERROR(VLOOKUP(Tabla38[[#This Row],[MOVIL]],Tabla1[[#All],[MOVIL]:[COBRO POR NUEVA INCLUSIÓN]],4,FALSE),0)</f>
        <v>0</v>
      </c>
      <c r="F8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1" s="5"/>
      <c r="H81" s="5" t="str">
        <f>_xlfn.XLOOKUP(Tabla38[[#This Row],[MOVIL]],[1]LIQUIDACION!$B:$B,[1]LIQUIDACION!$A:$A,"-",0)</f>
        <v>AEROPUERTO</v>
      </c>
    </row>
    <row r="82" spans="1:8" x14ac:dyDescent="0.3">
      <c r="A82" s="59">
        <v>899</v>
      </c>
      <c r="B82" s="5">
        <f>+SUMIFS(Tabla16[Importe],Tabla16[MOVIL],Tabla38[[#This Row],[MOVIL]],Tabla16[OBSV],"DESCONTAR POR USO PERSONAL")</f>
        <v>12.6</v>
      </c>
      <c r="C82" s="5">
        <f>+SUMIFS(Tabla16[Importe],Tabla16[MOVIL],Tabla38[[#This Row],[MOVIL]],Tabla16[OBSV],"DESCONTAR POR INCIDENCIA")</f>
        <v>0</v>
      </c>
      <c r="D82" s="5">
        <f>+SUMIFS(Tabla16[Importe],Tabla16[MOVIL],Tabla38[[#This Row],[MOVIL]],Tabla16[OBSV],"DESCONTAR SERVICIO EN EFECTIVO")</f>
        <v>12.6</v>
      </c>
      <c r="E82" s="5">
        <f>+IFERROR(VLOOKUP(Tabla38[[#This Row],[MOVIL]],Tabla1[[#All],[MOVIL]:[COBRO POR NUEVA INCLUSIÓN]],4,FALSE),0)</f>
        <v>0</v>
      </c>
      <c r="F8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2" s="5"/>
      <c r="H82" s="5" t="str">
        <f>_xlfn.XLOOKUP(Tabla38[[#This Row],[MOVIL]],[1]LIQUIDACION!$B:$B,[1]LIQUIDACION!$A:$A,"-",0)</f>
        <v>AEROPUERTO</v>
      </c>
    </row>
    <row r="83" spans="1:8" x14ac:dyDescent="0.3">
      <c r="A83" s="8">
        <v>467</v>
      </c>
      <c r="B83" s="5">
        <f>+SUMIFS(Tabla16[Importe],Tabla16[MOVIL],Tabla38[[#This Row],[MOVIL]],Tabla16[OBSV],"DESCONTAR POR USO PERSONAL")</f>
        <v>0</v>
      </c>
      <c r="C83" s="5">
        <f>+SUMIFS(Tabla16[Importe],Tabla16[MOVIL],Tabla38[[#This Row],[MOVIL]],Tabla16[OBSV],"DESCONTAR POR INCIDENCIA")</f>
        <v>0</v>
      </c>
      <c r="D83" s="5">
        <f>+SUMIFS(Tabla16[Importe],Tabla16[MOVIL],Tabla38[[#This Row],[MOVIL]],Tabla16[OBSV],"DESCONTAR SERVICIO EN EFECTIVO")</f>
        <v>0</v>
      </c>
      <c r="E83" s="5">
        <f>+IFERROR(VLOOKUP(Tabla38[[#This Row],[MOVIL]],Tabla1[[#All],[MOVIL]:[COBRO POR NUEVA INCLUSIÓN]],4,FALSE),0)</f>
        <v>0</v>
      </c>
      <c r="F8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3" s="5"/>
      <c r="H83" s="5" t="str">
        <f>_xlfn.XLOOKUP(Tabla38[[#This Row],[MOVIL]],[1]LIQUIDACION!$B:$B,[1]LIQUIDACION!$A:$A,"-",0)</f>
        <v>URBANO</v>
      </c>
    </row>
    <row r="84" spans="1:8" x14ac:dyDescent="0.3">
      <c r="A84" s="8">
        <v>9154</v>
      </c>
      <c r="B84" s="5">
        <f>+SUMIFS(Tabla16[Importe],Tabla16[MOVIL],Tabla38[[#This Row],[MOVIL]],Tabla16[OBSV],"DESCONTAR POR USO PERSONAL")</f>
        <v>0</v>
      </c>
      <c r="C84" s="5">
        <f>+SUMIFS(Tabla16[Importe],Tabla16[MOVIL],Tabla38[[#This Row],[MOVIL]],Tabla16[OBSV],"DESCONTAR POR INCIDENCIA")</f>
        <v>0</v>
      </c>
      <c r="D84" s="5">
        <f>+SUMIFS(Tabla16[Importe],Tabla16[MOVIL],Tabla38[[#This Row],[MOVIL]],Tabla16[OBSV],"DESCONTAR SERVICIO EN EFECTIVO")</f>
        <v>0</v>
      </c>
      <c r="E84" s="5">
        <f>+IFERROR(VLOOKUP(Tabla38[[#This Row],[MOVIL]],Tabla1[[#All],[MOVIL]:[COBRO POR NUEVA INCLUSIÓN]],4,FALSE),0)</f>
        <v>0</v>
      </c>
      <c r="F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4" s="5"/>
      <c r="H84" s="5" t="str">
        <f>_xlfn.XLOOKUP(Tabla38[[#This Row],[MOVIL]],[1]LIQUIDACION!$B:$B,[1]LIQUIDACION!$A:$A,"-",0)</f>
        <v>AEROPUERTO</v>
      </c>
    </row>
    <row r="85" spans="1:8" x14ac:dyDescent="0.3">
      <c r="A85" s="59">
        <v>1411</v>
      </c>
      <c r="B85" s="5">
        <f>+SUMIFS(Tabla16[Importe],Tabla16[MOVIL],Tabla38[[#This Row],[MOVIL]],Tabla16[OBSV],"DESCONTAR POR USO PERSONAL")</f>
        <v>6.3</v>
      </c>
      <c r="C85" s="5">
        <f>+SUMIFS(Tabla16[Importe],Tabla16[MOVIL],Tabla38[[#This Row],[MOVIL]],Tabla16[OBSV],"DESCONTAR POR INCIDENCIA")</f>
        <v>0</v>
      </c>
      <c r="D85" s="5">
        <f>+SUMIFS(Tabla16[Importe],Tabla16[MOVIL],Tabla38[[#This Row],[MOVIL]],Tabla16[OBSV],"DESCONTAR SERVICIO EN EFECTIVO")</f>
        <v>0</v>
      </c>
      <c r="E85" s="5">
        <f>+IFERROR(VLOOKUP(Tabla38[[#This Row],[MOVIL]],Tabla1[[#All],[MOVIL]:[COBRO POR NUEVA INCLUSIÓN]],4,FALSE),0)</f>
        <v>0</v>
      </c>
      <c r="F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5" s="5"/>
      <c r="H85" s="5" t="str">
        <f>_xlfn.XLOOKUP(Tabla38[[#This Row],[MOVIL]],[1]LIQUIDACION!$B:$B,[1]LIQUIDACION!$A:$A,"-",0)</f>
        <v>AEROPUERTO</v>
      </c>
    </row>
    <row r="86" spans="1:8" x14ac:dyDescent="0.3">
      <c r="A86" s="8">
        <v>3102</v>
      </c>
      <c r="B86" s="5">
        <f>+SUMIFS(Tabla16[Importe],Tabla16[MOVIL],Tabla38[[#This Row],[MOVIL]],Tabla16[OBSV],"DESCONTAR POR USO PERSONAL")</f>
        <v>0</v>
      </c>
      <c r="C86" s="5">
        <f>+SUMIFS(Tabla16[Importe],Tabla16[MOVIL],Tabla38[[#This Row],[MOVIL]],Tabla16[OBSV],"DESCONTAR POR INCIDENCIA")</f>
        <v>12.6</v>
      </c>
      <c r="D86" s="5">
        <f>+SUMIFS(Tabla16[Importe],Tabla16[MOVIL],Tabla38[[#This Row],[MOVIL]],Tabla16[OBSV],"DESCONTAR SERVICIO EN EFECTIVO")</f>
        <v>0</v>
      </c>
      <c r="E86" s="5">
        <f>+IFERROR(VLOOKUP(Tabla38[[#This Row],[MOVIL]],Tabla1[[#All],[MOVIL]:[COBRO POR NUEVA INCLUSIÓN]],4,FALSE),0)</f>
        <v>0</v>
      </c>
      <c r="F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86" s="5"/>
      <c r="H86" s="5" t="str">
        <f>_xlfn.XLOOKUP(Tabla38[[#This Row],[MOVIL]],[1]LIQUIDACION!$B:$B,[1]LIQUIDACION!$A:$A,"-",0)</f>
        <v>AEROLINEAS</v>
      </c>
    </row>
    <row r="87" spans="1:8" x14ac:dyDescent="0.3">
      <c r="A87" s="59">
        <v>9017</v>
      </c>
      <c r="B87" s="5">
        <f>+SUMIFS(Tabla16[Importe],Tabla16[MOVIL],Tabla38[[#This Row],[MOVIL]],Tabla16[OBSV],"DESCONTAR POR USO PERSONAL")</f>
        <v>25.2</v>
      </c>
      <c r="C87" s="5">
        <f>+SUMIFS(Tabla16[Importe],Tabla16[MOVIL],Tabla38[[#This Row],[MOVIL]],Tabla16[OBSV],"DESCONTAR POR INCIDENCIA")</f>
        <v>0</v>
      </c>
      <c r="D87" s="5">
        <f>+SUMIFS(Tabla16[Importe],Tabla16[MOVIL],Tabla38[[#This Row],[MOVIL]],Tabla16[OBSV],"DESCONTAR SERVICIO EN EFECTIVO")</f>
        <v>0</v>
      </c>
      <c r="E87" s="5">
        <f>+IFERROR(VLOOKUP(Tabla38[[#This Row],[MOVIL]],Tabla1[[#All],[MOVIL]:[COBRO POR NUEVA INCLUSIÓN]],4,FALSE),0)</f>
        <v>0</v>
      </c>
      <c r="F8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87" s="5"/>
      <c r="H87" s="5" t="str">
        <f>_xlfn.XLOOKUP(Tabla38[[#This Row],[MOVIL]],[1]LIQUIDACION!$B:$B,[1]LIQUIDACION!$A:$A,"-",0)</f>
        <v>AEROPUERTO</v>
      </c>
    </row>
    <row r="88" spans="1:8" x14ac:dyDescent="0.3">
      <c r="A88" s="8">
        <v>1466</v>
      </c>
      <c r="B88" s="5">
        <f>+SUMIFS(Tabla16[Importe],Tabla16[MOVIL],Tabla38[[#This Row],[MOVIL]],Tabla16[OBSV],"DESCONTAR POR USO PERSONAL")</f>
        <v>0</v>
      </c>
      <c r="C88" s="5">
        <f>+SUMIFS(Tabla16[Importe],Tabla16[MOVIL],Tabla38[[#This Row],[MOVIL]],Tabla16[OBSV],"DESCONTAR POR INCIDENCIA")</f>
        <v>0</v>
      </c>
      <c r="D88" s="5">
        <f>+SUMIFS(Tabla16[Importe],Tabla16[MOVIL],Tabla38[[#This Row],[MOVIL]],Tabla16[OBSV],"DESCONTAR SERVICIO EN EFECTIVO")</f>
        <v>0</v>
      </c>
      <c r="E88" s="5">
        <f>+IFERROR(VLOOKUP(Tabla38[[#This Row],[MOVIL]],Tabla1[[#All],[MOVIL]:[COBRO POR NUEVA INCLUSIÓN]],4,FALSE),0)</f>
        <v>0</v>
      </c>
      <c r="F8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88" s="5"/>
      <c r="H88" s="5" t="str">
        <f>_xlfn.XLOOKUP(Tabla38[[#This Row],[MOVIL]],[1]LIQUIDACION!$B:$B,[1]LIQUIDACION!$A:$A,"-",0)</f>
        <v>AEROPUERTO</v>
      </c>
    </row>
    <row r="89" spans="1:8" x14ac:dyDescent="0.3">
      <c r="A89" s="8">
        <v>659</v>
      </c>
      <c r="B89" s="5">
        <f>+SUMIFS(Tabla16[Importe],Tabla16[MOVIL],Tabla38[[#This Row],[MOVIL]],Tabla16[OBSV],"DESCONTAR POR USO PERSONAL")</f>
        <v>0</v>
      </c>
      <c r="C89" s="5">
        <f>+SUMIFS(Tabla16[Importe],Tabla16[MOVIL],Tabla38[[#This Row],[MOVIL]],Tabla16[OBSV],"DESCONTAR POR INCIDENCIA")</f>
        <v>0</v>
      </c>
      <c r="D89" s="5">
        <f>+SUMIFS(Tabla16[Importe],Tabla16[MOVIL],Tabla38[[#This Row],[MOVIL]],Tabla16[OBSV],"DESCONTAR SERVICIO EN EFECTIVO")</f>
        <v>6.3</v>
      </c>
      <c r="E89" s="5">
        <f>+IFERROR(VLOOKUP(Tabla38[[#This Row],[MOVIL]],Tabla1[[#All],[MOVIL]:[COBRO POR NUEVA INCLUSIÓN]],4,FALSE),0)</f>
        <v>0</v>
      </c>
      <c r="F8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89" s="5"/>
      <c r="H89" s="5" t="str">
        <f>_xlfn.XLOOKUP(Tabla38[[#This Row],[MOVIL]],[1]LIQUIDACION!$B:$B,[1]LIQUIDACION!$A:$A,"-",0)</f>
        <v>URBANO</v>
      </c>
    </row>
    <row r="90" spans="1:8" x14ac:dyDescent="0.3">
      <c r="A90" s="59">
        <v>2275</v>
      </c>
      <c r="B90" s="5">
        <f>+SUMIFS(Tabla16[Importe],Tabla16[MOVIL],Tabla38[[#This Row],[MOVIL]],Tabla16[OBSV],"DESCONTAR POR USO PERSONAL")</f>
        <v>37.799999999999997</v>
      </c>
      <c r="C90" s="5">
        <f>+SUMIFS(Tabla16[Importe],Tabla16[MOVIL],Tabla38[[#This Row],[MOVIL]],Tabla16[OBSV],"DESCONTAR POR INCIDENCIA")</f>
        <v>0</v>
      </c>
      <c r="D90" s="5">
        <f>+SUMIFS(Tabla16[Importe],Tabla16[MOVIL],Tabla38[[#This Row],[MOVIL]],Tabla16[OBSV],"DESCONTAR SERVICIO EN EFECTIVO")</f>
        <v>12.6</v>
      </c>
      <c r="E90" s="5">
        <f>+IFERROR(VLOOKUP(Tabla38[[#This Row],[MOVIL]],Tabla1[[#All],[MOVIL]:[COBRO POR NUEVA INCLUSIÓN]],4,FALSE),0)</f>
        <v>0</v>
      </c>
      <c r="F90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90" s="5"/>
      <c r="H90" s="5" t="str">
        <f>_xlfn.XLOOKUP(Tabla38[[#This Row],[MOVIL]],[1]LIQUIDACION!$B:$B,[1]LIQUIDACION!$A:$A,"-",0)</f>
        <v>AEROPUERTO</v>
      </c>
    </row>
    <row r="91" spans="1:8" x14ac:dyDescent="0.3">
      <c r="A91" s="8">
        <v>1468</v>
      </c>
      <c r="B91" s="5">
        <f>+SUMIFS(Tabla16[Importe],Tabla16[MOVIL],Tabla38[[#This Row],[MOVIL]],Tabla16[OBSV],"DESCONTAR POR USO PERSONAL")</f>
        <v>0</v>
      </c>
      <c r="C91" s="5">
        <f>+SUMIFS(Tabla16[Importe],Tabla16[MOVIL],Tabla38[[#This Row],[MOVIL]],Tabla16[OBSV],"DESCONTAR POR INCIDENCIA")</f>
        <v>0</v>
      </c>
      <c r="D91" s="5">
        <f>+SUMIFS(Tabla16[Importe],Tabla16[MOVIL],Tabla38[[#This Row],[MOVIL]],Tabla16[OBSV],"DESCONTAR SERVICIO EN EFECTIVO")</f>
        <v>0</v>
      </c>
      <c r="E91" s="5">
        <f>+IFERROR(VLOOKUP(Tabla38[[#This Row],[MOVIL]],Tabla1[[#All],[MOVIL]:[COBRO POR NUEVA INCLUSIÓN]],4,FALSE),0)</f>
        <v>0</v>
      </c>
      <c r="F9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1" s="5"/>
      <c r="H91" s="5" t="str">
        <f>_xlfn.XLOOKUP(Tabla38[[#This Row],[MOVIL]],[1]LIQUIDACION!$B:$B,[1]LIQUIDACION!$A:$A,"-",0)</f>
        <v>AEROPUERTO</v>
      </c>
    </row>
    <row r="92" spans="1:8" x14ac:dyDescent="0.3">
      <c r="A92" s="59">
        <v>9575</v>
      </c>
      <c r="B92" s="5">
        <f>+SUMIFS(Tabla16[Importe],Tabla16[MOVIL],Tabla38[[#This Row],[MOVIL]],Tabla16[OBSV],"DESCONTAR POR USO PERSONAL")</f>
        <v>107.09999999999997</v>
      </c>
      <c r="C92" s="5">
        <f>+SUMIFS(Tabla16[Importe],Tabla16[MOVIL],Tabla38[[#This Row],[MOVIL]],Tabla16[OBSV],"DESCONTAR POR INCIDENCIA")</f>
        <v>0</v>
      </c>
      <c r="D92" s="5">
        <f>+SUMIFS(Tabla16[Importe],Tabla16[MOVIL],Tabla38[[#This Row],[MOVIL]],Tabla16[OBSV],"DESCONTAR SERVICIO EN EFECTIVO")</f>
        <v>12.6</v>
      </c>
      <c r="E92" s="5">
        <f>+IFERROR(VLOOKUP(Tabla38[[#This Row],[MOVIL]],Tabla1[[#All],[MOVIL]:[COBRO POR NUEVA INCLUSIÓN]],4,FALSE),0)</f>
        <v>0</v>
      </c>
      <c r="F92" s="5">
        <f>(Tabla38[[#This Row],[DESCUENTO POR USO PERSONAL PEX]]+Tabla38[[#This Row],[DESCUENTO POR INCIDENCIAS PEX]]+Tabla38[[#This Row],[DESCUENTO POR SERVICIOS EN EFECTIVO]]+Tabla38[[#This Row],[DESCUENTO POR NUEVA INCLUSION]])</f>
        <v>119.69999999999996</v>
      </c>
      <c r="G92" s="5"/>
      <c r="H92" s="5" t="str">
        <f>_xlfn.XLOOKUP(Tabla38[[#This Row],[MOVIL]],[1]LIQUIDACION!$B:$B,[1]LIQUIDACION!$A:$A,"-",0)</f>
        <v>AEROPUERTO</v>
      </c>
    </row>
    <row r="93" spans="1:8" x14ac:dyDescent="0.3">
      <c r="A93" s="8">
        <v>559</v>
      </c>
      <c r="B93" s="5">
        <f>+SUMIFS(Tabla16[Importe],Tabla16[MOVIL],Tabla38[[#This Row],[MOVIL]],Tabla16[OBSV],"DESCONTAR POR USO PERSONAL")</f>
        <v>0</v>
      </c>
      <c r="C93" s="5">
        <f>+SUMIFS(Tabla16[Importe],Tabla16[MOVIL],Tabla38[[#This Row],[MOVIL]],Tabla16[OBSV],"DESCONTAR POR INCIDENCIA")</f>
        <v>0</v>
      </c>
      <c r="D93" s="5">
        <f>+SUMIFS(Tabla16[Importe],Tabla16[MOVIL],Tabla38[[#This Row],[MOVIL]],Tabla16[OBSV],"DESCONTAR SERVICIO EN EFECTIVO")</f>
        <v>0</v>
      </c>
      <c r="E93" s="5">
        <f>+IFERROR(VLOOKUP(Tabla38[[#This Row],[MOVIL]],Tabla1[[#All],[MOVIL]:[COBRO POR NUEVA INCLUSIÓN]],4,FALSE),0)</f>
        <v>0</v>
      </c>
      <c r="F9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3" s="5"/>
      <c r="H93" s="5" t="str">
        <f>_xlfn.XLOOKUP(Tabla38[[#This Row],[MOVIL]],[1]LIQUIDACION!$B:$B,[1]LIQUIDACION!$A:$A,"-",0)</f>
        <v>URBANO</v>
      </c>
    </row>
    <row r="94" spans="1:8" x14ac:dyDescent="0.3">
      <c r="A94" s="59">
        <v>1410</v>
      </c>
      <c r="B94" s="5">
        <f>+SUMIFS(Tabla16[Importe],Tabla16[MOVIL],Tabla38[[#This Row],[MOVIL]],Tabla16[OBSV],"DESCONTAR POR USO PERSONAL")</f>
        <v>6.3</v>
      </c>
      <c r="C94" s="5">
        <f>+SUMIFS(Tabla16[Importe],Tabla16[MOVIL],Tabla38[[#This Row],[MOVIL]],Tabla16[OBSV],"DESCONTAR POR INCIDENCIA")</f>
        <v>0</v>
      </c>
      <c r="D94" s="5">
        <f>+SUMIFS(Tabla16[Importe],Tabla16[MOVIL],Tabla38[[#This Row],[MOVIL]],Tabla16[OBSV],"DESCONTAR SERVICIO EN EFECTIVO")</f>
        <v>0</v>
      </c>
      <c r="E94" s="5">
        <f>+IFERROR(VLOOKUP(Tabla38[[#This Row],[MOVIL]],Tabla1[[#All],[MOVIL]:[COBRO POR NUEVA INCLUSIÓN]],4,FALSE),0)</f>
        <v>0</v>
      </c>
      <c r="F9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94" s="5"/>
      <c r="H94" s="5" t="str">
        <f>_xlfn.XLOOKUP(Tabla38[[#This Row],[MOVIL]],[1]LIQUIDACION!$B:$B,[1]LIQUIDACION!$A:$A,"-",0)</f>
        <v>AEROPUERTO</v>
      </c>
    </row>
    <row r="95" spans="1:8" x14ac:dyDescent="0.3">
      <c r="A95" s="8">
        <v>1420</v>
      </c>
      <c r="B95" s="5">
        <f>+SUMIFS(Tabla16[Importe],Tabla16[MOVIL],Tabla38[[#This Row],[MOVIL]],Tabla16[OBSV],"DESCONTAR POR USO PERSONAL")</f>
        <v>0</v>
      </c>
      <c r="C95" s="5">
        <f>+SUMIFS(Tabla16[Importe],Tabla16[MOVIL],Tabla38[[#This Row],[MOVIL]],Tabla16[OBSV],"DESCONTAR POR INCIDENCIA")</f>
        <v>0</v>
      </c>
      <c r="D95" s="5">
        <f>+SUMIFS(Tabla16[Importe],Tabla16[MOVIL],Tabla38[[#This Row],[MOVIL]],Tabla16[OBSV],"DESCONTAR SERVICIO EN EFECTIVO")</f>
        <v>12.6</v>
      </c>
      <c r="E95" s="5">
        <f>+IFERROR(VLOOKUP(Tabla38[[#This Row],[MOVIL]],Tabla1[[#All],[MOVIL]:[COBRO POR NUEVA INCLUSIÓN]],4,FALSE),0)</f>
        <v>0</v>
      </c>
      <c r="F9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95" s="5"/>
      <c r="H95" s="5" t="str">
        <f>_xlfn.XLOOKUP(Tabla38[[#This Row],[MOVIL]],[1]LIQUIDACION!$B:$B,[1]LIQUIDACION!$A:$A,"-",0)</f>
        <v>AEROPUERTO</v>
      </c>
    </row>
    <row r="96" spans="1:8" x14ac:dyDescent="0.3">
      <c r="A96" s="8">
        <v>7628</v>
      </c>
      <c r="B96" s="5">
        <f>+SUMIFS(Tabla16[Importe],Tabla16[MOVIL],Tabla38[[#This Row],[MOVIL]],Tabla16[OBSV],"DESCONTAR POR USO PERSONAL")</f>
        <v>31.5</v>
      </c>
      <c r="C96" s="5">
        <f>+SUMIFS(Tabla16[Importe],Tabla16[MOVIL],Tabla38[[#This Row],[MOVIL]],Tabla16[OBSV],"DESCONTAR POR INCIDENCIA")</f>
        <v>0</v>
      </c>
      <c r="D96" s="5">
        <f>+SUMIFS(Tabla16[Importe],Tabla16[MOVIL],Tabla38[[#This Row],[MOVIL]],Tabla16[OBSV],"DESCONTAR SERVICIO EN EFECTIVO")</f>
        <v>6.3</v>
      </c>
      <c r="E96" s="5">
        <f>+IFERROR(VLOOKUP(Tabla38[[#This Row],[MOVIL]],Tabla1[[#All],[MOVIL]:[COBRO POR NUEVA INCLUSIÓN]],4,FALSE),0)</f>
        <v>0</v>
      </c>
      <c r="F9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96" s="5"/>
      <c r="H96" s="5" t="s">
        <v>1374</v>
      </c>
    </row>
    <row r="97" spans="1:8" x14ac:dyDescent="0.3">
      <c r="A97" s="8">
        <v>3664</v>
      </c>
      <c r="B97" s="5">
        <f>+SUMIFS(Tabla16[Importe],Tabla16[MOVIL],Tabla38[[#This Row],[MOVIL]],Tabla16[OBSV],"DESCONTAR POR USO PERSONAL")</f>
        <v>0</v>
      </c>
      <c r="C97" s="5">
        <f>+SUMIFS(Tabla16[Importe],Tabla16[MOVIL],Tabla38[[#This Row],[MOVIL]],Tabla16[OBSV],"DESCONTAR POR INCIDENCIA")</f>
        <v>0</v>
      </c>
      <c r="D97" s="5">
        <f>+SUMIFS(Tabla16[Importe],Tabla16[MOVIL],Tabla38[[#This Row],[MOVIL]],Tabla16[OBSV],"DESCONTAR SERVICIO EN EFECTIVO")</f>
        <v>0</v>
      </c>
      <c r="E97" s="5">
        <f>+IFERROR(VLOOKUP(Tabla38[[#This Row],[MOVIL]],Tabla1[[#All],[MOVIL]:[COBRO POR NUEVA INCLUSIÓN]],4,FALSE),0)</f>
        <v>0</v>
      </c>
      <c r="F9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7" s="5"/>
      <c r="H97" s="5" t="str">
        <f>_xlfn.XLOOKUP(Tabla38[[#This Row],[MOVIL]],[1]LIQUIDACION!$B:$B,[1]LIQUIDACION!$A:$A,"-",0)</f>
        <v>AEROPUERTO</v>
      </c>
    </row>
    <row r="98" spans="1:8" x14ac:dyDescent="0.3">
      <c r="A98" s="8">
        <v>3357</v>
      </c>
      <c r="B98" s="5">
        <f>+SUMIFS(Tabla16[Importe],Tabla16[MOVIL],Tabla38[[#This Row],[MOVIL]],Tabla16[OBSV],"DESCONTAR POR USO PERSONAL")</f>
        <v>0</v>
      </c>
      <c r="C98" s="5">
        <f>+SUMIFS(Tabla16[Importe],Tabla16[MOVIL],Tabla38[[#This Row],[MOVIL]],Tabla16[OBSV],"DESCONTAR POR INCIDENCIA")</f>
        <v>0</v>
      </c>
      <c r="D98" s="5">
        <f>+SUMIFS(Tabla16[Importe],Tabla16[MOVIL],Tabla38[[#This Row],[MOVIL]],Tabla16[OBSV],"DESCONTAR SERVICIO EN EFECTIVO")</f>
        <v>0</v>
      </c>
      <c r="E98" s="5">
        <f>+IFERROR(VLOOKUP(Tabla38[[#This Row],[MOVIL]],Tabla1[[#All],[MOVIL]:[COBRO POR NUEVA INCLUSIÓN]],4,FALSE),0)</f>
        <v>0</v>
      </c>
      <c r="F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98" s="5"/>
      <c r="H98" s="5" t="str">
        <f>_xlfn.XLOOKUP(Tabla38[[#This Row],[MOVIL]],[1]LIQUIDACION!$B:$B,[1]LIQUIDACION!$A:$A,"-",0)</f>
        <v>AEROLINEAS</v>
      </c>
    </row>
    <row r="99" spans="1:8" x14ac:dyDescent="0.3">
      <c r="A99" s="59">
        <v>3309</v>
      </c>
      <c r="B99" s="5">
        <f>+SUMIFS(Tabla16[Importe],Tabla16[MOVIL],Tabla38[[#This Row],[MOVIL]],Tabla16[OBSV],"DESCONTAR POR USO PERSONAL")</f>
        <v>12.6</v>
      </c>
      <c r="C99" s="5">
        <f>+SUMIFS(Tabla16[Importe],Tabla16[MOVIL],Tabla38[[#This Row],[MOVIL]],Tabla16[OBSV],"DESCONTAR POR INCIDENCIA")</f>
        <v>6.3</v>
      </c>
      <c r="D99" s="5">
        <f>+SUMIFS(Tabla16[Importe],Tabla16[MOVIL],Tabla38[[#This Row],[MOVIL]],Tabla16[OBSV],"DESCONTAR SERVICIO EN EFECTIVO")</f>
        <v>0</v>
      </c>
      <c r="E99" s="5">
        <f>+IFERROR(VLOOKUP(Tabla38[[#This Row],[MOVIL]],Tabla1[[#All],[MOVIL]:[COBRO POR NUEVA INCLUSIÓN]],4,FALSE),0)</f>
        <v>0</v>
      </c>
      <c r="F9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99" s="5"/>
      <c r="H99" s="5" t="str">
        <f>_xlfn.XLOOKUP(Tabla38[[#This Row],[MOVIL]],[1]LIQUIDACION!$B:$B,[1]LIQUIDACION!$A:$A,"-",0)</f>
        <v>AEROLINEAS</v>
      </c>
    </row>
    <row r="100" spans="1:8" x14ac:dyDescent="0.3">
      <c r="A100" s="8">
        <v>3118</v>
      </c>
      <c r="B100" s="5">
        <f>+SUMIFS(Tabla16[Importe],Tabla16[MOVIL],Tabla38[[#This Row],[MOVIL]],Tabla16[OBSV],"DESCONTAR POR USO PERSONAL")</f>
        <v>0</v>
      </c>
      <c r="C100" s="5">
        <f>+SUMIFS(Tabla16[Importe],Tabla16[MOVIL],Tabla38[[#This Row],[MOVIL]],Tabla16[OBSV],"DESCONTAR POR INCIDENCIA")</f>
        <v>0</v>
      </c>
      <c r="D100" s="5">
        <f>+SUMIFS(Tabla16[Importe],Tabla16[MOVIL],Tabla38[[#This Row],[MOVIL]],Tabla16[OBSV],"DESCONTAR SERVICIO EN EFECTIVO")</f>
        <v>12.6</v>
      </c>
      <c r="E100" s="5">
        <f>+IFERROR(VLOOKUP(Tabla38[[#This Row],[MOVIL]],Tabla1[[#All],[MOVIL]:[COBRO POR NUEVA INCLUSIÓN]],4,FALSE),0)</f>
        <v>0</v>
      </c>
      <c r="F10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0" s="5"/>
      <c r="H100" s="5" t="str">
        <f>_xlfn.XLOOKUP(Tabla38[[#This Row],[MOVIL]],[1]LIQUIDACION!$B:$B,[1]LIQUIDACION!$A:$A,"-",0)</f>
        <v>AEROLINEAS</v>
      </c>
    </row>
    <row r="101" spans="1:8" x14ac:dyDescent="0.3">
      <c r="A101" s="59">
        <v>1437</v>
      </c>
      <c r="B101" s="5">
        <f>+SUMIFS(Tabla16[Importe],Tabla16[MOVIL],Tabla38[[#This Row],[MOVIL]],Tabla16[OBSV],"DESCONTAR POR USO PERSONAL")</f>
        <v>12.6</v>
      </c>
      <c r="C101" s="5">
        <f>+SUMIFS(Tabla16[Importe],Tabla16[MOVIL],Tabla38[[#This Row],[MOVIL]],Tabla16[OBSV],"DESCONTAR POR INCIDENCIA")</f>
        <v>0</v>
      </c>
      <c r="D101" s="5">
        <f>+SUMIFS(Tabla16[Importe],Tabla16[MOVIL],Tabla38[[#This Row],[MOVIL]],Tabla16[OBSV],"DESCONTAR SERVICIO EN EFECTIVO")</f>
        <v>0</v>
      </c>
      <c r="E101" s="5">
        <f>+IFERROR(VLOOKUP(Tabla38[[#This Row],[MOVIL]],Tabla1[[#All],[MOVIL]:[COBRO POR NUEVA INCLUSIÓN]],4,FALSE),0)</f>
        <v>0</v>
      </c>
      <c r="F10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1" s="5"/>
      <c r="H101" s="5" t="str">
        <f>_xlfn.XLOOKUP(Tabla38[[#This Row],[MOVIL]],[1]LIQUIDACION!$B:$B,[1]LIQUIDACION!$A:$A,"-",0)</f>
        <v>AEROPUERTO</v>
      </c>
    </row>
    <row r="102" spans="1:8" x14ac:dyDescent="0.3">
      <c r="A102" s="59">
        <v>1401</v>
      </c>
      <c r="B102" s="5">
        <f>+SUMIFS(Tabla16[Importe],Tabla16[MOVIL],Tabla38[[#This Row],[MOVIL]],Tabla16[OBSV],"DESCONTAR POR USO PERSONAL")</f>
        <v>25.2</v>
      </c>
      <c r="C102" s="5">
        <f>+SUMIFS(Tabla16[Importe],Tabla16[MOVIL],Tabla38[[#This Row],[MOVIL]],Tabla16[OBSV],"DESCONTAR POR INCIDENCIA")</f>
        <v>0</v>
      </c>
      <c r="D102" s="5">
        <f>+SUMIFS(Tabla16[Importe],Tabla16[MOVIL],Tabla38[[#This Row],[MOVIL]],Tabla16[OBSV],"DESCONTAR SERVICIO EN EFECTIVO")</f>
        <v>12.6</v>
      </c>
      <c r="E102" s="5">
        <f>+IFERROR(VLOOKUP(Tabla38[[#This Row],[MOVIL]],Tabla1[[#All],[MOVIL]:[COBRO POR NUEVA INCLUSIÓN]],4,FALSE),0)</f>
        <v>0</v>
      </c>
      <c r="F10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02" s="5"/>
      <c r="H102" s="5" t="str">
        <f>_xlfn.XLOOKUP(Tabla38[[#This Row],[MOVIL]],[1]LIQUIDACION!$B:$B,[1]LIQUIDACION!$A:$A,"-",0)</f>
        <v>AEROPUERTO</v>
      </c>
    </row>
    <row r="103" spans="1:8" x14ac:dyDescent="0.3">
      <c r="A103" s="8">
        <v>2186</v>
      </c>
      <c r="B103" s="5">
        <f>+SUMIFS(Tabla16[Importe],Tabla16[MOVIL],Tabla38[[#This Row],[MOVIL]],Tabla16[OBSV],"DESCONTAR POR USO PERSONAL")</f>
        <v>0</v>
      </c>
      <c r="C103" s="5">
        <f>+SUMIFS(Tabla16[Importe],Tabla16[MOVIL],Tabla38[[#This Row],[MOVIL]],Tabla16[OBSV],"DESCONTAR POR INCIDENCIA")</f>
        <v>0</v>
      </c>
      <c r="D103" s="5">
        <f>+SUMIFS(Tabla16[Importe],Tabla16[MOVIL],Tabla38[[#This Row],[MOVIL]],Tabla16[OBSV],"DESCONTAR SERVICIO EN EFECTIVO")</f>
        <v>12.6</v>
      </c>
      <c r="E103" s="5">
        <f>+IFERROR(VLOOKUP(Tabla38[[#This Row],[MOVIL]],Tabla1[[#All],[MOVIL]:[COBRO POR NUEVA INCLUSIÓN]],4,FALSE),0)</f>
        <v>0</v>
      </c>
      <c r="F1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03" s="5"/>
      <c r="H103" s="5" t="str">
        <f>_xlfn.XLOOKUP(Tabla38[[#This Row],[MOVIL]],[1]LIQUIDACION!$B:$B,[1]LIQUIDACION!$A:$A,"-",0)</f>
        <v>URBANO</v>
      </c>
    </row>
    <row r="104" spans="1:8" x14ac:dyDescent="0.3">
      <c r="A104" s="8">
        <v>1470</v>
      </c>
      <c r="B104" s="5">
        <f>+SUMIFS(Tabla16[Importe],Tabla16[MOVIL],Tabla38[[#This Row],[MOVIL]],Tabla16[OBSV],"DESCONTAR POR USO PERSONAL")</f>
        <v>0</v>
      </c>
      <c r="C104" s="5">
        <f>+SUMIFS(Tabla16[Importe],Tabla16[MOVIL],Tabla38[[#This Row],[MOVIL]],Tabla16[OBSV],"DESCONTAR POR INCIDENCIA")</f>
        <v>0</v>
      </c>
      <c r="D104" s="5">
        <f>+SUMIFS(Tabla16[Importe],Tabla16[MOVIL],Tabla38[[#This Row],[MOVIL]],Tabla16[OBSV],"DESCONTAR SERVICIO EN EFECTIVO")</f>
        <v>0</v>
      </c>
      <c r="E104" s="5">
        <f>+IFERROR(VLOOKUP(Tabla38[[#This Row],[MOVIL]],Tabla1[[#All],[MOVIL]:[COBRO POR NUEVA INCLUSIÓN]],4,FALSE),0)</f>
        <v>0</v>
      </c>
      <c r="F1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4" s="5"/>
      <c r="H104" s="5" t="str">
        <f>_xlfn.XLOOKUP(Tabla38[[#This Row],[MOVIL]],[1]LIQUIDACION!$B:$B,[1]LIQUIDACION!$A:$A,"-",0)</f>
        <v>AEROPUERTO</v>
      </c>
    </row>
    <row r="105" spans="1:8" x14ac:dyDescent="0.3">
      <c r="A105" s="59">
        <v>213</v>
      </c>
      <c r="B105" s="5">
        <f>+SUMIFS(Tabla16[Importe],Tabla16[MOVIL],Tabla38[[#This Row],[MOVIL]],Tabla16[OBSV],"DESCONTAR POR USO PERSONAL")</f>
        <v>31.5</v>
      </c>
      <c r="C105" s="5">
        <f>+SUMIFS(Tabla16[Importe],Tabla16[MOVIL],Tabla38[[#This Row],[MOVIL]],Tabla16[OBSV],"DESCONTAR POR INCIDENCIA")</f>
        <v>0</v>
      </c>
      <c r="D105" s="5">
        <f>+SUMIFS(Tabla16[Importe],Tabla16[MOVIL],Tabla38[[#This Row],[MOVIL]],Tabla16[OBSV],"DESCONTAR SERVICIO EN EFECTIVO")</f>
        <v>0</v>
      </c>
      <c r="E105" s="5">
        <f>+IFERROR(VLOOKUP(Tabla38[[#This Row],[MOVIL]],Tabla1[[#All],[MOVIL]:[COBRO POR NUEVA INCLUSIÓN]],4,FALSE),0)</f>
        <v>0</v>
      </c>
      <c r="F105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5" s="5"/>
      <c r="H105" s="5" t="str">
        <f>_xlfn.XLOOKUP(Tabla38[[#This Row],[MOVIL]],[1]LIQUIDACION!$B:$B,[1]LIQUIDACION!$A:$A,"-",0)</f>
        <v>AEROPUERTO</v>
      </c>
    </row>
    <row r="106" spans="1:8" x14ac:dyDescent="0.3">
      <c r="A106" s="8">
        <v>9084</v>
      </c>
      <c r="B106" s="5">
        <f>+SUMIFS(Tabla16[Importe],Tabla16[MOVIL],Tabla38[[#This Row],[MOVIL]],Tabla16[OBSV],"DESCONTAR POR USO PERSONAL")</f>
        <v>0</v>
      </c>
      <c r="C106" s="5">
        <f>+SUMIFS(Tabla16[Importe],Tabla16[MOVIL],Tabla38[[#This Row],[MOVIL]],Tabla16[OBSV],"DESCONTAR POR INCIDENCIA")</f>
        <v>0</v>
      </c>
      <c r="D106" s="5">
        <f>+SUMIFS(Tabla16[Importe],Tabla16[MOVIL],Tabla38[[#This Row],[MOVIL]],Tabla16[OBSV],"DESCONTAR SERVICIO EN EFECTIVO")</f>
        <v>0</v>
      </c>
      <c r="E106" s="5">
        <f>+IFERROR(VLOOKUP(Tabla38[[#This Row],[MOVIL]],Tabla1[[#All],[MOVIL]:[COBRO POR NUEVA INCLUSIÓN]],4,FALSE),0)</f>
        <v>0</v>
      </c>
      <c r="F1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6" s="5"/>
      <c r="H106" s="5" t="str">
        <f>_xlfn.XLOOKUP(Tabla38[[#This Row],[MOVIL]],[1]LIQUIDACION!$B:$B,[1]LIQUIDACION!$A:$A,"-",0)</f>
        <v>AEROLINEAS</v>
      </c>
    </row>
    <row r="107" spans="1:8" x14ac:dyDescent="0.3">
      <c r="A107" s="8">
        <v>3159</v>
      </c>
      <c r="B107" s="5">
        <f>+SUMIFS(Tabla16[Importe],Tabla16[MOVIL],Tabla38[[#This Row],[MOVIL]],Tabla16[OBSV],"DESCONTAR POR USO PERSONAL")</f>
        <v>0</v>
      </c>
      <c r="C107" s="5">
        <f>+SUMIFS(Tabla16[Importe],Tabla16[MOVIL],Tabla38[[#This Row],[MOVIL]],Tabla16[OBSV],"DESCONTAR POR INCIDENCIA")</f>
        <v>0</v>
      </c>
      <c r="D107" s="5">
        <f>+SUMIFS(Tabla16[Importe],Tabla16[MOVIL],Tabla38[[#This Row],[MOVIL]],Tabla16[OBSV],"DESCONTAR SERVICIO EN EFECTIVO")</f>
        <v>0</v>
      </c>
      <c r="E107" s="5">
        <f>+IFERROR(VLOOKUP(Tabla38[[#This Row],[MOVIL]],Tabla1[[#All],[MOVIL]:[COBRO POR NUEVA INCLUSIÓN]],4,FALSE),0)</f>
        <v>0</v>
      </c>
      <c r="F1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07" s="5"/>
      <c r="H107" s="5" t="str">
        <f>_xlfn.XLOOKUP(Tabla38[[#This Row],[MOVIL]],[1]LIQUIDACION!$B:$B,[1]LIQUIDACION!$A:$A,"-",0)</f>
        <v>AEROLINEAS</v>
      </c>
    </row>
    <row r="108" spans="1:8" x14ac:dyDescent="0.3">
      <c r="A108" s="8">
        <v>2030</v>
      </c>
      <c r="B108" s="5">
        <f>+SUMIFS(Tabla16[Importe],Tabla16[MOVIL],Tabla38[[#This Row],[MOVIL]],Tabla16[OBSV],"DESCONTAR POR USO PERSONAL")</f>
        <v>0</v>
      </c>
      <c r="C108" s="5">
        <f>+SUMIFS(Tabla16[Importe],Tabla16[MOVIL],Tabla38[[#This Row],[MOVIL]],Tabla16[OBSV],"DESCONTAR POR INCIDENCIA")</f>
        <v>0</v>
      </c>
      <c r="D108" s="5">
        <f>+SUMIFS(Tabla16[Importe],Tabla16[MOVIL],Tabla38[[#This Row],[MOVIL]],Tabla16[OBSV],"DESCONTAR SERVICIO EN EFECTIVO")</f>
        <v>6.3</v>
      </c>
      <c r="E108" s="5">
        <f>+IFERROR(VLOOKUP(Tabla38[[#This Row],[MOVIL]],Tabla1[[#All],[MOVIL]:[COBRO POR NUEVA INCLUSIÓN]],4,FALSE),0)</f>
        <v>0</v>
      </c>
      <c r="F10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08" s="5"/>
      <c r="H108" s="5" t="str">
        <f>_xlfn.XLOOKUP(Tabla38[[#This Row],[MOVIL]],[1]LIQUIDACION!$B:$B,[1]LIQUIDACION!$A:$A,"-",0)</f>
        <v>URBANO</v>
      </c>
    </row>
    <row r="109" spans="1:8" x14ac:dyDescent="0.3">
      <c r="A109" s="59">
        <v>794</v>
      </c>
      <c r="B109" s="5">
        <f>+SUMIFS(Tabla16[Importe],Tabla16[MOVIL],Tabla38[[#This Row],[MOVIL]],Tabla16[OBSV],"DESCONTAR POR USO PERSONAL")</f>
        <v>18.899999999999999</v>
      </c>
      <c r="C109" s="5">
        <f>+SUMIFS(Tabla16[Importe],Tabla16[MOVIL],Tabla38[[#This Row],[MOVIL]],Tabla16[OBSV],"DESCONTAR POR INCIDENCIA")</f>
        <v>12.6</v>
      </c>
      <c r="D109" s="5">
        <f>+SUMIFS(Tabla16[Importe],Tabla16[MOVIL],Tabla38[[#This Row],[MOVIL]],Tabla16[OBSV],"DESCONTAR SERVICIO EN EFECTIVO")</f>
        <v>0</v>
      </c>
      <c r="E109" s="5">
        <f>+IFERROR(VLOOKUP(Tabla38[[#This Row],[MOVIL]],Tabla1[[#All],[MOVIL]:[COBRO POR NUEVA INCLUSIÓN]],4,FALSE),0)</f>
        <v>0</v>
      </c>
      <c r="F109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09" s="5"/>
      <c r="H109" s="5" t="str">
        <f>_xlfn.XLOOKUP(Tabla38[[#This Row],[MOVIL]],[1]LIQUIDACION!$B:$B,[1]LIQUIDACION!$A:$A,"-",0)</f>
        <v>AEROPUERTO</v>
      </c>
    </row>
    <row r="110" spans="1:8" x14ac:dyDescent="0.3">
      <c r="A110" s="8">
        <v>3809</v>
      </c>
      <c r="B110" s="5">
        <f>+SUMIFS(Tabla16[Importe],Tabla16[MOVIL],Tabla38[[#This Row],[MOVIL]],Tabla16[OBSV],"DESCONTAR POR USO PERSONAL")</f>
        <v>0</v>
      </c>
      <c r="C110" s="5">
        <f>+SUMIFS(Tabla16[Importe],Tabla16[MOVIL],Tabla38[[#This Row],[MOVIL]],Tabla16[OBSV],"DESCONTAR POR INCIDENCIA")</f>
        <v>0</v>
      </c>
      <c r="D110" s="5">
        <f>+SUMIFS(Tabla16[Importe],Tabla16[MOVIL],Tabla38[[#This Row],[MOVIL]],Tabla16[OBSV],"DESCONTAR SERVICIO EN EFECTIVO")</f>
        <v>12.6</v>
      </c>
      <c r="E110" s="5">
        <f>+IFERROR(VLOOKUP(Tabla38[[#This Row],[MOVIL]],Tabla1[[#All],[MOVIL]:[COBRO POR NUEVA INCLUSIÓN]],4,FALSE),0)</f>
        <v>0</v>
      </c>
      <c r="F1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10" s="5"/>
      <c r="H110" s="5" t="str">
        <f>_xlfn.XLOOKUP(Tabla38[[#This Row],[MOVIL]],[1]LIQUIDACION!$B:$B,[1]LIQUIDACION!$A:$A,"-",0)</f>
        <v>AEROPUERTO</v>
      </c>
    </row>
    <row r="111" spans="1:8" x14ac:dyDescent="0.3">
      <c r="A111" s="8">
        <v>9685</v>
      </c>
      <c r="B111" s="5">
        <f>+SUMIFS(Tabla16[Importe],Tabla16[MOVIL],Tabla38[[#This Row],[MOVIL]],Tabla16[OBSV],"DESCONTAR POR USO PERSONAL")</f>
        <v>0</v>
      </c>
      <c r="C111" s="5">
        <f>+SUMIFS(Tabla16[Importe],Tabla16[MOVIL],Tabla38[[#This Row],[MOVIL]],Tabla16[OBSV],"DESCONTAR POR INCIDENCIA")</f>
        <v>0</v>
      </c>
      <c r="D111" s="5">
        <f>+SUMIFS(Tabla16[Importe],Tabla16[MOVIL],Tabla38[[#This Row],[MOVIL]],Tabla16[OBSV],"DESCONTAR SERVICIO EN EFECTIVO")</f>
        <v>0</v>
      </c>
      <c r="E111" s="5">
        <f>+IFERROR(VLOOKUP(Tabla38[[#This Row],[MOVIL]],Tabla1[[#All],[MOVIL]:[COBRO POR NUEVA INCLUSIÓN]],4,FALSE),0)</f>
        <v>0</v>
      </c>
      <c r="F1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1" s="5"/>
      <c r="H111" s="5" t="s">
        <v>1374</v>
      </c>
    </row>
    <row r="112" spans="1:8" x14ac:dyDescent="0.3">
      <c r="A112" s="59">
        <v>3424</v>
      </c>
      <c r="B112" s="5">
        <f>+SUMIFS(Tabla16[Importe],Tabla16[MOVIL],Tabla38[[#This Row],[MOVIL]],Tabla16[OBSV],"DESCONTAR POR USO PERSONAL")</f>
        <v>44.099999999999994</v>
      </c>
      <c r="C112" s="5">
        <f>+SUMIFS(Tabla16[Importe],Tabla16[MOVIL],Tabla38[[#This Row],[MOVIL]],Tabla16[OBSV],"DESCONTAR POR INCIDENCIA")</f>
        <v>12.6</v>
      </c>
      <c r="D112" s="5">
        <f>+SUMIFS(Tabla16[Importe],Tabla16[MOVIL],Tabla38[[#This Row],[MOVIL]],Tabla16[OBSV],"DESCONTAR SERVICIO EN EFECTIVO")</f>
        <v>0</v>
      </c>
      <c r="E112" s="5">
        <f>+IFERROR(VLOOKUP(Tabla38[[#This Row],[MOVIL]],Tabla1[[#All],[MOVIL]:[COBRO POR NUEVA INCLUSIÓN]],4,FALSE),0)</f>
        <v>0</v>
      </c>
      <c r="F112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12" s="5"/>
      <c r="H112" s="5" t="str">
        <f>_xlfn.XLOOKUP(Tabla38[[#This Row],[MOVIL]],[1]LIQUIDACION!$B:$B,[1]LIQUIDACION!$A:$A,"-",0)</f>
        <v>AEROPUERTO VAN</v>
      </c>
    </row>
    <row r="113" spans="1:8" x14ac:dyDescent="0.3">
      <c r="A113" s="59">
        <v>3038</v>
      </c>
      <c r="B113" s="5">
        <f>+SUMIFS(Tabla16[Importe],Tabla16[MOVIL],Tabla38[[#This Row],[MOVIL]],Tabla16[OBSV],"DESCONTAR POR USO PERSONAL")</f>
        <v>6.3</v>
      </c>
      <c r="C113" s="5">
        <f>+SUMIFS(Tabla16[Importe],Tabla16[MOVIL],Tabla38[[#This Row],[MOVIL]],Tabla16[OBSV],"DESCONTAR POR INCIDENCIA")</f>
        <v>6.3</v>
      </c>
      <c r="D113" s="5">
        <f>+SUMIFS(Tabla16[Importe],Tabla16[MOVIL],Tabla38[[#This Row],[MOVIL]],Tabla16[OBSV],"DESCONTAR SERVICIO EN EFECTIVO")</f>
        <v>6.3</v>
      </c>
      <c r="E113" s="5">
        <f>+IFERROR(VLOOKUP(Tabla38[[#This Row],[MOVIL]],Tabla1[[#All],[MOVIL]:[COBRO POR NUEVA INCLUSIÓN]],4,FALSE),0)</f>
        <v>0</v>
      </c>
      <c r="F11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13" s="5"/>
      <c r="H113" s="5" t="str">
        <f>_xlfn.XLOOKUP(Tabla38[[#This Row],[MOVIL]],[1]LIQUIDACION!$B:$B,[1]LIQUIDACION!$A:$A,"-",0)</f>
        <v>AEROLINEAS</v>
      </c>
    </row>
    <row r="114" spans="1:8" x14ac:dyDescent="0.3">
      <c r="A114" s="59">
        <v>3565</v>
      </c>
      <c r="B114" s="5">
        <f>+SUMIFS(Tabla16[Importe],Tabla16[MOVIL],Tabla38[[#This Row],[MOVIL]],Tabla16[OBSV],"DESCONTAR POR USO PERSONAL")</f>
        <v>44.099999999999994</v>
      </c>
      <c r="C114" s="5">
        <f>+SUMIFS(Tabla16[Importe],Tabla16[MOVIL],Tabla38[[#This Row],[MOVIL]],Tabla16[OBSV],"DESCONTAR POR INCIDENCIA")</f>
        <v>0</v>
      </c>
      <c r="D114" s="5">
        <f>+SUMIFS(Tabla16[Importe],Tabla16[MOVIL],Tabla38[[#This Row],[MOVIL]],Tabla16[OBSV],"DESCONTAR SERVICIO EN EFECTIVO")</f>
        <v>37.799999999999997</v>
      </c>
      <c r="E114" s="5">
        <f>+IFERROR(VLOOKUP(Tabla38[[#This Row],[MOVIL]],Tabla1[[#All],[MOVIL]:[COBRO POR NUEVA INCLUSIÓN]],4,FALSE),0)</f>
        <v>0</v>
      </c>
      <c r="F114" s="5">
        <f>(Tabla38[[#This Row],[DESCUENTO POR USO PERSONAL PEX]]+Tabla38[[#This Row],[DESCUENTO POR INCIDENCIAS PEX]]+Tabla38[[#This Row],[DESCUENTO POR SERVICIOS EN EFECTIVO]]+Tabla38[[#This Row],[DESCUENTO POR NUEVA INCLUSION]])</f>
        <v>81.899999999999991</v>
      </c>
      <c r="G114" s="5"/>
      <c r="H114" s="5" t="str">
        <f>_xlfn.XLOOKUP(Tabla38[[#This Row],[MOVIL]],[1]LIQUIDACION!$B:$B,[1]LIQUIDACION!$A:$A,"-",0)</f>
        <v>AEROPUERTO</v>
      </c>
    </row>
    <row r="115" spans="1:8" x14ac:dyDescent="0.3">
      <c r="A115" s="8">
        <v>596</v>
      </c>
      <c r="B115" s="5">
        <f>+SUMIFS(Tabla16[Importe],Tabla16[MOVIL],Tabla38[[#This Row],[MOVIL]],Tabla16[OBSV],"DESCONTAR POR USO PERSONAL")</f>
        <v>0</v>
      </c>
      <c r="C115" s="5">
        <f>+SUMIFS(Tabla16[Importe],Tabla16[MOVIL],Tabla38[[#This Row],[MOVIL]],Tabla16[OBSV],"DESCONTAR POR INCIDENCIA")</f>
        <v>0</v>
      </c>
      <c r="D115" s="5">
        <f>+SUMIFS(Tabla16[Importe],Tabla16[MOVIL],Tabla38[[#This Row],[MOVIL]],Tabla16[OBSV],"DESCONTAR SERVICIO EN EFECTIVO")</f>
        <v>0</v>
      </c>
      <c r="E115" s="5">
        <f>+IFERROR(VLOOKUP(Tabla38[[#This Row],[MOVIL]],Tabla1[[#All],[MOVIL]:[COBRO POR NUEVA INCLUSIÓN]],4,FALSE),0)</f>
        <v>0</v>
      </c>
      <c r="F1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5" s="5"/>
      <c r="H115" s="5" t="str">
        <f>_xlfn.XLOOKUP(Tabla38[[#This Row],[MOVIL]],[1]LIQUIDACION!$B:$B,[1]LIQUIDACION!$A:$A,"-",0)</f>
        <v>URBANO</v>
      </c>
    </row>
    <row r="116" spans="1:8" x14ac:dyDescent="0.3">
      <c r="A116" s="59">
        <v>1443</v>
      </c>
      <c r="B116" s="5">
        <f>+SUMIFS(Tabla16[Importe],Tabla16[MOVIL],Tabla38[[#This Row],[MOVIL]],Tabla16[OBSV],"DESCONTAR POR USO PERSONAL")</f>
        <v>37.799999999999997</v>
      </c>
      <c r="C116" s="5">
        <f>+SUMIFS(Tabla16[Importe],Tabla16[MOVIL],Tabla38[[#This Row],[MOVIL]],Tabla16[OBSV],"DESCONTAR POR INCIDENCIA")</f>
        <v>12.6</v>
      </c>
      <c r="D116" s="5">
        <f>+SUMIFS(Tabla16[Importe],Tabla16[MOVIL],Tabla38[[#This Row],[MOVIL]],Tabla16[OBSV],"DESCONTAR SERVICIO EN EFECTIVO")</f>
        <v>0</v>
      </c>
      <c r="E116" s="5">
        <f>+IFERROR(VLOOKUP(Tabla38[[#This Row],[MOVIL]],Tabla1[[#All],[MOVIL]:[COBRO POR NUEVA INCLUSIÓN]],4,FALSE),0)</f>
        <v>0</v>
      </c>
      <c r="F11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16" s="5"/>
      <c r="H116" s="5" t="str">
        <f>_xlfn.XLOOKUP(Tabla38[[#This Row],[MOVIL]],[1]LIQUIDACION!$B:$B,[1]LIQUIDACION!$A:$A,"-",0)</f>
        <v>AEROPUERTO</v>
      </c>
    </row>
    <row r="117" spans="1:8" x14ac:dyDescent="0.3">
      <c r="A117" s="59">
        <v>9665</v>
      </c>
      <c r="B117" s="5">
        <f>+SUMIFS(Tabla16[Importe],Tabla16[MOVIL],Tabla38[[#This Row],[MOVIL]],Tabla16[OBSV],"DESCONTAR POR USO PERSONAL")</f>
        <v>6.3</v>
      </c>
      <c r="C117" s="5">
        <f>+SUMIFS(Tabla16[Importe],Tabla16[MOVIL],Tabla38[[#This Row],[MOVIL]],Tabla16[OBSV],"DESCONTAR POR INCIDENCIA")</f>
        <v>0</v>
      </c>
      <c r="D117" s="5">
        <f>+SUMIFS(Tabla16[Importe],Tabla16[MOVIL],Tabla38[[#This Row],[MOVIL]],Tabla16[OBSV],"DESCONTAR SERVICIO EN EFECTIVO")</f>
        <v>0</v>
      </c>
      <c r="E117" s="5">
        <f>+IFERROR(VLOOKUP(Tabla38[[#This Row],[MOVIL]],Tabla1[[#All],[MOVIL]:[COBRO POR NUEVA INCLUSIÓN]],4,FALSE),0)</f>
        <v>0</v>
      </c>
      <c r="F11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17" s="5"/>
      <c r="H117" s="5" t="str">
        <f>_xlfn.XLOOKUP(Tabla38[[#This Row],[MOVIL]],[1]LIQUIDACION!$B:$B,[1]LIQUIDACION!$A:$A,"-",0)</f>
        <v>AEROPUERTO</v>
      </c>
    </row>
    <row r="118" spans="1:8" x14ac:dyDescent="0.3">
      <c r="A118" s="8">
        <v>830</v>
      </c>
      <c r="B118" s="5">
        <f>+SUMIFS(Tabla16[Importe],Tabla16[MOVIL],Tabla38[[#This Row],[MOVIL]],Tabla16[OBSV],"DESCONTAR POR USO PERSONAL")</f>
        <v>0</v>
      </c>
      <c r="C118" s="5">
        <f>+SUMIFS(Tabla16[Importe],Tabla16[MOVIL],Tabla38[[#This Row],[MOVIL]],Tabla16[OBSV],"DESCONTAR POR INCIDENCIA")</f>
        <v>0</v>
      </c>
      <c r="D118" s="5">
        <f>+SUMIFS(Tabla16[Importe],Tabla16[MOVIL],Tabla38[[#This Row],[MOVIL]],Tabla16[OBSV],"DESCONTAR SERVICIO EN EFECTIVO")</f>
        <v>0</v>
      </c>
      <c r="E118" s="5">
        <f>+IFERROR(VLOOKUP(Tabla38[[#This Row],[MOVIL]],Tabla1[[#All],[MOVIL]:[COBRO POR NUEVA INCLUSIÓN]],4,FALSE),0)</f>
        <v>0</v>
      </c>
      <c r="F1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18" s="5"/>
      <c r="H118" s="5" t="str">
        <f>_xlfn.XLOOKUP(Tabla38[[#This Row],[MOVIL]],[1]LIQUIDACION!$B:$B,[1]LIQUIDACION!$A:$A,"-",0)</f>
        <v>AEROPUERTO</v>
      </c>
    </row>
    <row r="119" spans="1:8" x14ac:dyDescent="0.3">
      <c r="A119" s="59">
        <v>2168</v>
      </c>
      <c r="B119" s="5">
        <f>+SUMIFS(Tabla16[Importe],Tabla16[MOVIL],Tabla38[[#This Row],[MOVIL]],Tabla16[OBSV],"DESCONTAR POR USO PERSONAL")</f>
        <v>6.3</v>
      </c>
      <c r="C119" s="5">
        <f>+SUMIFS(Tabla16[Importe],Tabla16[MOVIL],Tabla38[[#This Row],[MOVIL]],Tabla16[OBSV],"DESCONTAR POR INCIDENCIA")</f>
        <v>0</v>
      </c>
      <c r="D119" s="5">
        <f>+SUMIFS(Tabla16[Importe],Tabla16[MOVIL],Tabla38[[#This Row],[MOVIL]],Tabla16[OBSV],"DESCONTAR SERVICIO EN EFECTIVO")</f>
        <v>31.5</v>
      </c>
      <c r="E119" s="5">
        <f>+IFERROR(VLOOKUP(Tabla38[[#This Row],[MOVIL]],Tabla1[[#All],[MOVIL]:[COBRO POR NUEVA INCLUSIÓN]],4,FALSE),0)</f>
        <v>0</v>
      </c>
      <c r="F11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19" s="5"/>
      <c r="H119" s="5" t="str">
        <f>_xlfn.XLOOKUP(Tabla38[[#This Row],[MOVIL]],[1]LIQUIDACION!$B:$B,[1]LIQUIDACION!$A:$A,"-",0)</f>
        <v>MEMBRESÍA URBANO</v>
      </c>
    </row>
    <row r="120" spans="1:8" x14ac:dyDescent="0.3">
      <c r="A120" s="8">
        <v>3411</v>
      </c>
      <c r="B120" s="5">
        <f>+SUMIFS(Tabla16[Importe],Tabla16[MOVIL],Tabla38[[#This Row],[MOVIL]],Tabla16[OBSV],"DESCONTAR POR USO PERSONAL")</f>
        <v>0</v>
      </c>
      <c r="C120" s="5">
        <f>+SUMIFS(Tabla16[Importe],Tabla16[MOVIL],Tabla38[[#This Row],[MOVIL]],Tabla16[OBSV],"DESCONTAR POR INCIDENCIA")</f>
        <v>0</v>
      </c>
      <c r="D120" s="5">
        <f>+SUMIFS(Tabla16[Importe],Tabla16[MOVIL],Tabla38[[#This Row],[MOVIL]],Tabla16[OBSV],"DESCONTAR SERVICIO EN EFECTIVO")</f>
        <v>0</v>
      </c>
      <c r="E120" s="5">
        <f>+IFERROR(VLOOKUP(Tabla38[[#This Row],[MOVIL]],Tabla1[[#All],[MOVIL]:[COBRO POR NUEVA INCLUSIÓN]],4,FALSE),0)</f>
        <v>0</v>
      </c>
      <c r="F12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0" s="5"/>
      <c r="H120" s="5" t="str">
        <f>_xlfn.XLOOKUP(Tabla38[[#This Row],[MOVIL]],[1]LIQUIDACION!$B:$B,[1]LIQUIDACION!$A:$A,"-",0)</f>
        <v>AEROLINEAS</v>
      </c>
    </row>
    <row r="121" spans="1:8" x14ac:dyDescent="0.3">
      <c r="A121" s="59">
        <v>9883</v>
      </c>
      <c r="B121" s="5">
        <f>+SUMIFS(Tabla16[Importe],Tabla16[MOVIL],Tabla38[[#This Row],[MOVIL]],Tabla16[OBSV],"DESCONTAR POR USO PERSONAL")</f>
        <v>31.5</v>
      </c>
      <c r="C121" s="5">
        <f>+SUMIFS(Tabla16[Importe],Tabla16[MOVIL],Tabla38[[#This Row],[MOVIL]],Tabla16[OBSV],"DESCONTAR POR INCIDENCIA")</f>
        <v>0</v>
      </c>
      <c r="D121" s="5">
        <f>+SUMIFS(Tabla16[Importe],Tabla16[MOVIL],Tabla38[[#This Row],[MOVIL]],Tabla16[OBSV],"DESCONTAR SERVICIO EN EFECTIVO")</f>
        <v>0</v>
      </c>
      <c r="E121" s="5">
        <f>+IFERROR(VLOOKUP(Tabla38[[#This Row],[MOVIL]],Tabla1[[#All],[MOVIL]:[COBRO POR NUEVA INCLUSIÓN]],4,FALSE),0)</f>
        <v>0</v>
      </c>
      <c r="F12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1" s="5"/>
      <c r="H121" s="5" t="str">
        <f>_xlfn.XLOOKUP(Tabla38[[#This Row],[MOVIL]],[1]LIQUIDACION!$B:$B,[1]LIQUIDACION!$A:$A,"-",0)</f>
        <v>MEMBRESÍA URBANO</v>
      </c>
    </row>
    <row r="122" spans="1:8" x14ac:dyDescent="0.3">
      <c r="A122" s="59">
        <v>2220</v>
      </c>
      <c r="B122" s="5">
        <f>+SUMIFS(Tabla16[Importe],Tabla16[MOVIL],Tabla38[[#This Row],[MOVIL]],Tabla16[OBSV],"DESCONTAR POR USO PERSONAL")</f>
        <v>12.6</v>
      </c>
      <c r="C122" s="5">
        <f>+SUMIFS(Tabla16[Importe],Tabla16[MOVIL],Tabla38[[#This Row],[MOVIL]],Tabla16[OBSV],"DESCONTAR POR INCIDENCIA")</f>
        <v>0</v>
      </c>
      <c r="D122" s="5">
        <f>+SUMIFS(Tabla16[Importe],Tabla16[MOVIL],Tabla38[[#This Row],[MOVIL]],Tabla16[OBSV],"DESCONTAR SERVICIO EN EFECTIVO")</f>
        <v>0</v>
      </c>
      <c r="E122" s="5">
        <f>+IFERROR(VLOOKUP(Tabla38[[#This Row],[MOVIL]],Tabla1[[#All],[MOVIL]:[COBRO POR NUEVA INCLUSIÓN]],4,FALSE),0)</f>
        <v>0</v>
      </c>
      <c r="F1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2" s="5"/>
      <c r="H122" s="5" t="str">
        <f>_xlfn.XLOOKUP(Tabla38[[#This Row],[MOVIL]],[1]LIQUIDACION!$B:$B,[1]LIQUIDACION!$A:$A,"-",0)</f>
        <v>MEMBRESÍA URBANO</v>
      </c>
    </row>
    <row r="123" spans="1:8" x14ac:dyDescent="0.3">
      <c r="A123" s="8">
        <v>3153</v>
      </c>
      <c r="B123" s="5">
        <f>+SUMIFS(Tabla16[Importe],Tabla16[MOVIL],Tabla38[[#This Row],[MOVIL]],Tabla16[OBSV],"DESCONTAR POR USO PERSONAL")</f>
        <v>0</v>
      </c>
      <c r="C123" s="5">
        <f>+SUMIFS(Tabla16[Importe],Tabla16[MOVIL],Tabla38[[#This Row],[MOVIL]],Tabla16[OBSV],"DESCONTAR POR INCIDENCIA")</f>
        <v>0</v>
      </c>
      <c r="D123" s="5">
        <f>+SUMIFS(Tabla16[Importe],Tabla16[MOVIL],Tabla38[[#This Row],[MOVIL]],Tabla16[OBSV],"DESCONTAR SERVICIO EN EFECTIVO")</f>
        <v>0</v>
      </c>
      <c r="E123" s="5">
        <f>+IFERROR(VLOOKUP(Tabla38[[#This Row],[MOVIL]],Tabla1[[#All],[MOVIL]:[COBRO POR NUEVA INCLUSIÓN]],4,FALSE),0)</f>
        <v>0</v>
      </c>
      <c r="F12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3" s="5"/>
      <c r="H123" s="5" t="str">
        <f>_xlfn.XLOOKUP(Tabla38[[#This Row],[MOVIL]],[1]LIQUIDACION!$B:$B,[1]LIQUIDACION!$A:$A,"-",0)</f>
        <v>AEROLINEAS</v>
      </c>
    </row>
    <row r="124" spans="1:8" x14ac:dyDescent="0.3">
      <c r="A124" s="8">
        <v>2210</v>
      </c>
      <c r="B124" s="5">
        <f>+SUMIFS(Tabla16[Importe],Tabla16[MOVIL],Tabla38[[#This Row],[MOVIL]],Tabla16[OBSV],"DESCONTAR POR USO PERSONAL")</f>
        <v>0</v>
      </c>
      <c r="C124" s="5">
        <f>+SUMIFS(Tabla16[Importe],Tabla16[MOVIL],Tabla38[[#This Row],[MOVIL]],Tabla16[OBSV],"DESCONTAR POR INCIDENCIA")</f>
        <v>0</v>
      </c>
      <c r="D124" s="5">
        <f>+SUMIFS(Tabla16[Importe],Tabla16[MOVIL],Tabla38[[#This Row],[MOVIL]],Tabla16[OBSV],"DESCONTAR SERVICIO EN EFECTIVO")</f>
        <v>0</v>
      </c>
      <c r="E124" s="5">
        <f>+IFERROR(VLOOKUP(Tabla38[[#This Row],[MOVIL]],Tabla1[[#All],[MOVIL]:[COBRO POR NUEVA INCLUSIÓN]],4,FALSE),0)</f>
        <v>0</v>
      </c>
      <c r="F12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24" s="5"/>
      <c r="H124" s="5" t="str">
        <f>_xlfn.XLOOKUP(Tabla38[[#This Row],[MOVIL]],[1]LIQUIDACION!$B:$B,[1]LIQUIDACION!$A:$A,"-",0)</f>
        <v>AEROLINEAS</v>
      </c>
    </row>
    <row r="125" spans="1:8" x14ac:dyDescent="0.3">
      <c r="A125" s="59">
        <v>1774</v>
      </c>
      <c r="B125" s="5">
        <f>+SUMIFS(Tabla16[Importe],Tabla16[MOVIL],Tabla38[[#This Row],[MOVIL]],Tabla16[OBSV],"DESCONTAR POR USO PERSONAL")</f>
        <v>25.2</v>
      </c>
      <c r="C125" s="5">
        <f>+SUMIFS(Tabla16[Importe],Tabla16[MOVIL],Tabla38[[#This Row],[MOVIL]],Tabla16[OBSV],"DESCONTAR POR INCIDENCIA")</f>
        <v>0</v>
      </c>
      <c r="D125" s="5">
        <f>+SUMIFS(Tabla16[Importe],Tabla16[MOVIL],Tabla38[[#This Row],[MOVIL]],Tabla16[OBSV],"DESCONTAR SERVICIO EN EFECTIVO")</f>
        <v>12.6</v>
      </c>
      <c r="E125" s="5">
        <f>+IFERROR(VLOOKUP(Tabla38[[#This Row],[MOVIL]],Tabla1[[#All],[MOVIL]:[COBRO POR NUEVA INCLUSIÓN]],4,FALSE),0)</f>
        <v>0</v>
      </c>
      <c r="F125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5" s="5"/>
      <c r="H125" s="5" t="str">
        <f>_xlfn.XLOOKUP(Tabla38[[#This Row],[MOVIL]],[1]LIQUIDACION!$B:$B,[1]LIQUIDACION!$A:$A,"-",0)</f>
        <v>AEROPUERTO</v>
      </c>
    </row>
    <row r="126" spans="1:8" x14ac:dyDescent="0.3">
      <c r="A126" s="59">
        <v>837</v>
      </c>
      <c r="B126" s="5">
        <f>+SUMIFS(Tabla16[Importe],Tabla16[MOVIL],Tabla38[[#This Row],[MOVIL]],Tabla16[OBSV],"DESCONTAR POR USO PERSONAL")</f>
        <v>37.799999999999997</v>
      </c>
      <c r="C126" s="5">
        <f>+SUMIFS(Tabla16[Importe],Tabla16[MOVIL],Tabla38[[#This Row],[MOVIL]],Tabla16[OBSV],"DESCONTAR POR INCIDENCIA")</f>
        <v>0</v>
      </c>
      <c r="D126" s="5">
        <f>+SUMIFS(Tabla16[Importe],Tabla16[MOVIL],Tabla38[[#This Row],[MOVIL]],Tabla16[OBSV],"DESCONTAR SERVICIO EN EFECTIVO")</f>
        <v>0</v>
      </c>
      <c r="E126" s="5">
        <f>+IFERROR(VLOOKUP(Tabla38[[#This Row],[MOVIL]],Tabla1[[#All],[MOVIL]:[COBRO POR NUEVA INCLUSIÓN]],4,FALSE),0)</f>
        <v>0</v>
      </c>
      <c r="F12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26" s="5"/>
      <c r="H126" s="5" t="str">
        <f>_xlfn.XLOOKUP(Tabla38[[#This Row],[MOVIL]],[1]LIQUIDACION!$B:$B,[1]LIQUIDACION!$A:$A,"-",0)</f>
        <v>AEROPUERTO</v>
      </c>
    </row>
    <row r="127" spans="1:8" x14ac:dyDescent="0.3">
      <c r="A127" s="59">
        <v>9470</v>
      </c>
      <c r="B127" s="5">
        <f>+SUMIFS(Tabla16[Importe],Tabla16[MOVIL],Tabla38[[#This Row],[MOVIL]],Tabla16[OBSV],"DESCONTAR POR USO PERSONAL")</f>
        <v>44.099999999999994</v>
      </c>
      <c r="C127" s="5">
        <f>+SUMIFS(Tabla16[Importe],Tabla16[MOVIL],Tabla38[[#This Row],[MOVIL]],Tabla16[OBSV],"DESCONTAR POR INCIDENCIA")</f>
        <v>0</v>
      </c>
      <c r="D127" s="5">
        <f>+SUMIFS(Tabla16[Importe],Tabla16[MOVIL],Tabla38[[#This Row],[MOVIL]],Tabla16[OBSV],"DESCONTAR SERVICIO EN EFECTIVO")</f>
        <v>0</v>
      </c>
      <c r="E127" s="5">
        <f>+IFERROR(VLOOKUP(Tabla38[[#This Row],[MOVIL]],Tabla1[[#All],[MOVIL]:[COBRO POR NUEVA INCLUSIÓN]],4,FALSE),0)</f>
        <v>0</v>
      </c>
      <c r="F127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127" s="5"/>
      <c r="H127" s="5" t="str">
        <f>_xlfn.XLOOKUP(Tabla38[[#This Row],[MOVIL]],[1]LIQUIDACION!$B:$B,[1]LIQUIDACION!$A:$A,"-",0)</f>
        <v>URBANO</v>
      </c>
    </row>
    <row r="128" spans="1:8" x14ac:dyDescent="0.3">
      <c r="A128" s="59">
        <v>3236</v>
      </c>
      <c r="B128" s="5">
        <f>+SUMIFS(Tabla16[Importe],Tabla16[MOVIL],Tabla38[[#This Row],[MOVIL]],Tabla16[OBSV],"DESCONTAR POR USO PERSONAL")</f>
        <v>18.899999999999999</v>
      </c>
      <c r="C128" s="5">
        <f>+SUMIFS(Tabla16[Importe],Tabla16[MOVIL],Tabla38[[#This Row],[MOVIL]],Tabla16[OBSV],"DESCONTAR POR INCIDENCIA")</f>
        <v>0</v>
      </c>
      <c r="D128" s="5">
        <f>+SUMIFS(Tabla16[Importe],Tabla16[MOVIL],Tabla38[[#This Row],[MOVIL]],Tabla16[OBSV],"DESCONTAR SERVICIO EN EFECTIVO")</f>
        <v>12.6</v>
      </c>
      <c r="E128" s="5">
        <f>+IFERROR(VLOOKUP(Tabla38[[#This Row],[MOVIL]],Tabla1[[#All],[MOVIL]:[COBRO POR NUEVA INCLUSIÓN]],4,FALSE),0)</f>
        <v>0</v>
      </c>
      <c r="F12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28" s="5"/>
      <c r="H128" s="5" t="str">
        <f>_xlfn.XLOOKUP(Tabla38[[#This Row],[MOVIL]],[1]LIQUIDACION!$B:$B,[1]LIQUIDACION!$A:$A,"-",0)</f>
        <v>AEROPUERTO</v>
      </c>
    </row>
    <row r="129" spans="1:8" x14ac:dyDescent="0.3">
      <c r="A129" s="59">
        <v>760</v>
      </c>
      <c r="B129" s="5">
        <f>+SUMIFS(Tabla16[Importe],Tabla16[MOVIL],Tabla38[[#This Row],[MOVIL]],Tabla16[OBSV],"DESCONTAR POR USO PERSONAL")</f>
        <v>12.6</v>
      </c>
      <c r="C129" s="5">
        <f>+SUMIFS(Tabla16[Importe],Tabla16[MOVIL],Tabla38[[#This Row],[MOVIL]],Tabla16[OBSV],"DESCONTAR POR INCIDENCIA")</f>
        <v>0</v>
      </c>
      <c r="D129" s="5">
        <f>+SUMIFS(Tabla16[Importe],Tabla16[MOVIL],Tabla38[[#This Row],[MOVIL]],Tabla16[OBSV],"DESCONTAR SERVICIO EN EFECTIVO")</f>
        <v>0</v>
      </c>
      <c r="E129" s="5">
        <f>+IFERROR(VLOOKUP(Tabla38[[#This Row],[MOVIL]],Tabla1[[#All],[MOVIL]:[COBRO POR NUEVA INCLUSIÓN]],4,FALSE),0)</f>
        <v>0</v>
      </c>
      <c r="F1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29" s="5"/>
      <c r="H129" s="5" t="str">
        <f>_xlfn.XLOOKUP(Tabla38[[#This Row],[MOVIL]],[1]LIQUIDACION!$B:$B,[1]LIQUIDACION!$A:$A,"-",0)</f>
        <v>AEROPUERTO</v>
      </c>
    </row>
    <row r="130" spans="1:8" x14ac:dyDescent="0.3">
      <c r="A130" s="59">
        <v>3662</v>
      </c>
      <c r="B130" s="5">
        <f>+SUMIFS(Tabla16[Importe],Tabla16[MOVIL],Tabla38[[#This Row],[MOVIL]],Tabla16[OBSV],"DESCONTAR POR USO PERSONAL")</f>
        <v>6.3</v>
      </c>
      <c r="C130" s="5">
        <f>+SUMIFS(Tabla16[Importe],Tabla16[MOVIL],Tabla38[[#This Row],[MOVIL]],Tabla16[OBSV],"DESCONTAR POR INCIDENCIA")</f>
        <v>12.6</v>
      </c>
      <c r="D130" s="5">
        <f>+SUMIFS(Tabla16[Importe],Tabla16[MOVIL],Tabla38[[#This Row],[MOVIL]],Tabla16[OBSV],"DESCONTAR SERVICIO EN EFECTIVO")</f>
        <v>0</v>
      </c>
      <c r="E130" s="5">
        <f>+IFERROR(VLOOKUP(Tabla38[[#This Row],[MOVIL]],Tabla1[[#All],[MOVIL]:[COBRO POR NUEVA INCLUSIÓN]],4,FALSE),0)</f>
        <v>0</v>
      </c>
      <c r="F13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0" s="5"/>
      <c r="H130" s="5" t="str">
        <f>_xlfn.XLOOKUP(Tabla38[[#This Row],[MOVIL]],[1]LIQUIDACION!$B:$B,[1]LIQUIDACION!$A:$A,"-",0)</f>
        <v>AEROPUERTO</v>
      </c>
    </row>
    <row r="131" spans="1:8" x14ac:dyDescent="0.3">
      <c r="A131" s="59">
        <v>3786</v>
      </c>
      <c r="B131" s="5">
        <f>+SUMIFS(Tabla16[Importe],Tabla16[MOVIL],Tabla38[[#This Row],[MOVIL]],Tabla16[OBSV],"DESCONTAR POR USO PERSONAL")</f>
        <v>25.2</v>
      </c>
      <c r="C131" s="5">
        <f>+SUMIFS(Tabla16[Importe],Tabla16[MOVIL],Tabla38[[#This Row],[MOVIL]],Tabla16[OBSV],"DESCONTAR POR INCIDENCIA")</f>
        <v>0</v>
      </c>
      <c r="D131" s="5">
        <f>+SUMIFS(Tabla16[Importe],Tabla16[MOVIL],Tabla38[[#This Row],[MOVIL]],Tabla16[OBSV],"DESCONTAR SERVICIO EN EFECTIVO")</f>
        <v>0</v>
      </c>
      <c r="E131" s="5">
        <f>+IFERROR(VLOOKUP(Tabla38[[#This Row],[MOVIL]],Tabla1[[#All],[MOVIL]:[COBRO POR NUEVA INCLUSIÓN]],4,FALSE),0)</f>
        <v>0</v>
      </c>
      <c r="F13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31" s="5"/>
      <c r="H131" s="5" t="str">
        <f>_xlfn.XLOOKUP(Tabla38[[#This Row],[MOVIL]],[1]LIQUIDACION!$B:$B,[1]LIQUIDACION!$A:$A,"-",0)</f>
        <v>AEROLINEAS</v>
      </c>
    </row>
    <row r="132" spans="1:8" x14ac:dyDescent="0.3">
      <c r="A132" s="8">
        <v>7635</v>
      </c>
      <c r="B132" s="5">
        <f>+SUMIFS(Tabla16[Importe],Tabla16[MOVIL],Tabla38[[#This Row],[MOVIL]],Tabla16[OBSV],"DESCONTAR POR USO PERSONAL")</f>
        <v>0</v>
      </c>
      <c r="C132" s="5">
        <f>+SUMIFS(Tabla16[Importe],Tabla16[MOVIL],Tabla38[[#This Row],[MOVIL]],Tabla16[OBSV],"DESCONTAR POR INCIDENCIA")</f>
        <v>0</v>
      </c>
      <c r="D132" s="5">
        <f>+SUMIFS(Tabla16[Importe],Tabla16[MOVIL],Tabla38[[#This Row],[MOVIL]],Tabla16[OBSV],"DESCONTAR SERVICIO EN EFECTIVO")</f>
        <v>12.6</v>
      </c>
      <c r="E132" s="5">
        <f>+IFERROR(VLOOKUP(Tabla38[[#This Row],[MOVIL]],Tabla1[[#All],[MOVIL]:[COBRO POR NUEVA INCLUSIÓN]],4,FALSE),0)</f>
        <v>0</v>
      </c>
      <c r="F1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2" s="5"/>
      <c r="H132" s="5" t="s">
        <v>1374</v>
      </c>
    </row>
    <row r="133" spans="1:8" x14ac:dyDescent="0.3">
      <c r="A133" s="59">
        <v>1553</v>
      </c>
      <c r="B133" s="5">
        <f>+SUMIFS(Tabla16[Importe],Tabla16[MOVIL],Tabla38[[#This Row],[MOVIL]],Tabla16[OBSV],"DESCONTAR POR USO PERSONAL")</f>
        <v>12.6</v>
      </c>
      <c r="C133" s="5">
        <f>+SUMIFS(Tabla16[Importe],Tabla16[MOVIL],Tabla38[[#This Row],[MOVIL]],Tabla16[OBSV],"DESCONTAR POR INCIDENCIA")</f>
        <v>0</v>
      </c>
      <c r="D133" s="5">
        <f>+SUMIFS(Tabla16[Importe],Tabla16[MOVIL],Tabla38[[#This Row],[MOVIL]],Tabla16[OBSV],"DESCONTAR SERVICIO EN EFECTIVO")</f>
        <v>0</v>
      </c>
      <c r="E133" s="5">
        <f>+IFERROR(VLOOKUP(Tabla38[[#This Row],[MOVIL]],Tabla1[[#All],[MOVIL]:[COBRO POR NUEVA INCLUSIÓN]],4,FALSE),0)</f>
        <v>0</v>
      </c>
      <c r="F1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33" s="5"/>
      <c r="H133" s="5" t="str">
        <f>_xlfn.XLOOKUP(Tabla38[[#This Row],[MOVIL]],[1]LIQUIDACION!$B:$B,[1]LIQUIDACION!$A:$A,"-",0)</f>
        <v>AEROPUERTO</v>
      </c>
    </row>
    <row r="134" spans="1:8" x14ac:dyDescent="0.3">
      <c r="A134" s="59">
        <v>1584</v>
      </c>
      <c r="B134" s="5">
        <f>+SUMIFS(Tabla16[Importe],Tabla16[MOVIL],Tabla38[[#This Row],[MOVIL]],Tabla16[OBSV],"DESCONTAR POR USO PERSONAL")</f>
        <v>62.999999999999986</v>
      </c>
      <c r="C134" s="5">
        <f>+SUMIFS(Tabla16[Importe],Tabla16[MOVIL],Tabla38[[#This Row],[MOVIL]],Tabla16[OBSV],"DESCONTAR POR INCIDENCIA")</f>
        <v>12.6</v>
      </c>
      <c r="D134" s="5">
        <f>+SUMIFS(Tabla16[Importe],Tabla16[MOVIL],Tabla38[[#This Row],[MOVIL]],Tabla16[OBSV],"DESCONTAR SERVICIO EN EFECTIVO")</f>
        <v>12.6</v>
      </c>
      <c r="E134" s="5">
        <f>+IFERROR(VLOOKUP(Tabla38[[#This Row],[MOVIL]],Tabla1[[#All],[MOVIL]:[COBRO POR NUEVA INCLUSIÓN]],4,FALSE),0)</f>
        <v>0</v>
      </c>
      <c r="F134" s="5">
        <f>(Tabla38[[#This Row],[DESCUENTO POR USO PERSONAL PEX]]+Tabla38[[#This Row],[DESCUENTO POR INCIDENCIAS PEX]]+Tabla38[[#This Row],[DESCUENTO POR SERVICIOS EN EFECTIVO]]+Tabla38[[#This Row],[DESCUENTO POR NUEVA INCLUSION]])</f>
        <v>88.199999999999974</v>
      </c>
      <c r="G134" s="5"/>
      <c r="H134" s="5" t="str">
        <f>_xlfn.XLOOKUP(Tabla38[[#This Row],[MOVIL]],[1]LIQUIDACION!$B:$B,[1]LIQUIDACION!$A:$A,"-",0)</f>
        <v>AEROPUERTO VAN</v>
      </c>
    </row>
    <row r="135" spans="1:8" x14ac:dyDescent="0.3">
      <c r="A135" s="59">
        <v>870</v>
      </c>
      <c r="B135" s="5">
        <f>+SUMIFS(Tabla16[Importe],Tabla16[MOVIL],Tabla38[[#This Row],[MOVIL]],Tabla16[OBSV],"DESCONTAR POR USO PERSONAL")</f>
        <v>94.499999999999972</v>
      </c>
      <c r="C135" s="5">
        <f>+SUMIFS(Tabla16[Importe],Tabla16[MOVIL],Tabla38[[#This Row],[MOVIL]],Tabla16[OBSV],"DESCONTAR POR INCIDENCIA")</f>
        <v>0</v>
      </c>
      <c r="D135" s="5">
        <f>+SUMIFS(Tabla16[Importe],Tabla16[MOVIL],Tabla38[[#This Row],[MOVIL]],Tabla16[OBSV],"DESCONTAR SERVICIO EN EFECTIVO")</f>
        <v>0</v>
      </c>
      <c r="E135" s="5">
        <f>+IFERROR(VLOOKUP(Tabla38[[#This Row],[MOVIL]],Tabla1[[#All],[MOVIL]:[COBRO POR NUEVA INCLUSIÓN]],4,FALSE),0)</f>
        <v>0</v>
      </c>
      <c r="F135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135" s="5"/>
      <c r="H135" s="5" t="str">
        <f>_xlfn.XLOOKUP(Tabla38[[#This Row],[MOVIL]],[1]LIQUIDACION!$B:$B,[1]LIQUIDACION!$A:$A,"-",0)</f>
        <v>AEROPUERTO</v>
      </c>
    </row>
    <row r="136" spans="1:8" x14ac:dyDescent="0.3">
      <c r="A136" s="59">
        <v>9434</v>
      </c>
      <c r="B136" s="5">
        <f>+SUMIFS(Tabla16[Importe],Tabla16[MOVIL],Tabla38[[#This Row],[MOVIL]],Tabla16[OBSV],"DESCONTAR POR USO PERSONAL")</f>
        <v>62.999999999999986</v>
      </c>
      <c r="C136" s="5">
        <f>+SUMIFS(Tabla16[Importe],Tabla16[MOVIL],Tabla38[[#This Row],[MOVIL]],Tabla16[OBSV],"DESCONTAR POR INCIDENCIA")</f>
        <v>25.2</v>
      </c>
      <c r="D136" s="5">
        <f>+SUMIFS(Tabla16[Importe],Tabla16[MOVIL],Tabla38[[#This Row],[MOVIL]],Tabla16[OBSV],"DESCONTAR SERVICIO EN EFECTIVO")</f>
        <v>12.6</v>
      </c>
      <c r="E136" s="5">
        <f>+IFERROR(VLOOKUP(Tabla38[[#This Row],[MOVIL]],Tabla1[[#All],[MOVIL]:[COBRO POR NUEVA INCLUSIÓN]],4,FALSE),0)</f>
        <v>0</v>
      </c>
      <c r="F136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136" s="5"/>
      <c r="H136" s="5" t="str">
        <f>_xlfn.XLOOKUP(Tabla38[[#This Row],[MOVIL]],[1]LIQUIDACION!$B:$B,[1]LIQUIDACION!$A:$A,"-",0)</f>
        <v>AEROPUERTO VAN</v>
      </c>
    </row>
    <row r="137" spans="1:8" x14ac:dyDescent="0.3">
      <c r="A137" s="59">
        <v>926</v>
      </c>
      <c r="B137" s="5">
        <f>+SUMIFS(Tabla16[Importe],Tabla16[MOVIL],Tabla38[[#This Row],[MOVIL]],Tabla16[OBSV],"DESCONTAR POR USO PERSONAL")</f>
        <v>44.099999999999994</v>
      </c>
      <c r="C137" s="5">
        <f>+SUMIFS(Tabla16[Importe],Tabla16[MOVIL],Tabla38[[#This Row],[MOVIL]],Tabla16[OBSV],"DESCONTAR POR INCIDENCIA")</f>
        <v>0</v>
      </c>
      <c r="D137" s="5">
        <f>+SUMIFS(Tabla16[Importe],Tabla16[MOVIL],Tabla38[[#This Row],[MOVIL]],Tabla16[OBSV],"DESCONTAR SERVICIO EN EFECTIVO")</f>
        <v>12.6</v>
      </c>
      <c r="E137" s="5">
        <f>+IFERROR(VLOOKUP(Tabla38[[#This Row],[MOVIL]],Tabla1[[#All],[MOVIL]:[COBRO POR NUEVA INCLUSIÓN]],4,FALSE),0)</f>
        <v>0</v>
      </c>
      <c r="F137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137" s="5"/>
      <c r="H137" s="5" t="str">
        <f>_xlfn.XLOOKUP(Tabla38[[#This Row],[MOVIL]],[1]LIQUIDACION!$B:$B,[1]LIQUIDACION!$A:$A,"-",0)</f>
        <v>AEROPUERTO</v>
      </c>
    </row>
    <row r="138" spans="1:8" x14ac:dyDescent="0.3">
      <c r="A138" s="59">
        <v>1603</v>
      </c>
      <c r="B138" s="5">
        <f>+SUMIFS(Tabla16[Importe],Tabla16[MOVIL],Tabla38[[#This Row],[MOVIL]],Tabla16[OBSV],"DESCONTAR POR USO PERSONAL")</f>
        <v>50.399999999999991</v>
      </c>
      <c r="C138" s="5">
        <f>+SUMIFS(Tabla16[Importe],Tabla16[MOVIL],Tabla38[[#This Row],[MOVIL]],Tabla16[OBSV],"DESCONTAR POR INCIDENCIA")</f>
        <v>0</v>
      </c>
      <c r="D138" s="5">
        <f>+SUMIFS(Tabla16[Importe],Tabla16[MOVIL],Tabla38[[#This Row],[MOVIL]],Tabla16[OBSV],"DESCONTAR SERVICIO EN EFECTIVO")</f>
        <v>0</v>
      </c>
      <c r="E138" s="5">
        <f>+IFERROR(VLOOKUP(Tabla38[[#This Row],[MOVIL]],Tabla1[[#All],[MOVIL]:[COBRO POR NUEVA INCLUSIÓN]],4,FALSE),0)</f>
        <v>0</v>
      </c>
      <c r="F138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38" s="5"/>
      <c r="H138" s="5" t="str">
        <f>_xlfn.XLOOKUP(Tabla38[[#This Row],[MOVIL]],[1]LIQUIDACION!$B:$B,[1]LIQUIDACION!$A:$A,"-",0)</f>
        <v>AEROPUERTO VAN</v>
      </c>
    </row>
    <row r="139" spans="1:8" x14ac:dyDescent="0.3">
      <c r="A139" s="59">
        <v>985</v>
      </c>
      <c r="B139" s="5">
        <f>+SUMIFS(Tabla16[Importe],Tabla16[MOVIL],Tabla38[[#This Row],[MOVIL]],Tabla16[OBSV],"DESCONTAR POR USO PERSONAL")</f>
        <v>18.899999999999999</v>
      </c>
      <c r="C139" s="5">
        <f>+SUMIFS(Tabla16[Importe],Tabla16[MOVIL],Tabla38[[#This Row],[MOVIL]],Tabla16[OBSV],"DESCONTAR POR INCIDENCIA")</f>
        <v>0</v>
      </c>
      <c r="D139" s="5">
        <f>+SUMIFS(Tabla16[Importe],Tabla16[MOVIL],Tabla38[[#This Row],[MOVIL]],Tabla16[OBSV],"DESCONTAR SERVICIO EN EFECTIVO")</f>
        <v>0</v>
      </c>
      <c r="E139" s="5">
        <f>+IFERROR(VLOOKUP(Tabla38[[#This Row],[MOVIL]],Tabla1[[#All],[MOVIL]:[COBRO POR NUEVA INCLUSIÓN]],4,FALSE),0)</f>
        <v>0</v>
      </c>
      <c r="F13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39" s="5"/>
      <c r="H139" s="5" t="str">
        <f>_xlfn.XLOOKUP(Tabla38[[#This Row],[MOVIL]],[1]LIQUIDACION!$B:$B,[1]LIQUIDACION!$A:$A,"-",0)</f>
        <v>AEROPUERTO</v>
      </c>
    </row>
    <row r="140" spans="1:8" x14ac:dyDescent="0.3">
      <c r="A140" s="8">
        <v>3378</v>
      </c>
      <c r="B140" s="5">
        <f>+SUMIFS(Tabla16[Importe],Tabla16[MOVIL],Tabla38[[#This Row],[MOVIL]],Tabla16[OBSV],"DESCONTAR POR USO PERSONAL")</f>
        <v>0</v>
      </c>
      <c r="C140" s="5">
        <f>+SUMIFS(Tabla16[Importe],Tabla16[MOVIL],Tabla38[[#This Row],[MOVIL]],Tabla16[OBSV],"DESCONTAR POR INCIDENCIA")</f>
        <v>0</v>
      </c>
      <c r="D140" s="5">
        <f>+SUMIFS(Tabla16[Importe],Tabla16[MOVIL],Tabla38[[#This Row],[MOVIL]],Tabla16[OBSV],"DESCONTAR SERVICIO EN EFECTIVO")</f>
        <v>0</v>
      </c>
      <c r="E140" s="5">
        <f>+IFERROR(VLOOKUP(Tabla38[[#This Row],[MOVIL]],Tabla1[[#All],[MOVIL]:[COBRO POR NUEVA INCLUSIÓN]],4,FALSE),0)</f>
        <v>0</v>
      </c>
      <c r="F14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0" s="5"/>
      <c r="H140" s="5" t="str">
        <f>_xlfn.XLOOKUP(Tabla38[[#This Row],[MOVIL]],[1]LIQUIDACION!$B:$B,[1]LIQUIDACION!$A:$A,"-",0)</f>
        <v>AEROLINEAS</v>
      </c>
    </row>
    <row r="141" spans="1:8" x14ac:dyDescent="0.3">
      <c r="A141" s="8">
        <v>2755</v>
      </c>
      <c r="B141" s="5">
        <f>+SUMIFS(Tabla16[Importe],Tabla16[MOVIL],Tabla38[[#This Row],[MOVIL]],Tabla16[OBSV],"DESCONTAR POR USO PERSONAL")</f>
        <v>0</v>
      </c>
      <c r="C141" s="5">
        <f>+SUMIFS(Tabla16[Importe],Tabla16[MOVIL],Tabla38[[#This Row],[MOVIL]],Tabla16[OBSV],"DESCONTAR POR INCIDENCIA")</f>
        <v>0</v>
      </c>
      <c r="D141" s="5">
        <f>+SUMIFS(Tabla16[Importe],Tabla16[MOVIL],Tabla38[[#This Row],[MOVIL]],Tabla16[OBSV],"DESCONTAR SERVICIO EN EFECTIVO")</f>
        <v>0</v>
      </c>
      <c r="E141" s="5">
        <f>+IFERROR(VLOOKUP(Tabla38[[#This Row],[MOVIL]],Tabla1[[#All],[MOVIL]:[COBRO POR NUEVA INCLUSIÓN]],4,FALSE),0)</f>
        <v>0</v>
      </c>
      <c r="F14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1" s="5"/>
      <c r="H141" s="5" t="str">
        <f>_xlfn.XLOOKUP(Tabla38[[#This Row],[MOVIL]],[1]LIQUIDACION!$B:$B,[1]LIQUIDACION!$A:$A,"-",0)</f>
        <v>URBANO</v>
      </c>
    </row>
    <row r="142" spans="1:8" x14ac:dyDescent="0.3">
      <c r="A142" s="59">
        <v>283</v>
      </c>
      <c r="B142" s="5">
        <f>+SUMIFS(Tabla16[Importe],Tabla16[MOVIL],Tabla38[[#This Row],[MOVIL]],Tabla16[OBSV],"DESCONTAR POR USO PERSONAL")</f>
        <v>69.299999999999983</v>
      </c>
      <c r="C142" s="5">
        <f>+SUMIFS(Tabla16[Importe],Tabla16[MOVIL],Tabla38[[#This Row],[MOVIL]],Tabla16[OBSV],"DESCONTAR POR INCIDENCIA")</f>
        <v>0</v>
      </c>
      <c r="D142" s="5">
        <f>+SUMIFS(Tabla16[Importe],Tabla16[MOVIL],Tabla38[[#This Row],[MOVIL]],Tabla16[OBSV],"DESCONTAR SERVICIO EN EFECTIVO")</f>
        <v>0</v>
      </c>
      <c r="E142" s="5">
        <f>+IFERROR(VLOOKUP(Tabla38[[#This Row],[MOVIL]],Tabla1[[#All],[MOVIL]:[COBRO POR NUEVA INCLUSIÓN]],4,FALSE),0)</f>
        <v>0</v>
      </c>
      <c r="F14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42" s="5"/>
      <c r="H142" s="5" t="str">
        <f>_xlfn.XLOOKUP(Tabla38[[#This Row],[MOVIL]],[1]LIQUIDACION!$B:$B,[1]LIQUIDACION!$A:$A,"-",0)</f>
        <v>AEROPUERTO</v>
      </c>
    </row>
    <row r="143" spans="1:8" x14ac:dyDescent="0.3">
      <c r="A143" s="8">
        <v>507</v>
      </c>
      <c r="B143" s="5">
        <f>+SUMIFS(Tabla16[Importe],Tabla16[MOVIL],Tabla38[[#This Row],[MOVIL]],Tabla16[OBSV],"DESCONTAR POR USO PERSONAL")</f>
        <v>0</v>
      </c>
      <c r="C143" s="5">
        <f>+SUMIFS(Tabla16[Importe],Tabla16[MOVIL],Tabla38[[#This Row],[MOVIL]],Tabla16[OBSV],"DESCONTAR POR INCIDENCIA")</f>
        <v>0</v>
      </c>
      <c r="D143" s="5">
        <f>+SUMIFS(Tabla16[Importe],Tabla16[MOVIL],Tabla38[[#This Row],[MOVIL]],Tabla16[OBSV],"DESCONTAR SERVICIO EN EFECTIVO")</f>
        <v>0</v>
      </c>
      <c r="E143" s="5">
        <f>+IFERROR(VLOOKUP(Tabla38[[#This Row],[MOVIL]],Tabla1[[#All],[MOVIL]:[COBRO POR NUEVA INCLUSIÓN]],4,FALSE),0)</f>
        <v>0</v>
      </c>
      <c r="F1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3" s="5"/>
      <c r="H143" s="5" t="str">
        <f>_xlfn.XLOOKUP(Tabla38[[#This Row],[MOVIL]],[1]LIQUIDACION!$B:$B,[1]LIQUIDACION!$A:$A,"-",0)</f>
        <v>URBANO</v>
      </c>
    </row>
    <row r="144" spans="1:8" x14ac:dyDescent="0.3">
      <c r="A144" s="59">
        <v>923</v>
      </c>
      <c r="B144" s="5">
        <f>+SUMIFS(Tabla16[Importe],Tabla16[MOVIL],Tabla38[[#This Row],[MOVIL]],Tabla16[OBSV],"DESCONTAR POR USO PERSONAL")</f>
        <v>56.699999999999989</v>
      </c>
      <c r="C144" s="5">
        <f>+SUMIFS(Tabla16[Importe],Tabla16[MOVIL],Tabla38[[#This Row],[MOVIL]],Tabla16[OBSV],"DESCONTAR POR INCIDENCIA")</f>
        <v>0</v>
      </c>
      <c r="D144" s="5">
        <f>+SUMIFS(Tabla16[Importe],Tabla16[MOVIL],Tabla38[[#This Row],[MOVIL]],Tabla16[OBSV],"DESCONTAR SERVICIO EN EFECTIVO")</f>
        <v>12.6</v>
      </c>
      <c r="E144" s="5">
        <f>+IFERROR(VLOOKUP(Tabla38[[#This Row],[MOVIL]],Tabla1[[#All],[MOVIL]:[COBRO POR NUEVA INCLUSIÓN]],4,FALSE),0)</f>
        <v>0</v>
      </c>
      <c r="F14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144" s="5"/>
      <c r="H144" s="5" t="str">
        <f>_xlfn.XLOOKUP(Tabla38[[#This Row],[MOVIL]],[1]LIQUIDACION!$B:$B,[1]LIQUIDACION!$A:$A,"-",0)</f>
        <v>AEROPUERTO</v>
      </c>
    </row>
    <row r="145" spans="1:8" x14ac:dyDescent="0.3">
      <c r="A145" s="59">
        <v>1472</v>
      </c>
      <c r="B145" s="5">
        <f>+SUMIFS(Tabla16[Importe],Tabla16[MOVIL],Tabla38[[#This Row],[MOVIL]],Tabla16[OBSV],"DESCONTAR POR USO PERSONAL")</f>
        <v>18.899999999999999</v>
      </c>
      <c r="C145" s="5">
        <f>+SUMIFS(Tabla16[Importe],Tabla16[MOVIL],Tabla38[[#This Row],[MOVIL]],Tabla16[OBSV],"DESCONTAR POR INCIDENCIA")</f>
        <v>0</v>
      </c>
      <c r="D145" s="5">
        <f>+SUMIFS(Tabla16[Importe],Tabla16[MOVIL],Tabla38[[#This Row],[MOVIL]],Tabla16[OBSV],"DESCONTAR SERVICIO EN EFECTIVO")</f>
        <v>0</v>
      </c>
      <c r="E145" s="5">
        <f>+IFERROR(VLOOKUP(Tabla38[[#This Row],[MOVIL]],Tabla1[[#All],[MOVIL]:[COBRO POR NUEVA INCLUSIÓN]],4,FALSE),0)</f>
        <v>0</v>
      </c>
      <c r="F14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45" s="5"/>
      <c r="H145" s="5" t="str">
        <f>_xlfn.XLOOKUP(Tabla38[[#This Row],[MOVIL]],[1]LIQUIDACION!$B:$B,[1]LIQUIDACION!$A:$A,"-",0)</f>
        <v>AEROPUERTO</v>
      </c>
    </row>
    <row r="146" spans="1:8" x14ac:dyDescent="0.3">
      <c r="A146" s="59">
        <v>2039</v>
      </c>
      <c r="B146" s="5">
        <f>+SUMIFS(Tabla16[Importe],Tabla16[MOVIL],Tabla38[[#This Row],[MOVIL]],Tabla16[OBSV],"DESCONTAR POR USO PERSONAL")</f>
        <v>25.2</v>
      </c>
      <c r="C146" s="5">
        <f>+SUMIFS(Tabla16[Importe],Tabla16[MOVIL],Tabla38[[#This Row],[MOVIL]],Tabla16[OBSV],"DESCONTAR POR INCIDENCIA")</f>
        <v>0</v>
      </c>
      <c r="D146" s="5">
        <f>+SUMIFS(Tabla16[Importe],Tabla16[MOVIL],Tabla38[[#This Row],[MOVIL]],Tabla16[OBSV],"DESCONTAR SERVICIO EN EFECTIVO")</f>
        <v>0</v>
      </c>
      <c r="E146" s="5">
        <f>+IFERROR(VLOOKUP(Tabla38[[#This Row],[MOVIL]],Tabla1[[#All],[MOVIL]:[COBRO POR NUEVA INCLUSIÓN]],4,FALSE),0)</f>
        <v>0</v>
      </c>
      <c r="F14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46" s="5"/>
      <c r="H146" s="5" t="str">
        <f>_xlfn.XLOOKUP(Tabla38[[#This Row],[MOVIL]],[1]LIQUIDACION!$B:$B,[1]LIQUIDACION!$A:$A,"-",0)</f>
        <v>MEMBRESÍA URBANO</v>
      </c>
    </row>
    <row r="147" spans="1:8" x14ac:dyDescent="0.3">
      <c r="A147" s="59">
        <v>952</v>
      </c>
      <c r="B147" s="5">
        <f>+SUMIFS(Tabla16[Importe],Tabla16[MOVIL],Tabla38[[#This Row],[MOVIL]],Tabla16[OBSV],"DESCONTAR POR USO PERSONAL")</f>
        <v>12.6</v>
      </c>
      <c r="C147" s="5">
        <f>+SUMIFS(Tabla16[Importe],Tabla16[MOVIL],Tabla38[[#This Row],[MOVIL]],Tabla16[OBSV],"DESCONTAR POR INCIDENCIA")</f>
        <v>0</v>
      </c>
      <c r="D147" s="5">
        <f>+SUMIFS(Tabla16[Importe],Tabla16[MOVIL],Tabla38[[#This Row],[MOVIL]],Tabla16[OBSV],"DESCONTAR SERVICIO EN EFECTIVO")</f>
        <v>0</v>
      </c>
      <c r="E147" s="5">
        <f>+IFERROR(VLOOKUP(Tabla38[[#This Row],[MOVIL]],Tabla1[[#All],[MOVIL]:[COBRO POR NUEVA INCLUSIÓN]],4,FALSE),0)</f>
        <v>0</v>
      </c>
      <c r="F14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47" s="5"/>
      <c r="H147" s="5" t="str">
        <f>_xlfn.XLOOKUP(Tabla38[[#This Row],[MOVIL]],[1]LIQUIDACION!$B:$B,[1]LIQUIDACION!$A:$A,"-",0)</f>
        <v>AEROLINEAS</v>
      </c>
    </row>
    <row r="148" spans="1:8" x14ac:dyDescent="0.3">
      <c r="A148" s="8">
        <v>3517</v>
      </c>
      <c r="B148" s="5">
        <f>+SUMIFS(Tabla16[Importe],Tabla16[MOVIL],Tabla38[[#This Row],[MOVIL]],Tabla16[OBSV],"DESCONTAR POR USO PERSONAL")</f>
        <v>0</v>
      </c>
      <c r="C148" s="5">
        <f>+SUMIFS(Tabla16[Importe],Tabla16[MOVIL],Tabla38[[#This Row],[MOVIL]],Tabla16[OBSV],"DESCONTAR POR INCIDENCIA")</f>
        <v>0</v>
      </c>
      <c r="D148" s="5">
        <f>+SUMIFS(Tabla16[Importe],Tabla16[MOVIL],Tabla38[[#This Row],[MOVIL]],Tabla16[OBSV],"DESCONTAR SERVICIO EN EFECTIVO")</f>
        <v>0</v>
      </c>
      <c r="E148" s="5">
        <f>+IFERROR(VLOOKUP(Tabla38[[#This Row],[MOVIL]],Tabla1[[#All],[MOVIL]:[COBRO POR NUEVA INCLUSIÓN]],4,FALSE),0)</f>
        <v>0</v>
      </c>
      <c r="F1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48" s="5"/>
      <c r="H148" s="5" t="str">
        <f>_xlfn.XLOOKUP(Tabla38[[#This Row],[MOVIL]],[1]LIQUIDACION!$B:$B,[1]LIQUIDACION!$A:$A,"-",0)</f>
        <v>AEROLINEAS</v>
      </c>
    </row>
    <row r="149" spans="1:8" x14ac:dyDescent="0.3">
      <c r="A149" s="59">
        <v>1429</v>
      </c>
      <c r="B149" s="5">
        <f>+SUMIFS(Tabla16[Importe],Tabla16[MOVIL],Tabla38[[#This Row],[MOVIL]],Tabla16[OBSV],"DESCONTAR POR USO PERSONAL")</f>
        <v>31.5</v>
      </c>
      <c r="C149" s="5">
        <f>+SUMIFS(Tabla16[Importe],Tabla16[MOVIL],Tabla38[[#This Row],[MOVIL]],Tabla16[OBSV],"DESCONTAR POR INCIDENCIA")</f>
        <v>0</v>
      </c>
      <c r="D149" s="5">
        <f>+SUMIFS(Tabla16[Importe],Tabla16[MOVIL],Tabla38[[#This Row],[MOVIL]],Tabla16[OBSV],"DESCONTAR SERVICIO EN EFECTIVO")</f>
        <v>25.2</v>
      </c>
      <c r="E149" s="5">
        <f>+IFERROR(VLOOKUP(Tabla38[[#This Row],[MOVIL]],Tabla1[[#All],[MOVIL]:[COBRO POR NUEVA INCLUSIÓN]],4,FALSE),0)</f>
        <v>0</v>
      </c>
      <c r="F149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149" s="5"/>
      <c r="H149" s="5" t="str">
        <f>_xlfn.XLOOKUP(Tabla38[[#This Row],[MOVIL]],[1]LIQUIDACION!$B:$B,[1]LIQUIDACION!$A:$A,"-",0)</f>
        <v>AEROPUERTO</v>
      </c>
    </row>
    <row r="150" spans="1:8" x14ac:dyDescent="0.3">
      <c r="A150" s="8">
        <v>917</v>
      </c>
      <c r="B150" s="5">
        <f>+SUMIFS(Tabla16[Importe],Tabla16[MOVIL],Tabla38[[#This Row],[MOVIL]],Tabla16[OBSV],"DESCONTAR POR USO PERSONAL")</f>
        <v>0</v>
      </c>
      <c r="C150" s="5">
        <f>+SUMIFS(Tabla16[Importe],Tabla16[MOVIL],Tabla38[[#This Row],[MOVIL]],Tabla16[OBSV],"DESCONTAR POR INCIDENCIA")</f>
        <v>0</v>
      </c>
      <c r="D150" s="5">
        <f>+SUMIFS(Tabla16[Importe],Tabla16[MOVIL],Tabla38[[#This Row],[MOVIL]],Tabla16[OBSV],"DESCONTAR SERVICIO EN EFECTIVO")</f>
        <v>0</v>
      </c>
      <c r="E150" s="5">
        <f>+IFERROR(VLOOKUP(Tabla38[[#This Row],[MOVIL]],Tabla1[[#All],[MOVIL]:[COBRO POR NUEVA INCLUSIÓN]],4,FALSE),0)</f>
        <v>0</v>
      </c>
      <c r="F1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0" s="5"/>
      <c r="H150" s="5" t="str">
        <f>_xlfn.XLOOKUP(Tabla38[[#This Row],[MOVIL]],[1]LIQUIDACION!$B:$B,[1]LIQUIDACION!$A:$A,"-",0)</f>
        <v>AEROPUERTO</v>
      </c>
    </row>
    <row r="151" spans="1:8" x14ac:dyDescent="0.3">
      <c r="A151" s="8">
        <v>9844</v>
      </c>
      <c r="B151" s="5">
        <f>+SUMIFS(Tabla16[Importe],Tabla16[MOVIL],Tabla38[[#This Row],[MOVIL]],Tabla16[OBSV],"DESCONTAR POR USO PERSONAL")</f>
        <v>0</v>
      </c>
      <c r="C151" s="5">
        <f>+SUMIFS(Tabla16[Importe],Tabla16[MOVIL],Tabla38[[#This Row],[MOVIL]],Tabla16[OBSV],"DESCONTAR POR INCIDENCIA")</f>
        <v>0</v>
      </c>
      <c r="D151" s="5">
        <f>+SUMIFS(Tabla16[Importe],Tabla16[MOVIL],Tabla38[[#This Row],[MOVIL]],Tabla16[OBSV],"DESCONTAR SERVICIO EN EFECTIVO")</f>
        <v>0</v>
      </c>
      <c r="E151" s="5">
        <f>+IFERROR(VLOOKUP(Tabla38[[#This Row],[MOVIL]],Tabla1[[#All],[MOVIL]:[COBRO POR NUEVA INCLUSIÓN]],4,FALSE),0)</f>
        <v>0</v>
      </c>
      <c r="F15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1" s="5"/>
      <c r="H151" s="5" t="str">
        <f>_xlfn.XLOOKUP(Tabla38[[#This Row],[MOVIL]],[1]LIQUIDACION!$B:$B,[1]LIQUIDACION!$A:$A,"-",0)</f>
        <v>URBANO</v>
      </c>
    </row>
    <row r="152" spans="1:8" x14ac:dyDescent="0.3">
      <c r="A152" s="8">
        <v>7606</v>
      </c>
      <c r="B152" s="5">
        <f>+SUMIFS(Tabla16[Importe],Tabla16[MOVIL],Tabla38[[#This Row],[MOVIL]],Tabla16[OBSV],"DESCONTAR POR USO PERSONAL")</f>
        <v>56.699999999999989</v>
      </c>
      <c r="C152" s="5">
        <f>+SUMIFS(Tabla16[Importe],Tabla16[MOVIL],Tabla38[[#This Row],[MOVIL]],Tabla16[OBSV],"DESCONTAR POR INCIDENCIA")</f>
        <v>0</v>
      </c>
      <c r="D152" s="5">
        <f>+SUMIFS(Tabla16[Importe],Tabla16[MOVIL],Tabla38[[#This Row],[MOVIL]],Tabla16[OBSV],"DESCONTAR SERVICIO EN EFECTIVO")</f>
        <v>0</v>
      </c>
      <c r="E152" s="5">
        <f>+IFERROR(VLOOKUP(Tabla38[[#This Row],[MOVIL]],Tabla1[[#All],[MOVIL]:[COBRO POR NUEVA INCLUSIÓN]],4,FALSE),0)</f>
        <v>0</v>
      </c>
      <c r="F152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52" s="5"/>
      <c r="H152" s="5" t="s">
        <v>1374</v>
      </c>
    </row>
    <row r="153" spans="1:8" x14ac:dyDescent="0.3">
      <c r="A153" s="8">
        <v>9195</v>
      </c>
      <c r="B153" s="5">
        <f>+SUMIFS(Tabla16[Importe],Tabla16[MOVIL],Tabla38[[#This Row],[MOVIL]],Tabla16[OBSV],"DESCONTAR POR USO PERSONAL")</f>
        <v>0</v>
      </c>
      <c r="C153" s="5">
        <f>+SUMIFS(Tabla16[Importe],Tabla16[MOVIL],Tabla38[[#This Row],[MOVIL]],Tabla16[OBSV],"DESCONTAR POR INCIDENCIA")</f>
        <v>0</v>
      </c>
      <c r="D153" s="5">
        <f>+SUMIFS(Tabla16[Importe],Tabla16[MOVIL],Tabla38[[#This Row],[MOVIL]],Tabla16[OBSV],"DESCONTAR SERVICIO EN EFECTIVO")</f>
        <v>0</v>
      </c>
      <c r="E153" s="5">
        <f>+IFERROR(VLOOKUP(Tabla38[[#This Row],[MOVIL]],Tabla1[[#All],[MOVIL]:[COBRO POR NUEVA INCLUSIÓN]],4,FALSE),0)</f>
        <v>0</v>
      </c>
      <c r="F1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53" s="5"/>
      <c r="H153" s="5" t="str">
        <f>_xlfn.XLOOKUP(Tabla38[[#This Row],[MOVIL]],[1]LIQUIDACION!$B:$B,[1]LIQUIDACION!$A:$A,"-",0)</f>
        <v>AEROLINEAS</v>
      </c>
    </row>
    <row r="154" spans="1:8" x14ac:dyDescent="0.3">
      <c r="A154" s="59">
        <v>3621</v>
      </c>
      <c r="B154" s="5">
        <f>+SUMIFS(Tabla16[Importe],Tabla16[MOVIL],Tabla38[[#This Row],[MOVIL]],Tabla16[OBSV],"DESCONTAR POR USO PERSONAL")</f>
        <v>44.099999999999994</v>
      </c>
      <c r="C154" s="5">
        <f>+SUMIFS(Tabla16[Importe],Tabla16[MOVIL],Tabla38[[#This Row],[MOVIL]],Tabla16[OBSV],"DESCONTAR POR INCIDENCIA")</f>
        <v>6.3</v>
      </c>
      <c r="D154" s="5">
        <f>+SUMIFS(Tabla16[Importe],Tabla16[MOVIL],Tabla38[[#This Row],[MOVIL]],Tabla16[OBSV],"DESCONTAR SERVICIO EN EFECTIVO")</f>
        <v>0</v>
      </c>
      <c r="E154" s="5">
        <f>+IFERROR(VLOOKUP(Tabla38[[#This Row],[MOVIL]],Tabla1[[#All],[MOVIL]:[COBRO POR NUEVA INCLUSIÓN]],4,FALSE),0)</f>
        <v>0</v>
      </c>
      <c r="F154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154" s="5"/>
      <c r="H154" s="5" t="str">
        <f>_xlfn.XLOOKUP(Tabla38[[#This Row],[MOVIL]],[1]LIQUIDACION!$B:$B,[1]LIQUIDACION!$A:$A,"-",0)</f>
        <v>AEROLINEAS</v>
      </c>
    </row>
    <row r="155" spans="1:8" x14ac:dyDescent="0.3">
      <c r="A155" s="59">
        <v>1458</v>
      </c>
      <c r="B155" s="5">
        <f>+SUMIFS(Tabla16[Importe],Tabla16[MOVIL],Tabla38[[#This Row],[MOVIL]],Tabla16[OBSV],"DESCONTAR POR USO PERSONAL")</f>
        <v>6.3</v>
      </c>
      <c r="C155" s="5">
        <f>+SUMIFS(Tabla16[Importe],Tabla16[MOVIL],Tabla38[[#This Row],[MOVIL]],Tabla16[OBSV],"DESCONTAR POR INCIDENCIA")</f>
        <v>0</v>
      </c>
      <c r="D155" s="5">
        <f>+SUMIFS(Tabla16[Importe],Tabla16[MOVIL],Tabla38[[#This Row],[MOVIL]],Tabla16[OBSV],"DESCONTAR SERVICIO EN EFECTIVO")</f>
        <v>0</v>
      </c>
      <c r="E155" s="5">
        <f>+IFERROR(VLOOKUP(Tabla38[[#This Row],[MOVIL]],Tabla1[[#All],[MOVIL]:[COBRO POR NUEVA INCLUSIÓN]],4,FALSE),0)</f>
        <v>0</v>
      </c>
      <c r="F15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55" s="5"/>
      <c r="H155" s="5" t="str">
        <f>_xlfn.XLOOKUP(Tabla38[[#This Row],[MOVIL]],[1]LIQUIDACION!$B:$B,[1]LIQUIDACION!$A:$A,"-",0)</f>
        <v>AEROPUERTO</v>
      </c>
    </row>
    <row r="156" spans="1:8" x14ac:dyDescent="0.3">
      <c r="A156" s="59">
        <v>3661</v>
      </c>
      <c r="B156" s="5">
        <f>+SUMIFS(Tabla16[Importe],Tabla16[MOVIL],Tabla38[[#This Row],[MOVIL]],Tabla16[OBSV],"DESCONTAR POR USO PERSONAL")</f>
        <v>50.399999999999991</v>
      </c>
      <c r="C156" s="5">
        <f>+SUMIFS(Tabla16[Importe],Tabla16[MOVIL],Tabla38[[#This Row],[MOVIL]],Tabla16[OBSV],"DESCONTAR POR INCIDENCIA")</f>
        <v>6.3</v>
      </c>
      <c r="D156" s="5">
        <f>+SUMIFS(Tabla16[Importe],Tabla16[MOVIL],Tabla38[[#This Row],[MOVIL]],Tabla16[OBSV],"DESCONTAR SERVICIO EN EFECTIVO")</f>
        <v>0</v>
      </c>
      <c r="E156" s="5">
        <f>+IFERROR(VLOOKUP(Tabla38[[#This Row],[MOVIL]],Tabla1[[#All],[MOVIL]:[COBRO POR NUEVA INCLUSIÓN]],4,FALSE),0)</f>
        <v>0</v>
      </c>
      <c r="F15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156" s="5"/>
      <c r="H156" s="5" t="str">
        <f>_xlfn.XLOOKUP(Tabla38[[#This Row],[MOVIL]],[1]LIQUIDACION!$B:$B,[1]LIQUIDACION!$A:$A,"-",0)</f>
        <v>AEROPUERTO</v>
      </c>
    </row>
    <row r="157" spans="1:8" x14ac:dyDescent="0.3">
      <c r="A157" s="59">
        <v>2810</v>
      </c>
      <c r="B157" s="5">
        <f>+SUMIFS(Tabla16[Importe],Tabla16[MOVIL],Tabla38[[#This Row],[MOVIL]],Tabla16[OBSV],"DESCONTAR POR USO PERSONAL")</f>
        <v>151.19999999999999</v>
      </c>
      <c r="C157" s="5">
        <f>+SUMIFS(Tabla16[Importe],Tabla16[MOVIL],Tabla38[[#This Row],[MOVIL]],Tabla16[OBSV],"DESCONTAR POR INCIDENCIA")</f>
        <v>12.6</v>
      </c>
      <c r="D157" s="5">
        <f>+SUMIFS(Tabla16[Importe],Tabla16[MOVIL],Tabla38[[#This Row],[MOVIL]],Tabla16[OBSV],"DESCONTAR SERVICIO EN EFECTIVO")</f>
        <v>0</v>
      </c>
      <c r="E157" s="5">
        <f>+IFERROR(VLOOKUP(Tabla38[[#This Row],[MOVIL]],Tabla1[[#All],[MOVIL]:[COBRO POR NUEVA INCLUSIÓN]],4,FALSE),0)</f>
        <v>0</v>
      </c>
      <c r="F157" s="5">
        <f>(Tabla38[[#This Row],[DESCUENTO POR USO PERSONAL PEX]]+Tabla38[[#This Row],[DESCUENTO POR INCIDENCIAS PEX]]+Tabla38[[#This Row],[DESCUENTO POR SERVICIOS EN EFECTIVO]]+Tabla38[[#This Row],[DESCUENTO POR NUEVA INCLUSION]])</f>
        <v>163.79999999999998</v>
      </c>
      <c r="G157" s="5"/>
      <c r="H157" s="5" t="str">
        <f>_xlfn.XLOOKUP(Tabla38[[#This Row],[MOVIL]],[1]LIQUIDACION!$B:$B,[1]LIQUIDACION!$A:$A,"-",0)</f>
        <v>AEROPUERTO</v>
      </c>
    </row>
    <row r="158" spans="1:8" x14ac:dyDescent="0.3">
      <c r="A158" s="59">
        <v>2549</v>
      </c>
      <c r="B158" s="5">
        <f>+SUMIFS(Tabla16[Importe],Tabla16[MOVIL],Tabla38[[#This Row],[MOVIL]],Tabla16[OBSV],"DESCONTAR POR USO PERSONAL")</f>
        <v>25.2</v>
      </c>
      <c r="C158" s="5">
        <f>+SUMIFS(Tabla16[Importe],Tabla16[MOVIL],Tabla38[[#This Row],[MOVIL]],Tabla16[OBSV],"DESCONTAR POR INCIDENCIA")</f>
        <v>0</v>
      </c>
      <c r="D158" s="5">
        <f>+SUMIFS(Tabla16[Importe],Tabla16[MOVIL],Tabla38[[#This Row],[MOVIL]],Tabla16[OBSV],"DESCONTAR SERVICIO EN EFECTIVO")</f>
        <v>0</v>
      </c>
      <c r="E158" s="5">
        <f>+IFERROR(VLOOKUP(Tabla38[[#This Row],[MOVIL]],Tabla1[[#All],[MOVIL]:[COBRO POR NUEVA INCLUSIÓN]],4,FALSE),0)</f>
        <v>0</v>
      </c>
      <c r="F1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58" s="5"/>
      <c r="H158" s="5" t="str">
        <f>_xlfn.XLOOKUP(Tabla38[[#This Row],[MOVIL]],[1]LIQUIDACION!$B:$B,[1]LIQUIDACION!$A:$A,"-",0)</f>
        <v>AEROPUERTO</v>
      </c>
    </row>
    <row r="159" spans="1:8" x14ac:dyDescent="0.3">
      <c r="A159" s="59">
        <v>9063</v>
      </c>
      <c r="B159" s="5">
        <f>+SUMIFS(Tabla16[Importe],Tabla16[MOVIL],Tabla38[[#This Row],[MOVIL]],Tabla16[OBSV],"DESCONTAR POR USO PERSONAL")</f>
        <v>12.6</v>
      </c>
      <c r="C159" s="5">
        <f>+SUMIFS(Tabla16[Importe],Tabla16[MOVIL],Tabla38[[#This Row],[MOVIL]],Tabla16[OBSV],"DESCONTAR POR INCIDENCIA")</f>
        <v>6.3</v>
      </c>
      <c r="D159" s="5">
        <f>+SUMIFS(Tabla16[Importe],Tabla16[MOVIL],Tabla38[[#This Row],[MOVIL]],Tabla16[OBSV],"DESCONTAR SERVICIO EN EFECTIVO")</f>
        <v>0</v>
      </c>
      <c r="E159" s="5">
        <f>+IFERROR(VLOOKUP(Tabla38[[#This Row],[MOVIL]],Tabla1[[#All],[MOVIL]:[COBRO POR NUEVA INCLUSIÓN]],4,FALSE),0)</f>
        <v>0</v>
      </c>
      <c r="F15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59" s="5"/>
      <c r="H159" s="5" t="str">
        <f>_xlfn.XLOOKUP(Tabla38[[#This Row],[MOVIL]],[1]LIQUIDACION!$B:$B,[1]LIQUIDACION!$A:$A,"-",0)</f>
        <v>AEROPUERTO</v>
      </c>
    </row>
    <row r="160" spans="1:8" x14ac:dyDescent="0.3">
      <c r="A160" s="8">
        <v>1699</v>
      </c>
      <c r="B160" s="5">
        <f>+SUMIFS(Tabla16[Importe],Tabla16[MOVIL],Tabla38[[#This Row],[MOVIL]],Tabla16[OBSV],"DESCONTAR POR USO PERSONAL")</f>
        <v>0</v>
      </c>
      <c r="C160" s="5">
        <f>+SUMIFS(Tabla16[Importe],Tabla16[MOVIL],Tabla38[[#This Row],[MOVIL]],Tabla16[OBSV],"DESCONTAR POR INCIDENCIA")</f>
        <v>0</v>
      </c>
      <c r="D160" s="5">
        <f>+SUMIFS(Tabla16[Importe],Tabla16[MOVIL],Tabla38[[#This Row],[MOVIL]],Tabla16[OBSV],"DESCONTAR SERVICIO EN EFECTIVO")</f>
        <v>0</v>
      </c>
      <c r="E160" s="5">
        <f>+IFERROR(VLOOKUP(Tabla38[[#This Row],[MOVIL]],Tabla1[[#All],[MOVIL]:[COBRO POR NUEVA INCLUSIÓN]],4,FALSE),0)</f>
        <v>0</v>
      </c>
      <c r="F16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0" s="5"/>
      <c r="H160" s="5" t="str">
        <f>_xlfn.XLOOKUP(Tabla38[[#This Row],[MOVIL]],[1]LIQUIDACION!$B:$B,[1]LIQUIDACION!$A:$A,"-",0)</f>
        <v>AEROPUERTO</v>
      </c>
    </row>
    <row r="161" spans="1:8" x14ac:dyDescent="0.3">
      <c r="A161" s="59">
        <v>248</v>
      </c>
      <c r="B161" s="5">
        <f>+SUMIFS(Tabla16[Importe],Tabla16[MOVIL],Tabla38[[#This Row],[MOVIL]],Tabla16[OBSV],"DESCONTAR POR USO PERSONAL")</f>
        <v>6.3</v>
      </c>
      <c r="C161" s="5">
        <f>+SUMIFS(Tabla16[Importe],Tabla16[MOVIL],Tabla38[[#This Row],[MOVIL]],Tabla16[OBSV],"DESCONTAR POR INCIDENCIA")</f>
        <v>0</v>
      </c>
      <c r="D161" s="5">
        <f>+SUMIFS(Tabla16[Importe],Tabla16[MOVIL],Tabla38[[#This Row],[MOVIL]],Tabla16[OBSV],"DESCONTAR SERVICIO EN EFECTIVO")</f>
        <v>6.3</v>
      </c>
      <c r="E161" s="5">
        <f>+IFERROR(VLOOKUP(Tabla38[[#This Row],[MOVIL]],Tabla1[[#All],[MOVIL]:[COBRO POR NUEVA INCLUSIÓN]],4,FALSE),0)</f>
        <v>0</v>
      </c>
      <c r="F16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1" s="5"/>
      <c r="H161" s="5" t="str">
        <f>_xlfn.XLOOKUP(Tabla38[[#This Row],[MOVIL]],[1]LIQUIDACION!$B:$B,[1]LIQUIDACION!$A:$A,"-",0)</f>
        <v>AEROPUERTO</v>
      </c>
    </row>
    <row r="162" spans="1:8" x14ac:dyDescent="0.3">
      <c r="A162" s="59">
        <v>3368</v>
      </c>
      <c r="B162" s="5">
        <f>+SUMIFS(Tabla16[Importe],Tabla16[MOVIL],Tabla38[[#This Row],[MOVIL]],Tabla16[OBSV],"DESCONTAR POR USO PERSONAL")</f>
        <v>12.6</v>
      </c>
      <c r="C162" s="5">
        <f>+SUMIFS(Tabla16[Importe],Tabla16[MOVIL],Tabla38[[#This Row],[MOVIL]],Tabla16[OBSV],"DESCONTAR POR INCIDENCIA")</f>
        <v>0</v>
      </c>
      <c r="D162" s="5">
        <f>+SUMIFS(Tabla16[Importe],Tabla16[MOVIL],Tabla38[[#This Row],[MOVIL]],Tabla16[OBSV],"DESCONTAR SERVICIO EN EFECTIVO")</f>
        <v>0</v>
      </c>
      <c r="E162" s="5">
        <f>+IFERROR(VLOOKUP(Tabla38[[#This Row],[MOVIL]],Tabla1[[#All],[MOVIL]:[COBRO POR NUEVA INCLUSIÓN]],4,FALSE),0)</f>
        <v>0</v>
      </c>
      <c r="F16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2" s="5"/>
      <c r="H162" s="5" t="str">
        <f>_xlfn.XLOOKUP(Tabla38[[#This Row],[MOVIL]],[1]LIQUIDACION!$B:$B,[1]LIQUIDACION!$A:$A,"-",0)</f>
        <v>URBANO</v>
      </c>
    </row>
    <row r="163" spans="1:8" x14ac:dyDescent="0.3">
      <c r="A163" s="59">
        <v>879</v>
      </c>
      <c r="B163" s="5">
        <f>+SUMIFS(Tabla16[Importe],Tabla16[MOVIL],Tabla38[[#This Row],[MOVIL]],Tabla16[OBSV],"DESCONTAR POR USO PERSONAL")</f>
        <v>62.999999999999986</v>
      </c>
      <c r="C163" s="5">
        <f>+SUMIFS(Tabla16[Importe],Tabla16[MOVIL],Tabla38[[#This Row],[MOVIL]],Tabla16[OBSV],"DESCONTAR POR INCIDENCIA")</f>
        <v>12.6</v>
      </c>
      <c r="D163" s="5">
        <f>+SUMIFS(Tabla16[Importe],Tabla16[MOVIL],Tabla38[[#This Row],[MOVIL]],Tabla16[OBSV],"DESCONTAR SERVICIO EN EFECTIVO")</f>
        <v>0</v>
      </c>
      <c r="E163" s="5">
        <f>+IFERROR(VLOOKUP(Tabla38[[#This Row],[MOVIL]],Tabla1[[#All],[MOVIL]:[COBRO POR NUEVA INCLUSIÓN]],4,FALSE),0)</f>
        <v>0</v>
      </c>
      <c r="F16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63" s="5"/>
      <c r="H163" s="5" t="str">
        <f>_xlfn.XLOOKUP(Tabla38[[#This Row],[MOVIL]],[1]LIQUIDACION!$B:$B,[1]LIQUIDACION!$A:$A,"-",0)</f>
        <v>AEROPUERTO</v>
      </c>
    </row>
    <row r="164" spans="1:8" x14ac:dyDescent="0.3">
      <c r="A164" s="59">
        <v>9035</v>
      </c>
      <c r="B164" s="5">
        <f>+SUMIFS(Tabla16[Importe],Tabla16[MOVIL],Tabla38[[#This Row],[MOVIL]],Tabla16[OBSV],"DESCONTAR POR USO PERSONAL")</f>
        <v>12.6</v>
      </c>
      <c r="C164" s="5">
        <f>+SUMIFS(Tabla16[Importe],Tabla16[MOVIL],Tabla38[[#This Row],[MOVIL]],Tabla16[OBSV],"DESCONTAR POR INCIDENCIA")</f>
        <v>0</v>
      </c>
      <c r="D164" s="5">
        <f>+SUMIFS(Tabla16[Importe],Tabla16[MOVIL],Tabla38[[#This Row],[MOVIL]],Tabla16[OBSV],"DESCONTAR SERVICIO EN EFECTIVO")</f>
        <v>0</v>
      </c>
      <c r="E164" s="5">
        <f>+IFERROR(VLOOKUP(Tabla38[[#This Row],[MOVIL]],Tabla1[[#All],[MOVIL]:[COBRO POR NUEVA INCLUSIÓN]],4,FALSE),0)</f>
        <v>0</v>
      </c>
      <c r="F1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4" s="5"/>
      <c r="H164" s="5" t="str">
        <f>_xlfn.XLOOKUP(Tabla38[[#This Row],[MOVIL]],[1]LIQUIDACION!$B:$B,[1]LIQUIDACION!$A:$A,"-",0)</f>
        <v>AEROPUERTO</v>
      </c>
    </row>
    <row r="165" spans="1:8" x14ac:dyDescent="0.3">
      <c r="A165" s="59">
        <v>847</v>
      </c>
      <c r="B165" s="5">
        <f>+SUMIFS(Tabla16[Importe],Tabla16[MOVIL],Tabla38[[#This Row],[MOVIL]],Tabla16[OBSV],"DESCONTAR POR USO PERSONAL")</f>
        <v>12.6</v>
      </c>
      <c r="C165" s="5">
        <f>+SUMIFS(Tabla16[Importe],Tabla16[MOVIL],Tabla38[[#This Row],[MOVIL]],Tabla16[OBSV],"DESCONTAR POR INCIDENCIA")</f>
        <v>0</v>
      </c>
      <c r="D165" s="5">
        <f>+SUMIFS(Tabla16[Importe],Tabla16[MOVIL],Tabla38[[#This Row],[MOVIL]],Tabla16[OBSV],"DESCONTAR SERVICIO EN EFECTIVO")</f>
        <v>0</v>
      </c>
      <c r="E165" s="5">
        <f>+IFERROR(VLOOKUP(Tabla38[[#This Row],[MOVIL]],Tabla1[[#All],[MOVIL]:[COBRO POR NUEVA INCLUSIÓN]],4,FALSE),0)</f>
        <v>0</v>
      </c>
      <c r="F16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5" s="5"/>
      <c r="H165" s="5" t="str">
        <f>_xlfn.XLOOKUP(Tabla38[[#This Row],[MOVIL]],[1]LIQUIDACION!$B:$B,[1]LIQUIDACION!$A:$A,"-",0)</f>
        <v>AEROPUERTO</v>
      </c>
    </row>
    <row r="166" spans="1:8" x14ac:dyDescent="0.3">
      <c r="A166" s="8">
        <v>9527</v>
      </c>
      <c r="B166" s="5">
        <f>+SUMIFS(Tabla16[Importe],Tabla16[MOVIL],Tabla38[[#This Row],[MOVIL]],Tabla16[OBSV],"DESCONTAR POR USO PERSONAL")</f>
        <v>0</v>
      </c>
      <c r="C166" s="5">
        <f>+SUMIFS(Tabla16[Importe],Tabla16[MOVIL],Tabla38[[#This Row],[MOVIL]],Tabla16[OBSV],"DESCONTAR POR INCIDENCIA")</f>
        <v>0</v>
      </c>
      <c r="D166" s="5">
        <f>+SUMIFS(Tabla16[Importe],Tabla16[MOVIL],Tabla38[[#This Row],[MOVIL]],Tabla16[OBSV],"DESCONTAR SERVICIO EN EFECTIVO")</f>
        <v>12.6</v>
      </c>
      <c r="E166" s="5">
        <f>+IFERROR(VLOOKUP(Tabla38[[#This Row],[MOVIL]],Tabla1[[#All],[MOVIL]:[COBRO POR NUEVA INCLUSIÓN]],4,FALSE),0)</f>
        <v>0</v>
      </c>
      <c r="F1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66" s="5"/>
      <c r="H166" s="5" t="str">
        <f>_xlfn.XLOOKUP(Tabla38[[#This Row],[MOVIL]],[1]LIQUIDACION!$B:$B,[1]LIQUIDACION!$A:$A,"-",0)</f>
        <v>AEROPUERTO</v>
      </c>
    </row>
    <row r="167" spans="1:8" x14ac:dyDescent="0.3">
      <c r="A167" s="8">
        <v>9152</v>
      </c>
      <c r="B167" s="5">
        <f>+SUMIFS(Tabla16[Importe],Tabla16[MOVIL],Tabla38[[#This Row],[MOVIL]],Tabla16[OBSV],"DESCONTAR POR USO PERSONAL")</f>
        <v>25.2</v>
      </c>
      <c r="C167" s="5">
        <f>+SUMIFS(Tabla16[Importe],Tabla16[MOVIL],Tabla38[[#This Row],[MOVIL]],Tabla16[OBSV],"DESCONTAR POR INCIDENCIA")</f>
        <v>0</v>
      </c>
      <c r="D167" s="5">
        <f>+SUMIFS(Tabla16[Importe],Tabla16[MOVIL],Tabla38[[#This Row],[MOVIL]],Tabla16[OBSV],"DESCONTAR SERVICIO EN EFECTIVO")</f>
        <v>12.6</v>
      </c>
      <c r="E167" s="5">
        <f>+IFERROR(VLOOKUP(Tabla38[[#This Row],[MOVIL]],Tabla1[[#All],[MOVIL]:[COBRO POR NUEVA INCLUSIÓN]],4,FALSE),0)</f>
        <v>0</v>
      </c>
      <c r="F16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67" s="5"/>
      <c r="H167" s="5" t="s">
        <v>1374</v>
      </c>
    </row>
    <row r="168" spans="1:8" x14ac:dyDescent="0.3">
      <c r="A168" s="59">
        <v>2913</v>
      </c>
      <c r="B168" s="5">
        <f>+SUMIFS(Tabla16[Importe],Tabla16[MOVIL],Tabla38[[#This Row],[MOVIL]],Tabla16[OBSV],"DESCONTAR POR USO PERSONAL")</f>
        <v>12.6</v>
      </c>
      <c r="C168" s="5">
        <f>+SUMIFS(Tabla16[Importe],Tabla16[MOVIL],Tabla38[[#This Row],[MOVIL]],Tabla16[OBSV],"DESCONTAR POR INCIDENCIA")</f>
        <v>0</v>
      </c>
      <c r="D168" s="5">
        <f>+SUMIFS(Tabla16[Importe],Tabla16[MOVIL],Tabla38[[#This Row],[MOVIL]],Tabla16[OBSV],"DESCONTAR SERVICIO EN EFECTIVO")</f>
        <v>18.899999999999999</v>
      </c>
      <c r="E168" s="5">
        <f>+IFERROR(VLOOKUP(Tabla38[[#This Row],[MOVIL]],Tabla1[[#All],[MOVIL]:[COBRO POR NUEVA INCLUSIÓN]],4,FALSE),0)</f>
        <v>0</v>
      </c>
      <c r="F16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68" s="5"/>
      <c r="H168" s="5" t="str">
        <f>_xlfn.XLOOKUP(Tabla38[[#This Row],[MOVIL]],[1]LIQUIDACION!$B:$B,[1]LIQUIDACION!$A:$A,"-",0)</f>
        <v>URBANO PARTNER</v>
      </c>
    </row>
    <row r="169" spans="1:8" x14ac:dyDescent="0.3">
      <c r="A169" s="8">
        <v>243</v>
      </c>
      <c r="B169" s="5">
        <f>+SUMIFS(Tabla16[Importe],Tabla16[MOVIL],Tabla38[[#This Row],[MOVIL]],Tabla16[OBSV],"DESCONTAR POR USO PERSONAL")</f>
        <v>0</v>
      </c>
      <c r="C169" s="5">
        <f>+SUMIFS(Tabla16[Importe],Tabla16[MOVIL],Tabla38[[#This Row],[MOVIL]],Tabla16[OBSV],"DESCONTAR POR INCIDENCIA")</f>
        <v>0</v>
      </c>
      <c r="D169" s="5">
        <f>+SUMIFS(Tabla16[Importe],Tabla16[MOVIL],Tabla38[[#This Row],[MOVIL]],Tabla16[OBSV],"DESCONTAR SERVICIO EN EFECTIVO")</f>
        <v>0</v>
      </c>
      <c r="E169" s="5">
        <f>+IFERROR(VLOOKUP(Tabla38[[#This Row],[MOVIL]],Tabla1[[#All],[MOVIL]:[COBRO POR NUEVA INCLUSIÓN]],4,FALSE),0)</f>
        <v>0</v>
      </c>
      <c r="F1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69" s="5"/>
      <c r="H169" s="5" t="str">
        <f>_xlfn.XLOOKUP(Tabla38[[#This Row],[MOVIL]],[1]LIQUIDACION!$B:$B,[1]LIQUIDACION!$A:$A,"-",0)</f>
        <v>AEROPUERTO</v>
      </c>
    </row>
    <row r="170" spans="1:8" x14ac:dyDescent="0.3">
      <c r="A170" s="59">
        <v>838</v>
      </c>
      <c r="B170" s="5">
        <f>+SUMIFS(Tabla16[Importe],Tabla16[MOVIL],Tabla38[[#This Row],[MOVIL]],Tabla16[OBSV],"DESCONTAR POR USO PERSONAL")</f>
        <v>50.399999999999991</v>
      </c>
      <c r="C170" s="5">
        <f>+SUMIFS(Tabla16[Importe],Tabla16[MOVIL],Tabla38[[#This Row],[MOVIL]],Tabla16[OBSV],"DESCONTAR POR INCIDENCIA")</f>
        <v>0</v>
      </c>
      <c r="D170" s="5">
        <f>+SUMIFS(Tabla16[Importe],Tabla16[MOVIL],Tabla38[[#This Row],[MOVIL]],Tabla16[OBSV],"DESCONTAR SERVICIO EN EFECTIVO")</f>
        <v>12.6</v>
      </c>
      <c r="E170" s="5">
        <f>+IFERROR(VLOOKUP(Tabla38[[#This Row],[MOVIL]],Tabla1[[#All],[MOVIL]:[COBRO POR NUEVA INCLUSIÓN]],4,FALSE),0)</f>
        <v>0</v>
      </c>
      <c r="F170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170" s="5"/>
      <c r="H170" s="5" t="str">
        <f>_xlfn.XLOOKUP(Tabla38[[#This Row],[MOVIL]],[1]LIQUIDACION!$B:$B,[1]LIQUIDACION!$A:$A,"-",0)</f>
        <v>AEROPUERTO</v>
      </c>
    </row>
    <row r="171" spans="1:8" x14ac:dyDescent="0.3">
      <c r="A171" s="59">
        <v>9720</v>
      </c>
      <c r="B171" s="5">
        <f>+SUMIFS(Tabla16[Importe],Tabla16[MOVIL],Tabla38[[#This Row],[MOVIL]],Tabla16[OBSV],"DESCONTAR POR USO PERSONAL")</f>
        <v>25.2</v>
      </c>
      <c r="C171" s="5">
        <f>+SUMIFS(Tabla16[Importe],Tabla16[MOVIL],Tabla38[[#This Row],[MOVIL]],Tabla16[OBSV],"DESCONTAR POR INCIDENCIA")</f>
        <v>0</v>
      </c>
      <c r="D171" s="5">
        <f>+SUMIFS(Tabla16[Importe],Tabla16[MOVIL],Tabla38[[#This Row],[MOVIL]],Tabla16[OBSV],"DESCONTAR SERVICIO EN EFECTIVO")</f>
        <v>0</v>
      </c>
      <c r="E171" s="5">
        <f>+IFERROR(VLOOKUP(Tabla38[[#This Row],[MOVIL]],Tabla1[[#All],[MOVIL]:[COBRO POR NUEVA INCLUSIÓN]],4,FALSE),0)</f>
        <v>0</v>
      </c>
      <c r="F1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1" s="5"/>
      <c r="H171" s="5" t="str">
        <f>_xlfn.XLOOKUP(Tabla38[[#This Row],[MOVIL]],[1]LIQUIDACION!$B:$B,[1]LIQUIDACION!$A:$A,"-",0)</f>
        <v>AEROPUERTO</v>
      </c>
    </row>
    <row r="172" spans="1:8" x14ac:dyDescent="0.3">
      <c r="A172" s="59">
        <v>222</v>
      </c>
      <c r="B172" s="5">
        <f>+SUMIFS(Tabla16[Importe],Tabla16[MOVIL],Tabla38[[#This Row],[MOVIL]],Tabla16[OBSV],"DESCONTAR POR USO PERSONAL")</f>
        <v>12.6</v>
      </c>
      <c r="C172" s="5">
        <f>+SUMIFS(Tabla16[Importe],Tabla16[MOVIL],Tabla38[[#This Row],[MOVIL]],Tabla16[OBSV],"DESCONTAR POR INCIDENCIA")</f>
        <v>0</v>
      </c>
      <c r="D172" s="5">
        <f>+SUMIFS(Tabla16[Importe],Tabla16[MOVIL],Tabla38[[#This Row],[MOVIL]],Tabla16[OBSV],"DESCONTAR SERVICIO EN EFECTIVO")</f>
        <v>12.6</v>
      </c>
      <c r="E172" s="5">
        <f>+IFERROR(VLOOKUP(Tabla38[[#This Row],[MOVIL]],Tabla1[[#All],[MOVIL]:[COBRO POR NUEVA INCLUSIÓN]],4,FALSE),0)</f>
        <v>0</v>
      </c>
      <c r="F17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72" s="5"/>
      <c r="H172" s="5" t="str">
        <f>_xlfn.XLOOKUP(Tabla38[[#This Row],[MOVIL]],[1]LIQUIDACION!$B:$B,[1]LIQUIDACION!$A:$A,"-",0)</f>
        <v>AEROPUERTO</v>
      </c>
    </row>
    <row r="173" spans="1:8" x14ac:dyDescent="0.3">
      <c r="A173" s="8">
        <v>9112</v>
      </c>
      <c r="B173" s="5">
        <f>+SUMIFS(Tabla16[Importe],Tabla16[MOVIL],Tabla38[[#This Row],[MOVIL]],Tabla16[OBSV],"DESCONTAR POR USO PERSONAL")</f>
        <v>0</v>
      </c>
      <c r="C173" s="5">
        <f>+SUMIFS(Tabla16[Importe],Tabla16[MOVIL],Tabla38[[#This Row],[MOVIL]],Tabla16[OBSV],"DESCONTAR POR INCIDENCIA")</f>
        <v>0</v>
      </c>
      <c r="D173" s="5">
        <f>+SUMIFS(Tabla16[Importe],Tabla16[MOVIL],Tabla38[[#This Row],[MOVIL]],Tabla16[OBSV],"DESCONTAR SERVICIO EN EFECTIVO")</f>
        <v>6.3</v>
      </c>
      <c r="E173" s="5">
        <f>+IFERROR(VLOOKUP(Tabla38[[#This Row],[MOVIL]],Tabla1[[#All],[MOVIL]:[COBRO POR NUEVA INCLUSIÓN]],4,FALSE),0)</f>
        <v>0</v>
      </c>
      <c r="F17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3" s="5"/>
      <c r="H173" s="5" t="str">
        <f>_xlfn.XLOOKUP(Tabla38[[#This Row],[MOVIL]],[1]LIQUIDACION!$B:$B,[1]LIQUIDACION!$A:$A,"-",0)</f>
        <v>URBANO</v>
      </c>
    </row>
    <row r="174" spans="1:8" x14ac:dyDescent="0.3">
      <c r="A174" s="59">
        <v>220</v>
      </c>
      <c r="B174" s="5">
        <f>+SUMIFS(Tabla16[Importe],Tabla16[MOVIL],Tabla38[[#This Row],[MOVIL]],Tabla16[OBSV],"DESCONTAR POR USO PERSONAL")</f>
        <v>6.3</v>
      </c>
      <c r="C174" s="5">
        <f>+SUMIFS(Tabla16[Importe],Tabla16[MOVIL],Tabla38[[#This Row],[MOVIL]],Tabla16[OBSV],"DESCONTAR POR INCIDENCIA")</f>
        <v>0</v>
      </c>
      <c r="D174" s="5">
        <f>+SUMIFS(Tabla16[Importe],Tabla16[MOVIL],Tabla38[[#This Row],[MOVIL]],Tabla16[OBSV],"DESCONTAR SERVICIO EN EFECTIVO")</f>
        <v>0</v>
      </c>
      <c r="E174" s="5">
        <f>+IFERROR(VLOOKUP(Tabla38[[#This Row],[MOVIL]],Tabla1[[#All],[MOVIL]:[COBRO POR NUEVA INCLUSIÓN]],4,FALSE),0)</f>
        <v>0</v>
      </c>
      <c r="F17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74" s="5"/>
      <c r="H174" s="5" t="str">
        <f>_xlfn.XLOOKUP(Tabla38[[#This Row],[MOVIL]],[1]LIQUIDACION!$B:$B,[1]LIQUIDACION!$A:$A,"-",0)</f>
        <v>AEROPUERTO</v>
      </c>
    </row>
    <row r="175" spans="1:8" x14ac:dyDescent="0.3">
      <c r="A175" s="59">
        <v>9132</v>
      </c>
      <c r="B175" s="5">
        <f>+SUMIFS(Tabla16[Importe],Tabla16[MOVIL],Tabla38[[#This Row],[MOVIL]],Tabla16[OBSV],"DESCONTAR POR USO PERSONAL")</f>
        <v>12.6</v>
      </c>
      <c r="C175" s="5">
        <f>+SUMIFS(Tabla16[Importe],Tabla16[MOVIL],Tabla38[[#This Row],[MOVIL]],Tabla16[OBSV],"DESCONTAR POR INCIDENCIA")</f>
        <v>0</v>
      </c>
      <c r="D175" s="5">
        <f>+SUMIFS(Tabla16[Importe],Tabla16[MOVIL],Tabla38[[#This Row],[MOVIL]],Tabla16[OBSV],"DESCONTAR SERVICIO EN EFECTIVO")</f>
        <v>0</v>
      </c>
      <c r="E175" s="5">
        <f>+IFERROR(VLOOKUP(Tabla38[[#This Row],[MOVIL]],Tabla1[[#All],[MOVIL]:[COBRO POR NUEVA INCLUSIÓN]],4,FALSE),0)</f>
        <v>0</v>
      </c>
      <c r="F17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5" s="5"/>
      <c r="H175" s="5" t="str">
        <f>_xlfn.XLOOKUP(Tabla38[[#This Row],[MOVIL]],[1]LIQUIDACION!$B:$B,[1]LIQUIDACION!$A:$A,"-",0)</f>
        <v>AEROPUERTO</v>
      </c>
    </row>
    <row r="176" spans="1:8" x14ac:dyDescent="0.3">
      <c r="A176" s="59">
        <v>9376</v>
      </c>
      <c r="B176" s="5">
        <f>+SUMIFS(Tabla16[Importe],Tabla16[MOVIL],Tabla38[[#This Row],[MOVIL]],Tabla16[OBSV],"DESCONTAR POR USO PERSONAL")</f>
        <v>31.5</v>
      </c>
      <c r="C176" s="5">
        <f>+SUMIFS(Tabla16[Importe],Tabla16[MOVIL],Tabla38[[#This Row],[MOVIL]],Tabla16[OBSV],"DESCONTAR POR INCIDENCIA")</f>
        <v>0</v>
      </c>
      <c r="D176" s="5">
        <f>+SUMIFS(Tabla16[Importe],Tabla16[MOVIL],Tabla38[[#This Row],[MOVIL]],Tabla16[OBSV],"DESCONTAR SERVICIO EN EFECTIVO")</f>
        <v>0</v>
      </c>
      <c r="E176" s="5">
        <f>+IFERROR(VLOOKUP(Tabla38[[#This Row],[MOVIL]],Tabla1[[#All],[MOVIL]:[COBRO POR NUEVA INCLUSIÓN]],4,FALSE),0)</f>
        <v>0</v>
      </c>
      <c r="F17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6" s="5"/>
      <c r="H176" s="5" t="str">
        <f>_xlfn.XLOOKUP(Tabla38[[#This Row],[MOVIL]],[1]LIQUIDACION!$B:$B,[1]LIQUIDACION!$A:$A,"-",0)</f>
        <v>AEROLINEAS</v>
      </c>
    </row>
    <row r="177" spans="1:8" x14ac:dyDescent="0.3">
      <c r="A177" s="59">
        <v>9333</v>
      </c>
      <c r="B177" s="5">
        <f>+SUMIFS(Tabla16[Importe],Tabla16[MOVIL],Tabla38[[#This Row],[MOVIL]],Tabla16[OBSV],"DESCONTAR POR USO PERSONAL")</f>
        <v>12.6</v>
      </c>
      <c r="C177" s="5">
        <f>+SUMIFS(Tabla16[Importe],Tabla16[MOVIL],Tabla38[[#This Row],[MOVIL]],Tabla16[OBSV],"DESCONTAR POR INCIDENCIA")</f>
        <v>0</v>
      </c>
      <c r="D177" s="5">
        <f>+SUMIFS(Tabla16[Importe],Tabla16[MOVIL],Tabla38[[#This Row],[MOVIL]],Tabla16[OBSV],"DESCONTAR SERVICIO EN EFECTIVO")</f>
        <v>0</v>
      </c>
      <c r="E177" s="5">
        <f>+IFERROR(VLOOKUP(Tabla38[[#This Row],[MOVIL]],Tabla1[[#All],[MOVIL]:[COBRO POR NUEVA INCLUSIÓN]],4,FALSE),0)</f>
        <v>0</v>
      </c>
      <c r="F1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7" s="5"/>
      <c r="H177" s="5" t="str">
        <f>_xlfn.XLOOKUP(Tabla38[[#This Row],[MOVIL]],[1]LIQUIDACION!$B:$B,[1]LIQUIDACION!$A:$A,"-",0)</f>
        <v>AEROPUERTO</v>
      </c>
    </row>
    <row r="178" spans="1:8" x14ac:dyDescent="0.3">
      <c r="A178" s="59">
        <v>1541</v>
      </c>
      <c r="B178" s="5">
        <f>+SUMIFS(Tabla16[Importe],Tabla16[MOVIL],Tabla38[[#This Row],[MOVIL]],Tabla16[OBSV],"DESCONTAR POR USO PERSONAL")</f>
        <v>18.899999999999999</v>
      </c>
      <c r="C178" s="5">
        <f>+SUMIFS(Tabla16[Importe],Tabla16[MOVIL],Tabla38[[#This Row],[MOVIL]],Tabla16[OBSV],"DESCONTAR POR INCIDENCIA")</f>
        <v>0</v>
      </c>
      <c r="D178" s="5">
        <f>+SUMIFS(Tabla16[Importe],Tabla16[MOVIL],Tabla38[[#This Row],[MOVIL]],Tabla16[OBSV],"DESCONTAR SERVICIO EN EFECTIVO")</f>
        <v>12.6</v>
      </c>
      <c r="E178" s="5">
        <f>+IFERROR(VLOOKUP(Tabla38[[#This Row],[MOVIL]],Tabla1[[#All],[MOVIL]:[COBRO POR NUEVA INCLUSIÓN]],4,FALSE),0)</f>
        <v>0</v>
      </c>
      <c r="F178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78" s="5"/>
      <c r="H178" s="5" t="str">
        <f>_xlfn.XLOOKUP(Tabla38[[#This Row],[MOVIL]],[1]LIQUIDACION!$B:$B,[1]LIQUIDACION!$A:$A,"-",0)</f>
        <v>AEROPUERTO</v>
      </c>
    </row>
    <row r="179" spans="1:8" x14ac:dyDescent="0.3">
      <c r="A179" s="59">
        <v>2390</v>
      </c>
      <c r="B179" s="5">
        <f>+SUMIFS(Tabla16[Importe],Tabla16[MOVIL],Tabla38[[#This Row],[MOVIL]],Tabla16[OBSV],"DESCONTAR POR USO PERSONAL")</f>
        <v>12.6</v>
      </c>
      <c r="C179" s="5">
        <f>+SUMIFS(Tabla16[Importe],Tabla16[MOVIL],Tabla38[[#This Row],[MOVIL]],Tabla16[OBSV],"DESCONTAR POR INCIDENCIA")</f>
        <v>0</v>
      </c>
      <c r="D179" s="5">
        <f>+SUMIFS(Tabla16[Importe],Tabla16[MOVIL],Tabla38[[#This Row],[MOVIL]],Tabla16[OBSV],"DESCONTAR SERVICIO EN EFECTIVO")</f>
        <v>0</v>
      </c>
      <c r="E179" s="5">
        <f>+IFERROR(VLOOKUP(Tabla38[[#This Row],[MOVIL]],Tabla1[[#All],[MOVIL]:[COBRO POR NUEVA INCLUSIÓN]],4,FALSE),0)</f>
        <v>0</v>
      </c>
      <c r="F1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79" s="5"/>
      <c r="H179" s="5" t="str">
        <f>_xlfn.XLOOKUP(Tabla38[[#This Row],[MOVIL]],[1]LIQUIDACION!$B:$B,[1]LIQUIDACION!$A:$A,"-",0)</f>
        <v>URBANO</v>
      </c>
    </row>
    <row r="180" spans="1:8" x14ac:dyDescent="0.3">
      <c r="A180" s="59">
        <v>9204</v>
      </c>
      <c r="B180" s="5">
        <f>+SUMIFS(Tabla16[Importe],Tabla16[MOVIL],Tabla38[[#This Row],[MOVIL]],Tabla16[OBSV],"DESCONTAR POR USO PERSONAL")</f>
        <v>18.899999999999999</v>
      </c>
      <c r="C180" s="5">
        <f>+SUMIFS(Tabla16[Importe],Tabla16[MOVIL],Tabla38[[#This Row],[MOVIL]],Tabla16[OBSV],"DESCONTAR POR INCIDENCIA")</f>
        <v>0</v>
      </c>
      <c r="D180" s="5">
        <f>+SUMIFS(Tabla16[Importe],Tabla16[MOVIL],Tabla38[[#This Row],[MOVIL]],Tabla16[OBSV],"DESCONTAR SERVICIO EN EFECTIVO")</f>
        <v>0</v>
      </c>
      <c r="E180" s="5">
        <f>+IFERROR(VLOOKUP(Tabla38[[#This Row],[MOVIL]],Tabla1[[#All],[MOVIL]:[COBRO POR NUEVA INCLUSIÓN]],4,FALSE),0)</f>
        <v>0</v>
      </c>
      <c r="F18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0" s="5"/>
      <c r="H180" s="5" t="str">
        <f>_xlfn.XLOOKUP(Tabla38[[#This Row],[MOVIL]],[1]LIQUIDACION!$B:$B,[1]LIQUIDACION!$A:$A,"-",0)</f>
        <v>URBANO</v>
      </c>
    </row>
    <row r="181" spans="1:8" x14ac:dyDescent="0.3">
      <c r="A181" s="59">
        <v>9053</v>
      </c>
      <c r="B181" s="5">
        <f>+SUMIFS(Tabla16[Importe],Tabla16[MOVIL],Tabla38[[#This Row],[MOVIL]],Tabla16[OBSV],"DESCONTAR POR USO PERSONAL")</f>
        <v>6.3</v>
      </c>
      <c r="C181" s="5">
        <f>+SUMIFS(Tabla16[Importe],Tabla16[MOVIL],Tabla38[[#This Row],[MOVIL]],Tabla16[OBSV],"DESCONTAR POR INCIDENCIA")</f>
        <v>0</v>
      </c>
      <c r="D181" s="5">
        <f>+SUMIFS(Tabla16[Importe],Tabla16[MOVIL],Tabla38[[#This Row],[MOVIL]],Tabla16[OBSV],"DESCONTAR SERVICIO EN EFECTIVO")</f>
        <v>0</v>
      </c>
      <c r="E181" s="5">
        <f>+IFERROR(VLOOKUP(Tabla38[[#This Row],[MOVIL]],Tabla1[[#All],[MOVIL]:[COBRO POR NUEVA INCLUSIÓN]],4,FALSE),0)</f>
        <v>0</v>
      </c>
      <c r="F18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81" s="5"/>
      <c r="H181" s="5" t="str">
        <f>_xlfn.XLOOKUP(Tabla38[[#This Row],[MOVIL]],[1]LIQUIDACION!$B:$B,[1]LIQUIDACION!$A:$A,"-",0)</f>
        <v>MEMBRESÍA NOCTURNA - APTO</v>
      </c>
    </row>
    <row r="182" spans="1:8" x14ac:dyDescent="0.3">
      <c r="A182" s="8">
        <v>3917</v>
      </c>
      <c r="B182" s="5">
        <f>+SUMIFS(Tabla16[Importe],Tabla16[MOVIL],Tabla38[[#This Row],[MOVIL]],Tabla16[OBSV],"DESCONTAR POR USO PERSONAL")</f>
        <v>0</v>
      </c>
      <c r="C182" s="5">
        <f>+SUMIFS(Tabla16[Importe],Tabla16[MOVIL],Tabla38[[#This Row],[MOVIL]],Tabla16[OBSV],"DESCONTAR POR INCIDENCIA")</f>
        <v>0</v>
      </c>
      <c r="D182" s="5">
        <f>+SUMIFS(Tabla16[Importe],Tabla16[MOVIL],Tabla38[[#This Row],[MOVIL]],Tabla16[OBSV],"DESCONTAR SERVICIO EN EFECTIVO")</f>
        <v>0</v>
      </c>
      <c r="E182" s="5">
        <f>+IFERROR(VLOOKUP(Tabla38[[#This Row],[MOVIL]],Tabla1[[#All],[MOVIL]:[COBRO POR NUEVA INCLUSIÓN]],4,FALSE),0)</f>
        <v>0</v>
      </c>
      <c r="F18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2" s="5"/>
      <c r="H182" s="5" t="str">
        <f>_xlfn.XLOOKUP(Tabla38[[#This Row],[MOVIL]],[1]LIQUIDACION!$B:$B,[1]LIQUIDACION!$A:$A,"-",0)</f>
        <v>URBANO PARTNER</v>
      </c>
    </row>
    <row r="183" spans="1:8" x14ac:dyDescent="0.3">
      <c r="A183" s="59">
        <v>9617</v>
      </c>
      <c r="B183" s="5">
        <f>+SUMIFS(Tabla16[Importe],Tabla16[MOVIL],Tabla38[[#This Row],[MOVIL]],Tabla16[OBSV],"DESCONTAR POR USO PERSONAL")</f>
        <v>37.799999999999997</v>
      </c>
      <c r="C183" s="5">
        <f>+SUMIFS(Tabla16[Importe],Tabla16[MOVIL],Tabla38[[#This Row],[MOVIL]],Tabla16[OBSV],"DESCONTAR POR INCIDENCIA")</f>
        <v>0</v>
      </c>
      <c r="D183" s="5">
        <f>+SUMIFS(Tabla16[Importe],Tabla16[MOVIL],Tabla38[[#This Row],[MOVIL]],Tabla16[OBSV],"DESCONTAR SERVICIO EN EFECTIVO")</f>
        <v>0</v>
      </c>
      <c r="E183" s="5">
        <f>+IFERROR(VLOOKUP(Tabla38[[#This Row],[MOVIL]],Tabla1[[#All],[MOVIL]:[COBRO POR NUEVA INCLUSIÓN]],4,FALSE),0)</f>
        <v>0</v>
      </c>
      <c r="F18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83" s="5"/>
      <c r="H183" s="5" t="str">
        <f>_xlfn.XLOOKUP(Tabla38[[#This Row],[MOVIL]],[1]LIQUIDACION!$B:$B,[1]LIQUIDACION!$A:$A,"-",0)</f>
        <v>URBANO</v>
      </c>
    </row>
    <row r="184" spans="1:8" x14ac:dyDescent="0.3">
      <c r="A184" s="59">
        <v>3180</v>
      </c>
      <c r="B184" s="5">
        <f>+SUMIFS(Tabla16[Importe],Tabla16[MOVIL],Tabla38[[#This Row],[MOVIL]],Tabla16[OBSV],"DESCONTAR POR USO PERSONAL")</f>
        <v>31.5</v>
      </c>
      <c r="C184" s="5">
        <f>+SUMIFS(Tabla16[Importe],Tabla16[MOVIL],Tabla38[[#This Row],[MOVIL]],Tabla16[OBSV],"DESCONTAR POR INCIDENCIA")</f>
        <v>0</v>
      </c>
      <c r="D184" s="5">
        <f>+SUMIFS(Tabla16[Importe],Tabla16[MOVIL],Tabla38[[#This Row],[MOVIL]],Tabla16[OBSV],"DESCONTAR SERVICIO EN EFECTIVO")</f>
        <v>0</v>
      </c>
      <c r="E184" s="5">
        <f>+IFERROR(VLOOKUP(Tabla38[[#This Row],[MOVIL]],Tabla1[[#All],[MOVIL]:[COBRO POR NUEVA INCLUSIÓN]],4,FALSE),0)</f>
        <v>0</v>
      </c>
      <c r="F18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84" s="5"/>
      <c r="H184" s="5" t="str">
        <f>_xlfn.XLOOKUP(Tabla38[[#This Row],[MOVIL]],[1]LIQUIDACION!$B:$B,[1]LIQUIDACION!$A:$A,"-",0)</f>
        <v>AEROPUERTO</v>
      </c>
    </row>
    <row r="185" spans="1:8" x14ac:dyDescent="0.3">
      <c r="A185" s="8">
        <v>3812</v>
      </c>
      <c r="B185" s="5">
        <f>+SUMIFS(Tabla16[Importe],Tabla16[MOVIL],Tabla38[[#This Row],[MOVIL]],Tabla16[OBSV],"DESCONTAR POR USO PERSONAL")</f>
        <v>0</v>
      </c>
      <c r="C185" s="5">
        <f>+SUMIFS(Tabla16[Importe],Tabla16[MOVIL],Tabla38[[#This Row],[MOVIL]],Tabla16[OBSV],"DESCONTAR POR INCIDENCIA")</f>
        <v>0</v>
      </c>
      <c r="D185" s="5">
        <f>+SUMIFS(Tabla16[Importe],Tabla16[MOVIL],Tabla38[[#This Row],[MOVIL]],Tabla16[OBSV],"DESCONTAR SERVICIO EN EFECTIVO")</f>
        <v>0</v>
      </c>
      <c r="E185" s="5">
        <f>+IFERROR(VLOOKUP(Tabla38[[#This Row],[MOVIL]],Tabla1[[#All],[MOVIL]:[COBRO POR NUEVA INCLUSIÓN]],4,FALSE),0)</f>
        <v>0</v>
      </c>
      <c r="F18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5" s="5"/>
      <c r="H185" s="5" t="str">
        <f>_xlfn.XLOOKUP(Tabla38[[#This Row],[MOVIL]],[1]LIQUIDACION!$B:$B,[1]LIQUIDACION!$A:$A,"-",0)</f>
        <v>AEROPUERTO</v>
      </c>
    </row>
    <row r="186" spans="1:8" x14ac:dyDescent="0.3">
      <c r="A186" s="8">
        <v>3607</v>
      </c>
      <c r="B186" s="5">
        <f>+SUMIFS(Tabla16[Importe],Tabla16[MOVIL],Tabla38[[#This Row],[MOVIL]],Tabla16[OBSV],"DESCONTAR POR USO PERSONAL")</f>
        <v>0</v>
      </c>
      <c r="C186" s="5">
        <f>+SUMIFS(Tabla16[Importe],Tabla16[MOVIL],Tabla38[[#This Row],[MOVIL]],Tabla16[OBSV],"DESCONTAR POR INCIDENCIA")</f>
        <v>0</v>
      </c>
      <c r="D186" s="5">
        <f>+SUMIFS(Tabla16[Importe],Tabla16[MOVIL],Tabla38[[#This Row],[MOVIL]],Tabla16[OBSV],"DESCONTAR SERVICIO EN EFECTIVO")</f>
        <v>0</v>
      </c>
      <c r="E186" s="5">
        <f>+IFERROR(VLOOKUP(Tabla38[[#This Row],[MOVIL]],Tabla1[[#All],[MOVIL]:[COBRO POR NUEVA INCLUSIÓN]],4,FALSE),0)</f>
        <v>0</v>
      </c>
      <c r="F18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6" s="5"/>
      <c r="H186" s="5" t="str">
        <f>_xlfn.XLOOKUP(Tabla38[[#This Row],[MOVIL]],[1]LIQUIDACION!$B:$B,[1]LIQUIDACION!$A:$A,"-",0)</f>
        <v>AEROLINEAS</v>
      </c>
    </row>
    <row r="187" spans="1:8" x14ac:dyDescent="0.3">
      <c r="A187" s="8">
        <v>9658</v>
      </c>
      <c r="B187" s="5">
        <f>+SUMIFS(Tabla16[Importe],Tabla16[MOVIL],Tabla38[[#This Row],[MOVIL]],Tabla16[OBSV],"DESCONTAR POR USO PERSONAL")</f>
        <v>0</v>
      </c>
      <c r="C187" s="5">
        <f>+SUMIFS(Tabla16[Importe],Tabla16[MOVIL],Tabla38[[#This Row],[MOVIL]],Tabla16[OBSV],"DESCONTAR POR INCIDENCIA")</f>
        <v>0</v>
      </c>
      <c r="D187" s="5">
        <f>+SUMIFS(Tabla16[Importe],Tabla16[MOVIL],Tabla38[[#This Row],[MOVIL]],Tabla16[OBSV],"DESCONTAR SERVICIO EN EFECTIVO")</f>
        <v>0</v>
      </c>
      <c r="E187" s="5">
        <f>+IFERROR(VLOOKUP(Tabla38[[#This Row],[MOVIL]],Tabla1[[#All],[MOVIL]:[COBRO POR NUEVA INCLUSIÓN]],4,FALSE),0)</f>
        <v>0</v>
      </c>
      <c r="F18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87" s="5"/>
      <c r="H187" s="5" t="str">
        <f>_xlfn.XLOOKUP(Tabla38[[#This Row],[MOVIL]],[1]LIQUIDACION!$B:$B,[1]LIQUIDACION!$A:$A,"-",0)</f>
        <v>URBANO PARTNER</v>
      </c>
    </row>
    <row r="188" spans="1:8" x14ac:dyDescent="0.3">
      <c r="A188" s="59">
        <v>9490</v>
      </c>
      <c r="B188" s="5">
        <f>+SUMIFS(Tabla16[Importe],Tabla16[MOVIL],Tabla38[[#This Row],[MOVIL]],Tabla16[OBSV],"DESCONTAR POR USO PERSONAL")</f>
        <v>12.6</v>
      </c>
      <c r="C188" s="5">
        <f>+SUMIFS(Tabla16[Importe],Tabla16[MOVIL],Tabla38[[#This Row],[MOVIL]],Tabla16[OBSV],"DESCONTAR POR INCIDENCIA")</f>
        <v>0</v>
      </c>
      <c r="D188" s="5">
        <f>+SUMIFS(Tabla16[Importe],Tabla16[MOVIL],Tabla38[[#This Row],[MOVIL]],Tabla16[OBSV],"DESCONTAR SERVICIO EN EFECTIVO")</f>
        <v>0</v>
      </c>
      <c r="E188" s="5">
        <f>+IFERROR(VLOOKUP(Tabla38[[#This Row],[MOVIL]],Tabla1[[#All],[MOVIL]:[COBRO POR NUEVA INCLUSIÓN]],4,FALSE),0)</f>
        <v>0</v>
      </c>
      <c r="F18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88" s="5"/>
      <c r="H188" s="5" t="str">
        <f>_xlfn.XLOOKUP(Tabla38[[#This Row],[MOVIL]],[1]LIQUIDACION!$B:$B,[1]LIQUIDACION!$A:$A,"-",0)</f>
        <v>AEROPUERTO</v>
      </c>
    </row>
    <row r="189" spans="1:8" x14ac:dyDescent="0.3">
      <c r="A189" s="59">
        <v>9624</v>
      </c>
      <c r="B189" s="5">
        <f>+SUMIFS(Tabla16[Importe],Tabla16[MOVIL],Tabla38[[#This Row],[MOVIL]],Tabla16[OBSV],"DESCONTAR POR USO PERSONAL")</f>
        <v>6.3</v>
      </c>
      <c r="C189" s="5">
        <f>+SUMIFS(Tabla16[Importe],Tabla16[MOVIL],Tabla38[[#This Row],[MOVIL]],Tabla16[OBSV],"DESCONTAR POR INCIDENCIA")</f>
        <v>12.6</v>
      </c>
      <c r="D189" s="5">
        <f>+SUMIFS(Tabla16[Importe],Tabla16[MOVIL],Tabla38[[#This Row],[MOVIL]],Tabla16[OBSV],"DESCONTAR SERVICIO EN EFECTIVO")</f>
        <v>0</v>
      </c>
      <c r="E189" s="5">
        <f>+IFERROR(VLOOKUP(Tabla38[[#This Row],[MOVIL]],Tabla1[[#All],[MOVIL]:[COBRO POR NUEVA INCLUSIÓN]],4,FALSE),0)</f>
        <v>0</v>
      </c>
      <c r="F1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189" s="5"/>
      <c r="H189" s="5" t="str">
        <f>_xlfn.XLOOKUP(Tabla38[[#This Row],[MOVIL]],[1]LIQUIDACION!$B:$B,[1]LIQUIDACION!$A:$A,"-",0)</f>
        <v>AEROPUERTO</v>
      </c>
    </row>
    <row r="190" spans="1:8" x14ac:dyDescent="0.3">
      <c r="A190" s="59">
        <v>9950</v>
      </c>
      <c r="B190" s="5">
        <f>+SUMIFS(Tabla16[Importe],Tabla16[MOVIL],Tabla38[[#This Row],[MOVIL]],Tabla16[OBSV],"DESCONTAR POR USO PERSONAL")</f>
        <v>31.5</v>
      </c>
      <c r="C190" s="5">
        <f>+SUMIFS(Tabla16[Importe],Tabla16[MOVIL],Tabla38[[#This Row],[MOVIL]],Tabla16[OBSV],"DESCONTAR POR INCIDENCIA")</f>
        <v>0</v>
      </c>
      <c r="D190" s="5">
        <f>+SUMIFS(Tabla16[Importe],Tabla16[MOVIL],Tabla38[[#This Row],[MOVIL]],Tabla16[OBSV],"DESCONTAR SERVICIO EN EFECTIVO")</f>
        <v>0</v>
      </c>
      <c r="E190" s="5">
        <f>+IFERROR(VLOOKUP(Tabla38[[#This Row],[MOVIL]],Tabla1[[#All],[MOVIL]:[COBRO POR NUEVA INCLUSIÓN]],4,FALSE),0)</f>
        <v>0</v>
      </c>
      <c r="F19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190" s="5"/>
      <c r="H190" s="5" t="str">
        <f>_xlfn.XLOOKUP(Tabla38[[#This Row],[MOVIL]],[1]LIQUIDACION!$B:$B,[1]LIQUIDACION!$A:$A,"-",0)</f>
        <v>AEROPUERTO</v>
      </c>
    </row>
    <row r="191" spans="1:8" x14ac:dyDescent="0.3">
      <c r="A191" s="59">
        <v>927</v>
      </c>
      <c r="B191" s="5">
        <f>+SUMIFS(Tabla16[Importe],Tabla16[MOVIL],Tabla38[[#This Row],[MOVIL]],Tabla16[OBSV],"DESCONTAR POR USO PERSONAL")</f>
        <v>37.799999999999997</v>
      </c>
      <c r="C191" s="5">
        <f>+SUMIFS(Tabla16[Importe],Tabla16[MOVIL],Tabla38[[#This Row],[MOVIL]],Tabla16[OBSV],"DESCONTAR POR INCIDENCIA")</f>
        <v>0</v>
      </c>
      <c r="D191" s="5">
        <f>+SUMIFS(Tabla16[Importe],Tabla16[MOVIL],Tabla38[[#This Row],[MOVIL]],Tabla16[OBSV],"DESCONTAR SERVICIO EN EFECTIVO")</f>
        <v>0</v>
      </c>
      <c r="E191" s="5">
        <f>+IFERROR(VLOOKUP(Tabla38[[#This Row],[MOVIL]],Tabla1[[#All],[MOVIL]:[COBRO POR NUEVA INCLUSIÓN]],4,FALSE),0)</f>
        <v>0</v>
      </c>
      <c r="F19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191" s="5"/>
      <c r="H191" s="5" t="str">
        <f>_xlfn.XLOOKUP(Tabla38[[#This Row],[MOVIL]],[1]LIQUIDACION!$B:$B,[1]LIQUIDACION!$A:$A,"-",0)</f>
        <v>AEROPUERTO</v>
      </c>
    </row>
    <row r="192" spans="1:8" x14ac:dyDescent="0.3">
      <c r="A192" s="8">
        <v>9837</v>
      </c>
      <c r="B192" s="5">
        <f>+SUMIFS(Tabla16[Importe],Tabla16[MOVIL],Tabla38[[#This Row],[MOVIL]],Tabla16[OBSV],"DESCONTAR POR USO PERSONAL")</f>
        <v>0</v>
      </c>
      <c r="C192" s="5">
        <f>+SUMIFS(Tabla16[Importe],Tabla16[MOVIL],Tabla38[[#This Row],[MOVIL]],Tabla16[OBSV],"DESCONTAR POR INCIDENCIA")</f>
        <v>0</v>
      </c>
      <c r="D192" s="5">
        <f>+SUMIFS(Tabla16[Importe],Tabla16[MOVIL],Tabla38[[#This Row],[MOVIL]],Tabla16[OBSV],"DESCONTAR SERVICIO EN EFECTIVO")</f>
        <v>0</v>
      </c>
      <c r="E192" s="5">
        <f>+IFERROR(VLOOKUP(Tabla38[[#This Row],[MOVIL]],Tabla1[[#All],[MOVIL]:[COBRO POR NUEVA INCLUSIÓN]],4,FALSE),0)</f>
        <v>0</v>
      </c>
      <c r="F19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2" s="5"/>
      <c r="H192" s="5" t="str">
        <f>_xlfn.XLOOKUP(Tabla38[[#This Row],[MOVIL]],[1]LIQUIDACION!$B:$B,[1]LIQUIDACION!$A:$A,"-",0)</f>
        <v>AEROPUERTO</v>
      </c>
    </row>
    <row r="193" spans="1:8" x14ac:dyDescent="0.3">
      <c r="A193" s="59">
        <v>9795</v>
      </c>
      <c r="B193" s="5">
        <f>+SUMIFS(Tabla16[Importe],Tabla16[MOVIL],Tabla38[[#This Row],[MOVIL]],Tabla16[OBSV],"DESCONTAR POR USO PERSONAL")</f>
        <v>75.59999999999998</v>
      </c>
      <c r="C193" s="5">
        <f>+SUMIFS(Tabla16[Importe],Tabla16[MOVIL],Tabla38[[#This Row],[MOVIL]],Tabla16[OBSV],"DESCONTAR POR INCIDENCIA")</f>
        <v>0</v>
      </c>
      <c r="D193" s="5">
        <f>+SUMIFS(Tabla16[Importe],Tabla16[MOVIL],Tabla38[[#This Row],[MOVIL]],Tabla16[OBSV],"DESCONTAR SERVICIO EN EFECTIVO")</f>
        <v>0</v>
      </c>
      <c r="E193" s="5">
        <f>+IFERROR(VLOOKUP(Tabla38[[#This Row],[MOVIL]],Tabla1[[#All],[MOVIL]:[COBRO POR NUEVA INCLUSIÓN]],4,FALSE),0)</f>
        <v>0</v>
      </c>
      <c r="F193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193" s="5"/>
      <c r="H193" s="5" t="str">
        <f>_xlfn.XLOOKUP(Tabla38[[#This Row],[MOVIL]],[1]LIQUIDACION!$B:$B,[1]LIQUIDACION!$A:$A,"-",0)</f>
        <v>AEROPUERTO</v>
      </c>
    </row>
    <row r="194" spans="1:8" x14ac:dyDescent="0.3">
      <c r="A194" s="59">
        <v>9672</v>
      </c>
      <c r="B194" s="5">
        <f>+SUMIFS(Tabla16[Importe],Tabla16[MOVIL],Tabla38[[#This Row],[MOVIL]],Tabla16[OBSV],"DESCONTAR POR USO PERSONAL")</f>
        <v>18.899999999999999</v>
      </c>
      <c r="C194" s="5">
        <f>+SUMIFS(Tabla16[Importe],Tabla16[MOVIL],Tabla38[[#This Row],[MOVIL]],Tabla16[OBSV],"DESCONTAR POR INCIDENCIA")</f>
        <v>0</v>
      </c>
      <c r="D194" s="5">
        <f>+SUMIFS(Tabla16[Importe],Tabla16[MOVIL],Tabla38[[#This Row],[MOVIL]],Tabla16[OBSV],"DESCONTAR SERVICIO EN EFECTIVO")</f>
        <v>31.5</v>
      </c>
      <c r="E194" s="5">
        <f>+IFERROR(VLOOKUP(Tabla38[[#This Row],[MOVIL]],Tabla1[[#All],[MOVIL]:[COBRO POR NUEVA INCLUSIÓN]],4,FALSE),0)</f>
        <v>0</v>
      </c>
      <c r="F194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194" s="5"/>
      <c r="H194" s="5" t="str">
        <f>_xlfn.XLOOKUP(Tabla38[[#This Row],[MOVIL]],[1]LIQUIDACION!$B:$B,[1]LIQUIDACION!$A:$A,"-",0)</f>
        <v>AEROPUERTO</v>
      </c>
    </row>
    <row r="195" spans="1:8" x14ac:dyDescent="0.3">
      <c r="A195" s="59">
        <v>292</v>
      </c>
      <c r="B195" s="5">
        <f>+SUMIFS(Tabla16[Importe],Tabla16[MOVIL],Tabla38[[#This Row],[MOVIL]],Tabla16[OBSV],"DESCONTAR POR USO PERSONAL")</f>
        <v>62.999999999999986</v>
      </c>
      <c r="C195" s="5">
        <f>+SUMIFS(Tabla16[Importe],Tabla16[MOVIL],Tabla38[[#This Row],[MOVIL]],Tabla16[OBSV],"DESCONTAR POR INCIDENCIA")</f>
        <v>12.6</v>
      </c>
      <c r="D195" s="5">
        <f>+SUMIFS(Tabla16[Importe],Tabla16[MOVIL],Tabla38[[#This Row],[MOVIL]],Tabla16[OBSV],"DESCONTAR SERVICIO EN EFECTIVO")</f>
        <v>6.3</v>
      </c>
      <c r="E195" s="5">
        <f>+IFERROR(VLOOKUP(Tabla38[[#This Row],[MOVIL]],Tabla1[[#All],[MOVIL]:[COBRO POR NUEVA INCLUSIÓN]],4,FALSE),0)</f>
        <v>0</v>
      </c>
      <c r="F19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195" s="5"/>
      <c r="H195" s="5" t="str">
        <f>_xlfn.XLOOKUP(Tabla38[[#This Row],[MOVIL]],[1]LIQUIDACION!$B:$B,[1]LIQUIDACION!$A:$A,"-",0)</f>
        <v>AEROPUERTO</v>
      </c>
    </row>
    <row r="196" spans="1:8" x14ac:dyDescent="0.3">
      <c r="A196" s="59">
        <v>9769</v>
      </c>
      <c r="B196" s="5">
        <f>+SUMIFS(Tabla16[Importe],Tabla16[MOVIL],Tabla38[[#This Row],[MOVIL]],Tabla16[OBSV],"DESCONTAR POR USO PERSONAL")</f>
        <v>6.3</v>
      </c>
      <c r="C196" s="5">
        <f>+SUMIFS(Tabla16[Importe],Tabla16[MOVIL],Tabla38[[#This Row],[MOVIL]],Tabla16[OBSV],"DESCONTAR POR INCIDENCIA")</f>
        <v>0</v>
      </c>
      <c r="D196" s="5">
        <f>+SUMIFS(Tabla16[Importe],Tabla16[MOVIL],Tabla38[[#This Row],[MOVIL]],Tabla16[OBSV],"DESCONTAR SERVICIO EN EFECTIVO")</f>
        <v>0</v>
      </c>
      <c r="E196" s="5">
        <f>+IFERROR(VLOOKUP(Tabla38[[#This Row],[MOVIL]],Tabla1[[#All],[MOVIL]:[COBRO POR NUEVA INCLUSIÓN]],4,FALSE),0)</f>
        <v>0</v>
      </c>
      <c r="F19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196" s="5"/>
      <c r="H196" s="5" t="str">
        <f>_xlfn.XLOOKUP(Tabla38[[#This Row],[MOVIL]],[1]LIQUIDACION!$B:$B,[1]LIQUIDACION!$A:$A,"-",0)</f>
        <v>AEROLINEAS</v>
      </c>
    </row>
    <row r="197" spans="1:8" x14ac:dyDescent="0.3">
      <c r="A197" s="59">
        <v>821</v>
      </c>
      <c r="B197" s="5">
        <f>+SUMIFS(Tabla16[Importe],Tabla16[MOVIL],Tabla38[[#This Row],[MOVIL]],Tabla16[OBSV],"DESCONTAR POR USO PERSONAL")</f>
        <v>12.6</v>
      </c>
      <c r="C197" s="5">
        <f>+SUMIFS(Tabla16[Importe],Tabla16[MOVIL],Tabla38[[#This Row],[MOVIL]],Tabla16[OBSV],"DESCONTAR POR INCIDENCIA")</f>
        <v>0</v>
      </c>
      <c r="D197" s="5">
        <f>+SUMIFS(Tabla16[Importe],Tabla16[MOVIL],Tabla38[[#This Row],[MOVIL]],Tabla16[OBSV],"DESCONTAR SERVICIO EN EFECTIVO")</f>
        <v>0</v>
      </c>
      <c r="E197" s="5">
        <f>+IFERROR(VLOOKUP(Tabla38[[#This Row],[MOVIL]],Tabla1[[#All],[MOVIL]:[COBRO POR NUEVA INCLUSIÓN]],4,FALSE),0)</f>
        <v>0</v>
      </c>
      <c r="F1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197" s="5"/>
      <c r="H197" s="5" t="str">
        <f>_xlfn.XLOOKUP(Tabla38[[#This Row],[MOVIL]],[1]LIQUIDACION!$B:$B,[1]LIQUIDACION!$A:$A,"-",0)</f>
        <v>AEROPUERTO</v>
      </c>
    </row>
    <row r="198" spans="1:8" x14ac:dyDescent="0.3">
      <c r="A198" s="59">
        <v>3815</v>
      </c>
      <c r="B198" s="5">
        <f>+SUMIFS(Tabla16[Importe],Tabla16[MOVIL],Tabla38[[#This Row],[MOVIL]],Tabla16[OBSV],"DESCONTAR POR USO PERSONAL")</f>
        <v>25.2</v>
      </c>
      <c r="C198" s="5">
        <f>+SUMIFS(Tabla16[Importe],Tabla16[MOVIL],Tabla38[[#This Row],[MOVIL]],Tabla16[OBSV],"DESCONTAR POR INCIDENCIA")</f>
        <v>0</v>
      </c>
      <c r="D198" s="5">
        <f>+SUMIFS(Tabla16[Importe],Tabla16[MOVIL],Tabla38[[#This Row],[MOVIL]],Tabla16[OBSV],"DESCONTAR SERVICIO EN EFECTIVO")</f>
        <v>0</v>
      </c>
      <c r="E198" s="5">
        <f>+IFERROR(VLOOKUP(Tabla38[[#This Row],[MOVIL]],Tabla1[[#All],[MOVIL]:[COBRO POR NUEVA INCLUSIÓN]],4,FALSE),0)</f>
        <v>0</v>
      </c>
      <c r="F19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198" s="5"/>
      <c r="H198" s="5" t="str">
        <f>_xlfn.XLOOKUP(Tabla38[[#This Row],[MOVIL]],[1]LIQUIDACION!$B:$B,[1]LIQUIDACION!$A:$A,"-",0)</f>
        <v>AEROPUERTO</v>
      </c>
    </row>
    <row r="199" spans="1:8" x14ac:dyDescent="0.3">
      <c r="A199" s="8">
        <v>2349</v>
      </c>
      <c r="B199" s="5">
        <f>+SUMIFS(Tabla16[Importe],Tabla16[MOVIL],Tabla38[[#This Row],[MOVIL]],Tabla16[OBSV],"DESCONTAR POR USO PERSONAL")</f>
        <v>0</v>
      </c>
      <c r="C199" s="5">
        <f>+SUMIFS(Tabla16[Importe],Tabla16[MOVIL],Tabla38[[#This Row],[MOVIL]],Tabla16[OBSV],"DESCONTAR POR INCIDENCIA")</f>
        <v>0</v>
      </c>
      <c r="D199" s="5">
        <f>+SUMIFS(Tabla16[Importe],Tabla16[MOVIL],Tabla38[[#This Row],[MOVIL]],Tabla16[OBSV],"DESCONTAR SERVICIO EN EFECTIVO")</f>
        <v>0</v>
      </c>
      <c r="E199" s="5">
        <f>+IFERROR(VLOOKUP(Tabla38[[#This Row],[MOVIL]],Tabla1[[#All],[MOVIL]:[COBRO POR NUEVA INCLUSIÓN]],4,FALSE),0)</f>
        <v>0</v>
      </c>
      <c r="F19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199" s="5"/>
      <c r="H199" s="5" t="str">
        <f>_xlfn.XLOOKUP(Tabla38[[#This Row],[MOVIL]],[1]LIQUIDACION!$B:$B,[1]LIQUIDACION!$A:$A,"-",0)</f>
        <v>URBANO</v>
      </c>
    </row>
    <row r="200" spans="1:8" x14ac:dyDescent="0.3">
      <c r="A200" s="59">
        <v>2609</v>
      </c>
      <c r="B200" s="5">
        <f>+SUMIFS(Tabla16[Importe],Tabla16[MOVIL],Tabla38[[#This Row],[MOVIL]],Tabla16[OBSV],"DESCONTAR POR USO PERSONAL")</f>
        <v>6.3</v>
      </c>
      <c r="C200" s="5">
        <f>+SUMIFS(Tabla16[Importe],Tabla16[MOVIL],Tabla38[[#This Row],[MOVIL]],Tabla16[OBSV],"DESCONTAR POR INCIDENCIA")</f>
        <v>0</v>
      </c>
      <c r="D200" s="5">
        <f>+SUMIFS(Tabla16[Importe],Tabla16[MOVIL],Tabla38[[#This Row],[MOVIL]],Tabla16[OBSV],"DESCONTAR SERVICIO EN EFECTIVO")</f>
        <v>0</v>
      </c>
      <c r="E200" s="5">
        <f>+IFERROR(VLOOKUP(Tabla38[[#This Row],[MOVIL]],Tabla1[[#All],[MOVIL]:[COBRO POR NUEVA INCLUSIÓN]],4,FALSE),0)</f>
        <v>0</v>
      </c>
      <c r="F20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0" s="5"/>
      <c r="H200" s="5" t="str">
        <f>_xlfn.XLOOKUP(Tabla38[[#This Row],[MOVIL]],[1]LIQUIDACION!$B:$B,[1]LIQUIDACION!$A:$A,"-",0)</f>
        <v>AEROLINEAS</v>
      </c>
    </row>
    <row r="201" spans="1:8" x14ac:dyDescent="0.3">
      <c r="A201" s="59">
        <v>2722</v>
      </c>
      <c r="B201" s="5">
        <f>+SUMIFS(Tabla16[Importe],Tabla16[MOVIL],Tabla38[[#This Row],[MOVIL]],Tabla16[OBSV],"DESCONTAR POR USO PERSONAL")</f>
        <v>18.899999999999999</v>
      </c>
      <c r="C201" s="5">
        <f>+SUMIFS(Tabla16[Importe],Tabla16[MOVIL],Tabla38[[#This Row],[MOVIL]],Tabla16[OBSV],"DESCONTAR POR INCIDENCIA")</f>
        <v>0</v>
      </c>
      <c r="D201" s="5">
        <f>+SUMIFS(Tabla16[Importe],Tabla16[MOVIL],Tabla38[[#This Row],[MOVIL]],Tabla16[OBSV],"DESCONTAR SERVICIO EN EFECTIVO")</f>
        <v>12.6</v>
      </c>
      <c r="E201" s="5">
        <f>+IFERROR(VLOOKUP(Tabla38[[#This Row],[MOVIL]],Tabla1[[#All],[MOVIL]:[COBRO POR NUEVA INCLUSIÓN]],4,FALSE),0)</f>
        <v>0</v>
      </c>
      <c r="F20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01" s="5"/>
      <c r="H201" s="5" t="str">
        <f>_xlfn.XLOOKUP(Tabla38[[#This Row],[MOVIL]],[1]LIQUIDACION!$B:$B,[1]LIQUIDACION!$A:$A,"-",0)</f>
        <v>AEROPUERTO</v>
      </c>
    </row>
    <row r="202" spans="1:8" x14ac:dyDescent="0.3">
      <c r="A202" s="59">
        <v>9980</v>
      </c>
      <c r="B202" s="5">
        <f>+SUMIFS(Tabla16[Importe],Tabla16[MOVIL],Tabla38[[#This Row],[MOVIL]],Tabla16[OBSV],"DESCONTAR POR USO PERSONAL")</f>
        <v>31.5</v>
      </c>
      <c r="C202" s="5">
        <f>+SUMIFS(Tabla16[Importe],Tabla16[MOVIL],Tabla38[[#This Row],[MOVIL]],Tabla16[OBSV],"DESCONTAR POR INCIDENCIA")</f>
        <v>12.6</v>
      </c>
      <c r="D202" s="5">
        <f>+SUMIFS(Tabla16[Importe],Tabla16[MOVIL],Tabla38[[#This Row],[MOVIL]],Tabla16[OBSV],"DESCONTAR SERVICIO EN EFECTIVO")</f>
        <v>0</v>
      </c>
      <c r="E202" s="5">
        <f>+IFERROR(VLOOKUP(Tabla38[[#This Row],[MOVIL]],Tabla1[[#All],[MOVIL]:[COBRO POR NUEVA INCLUSIÓN]],4,FALSE),0)</f>
        <v>0</v>
      </c>
      <c r="F20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02" s="5"/>
      <c r="H202" s="5" t="str">
        <f>_xlfn.XLOOKUP(Tabla38[[#This Row],[MOVIL]],[1]LIQUIDACION!$B:$B,[1]LIQUIDACION!$A:$A,"-",0)</f>
        <v>AEROLINEAS</v>
      </c>
    </row>
    <row r="203" spans="1:8" x14ac:dyDescent="0.3">
      <c r="A203" s="59">
        <v>9645</v>
      </c>
      <c r="B203" s="5">
        <f>+SUMIFS(Tabla16[Importe],Tabla16[MOVIL],Tabla38[[#This Row],[MOVIL]],Tabla16[OBSV],"DESCONTAR POR USO PERSONAL")</f>
        <v>6.3</v>
      </c>
      <c r="C203" s="5">
        <f>+SUMIFS(Tabla16[Importe],Tabla16[MOVIL],Tabla38[[#This Row],[MOVIL]],Tabla16[OBSV],"DESCONTAR POR INCIDENCIA")</f>
        <v>0</v>
      </c>
      <c r="D203" s="5">
        <f>+SUMIFS(Tabla16[Importe],Tabla16[MOVIL],Tabla38[[#This Row],[MOVIL]],Tabla16[OBSV],"DESCONTAR SERVICIO EN EFECTIVO")</f>
        <v>31.5</v>
      </c>
      <c r="E203" s="5">
        <f>+IFERROR(VLOOKUP(Tabla38[[#This Row],[MOVIL]],Tabla1[[#All],[MOVIL]:[COBRO POR NUEVA INCLUSIÓN]],4,FALSE),0)</f>
        <v>0</v>
      </c>
      <c r="F203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03" s="5"/>
      <c r="H203" s="5" t="str">
        <f>_xlfn.XLOOKUP(Tabla38[[#This Row],[MOVIL]],[1]LIQUIDACION!$B:$B,[1]LIQUIDACION!$A:$A,"-",0)</f>
        <v>AEROPUERTO</v>
      </c>
    </row>
    <row r="204" spans="1:8" x14ac:dyDescent="0.3">
      <c r="A204" s="8">
        <v>9938</v>
      </c>
      <c r="B204" s="5">
        <f>+SUMIFS(Tabla16[Importe],Tabla16[MOVIL],Tabla38[[#This Row],[MOVIL]],Tabla16[OBSV],"DESCONTAR POR USO PERSONAL")</f>
        <v>0</v>
      </c>
      <c r="C204" s="5">
        <f>+SUMIFS(Tabla16[Importe],Tabla16[MOVIL],Tabla38[[#This Row],[MOVIL]],Tabla16[OBSV],"DESCONTAR POR INCIDENCIA")</f>
        <v>0</v>
      </c>
      <c r="D204" s="5">
        <f>+SUMIFS(Tabla16[Importe],Tabla16[MOVIL],Tabla38[[#This Row],[MOVIL]],Tabla16[OBSV],"DESCONTAR SERVICIO EN EFECTIVO")</f>
        <v>0</v>
      </c>
      <c r="E204" s="5">
        <f>+IFERROR(VLOOKUP(Tabla38[[#This Row],[MOVIL]],Tabla1[[#All],[MOVIL]:[COBRO POR NUEVA INCLUSIÓN]],4,FALSE),0)</f>
        <v>0</v>
      </c>
      <c r="F20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04" s="5"/>
      <c r="H204" s="5" t="str">
        <f>_xlfn.XLOOKUP(Tabla38[[#This Row],[MOVIL]],[1]LIQUIDACION!$B:$B,[1]LIQUIDACION!$A:$A,"-",0)</f>
        <v>AEROPUERTO</v>
      </c>
    </row>
    <row r="205" spans="1:8" x14ac:dyDescent="0.3">
      <c r="A205" s="59">
        <v>9630</v>
      </c>
      <c r="B205" s="5">
        <f>+SUMIFS(Tabla16[Importe],Tabla16[MOVIL],Tabla38[[#This Row],[MOVIL]],Tabla16[OBSV],"DESCONTAR POR USO PERSONAL")</f>
        <v>6.3</v>
      </c>
      <c r="C205" s="5">
        <f>+SUMIFS(Tabla16[Importe],Tabla16[MOVIL],Tabla38[[#This Row],[MOVIL]],Tabla16[OBSV],"DESCONTAR POR INCIDENCIA")</f>
        <v>0</v>
      </c>
      <c r="D205" s="5">
        <f>+SUMIFS(Tabla16[Importe],Tabla16[MOVIL],Tabla38[[#This Row],[MOVIL]],Tabla16[OBSV],"DESCONTAR SERVICIO EN EFECTIVO")</f>
        <v>0</v>
      </c>
      <c r="E205" s="5">
        <f>+IFERROR(VLOOKUP(Tabla38[[#This Row],[MOVIL]],Tabla1[[#All],[MOVIL]:[COBRO POR NUEVA INCLUSIÓN]],4,FALSE),0)</f>
        <v>0</v>
      </c>
      <c r="F20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5" s="5"/>
      <c r="H205" s="5" t="str">
        <f>_xlfn.XLOOKUP(Tabla38[[#This Row],[MOVIL]],[1]LIQUIDACION!$B:$B,[1]LIQUIDACION!$A:$A,"-",0)</f>
        <v>AEROLINEAS</v>
      </c>
    </row>
    <row r="206" spans="1:8" x14ac:dyDescent="0.3">
      <c r="A206" s="59">
        <v>3643</v>
      </c>
      <c r="B206" s="5">
        <f>+SUMIFS(Tabla16[Importe],Tabla16[MOVIL],Tabla38[[#This Row],[MOVIL]],Tabla16[OBSV],"DESCONTAR POR USO PERSONAL")</f>
        <v>6.3</v>
      </c>
      <c r="C206" s="5">
        <f>+SUMIFS(Tabla16[Importe],Tabla16[MOVIL],Tabla38[[#This Row],[MOVIL]],Tabla16[OBSV],"DESCONTAR POR INCIDENCIA")</f>
        <v>0</v>
      </c>
      <c r="D206" s="5">
        <f>+SUMIFS(Tabla16[Importe],Tabla16[MOVIL],Tabla38[[#This Row],[MOVIL]],Tabla16[OBSV],"DESCONTAR SERVICIO EN EFECTIVO")</f>
        <v>0</v>
      </c>
      <c r="E206" s="5">
        <f>+IFERROR(VLOOKUP(Tabla38[[#This Row],[MOVIL]],Tabla1[[#All],[MOVIL]:[COBRO POR NUEVA INCLUSIÓN]],4,FALSE),0)</f>
        <v>0</v>
      </c>
      <c r="F20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06" s="5"/>
      <c r="H206" s="5" t="str">
        <f>_xlfn.XLOOKUP(Tabla38[[#This Row],[MOVIL]],[1]LIQUIDACION!$B:$B,[1]LIQUIDACION!$A:$A,"-",0)</f>
        <v>AEROPUERTO</v>
      </c>
    </row>
    <row r="207" spans="1:8" x14ac:dyDescent="0.3">
      <c r="A207" s="59">
        <v>3079</v>
      </c>
      <c r="B207" s="5">
        <f>+SUMIFS(Tabla16[Importe],Tabla16[MOVIL],Tabla38[[#This Row],[MOVIL]],Tabla16[OBSV],"DESCONTAR POR USO PERSONAL")</f>
        <v>56.699999999999989</v>
      </c>
      <c r="C207" s="5">
        <f>+SUMIFS(Tabla16[Importe],Tabla16[MOVIL],Tabla38[[#This Row],[MOVIL]],Tabla16[OBSV],"DESCONTAR POR INCIDENCIA")</f>
        <v>0</v>
      </c>
      <c r="D207" s="5">
        <f>+SUMIFS(Tabla16[Importe],Tabla16[MOVIL],Tabla38[[#This Row],[MOVIL]],Tabla16[OBSV],"DESCONTAR SERVICIO EN EFECTIVO")</f>
        <v>0</v>
      </c>
      <c r="E207" s="5">
        <f>+IFERROR(VLOOKUP(Tabla38[[#This Row],[MOVIL]],Tabla1[[#All],[MOVIL]:[COBRO POR NUEVA INCLUSIÓN]],4,FALSE),0)</f>
        <v>0</v>
      </c>
      <c r="F207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07" s="5"/>
      <c r="H207" s="5" t="str">
        <f>_xlfn.XLOOKUP(Tabla38[[#This Row],[MOVIL]],[1]LIQUIDACION!$B:$B,[1]LIQUIDACION!$A:$A,"-",0)</f>
        <v>AEROPUERTO</v>
      </c>
    </row>
    <row r="208" spans="1:8" x14ac:dyDescent="0.3">
      <c r="A208" s="59">
        <v>1713</v>
      </c>
      <c r="B208" s="5">
        <f>+SUMIFS(Tabla16[Importe],Tabla16[MOVIL],Tabla38[[#This Row],[MOVIL]],Tabla16[OBSV],"DESCONTAR POR USO PERSONAL")</f>
        <v>25.2</v>
      </c>
      <c r="C208" s="5">
        <f>+SUMIFS(Tabla16[Importe],Tabla16[MOVIL],Tabla38[[#This Row],[MOVIL]],Tabla16[OBSV],"DESCONTAR POR INCIDENCIA")</f>
        <v>0</v>
      </c>
      <c r="D208" s="5">
        <f>+SUMIFS(Tabla16[Importe],Tabla16[MOVIL],Tabla38[[#This Row],[MOVIL]],Tabla16[OBSV],"DESCONTAR SERVICIO EN EFECTIVO")</f>
        <v>0</v>
      </c>
      <c r="E208" s="5">
        <f>+IFERROR(VLOOKUP(Tabla38[[#This Row],[MOVIL]],Tabla1[[#All],[MOVIL]:[COBRO POR NUEVA INCLUSIÓN]],4,FALSE),0)</f>
        <v>0</v>
      </c>
      <c r="F20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08" s="5"/>
      <c r="H208" s="5" t="str">
        <f>_xlfn.XLOOKUP(Tabla38[[#This Row],[MOVIL]],[1]LIQUIDACION!$B:$B,[1]LIQUIDACION!$A:$A,"-",0)</f>
        <v>URBANO</v>
      </c>
    </row>
    <row r="209" spans="1:8" x14ac:dyDescent="0.3">
      <c r="A209" s="8">
        <v>9172</v>
      </c>
      <c r="B209" s="5">
        <f>+SUMIFS(Tabla16[Importe],Tabla16[MOVIL],Tabla38[[#This Row],[MOVIL]],Tabla16[OBSV],"DESCONTAR POR USO PERSONAL")</f>
        <v>56.699999999999989</v>
      </c>
      <c r="C209" s="5">
        <f>+SUMIFS(Tabla16[Importe],Tabla16[MOVIL],Tabla38[[#This Row],[MOVIL]],Tabla16[OBSV],"DESCONTAR POR INCIDENCIA")</f>
        <v>0</v>
      </c>
      <c r="D209" s="5">
        <f>+SUMIFS(Tabla16[Importe],Tabla16[MOVIL],Tabla38[[#This Row],[MOVIL]],Tabla16[OBSV],"DESCONTAR SERVICIO EN EFECTIVO")</f>
        <v>0</v>
      </c>
      <c r="E209" s="5">
        <f>+IFERROR(VLOOKUP(Tabla38[[#This Row],[MOVIL]],Tabla1[[#All],[MOVIL]:[COBRO POR NUEVA INCLUSIÓN]],4,FALSE),0)</f>
        <v>0</v>
      </c>
      <c r="F209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09" s="5"/>
      <c r="H209" s="5" t="s">
        <v>1374</v>
      </c>
    </row>
    <row r="210" spans="1:8" x14ac:dyDescent="0.3">
      <c r="A210" s="8">
        <v>688</v>
      </c>
      <c r="B210" s="5">
        <f>+SUMIFS(Tabla16[Importe],Tabla16[MOVIL],Tabla38[[#This Row],[MOVIL]],Tabla16[OBSV],"DESCONTAR POR USO PERSONAL")</f>
        <v>0</v>
      </c>
      <c r="C210" s="5">
        <f>+SUMIFS(Tabla16[Importe],Tabla16[MOVIL],Tabla38[[#This Row],[MOVIL]],Tabla16[OBSV],"DESCONTAR POR INCIDENCIA")</f>
        <v>0</v>
      </c>
      <c r="D210" s="5">
        <f>+SUMIFS(Tabla16[Importe],Tabla16[MOVIL],Tabla38[[#This Row],[MOVIL]],Tabla16[OBSV],"DESCONTAR SERVICIO EN EFECTIVO")</f>
        <v>0</v>
      </c>
      <c r="E210" s="5">
        <f>+IFERROR(VLOOKUP(Tabla38[[#This Row],[MOVIL]],Tabla1[[#All],[MOVIL]:[COBRO POR NUEVA INCLUSIÓN]],4,FALSE),0)</f>
        <v>0</v>
      </c>
      <c r="F21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0" s="5"/>
      <c r="H210" s="5" t="str">
        <f>_xlfn.XLOOKUP(Tabla38[[#This Row],[MOVIL]],[1]LIQUIDACION!$B:$B,[1]LIQUIDACION!$A:$A,"-",0)</f>
        <v>URBANO</v>
      </c>
    </row>
    <row r="211" spans="1:8" x14ac:dyDescent="0.3">
      <c r="A211" s="8">
        <v>9120</v>
      </c>
      <c r="B211" s="5">
        <f>+SUMIFS(Tabla16[Importe],Tabla16[MOVIL],Tabla38[[#This Row],[MOVIL]],Tabla16[OBSV],"DESCONTAR POR USO PERSONAL")</f>
        <v>37.799999999999997</v>
      </c>
      <c r="C211" s="5">
        <f>+SUMIFS(Tabla16[Importe],Tabla16[MOVIL],Tabla38[[#This Row],[MOVIL]],Tabla16[OBSV],"DESCONTAR POR INCIDENCIA")</f>
        <v>0</v>
      </c>
      <c r="D211" s="5">
        <f>+SUMIFS(Tabla16[Importe],Tabla16[MOVIL],Tabla38[[#This Row],[MOVIL]],Tabla16[OBSV],"DESCONTAR SERVICIO EN EFECTIVO")</f>
        <v>0</v>
      </c>
      <c r="E211" s="5">
        <f>+IFERROR(VLOOKUP(Tabla38[[#This Row],[MOVIL]],Tabla1[[#All],[MOVIL]:[COBRO POR NUEVA INCLUSIÓN]],4,FALSE),0)</f>
        <v>0</v>
      </c>
      <c r="F21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11" s="5"/>
      <c r="H211" s="5" t="s">
        <v>1374</v>
      </c>
    </row>
    <row r="212" spans="1:8" x14ac:dyDescent="0.3">
      <c r="A212" s="8">
        <v>9922</v>
      </c>
      <c r="B212" s="5">
        <f>+SUMIFS(Tabla16[Importe],Tabla16[MOVIL],Tabla38[[#This Row],[MOVIL]],Tabla16[OBSV],"DESCONTAR POR USO PERSONAL")</f>
        <v>0</v>
      </c>
      <c r="C212" s="5">
        <f>+SUMIFS(Tabla16[Importe],Tabla16[MOVIL],Tabla38[[#This Row],[MOVIL]],Tabla16[OBSV],"DESCONTAR POR INCIDENCIA")</f>
        <v>0</v>
      </c>
      <c r="D212" s="5">
        <f>+SUMIFS(Tabla16[Importe],Tabla16[MOVIL],Tabla38[[#This Row],[MOVIL]],Tabla16[OBSV],"DESCONTAR SERVICIO EN EFECTIVO")</f>
        <v>0</v>
      </c>
      <c r="E212" s="5">
        <f>+IFERROR(VLOOKUP(Tabla38[[#This Row],[MOVIL]],Tabla1[[#All],[MOVIL]:[COBRO POR NUEVA INCLUSIÓN]],4,FALSE),0)</f>
        <v>0</v>
      </c>
      <c r="F2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2" s="5"/>
      <c r="H212" s="5" t="str">
        <f>_xlfn.XLOOKUP(Tabla38[[#This Row],[MOVIL]],[1]LIQUIDACION!$B:$B,[1]LIQUIDACION!$A:$A,"-",0)</f>
        <v>URBANO</v>
      </c>
    </row>
    <row r="213" spans="1:8" x14ac:dyDescent="0.3">
      <c r="A213" s="8">
        <v>3006</v>
      </c>
      <c r="B213" s="5">
        <f>+SUMIFS(Tabla16[Importe],Tabla16[MOVIL],Tabla38[[#This Row],[MOVIL]],Tabla16[OBSV],"DESCONTAR POR USO PERSONAL")</f>
        <v>0</v>
      </c>
      <c r="C213" s="5">
        <f>+SUMIFS(Tabla16[Importe],Tabla16[MOVIL],Tabla38[[#This Row],[MOVIL]],Tabla16[OBSV],"DESCONTAR POR INCIDENCIA")</f>
        <v>0</v>
      </c>
      <c r="D213" s="5">
        <f>+SUMIFS(Tabla16[Importe],Tabla16[MOVIL],Tabla38[[#This Row],[MOVIL]],Tabla16[OBSV],"DESCONTAR SERVICIO EN EFECTIVO")</f>
        <v>0</v>
      </c>
      <c r="E213" s="5">
        <f>+IFERROR(VLOOKUP(Tabla38[[#This Row],[MOVIL]],Tabla1[[#All],[MOVIL]:[COBRO POR NUEVA INCLUSIÓN]],4,FALSE),0)</f>
        <v>0</v>
      </c>
      <c r="F2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13" s="5"/>
      <c r="H213" s="5" t="str">
        <f>_xlfn.XLOOKUP(Tabla38[[#This Row],[MOVIL]],[1]LIQUIDACION!$B:$B,[1]LIQUIDACION!$A:$A,"-",0)</f>
        <v>AEROLINEAS</v>
      </c>
    </row>
    <row r="214" spans="1:8" x14ac:dyDescent="0.3">
      <c r="A214" s="59">
        <v>5023</v>
      </c>
      <c r="B214" s="5">
        <f>+SUMIFS(Tabla16[Importe],Tabla16[MOVIL],Tabla38[[#This Row],[MOVIL]],Tabla16[OBSV],"DESCONTAR POR USO PERSONAL")</f>
        <v>6.3</v>
      </c>
      <c r="C214" s="5">
        <f>+SUMIFS(Tabla16[Importe],Tabla16[MOVIL],Tabla38[[#This Row],[MOVIL]],Tabla16[OBSV],"DESCONTAR POR INCIDENCIA")</f>
        <v>0</v>
      </c>
      <c r="D214" s="5">
        <f>+SUMIFS(Tabla16[Importe],Tabla16[MOVIL],Tabla38[[#This Row],[MOVIL]],Tabla16[OBSV],"DESCONTAR SERVICIO EN EFECTIVO")</f>
        <v>0</v>
      </c>
      <c r="E214" s="5">
        <f>+IFERROR(VLOOKUP(Tabla38[[#This Row],[MOVIL]],Tabla1[[#All],[MOVIL]:[COBRO POR NUEVA INCLUSIÓN]],4,FALSE),0)</f>
        <v>0</v>
      </c>
      <c r="F21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4" s="5"/>
      <c r="H214" s="5" t="str">
        <f>_xlfn.XLOOKUP(Tabla38[[#This Row],[MOVIL]],[1]LIQUIDACION!$B:$B,[1]LIQUIDACION!$A:$A,"-",0)</f>
        <v>MEMBRESÍA URBANO</v>
      </c>
    </row>
    <row r="215" spans="1:8" x14ac:dyDescent="0.3">
      <c r="A215" s="59">
        <v>3730</v>
      </c>
      <c r="B215" s="5">
        <f>+SUMIFS(Tabla16[Importe],Tabla16[MOVIL],Tabla38[[#This Row],[MOVIL]],Tabla16[OBSV],"DESCONTAR POR USO PERSONAL")</f>
        <v>6.3</v>
      </c>
      <c r="C215" s="5">
        <f>+SUMIFS(Tabla16[Importe],Tabla16[MOVIL],Tabla38[[#This Row],[MOVIL]],Tabla16[OBSV],"DESCONTAR POR INCIDENCIA")</f>
        <v>0</v>
      </c>
      <c r="D215" s="5">
        <f>+SUMIFS(Tabla16[Importe],Tabla16[MOVIL],Tabla38[[#This Row],[MOVIL]],Tabla16[OBSV],"DESCONTAR SERVICIO EN EFECTIVO")</f>
        <v>0</v>
      </c>
      <c r="E215" s="5">
        <f>+IFERROR(VLOOKUP(Tabla38[[#This Row],[MOVIL]],Tabla1[[#All],[MOVIL]:[COBRO POR NUEVA INCLUSIÓN]],4,FALSE),0)</f>
        <v>0</v>
      </c>
      <c r="F21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15" s="5"/>
      <c r="H215" s="5" t="str">
        <f>_xlfn.XLOOKUP(Tabla38[[#This Row],[MOVIL]],[1]LIQUIDACION!$B:$B,[1]LIQUIDACION!$A:$A,"-",0)</f>
        <v>AEROLINEAS</v>
      </c>
    </row>
    <row r="216" spans="1:8" x14ac:dyDescent="0.3">
      <c r="A216" s="59">
        <v>1549</v>
      </c>
      <c r="B216" s="5">
        <f>+SUMIFS(Tabla16[Importe],Tabla16[MOVIL],Tabla38[[#This Row],[MOVIL]],Tabla16[OBSV],"DESCONTAR POR USO PERSONAL")</f>
        <v>6.3</v>
      </c>
      <c r="C216" s="5">
        <f>+SUMIFS(Tabla16[Importe],Tabla16[MOVIL],Tabla38[[#This Row],[MOVIL]],Tabla16[OBSV],"DESCONTAR POR INCIDENCIA")</f>
        <v>0</v>
      </c>
      <c r="D216" s="5">
        <f>+SUMIFS(Tabla16[Importe],Tabla16[MOVIL],Tabla38[[#This Row],[MOVIL]],Tabla16[OBSV],"DESCONTAR SERVICIO EN EFECTIVO")</f>
        <v>6.3</v>
      </c>
      <c r="E216" s="5">
        <f>+IFERROR(VLOOKUP(Tabla38[[#This Row],[MOVIL]],Tabla1[[#All],[MOVIL]:[COBRO POR NUEVA INCLUSIÓN]],4,FALSE),0)</f>
        <v>0</v>
      </c>
      <c r="F21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6" s="5"/>
      <c r="H216" s="5" t="str">
        <f>_xlfn.XLOOKUP(Tabla38[[#This Row],[MOVIL]],[1]LIQUIDACION!$B:$B,[1]LIQUIDACION!$A:$A,"-",0)</f>
        <v>MEMBRESÍA URBANO</v>
      </c>
    </row>
    <row r="217" spans="1:8" x14ac:dyDescent="0.3">
      <c r="A217" s="59">
        <v>793</v>
      </c>
      <c r="B217" s="5">
        <f>+SUMIFS(Tabla16[Importe],Tabla16[MOVIL],Tabla38[[#This Row],[MOVIL]],Tabla16[OBSV],"DESCONTAR POR USO PERSONAL")</f>
        <v>37.799999999999997</v>
      </c>
      <c r="C217" s="5">
        <f>+SUMIFS(Tabla16[Importe],Tabla16[MOVIL],Tabla38[[#This Row],[MOVIL]],Tabla16[OBSV],"DESCONTAR POR INCIDENCIA")</f>
        <v>12.6</v>
      </c>
      <c r="D217" s="5">
        <f>+SUMIFS(Tabla16[Importe],Tabla16[MOVIL],Tabla38[[#This Row],[MOVIL]],Tabla16[OBSV],"DESCONTAR SERVICIO EN EFECTIVO")</f>
        <v>0</v>
      </c>
      <c r="E217" s="5">
        <f>+IFERROR(VLOOKUP(Tabla38[[#This Row],[MOVIL]],Tabla1[[#All],[MOVIL]:[COBRO POR NUEVA INCLUSIÓN]],4,FALSE),0)</f>
        <v>0</v>
      </c>
      <c r="F217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217" s="5"/>
      <c r="H217" s="5" t="str">
        <f>_xlfn.XLOOKUP(Tabla38[[#This Row],[MOVIL]],[1]LIQUIDACION!$B:$B,[1]LIQUIDACION!$A:$A,"-",0)</f>
        <v>AEROPUERTO</v>
      </c>
    </row>
    <row r="218" spans="1:8" x14ac:dyDescent="0.3">
      <c r="A218" s="8">
        <v>1891</v>
      </c>
      <c r="B218" s="5">
        <f>+SUMIFS(Tabla16[Importe],Tabla16[MOVIL],Tabla38[[#This Row],[MOVIL]],Tabla16[OBSV],"DESCONTAR POR USO PERSONAL")</f>
        <v>0</v>
      </c>
      <c r="C218" s="5">
        <f>+SUMIFS(Tabla16[Importe],Tabla16[MOVIL],Tabla38[[#This Row],[MOVIL]],Tabla16[OBSV],"DESCONTAR POR INCIDENCIA")</f>
        <v>0</v>
      </c>
      <c r="D218" s="5">
        <f>+SUMIFS(Tabla16[Importe],Tabla16[MOVIL],Tabla38[[#This Row],[MOVIL]],Tabla16[OBSV],"DESCONTAR SERVICIO EN EFECTIVO")</f>
        <v>12.6</v>
      </c>
      <c r="E218" s="5">
        <f>+IFERROR(VLOOKUP(Tabla38[[#This Row],[MOVIL]],Tabla1[[#All],[MOVIL]:[COBRO POR NUEVA INCLUSIÓN]],4,FALSE),0)</f>
        <v>0</v>
      </c>
      <c r="F21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18" s="5"/>
      <c r="H218" s="5" t="str">
        <f>_xlfn.XLOOKUP(Tabla38[[#This Row],[MOVIL]],[1]LIQUIDACION!$B:$B,[1]LIQUIDACION!$A:$A,"-",0)</f>
        <v>AEROPUERTO</v>
      </c>
    </row>
    <row r="219" spans="1:8" x14ac:dyDescent="0.3">
      <c r="A219" s="59">
        <v>1847</v>
      </c>
      <c r="B219" s="5">
        <f>+SUMIFS(Tabla16[Importe],Tabla16[MOVIL],Tabla38[[#This Row],[MOVIL]],Tabla16[OBSV],"DESCONTAR POR USO PERSONAL")</f>
        <v>25.2</v>
      </c>
      <c r="C219" s="5">
        <f>+SUMIFS(Tabla16[Importe],Tabla16[MOVIL],Tabla38[[#This Row],[MOVIL]],Tabla16[OBSV],"DESCONTAR POR INCIDENCIA")</f>
        <v>0</v>
      </c>
      <c r="D219" s="5">
        <f>+SUMIFS(Tabla16[Importe],Tabla16[MOVIL],Tabla38[[#This Row],[MOVIL]],Tabla16[OBSV],"DESCONTAR SERVICIO EN EFECTIVO")</f>
        <v>0</v>
      </c>
      <c r="E219" s="5">
        <f>+IFERROR(VLOOKUP(Tabla38[[#This Row],[MOVIL]],Tabla1[[#All],[MOVIL]:[COBRO POR NUEVA INCLUSIÓN]],4,FALSE),0)</f>
        <v>0</v>
      </c>
      <c r="F21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19" s="5"/>
      <c r="H219" s="5" t="str">
        <f>_xlfn.XLOOKUP(Tabla38[[#This Row],[MOVIL]],[1]LIQUIDACION!$B:$B,[1]LIQUIDACION!$A:$A,"-",0)</f>
        <v>AEROPUERTO</v>
      </c>
    </row>
    <row r="220" spans="1:8" x14ac:dyDescent="0.3">
      <c r="A220" s="59">
        <v>3744</v>
      </c>
      <c r="B220" s="5">
        <f>+SUMIFS(Tabla16[Importe],Tabla16[MOVIL],Tabla38[[#This Row],[MOVIL]],Tabla16[OBSV],"DESCONTAR POR USO PERSONAL")</f>
        <v>25.2</v>
      </c>
      <c r="C220" s="5">
        <f>+SUMIFS(Tabla16[Importe],Tabla16[MOVIL],Tabla38[[#This Row],[MOVIL]],Tabla16[OBSV],"DESCONTAR POR INCIDENCIA")</f>
        <v>0</v>
      </c>
      <c r="D220" s="5">
        <f>+SUMIFS(Tabla16[Importe],Tabla16[MOVIL],Tabla38[[#This Row],[MOVIL]],Tabla16[OBSV],"DESCONTAR SERVICIO EN EFECTIVO")</f>
        <v>0</v>
      </c>
      <c r="E220" s="5">
        <f>+IFERROR(VLOOKUP(Tabla38[[#This Row],[MOVIL]],Tabla1[[#All],[MOVIL]:[COBRO POR NUEVA INCLUSIÓN]],4,FALSE),0)</f>
        <v>0</v>
      </c>
      <c r="F22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0" s="5"/>
      <c r="H220" s="5" t="str">
        <f>_xlfn.XLOOKUP(Tabla38[[#This Row],[MOVIL]],[1]LIQUIDACION!$B:$B,[1]LIQUIDACION!$A:$A,"-",0)</f>
        <v>AEROPUERTO</v>
      </c>
    </row>
    <row r="221" spans="1:8" x14ac:dyDescent="0.3">
      <c r="A221" s="8">
        <v>3806</v>
      </c>
      <c r="B221" s="5">
        <f>+SUMIFS(Tabla16[Importe],Tabla16[MOVIL],Tabla38[[#This Row],[MOVIL]],Tabla16[OBSV],"DESCONTAR POR USO PERSONAL")</f>
        <v>0</v>
      </c>
      <c r="C221" s="5">
        <f>+SUMIFS(Tabla16[Importe],Tabla16[MOVIL],Tabla38[[#This Row],[MOVIL]],Tabla16[OBSV],"DESCONTAR POR INCIDENCIA")</f>
        <v>0</v>
      </c>
      <c r="D221" s="5">
        <f>+SUMIFS(Tabla16[Importe],Tabla16[MOVIL],Tabla38[[#This Row],[MOVIL]],Tabla16[OBSV],"DESCONTAR SERVICIO EN EFECTIVO")</f>
        <v>0</v>
      </c>
      <c r="E221" s="5">
        <f>+IFERROR(VLOOKUP(Tabla38[[#This Row],[MOVIL]],Tabla1[[#All],[MOVIL]:[COBRO POR NUEVA INCLUSIÓN]],4,FALSE),0)</f>
        <v>0</v>
      </c>
      <c r="F2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21" s="5"/>
      <c r="H221" s="5" t="str">
        <f>_xlfn.XLOOKUP(Tabla38[[#This Row],[MOVIL]],[1]LIQUIDACION!$B:$B,[1]LIQUIDACION!$A:$A,"-",0)</f>
        <v>AEROLINEAS</v>
      </c>
    </row>
    <row r="222" spans="1:8" x14ac:dyDescent="0.3">
      <c r="A222" s="59">
        <v>1698</v>
      </c>
      <c r="B222" s="5">
        <f>+SUMIFS(Tabla16[Importe],Tabla16[MOVIL],Tabla38[[#This Row],[MOVIL]],Tabla16[OBSV],"DESCONTAR POR USO PERSONAL")</f>
        <v>25.2</v>
      </c>
      <c r="C222" s="5">
        <f>+SUMIFS(Tabla16[Importe],Tabla16[MOVIL],Tabla38[[#This Row],[MOVIL]],Tabla16[OBSV],"DESCONTAR POR INCIDENCIA")</f>
        <v>0</v>
      </c>
      <c r="D222" s="5">
        <f>+SUMIFS(Tabla16[Importe],Tabla16[MOVIL],Tabla38[[#This Row],[MOVIL]],Tabla16[OBSV],"DESCONTAR SERVICIO EN EFECTIVO")</f>
        <v>0</v>
      </c>
      <c r="E222" s="5">
        <f>+IFERROR(VLOOKUP(Tabla38[[#This Row],[MOVIL]],Tabla1[[#All],[MOVIL]:[COBRO POR NUEVA INCLUSIÓN]],4,FALSE),0)</f>
        <v>0</v>
      </c>
      <c r="F22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2" s="5"/>
      <c r="H222" s="5" t="str">
        <f>_xlfn.XLOOKUP(Tabla38[[#This Row],[MOVIL]],[1]LIQUIDACION!$B:$B,[1]LIQUIDACION!$A:$A,"-",0)</f>
        <v>AEROPUERTO VAN</v>
      </c>
    </row>
    <row r="223" spans="1:8" x14ac:dyDescent="0.3">
      <c r="A223" s="59">
        <v>2852</v>
      </c>
      <c r="B223" s="5">
        <f>+SUMIFS(Tabla16[Importe],Tabla16[MOVIL],Tabla38[[#This Row],[MOVIL]],Tabla16[OBSV],"DESCONTAR POR USO PERSONAL")</f>
        <v>25.2</v>
      </c>
      <c r="C223" s="5">
        <f>+SUMIFS(Tabla16[Importe],Tabla16[MOVIL],Tabla38[[#This Row],[MOVIL]],Tabla16[OBSV],"DESCONTAR POR INCIDENCIA")</f>
        <v>0</v>
      </c>
      <c r="D223" s="5">
        <f>+SUMIFS(Tabla16[Importe],Tabla16[MOVIL],Tabla38[[#This Row],[MOVIL]],Tabla16[OBSV],"DESCONTAR SERVICIO EN EFECTIVO")</f>
        <v>0</v>
      </c>
      <c r="E223" s="5">
        <f>+IFERROR(VLOOKUP(Tabla38[[#This Row],[MOVIL]],Tabla1[[#All],[MOVIL]:[COBRO POR NUEVA INCLUSIÓN]],4,FALSE),0)</f>
        <v>0</v>
      </c>
      <c r="F2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3" s="5"/>
      <c r="H223" s="5" t="str">
        <f>_xlfn.XLOOKUP(Tabla38[[#This Row],[MOVIL]],[1]LIQUIDACION!$B:$B,[1]LIQUIDACION!$A:$A,"-",0)</f>
        <v>AEROPUERTO</v>
      </c>
    </row>
    <row r="224" spans="1:8" x14ac:dyDescent="0.3">
      <c r="A224" s="59">
        <v>1675</v>
      </c>
      <c r="B224" s="5">
        <f>+SUMIFS(Tabla16[Importe],Tabla16[MOVIL],Tabla38[[#This Row],[MOVIL]],Tabla16[OBSV],"DESCONTAR POR USO PERSONAL")</f>
        <v>12.6</v>
      </c>
      <c r="C224" s="5">
        <f>+SUMIFS(Tabla16[Importe],Tabla16[MOVIL],Tabla38[[#This Row],[MOVIL]],Tabla16[OBSV],"DESCONTAR POR INCIDENCIA")</f>
        <v>0</v>
      </c>
      <c r="D224" s="5">
        <f>+SUMIFS(Tabla16[Importe],Tabla16[MOVIL],Tabla38[[#This Row],[MOVIL]],Tabla16[OBSV],"DESCONTAR SERVICIO EN EFECTIVO")</f>
        <v>0</v>
      </c>
      <c r="E224" s="5">
        <f>+IFERROR(VLOOKUP(Tabla38[[#This Row],[MOVIL]],Tabla1[[#All],[MOVIL]:[COBRO POR NUEVA INCLUSIÓN]],4,FALSE),0)</f>
        <v>0</v>
      </c>
      <c r="F22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4" s="5"/>
      <c r="H224" s="5" t="str">
        <f>_xlfn.XLOOKUP(Tabla38[[#This Row],[MOVIL]],[1]LIQUIDACION!$B:$B,[1]LIQUIDACION!$A:$A,"-",0)</f>
        <v>AEROPUERTO VAN</v>
      </c>
    </row>
    <row r="225" spans="1:8" x14ac:dyDescent="0.3">
      <c r="A225" s="59">
        <v>3663</v>
      </c>
      <c r="B225" s="5">
        <f>+SUMIFS(Tabla16[Importe],Tabla16[MOVIL],Tabla38[[#This Row],[MOVIL]],Tabla16[OBSV],"DESCONTAR POR USO PERSONAL")</f>
        <v>37.799999999999997</v>
      </c>
      <c r="C225" s="5">
        <f>+SUMIFS(Tabla16[Importe],Tabla16[MOVIL],Tabla38[[#This Row],[MOVIL]],Tabla16[OBSV],"DESCONTAR POR INCIDENCIA")</f>
        <v>0</v>
      </c>
      <c r="D225" s="5">
        <f>+SUMIFS(Tabla16[Importe],Tabla16[MOVIL],Tabla38[[#This Row],[MOVIL]],Tabla16[OBSV],"DESCONTAR SERVICIO EN EFECTIVO")</f>
        <v>6.3</v>
      </c>
      <c r="E225" s="5">
        <f>+IFERROR(VLOOKUP(Tabla38[[#This Row],[MOVIL]],Tabla1[[#All],[MOVIL]:[COBRO POR NUEVA INCLUSIÓN]],4,FALSE),0)</f>
        <v>0</v>
      </c>
      <c r="F225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225" s="5"/>
      <c r="H225" s="5" t="str">
        <f>_xlfn.XLOOKUP(Tabla38[[#This Row],[MOVIL]],[1]LIQUIDACION!$B:$B,[1]LIQUIDACION!$A:$A,"-",0)</f>
        <v>AEROPUERTO</v>
      </c>
    </row>
    <row r="226" spans="1:8" x14ac:dyDescent="0.3">
      <c r="A226" s="59">
        <v>709</v>
      </c>
      <c r="B226" s="5">
        <f>+SUMIFS(Tabla16[Importe],Tabla16[MOVIL],Tabla38[[#This Row],[MOVIL]],Tabla16[OBSV],"DESCONTAR POR USO PERSONAL")</f>
        <v>12.6</v>
      </c>
      <c r="C226" s="5">
        <f>+SUMIFS(Tabla16[Importe],Tabla16[MOVIL],Tabla38[[#This Row],[MOVIL]],Tabla16[OBSV],"DESCONTAR POR INCIDENCIA")</f>
        <v>0</v>
      </c>
      <c r="D226" s="5">
        <f>+SUMIFS(Tabla16[Importe],Tabla16[MOVIL],Tabla38[[#This Row],[MOVIL]],Tabla16[OBSV],"DESCONTAR SERVICIO EN EFECTIVO")</f>
        <v>12.6</v>
      </c>
      <c r="E226" s="5">
        <f>+IFERROR(VLOOKUP(Tabla38[[#This Row],[MOVIL]],Tabla1[[#All],[MOVIL]:[COBRO POR NUEVA INCLUSIÓN]],4,FALSE),0)</f>
        <v>0</v>
      </c>
      <c r="F22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6" s="5"/>
      <c r="H226" s="5" t="str">
        <f>_xlfn.XLOOKUP(Tabla38[[#This Row],[MOVIL]],[1]LIQUIDACION!$B:$B,[1]LIQUIDACION!$A:$A,"-",0)</f>
        <v>AEROLINEAS</v>
      </c>
    </row>
    <row r="227" spans="1:8" x14ac:dyDescent="0.3">
      <c r="A227" s="59">
        <v>3575</v>
      </c>
      <c r="B227" s="5">
        <f>+SUMIFS(Tabla16[Importe],Tabla16[MOVIL],Tabla38[[#This Row],[MOVIL]],Tabla16[OBSV],"DESCONTAR POR USO PERSONAL")</f>
        <v>25.2</v>
      </c>
      <c r="C227" s="5">
        <f>+SUMIFS(Tabla16[Importe],Tabla16[MOVIL],Tabla38[[#This Row],[MOVIL]],Tabla16[OBSV],"DESCONTAR POR INCIDENCIA")</f>
        <v>0</v>
      </c>
      <c r="D227" s="5">
        <f>+SUMIFS(Tabla16[Importe],Tabla16[MOVIL],Tabla38[[#This Row],[MOVIL]],Tabla16[OBSV],"DESCONTAR SERVICIO EN EFECTIVO")</f>
        <v>0</v>
      </c>
      <c r="E227" s="5">
        <f>+IFERROR(VLOOKUP(Tabla38[[#This Row],[MOVIL]],Tabla1[[#All],[MOVIL]:[COBRO POR NUEVA INCLUSIÓN]],4,FALSE),0)</f>
        <v>0</v>
      </c>
      <c r="F2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27" s="5"/>
      <c r="H227" s="5" t="str">
        <f>_xlfn.XLOOKUP(Tabla38[[#This Row],[MOVIL]],[1]LIQUIDACION!$B:$B,[1]LIQUIDACION!$A:$A,"-",0)</f>
        <v>URBANO PARTNER</v>
      </c>
    </row>
    <row r="228" spans="1:8" x14ac:dyDescent="0.3">
      <c r="A228" s="59">
        <v>9377</v>
      </c>
      <c r="B228" s="5">
        <f>+SUMIFS(Tabla16[Importe],Tabla16[MOVIL],Tabla38[[#This Row],[MOVIL]],Tabla16[OBSV],"DESCONTAR POR USO PERSONAL")</f>
        <v>25.2</v>
      </c>
      <c r="C228" s="5">
        <f>+SUMIFS(Tabla16[Importe],Tabla16[MOVIL],Tabla38[[#This Row],[MOVIL]],Tabla16[OBSV],"DESCONTAR POR INCIDENCIA")</f>
        <v>0</v>
      </c>
      <c r="D228" s="5">
        <f>+SUMIFS(Tabla16[Importe],Tabla16[MOVIL],Tabla38[[#This Row],[MOVIL]],Tabla16[OBSV],"DESCONTAR SERVICIO EN EFECTIVO")</f>
        <v>12.6</v>
      </c>
      <c r="E228" s="5">
        <f>+IFERROR(VLOOKUP(Tabla38[[#This Row],[MOVIL]],Tabla1[[#All],[MOVIL]:[COBRO POR NUEVA INCLUSIÓN]],4,FALSE),0)</f>
        <v>0</v>
      </c>
      <c r="F22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28" s="5"/>
      <c r="H228" s="5" t="str">
        <f>_xlfn.XLOOKUP(Tabla38[[#This Row],[MOVIL]],[1]LIQUIDACION!$B:$B,[1]LIQUIDACION!$A:$A,"-",0)</f>
        <v>AEROLINEAS</v>
      </c>
    </row>
    <row r="229" spans="1:8" x14ac:dyDescent="0.3">
      <c r="A229" s="59">
        <v>3594</v>
      </c>
      <c r="B229" s="5">
        <f>+SUMIFS(Tabla16[Importe],Tabla16[MOVIL],Tabla38[[#This Row],[MOVIL]],Tabla16[OBSV],"DESCONTAR POR USO PERSONAL")</f>
        <v>12.6</v>
      </c>
      <c r="C229" s="5">
        <f>+SUMIFS(Tabla16[Importe],Tabla16[MOVIL],Tabla38[[#This Row],[MOVIL]],Tabla16[OBSV],"DESCONTAR POR INCIDENCIA")</f>
        <v>0</v>
      </c>
      <c r="D229" s="5">
        <f>+SUMIFS(Tabla16[Importe],Tabla16[MOVIL],Tabla38[[#This Row],[MOVIL]],Tabla16[OBSV],"DESCONTAR SERVICIO EN EFECTIVO")</f>
        <v>0</v>
      </c>
      <c r="E229" s="5">
        <f>+IFERROR(VLOOKUP(Tabla38[[#This Row],[MOVIL]],Tabla1[[#All],[MOVIL]:[COBRO POR NUEVA INCLUSIÓN]],4,FALSE),0)</f>
        <v>0</v>
      </c>
      <c r="F22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29" s="5"/>
      <c r="H229" s="5" t="str">
        <f>_xlfn.XLOOKUP(Tabla38[[#This Row],[MOVIL]],[1]LIQUIDACION!$B:$B,[1]LIQUIDACION!$A:$A,"-",0)</f>
        <v>AEROLINEAS</v>
      </c>
    </row>
    <row r="230" spans="1:8" x14ac:dyDescent="0.3">
      <c r="A230" s="59">
        <v>1878</v>
      </c>
      <c r="B230" s="5">
        <f>+SUMIFS(Tabla16[Importe],Tabla16[MOVIL],Tabla38[[#This Row],[MOVIL]],Tabla16[OBSV],"DESCONTAR POR USO PERSONAL")</f>
        <v>88.199999999999974</v>
      </c>
      <c r="C230" s="5">
        <f>+SUMIFS(Tabla16[Importe],Tabla16[MOVIL],Tabla38[[#This Row],[MOVIL]],Tabla16[OBSV],"DESCONTAR POR INCIDENCIA")</f>
        <v>0</v>
      </c>
      <c r="D230" s="5">
        <f>+SUMIFS(Tabla16[Importe],Tabla16[MOVIL],Tabla38[[#This Row],[MOVIL]],Tabla16[OBSV],"DESCONTAR SERVICIO EN EFECTIVO")</f>
        <v>12.6</v>
      </c>
      <c r="E230" s="5">
        <f>+IFERROR(VLOOKUP(Tabla38[[#This Row],[MOVIL]],Tabla1[[#All],[MOVIL]:[COBRO POR NUEVA INCLUSIÓN]],4,FALSE),0)</f>
        <v>0</v>
      </c>
      <c r="F230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230" s="5"/>
      <c r="H230" s="5" t="str">
        <f>_xlfn.XLOOKUP(Tabla38[[#This Row],[MOVIL]],[1]LIQUIDACION!$B:$B,[1]LIQUIDACION!$A:$A,"-",0)</f>
        <v>AEROPUERTO</v>
      </c>
    </row>
    <row r="231" spans="1:8" x14ac:dyDescent="0.3">
      <c r="A231" s="8">
        <v>9110</v>
      </c>
      <c r="B231" s="5">
        <f>+SUMIFS(Tabla16[Importe],Tabla16[MOVIL],Tabla38[[#This Row],[MOVIL]],Tabla16[OBSV],"DESCONTAR POR USO PERSONAL")</f>
        <v>25.2</v>
      </c>
      <c r="C231" s="5">
        <f>+SUMIFS(Tabla16[Importe],Tabla16[MOVIL],Tabla38[[#This Row],[MOVIL]],Tabla16[OBSV],"DESCONTAR POR INCIDENCIA")</f>
        <v>0</v>
      </c>
      <c r="D231" s="5">
        <f>+SUMIFS(Tabla16[Importe],Tabla16[MOVIL],Tabla38[[#This Row],[MOVIL]],Tabla16[OBSV],"DESCONTAR SERVICIO EN EFECTIVO")</f>
        <v>12.6</v>
      </c>
      <c r="E231" s="5">
        <f>+IFERROR(VLOOKUP(Tabla38[[#This Row],[MOVIL]],Tabla1[[#All],[MOVIL]:[COBRO POR NUEVA INCLUSIÓN]],4,FALSE),0)</f>
        <v>0</v>
      </c>
      <c r="F23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1" s="5"/>
      <c r="H231" s="5" t="s">
        <v>1374</v>
      </c>
    </row>
    <row r="232" spans="1:8" x14ac:dyDescent="0.3">
      <c r="A232" s="59">
        <v>1550</v>
      </c>
      <c r="B232" s="5">
        <f>+SUMIFS(Tabla16[Importe],Tabla16[MOVIL],Tabla38[[#This Row],[MOVIL]],Tabla16[OBSV],"DESCONTAR POR USO PERSONAL")</f>
        <v>31.5</v>
      </c>
      <c r="C232" s="5">
        <f>+SUMIFS(Tabla16[Importe],Tabla16[MOVIL],Tabla38[[#This Row],[MOVIL]],Tabla16[OBSV],"DESCONTAR POR INCIDENCIA")</f>
        <v>12.6</v>
      </c>
      <c r="D232" s="5">
        <f>+SUMIFS(Tabla16[Importe],Tabla16[MOVIL],Tabla38[[#This Row],[MOVIL]],Tabla16[OBSV],"DESCONTAR SERVICIO EN EFECTIVO")</f>
        <v>0</v>
      </c>
      <c r="E232" s="5">
        <f>+IFERROR(VLOOKUP(Tabla38[[#This Row],[MOVIL]],Tabla1[[#All],[MOVIL]:[COBRO POR NUEVA INCLUSIÓN]],4,FALSE),0)</f>
        <v>0</v>
      </c>
      <c r="F232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32" s="5"/>
      <c r="H232" s="5" t="str">
        <f>_xlfn.XLOOKUP(Tabla38[[#This Row],[MOVIL]],[1]LIQUIDACION!$B:$B,[1]LIQUIDACION!$A:$A,"-",0)</f>
        <v>AEROPUERTO</v>
      </c>
    </row>
    <row r="233" spans="1:8" x14ac:dyDescent="0.3">
      <c r="A233" s="59">
        <v>411</v>
      </c>
      <c r="B233" s="5">
        <f>+SUMIFS(Tabla16[Importe],Tabla16[MOVIL],Tabla38[[#This Row],[MOVIL]],Tabla16[OBSV],"DESCONTAR POR USO PERSONAL")</f>
        <v>12.6</v>
      </c>
      <c r="C233" s="5">
        <f>+SUMIFS(Tabla16[Importe],Tabla16[MOVIL],Tabla38[[#This Row],[MOVIL]],Tabla16[OBSV],"DESCONTAR POR INCIDENCIA")</f>
        <v>0</v>
      </c>
      <c r="D233" s="5">
        <f>+SUMIFS(Tabla16[Importe],Tabla16[MOVIL],Tabla38[[#This Row],[MOVIL]],Tabla16[OBSV],"DESCONTAR SERVICIO EN EFECTIVO")</f>
        <v>0</v>
      </c>
      <c r="E233" s="5">
        <f>+IFERROR(VLOOKUP(Tabla38[[#This Row],[MOVIL]],Tabla1[[#All],[MOVIL]:[COBRO POR NUEVA INCLUSIÓN]],4,FALSE),0)</f>
        <v>0</v>
      </c>
      <c r="F2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3" s="5"/>
      <c r="H233" s="5" t="str">
        <f>_xlfn.XLOOKUP(Tabla38[[#This Row],[MOVIL]],[1]LIQUIDACION!$B:$B,[1]LIQUIDACION!$A:$A,"-",0)</f>
        <v>URBANO</v>
      </c>
    </row>
    <row r="234" spans="1:8" x14ac:dyDescent="0.3">
      <c r="A234" s="59">
        <v>205</v>
      </c>
      <c r="B234" s="5">
        <f>+SUMIFS(Tabla16[Importe],Tabla16[MOVIL],Tabla38[[#This Row],[MOVIL]],Tabla16[OBSV],"DESCONTAR POR USO PERSONAL")</f>
        <v>31.5</v>
      </c>
      <c r="C234" s="5">
        <f>+SUMIFS(Tabla16[Importe],Tabla16[MOVIL],Tabla38[[#This Row],[MOVIL]],Tabla16[OBSV],"DESCONTAR POR INCIDENCIA")</f>
        <v>0</v>
      </c>
      <c r="D234" s="5">
        <f>+SUMIFS(Tabla16[Importe],Tabla16[MOVIL],Tabla38[[#This Row],[MOVIL]],Tabla16[OBSV],"DESCONTAR SERVICIO EN EFECTIVO")</f>
        <v>12.6</v>
      </c>
      <c r="E234" s="5">
        <f>+IFERROR(VLOOKUP(Tabla38[[#This Row],[MOVIL]],Tabla1[[#All],[MOVIL]:[COBRO POR NUEVA INCLUSIÓN]],4,FALSE),0)</f>
        <v>0</v>
      </c>
      <c r="F234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34" s="5"/>
      <c r="H234" s="5" t="str">
        <f>_xlfn.XLOOKUP(Tabla38[[#This Row],[MOVIL]],[1]LIQUIDACION!$B:$B,[1]LIQUIDACION!$A:$A,"-",0)</f>
        <v>AEROPUERTO</v>
      </c>
    </row>
    <row r="235" spans="1:8" x14ac:dyDescent="0.3">
      <c r="A235" s="8">
        <v>858</v>
      </c>
      <c r="B235" s="5">
        <f>+SUMIFS(Tabla16[Importe],Tabla16[MOVIL],Tabla38[[#This Row],[MOVIL]],Tabla16[OBSV],"DESCONTAR POR USO PERSONAL")</f>
        <v>0</v>
      </c>
      <c r="C235" s="5">
        <f>+SUMIFS(Tabla16[Importe],Tabla16[MOVIL],Tabla38[[#This Row],[MOVIL]],Tabla16[OBSV],"DESCONTAR POR INCIDENCIA")</f>
        <v>0</v>
      </c>
      <c r="D235" s="5">
        <f>+SUMIFS(Tabla16[Importe],Tabla16[MOVIL],Tabla38[[#This Row],[MOVIL]],Tabla16[OBSV],"DESCONTAR SERVICIO EN EFECTIVO")</f>
        <v>0</v>
      </c>
      <c r="E235" s="5">
        <f>+IFERROR(VLOOKUP(Tabla38[[#This Row],[MOVIL]],Tabla1[[#All],[MOVIL]:[COBRO POR NUEVA INCLUSIÓN]],4,FALSE),0)</f>
        <v>0</v>
      </c>
      <c r="F2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35" s="5"/>
      <c r="H235" s="5" t="str">
        <f>_xlfn.XLOOKUP(Tabla38[[#This Row],[MOVIL]],[1]LIQUIDACION!$B:$B,[1]LIQUIDACION!$A:$A,"-",0)</f>
        <v>URBANO PARTNER</v>
      </c>
    </row>
    <row r="236" spans="1:8" x14ac:dyDescent="0.3">
      <c r="A236" s="59">
        <v>9742</v>
      </c>
      <c r="B236" s="5">
        <f>+SUMIFS(Tabla16[Importe],Tabla16[MOVIL],Tabla38[[#This Row],[MOVIL]],Tabla16[OBSV],"DESCONTAR POR USO PERSONAL")</f>
        <v>25.2</v>
      </c>
      <c r="C236" s="5">
        <f>+SUMIFS(Tabla16[Importe],Tabla16[MOVIL],Tabla38[[#This Row],[MOVIL]],Tabla16[OBSV],"DESCONTAR POR INCIDENCIA")</f>
        <v>0</v>
      </c>
      <c r="D236" s="5">
        <f>+SUMIFS(Tabla16[Importe],Tabla16[MOVIL],Tabla38[[#This Row],[MOVIL]],Tabla16[OBSV],"DESCONTAR SERVICIO EN EFECTIVO")</f>
        <v>12.6</v>
      </c>
      <c r="E236" s="5">
        <f>+IFERROR(VLOOKUP(Tabla38[[#This Row],[MOVIL]],Tabla1[[#All],[MOVIL]:[COBRO POR NUEVA INCLUSIÓN]],4,FALSE),0)</f>
        <v>0</v>
      </c>
      <c r="F236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36" s="5"/>
      <c r="H236" s="5" t="str">
        <f>_xlfn.XLOOKUP(Tabla38[[#This Row],[MOVIL]],[1]LIQUIDACION!$B:$B,[1]LIQUIDACION!$A:$A,"-",0)</f>
        <v>AEROPUERTO</v>
      </c>
    </row>
    <row r="237" spans="1:8" x14ac:dyDescent="0.3">
      <c r="A237" s="59">
        <v>3061</v>
      </c>
      <c r="B237" s="5">
        <f>+SUMIFS(Tabla16[Importe],Tabla16[MOVIL],Tabla38[[#This Row],[MOVIL]],Tabla16[OBSV],"DESCONTAR POR USO PERSONAL")</f>
        <v>25.2</v>
      </c>
      <c r="C237" s="5">
        <f>+SUMIFS(Tabla16[Importe],Tabla16[MOVIL],Tabla38[[#This Row],[MOVIL]],Tabla16[OBSV],"DESCONTAR POR INCIDENCIA")</f>
        <v>0</v>
      </c>
      <c r="D237" s="5">
        <f>+SUMIFS(Tabla16[Importe],Tabla16[MOVIL],Tabla38[[#This Row],[MOVIL]],Tabla16[OBSV],"DESCONTAR SERVICIO EN EFECTIVO")</f>
        <v>0</v>
      </c>
      <c r="E237" s="5">
        <f>+IFERROR(VLOOKUP(Tabla38[[#This Row],[MOVIL]],Tabla1[[#All],[MOVIL]:[COBRO POR NUEVA INCLUSIÓN]],4,FALSE),0)</f>
        <v>0</v>
      </c>
      <c r="F2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37" s="5"/>
      <c r="H237" s="5" t="str">
        <f>_xlfn.XLOOKUP(Tabla38[[#This Row],[MOVIL]],[1]LIQUIDACION!$B:$B,[1]LIQUIDACION!$A:$A,"-",0)</f>
        <v>AEROLINEAS</v>
      </c>
    </row>
    <row r="238" spans="1:8" x14ac:dyDescent="0.3">
      <c r="A238" s="59">
        <v>3833</v>
      </c>
      <c r="B238" s="5">
        <f>+SUMIFS(Tabla16[Importe],Tabla16[MOVIL],Tabla38[[#This Row],[MOVIL]],Tabla16[OBSV],"DESCONTAR POR USO PERSONAL")</f>
        <v>6.3</v>
      </c>
      <c r="C238" s="5">
        <f>+SUMIFS(Tabla16[Importe],Tabla16[MOVIL],Tabla38[[#This Row],[MOVIL]],Tabla16[OBSV],"DESCONTAR POR INCIDENCIA")</f>
        <v>0</v>
      </c>
      <c r="D238" s="5">
        <f>+SUMIFS(Tabla16[Importe],Tabla16[MOVIL],Tabla38[[#This Row],[MOVIL]],Tabla16[OBSV],"DESCONTAR SERVICIO EN EFECTIVO")</f>
        <v>12.6</v>
      </c>
      <c r="E238" s="5">
        <f>+IFERROR(VLOOKUP(Tabla38[[#This Row],[MOVIL]],Tabla1[[#All],[MOVIL]:[COBRO POR NUEVA INCLUSIÓN]],4,FALSE),0)</f>
        <v>0</v>
      </c>
      <c r="F2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38" s="5"/>
      <c r="H238" s="5" t="str">
        <f>_xlfn.XLOOKUP(Tabla38[[#This Row],[MOVIL]],[1]LIQUIDACION!$B:$B,[1]LIQUIDACION!$A:$A,"-",0)</f>
        <v>AEROPUERTO</v>
      </c>
    </row>
    <row r="239" spans="1:8" x14ac:dyDescent="0.3">
      <c r="A239" s="59">
        <v>3799</v>
      </c>
      <c r="B239" s="5">
        <f>+SUMIFS(Tabla16[Importe],Tabla16[MOVIL],Tabla38[[#This Row],[MOVIL]],Tabla16[OBSV],"DESCONTAR POR USO PERSONAL")</f>
        <v>12.6</v>
      </c>
      <c r="C239" s="5">
        <f>+SUMIFS(Tabla16[Importe],Tabla16[MOVIL],Tabla38[[#This Row],[MOVIL]],Tabla16[OBSV],"DESCONTAR POR INCIDENCIA")</f>
        <v>0</v>
      </c>
      <c r="D239" s="5">
        <f>+SUMIFS(Tabla16[Importe],Tabla16[MOVIL],Tabla38[[#This Row],[MOVIL]],Tabla16[OBSV],"DESCONTAR SERVICIO EN EFECTIVO")</f>
        <v>0</v>
      </c>
      <c r="E239" s="5">
        <f>+IFERROR(VLOOKUP(Tabla38[[#This Row],[MOVIL]],Tabla1[[#All],[MOVIL]:[COBRO POR NUEVA INCLUSIÓN]],4,FALSE),0)</f>
        <v>0</v>
      </c>
      <c r="F23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39" s="5"/>
      <c r="H239" s="5" t="str">
        <f>_xlfn.XLOOKUP(Tabla38[[#This Row],[MOVIL]],[1]LIQUIDACION!$B:$B,[1]LIQUIDACION!$A:$A,"-",0)</f>
        <v>URBANO PARTNER</v>
      </c>
    </row>
    <row r="240" spans="1:8" x14ac:dyDescent="0.3">
      <c r="A240" s="59">
        <v>1146</v>
      </c>
      <c r="B240" s="5">
        <f>+SUMIFS(Tabla16[Importe],Tabla16[MOVIL],Tabla38[[#This Row],[MOVIL]],Tabla16[OBSV],"DESCONTAR POR USO PERSONAL")</f>
        <v>12.6</v>
      </c>
      <c r="C240" s="5">
        <f>+SUMIFS(Tabla16[Importe],Tabla16[MOVIL],Tabla38[[#This Row],[MOVIL]],Tabla16[OBSV],"DESCONTAR POR INCIDENCIA")</f>
        <v>0</v>
      </c>
      <c r="D240" s="5">
        <f>+SUMIFS(Tabla16[Importe],Tabla16[MOVIL],Tabla38[[#This Row],[MOVIL]],Tabla16[OBSV],"DESCONTAR SERVICIO EN EFECTIVO")</f>
        <v>0</v>
      </c>
      <c r="E240" s="5">
        <f>+IFERROR(VLOOKUP(Tabla38[[#This Row],[MOVIL]],Tabla1[[#All],[MOVIL]:[COBRO POR NUEVA INCLUSIÓN]],4,FALSE),0)</f>
        <v>0</v>
      </c>
      <c r="F2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0" s="5"/>
      <c r="H240" s="5" t="str">
        <f>_xlfn.XLOOKUP(Tabla38[[#This Row],[MOVIL]],[1]LIQUIDACION!$B:$B,[1]LIQUIDACION!$A:$A,"-",0)</f>
        <v>AEROPUERTO</v>
      </c>
    </row>
    <row r="241" spans="1:8" x14ac:dyDescent="0.3">
      <c r="A241" s="59">
        <v>3816</v>
      </c>
      <c r="B241" s="5">
        <f>+SUMIFS(Tabla16[Importe],Tabla16[MOVIL],Tabla38[[#This Row],[MOVIL]],Tabla16[OBSV],"DESCONTAR POR USO PERSONAL")</f>
        <v>25.2</v>
      </c>
      <c r="C241" s="5">
        <f>+SUMIFS(Tabla16[Importe],Tabla16[MOVIL],Tabla38[[#This Row],[MOVIL]],Tabla16[OBSV],"DESCONTAR POR INCIDENCIA")</f>
        <v>0</v>
      </c>
      <c r="D241" s="5">
        <f>+SUMIFS(Tabla16[Importe],Tabla16[MOVIL],Tabla38[[#This Row],[MOVIL]],Tabla16[OBSV],"DESCONTAR SERVICIO EN EFECTIVO")</f>
        <v>12.6</v>
      </c>
      <c r="E241" s="5">
        <f>+IFERROR(VLOOKUP(Tabla38[[#This Row],[MOVIL]],Tabla1[[#All],[MOVIL]:[COBRO POR NUEVA INCLUSIÓN]],4,FALSE),0)</f>
        <v>0</v>
      </c>
      <c r="F24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41" s="5"/>
      <c r="H241" s="5" t="str">
        <f>_xlfn.XLOOKUP(Tabla38[[#This Row],[MOVIL]],[1]LIQUIDACION!$B:$B,[1]LIQUIDACION!$A:$A,"-",0)</f>
        <v>AEROPUERTO</v>
      </c>
    </row>
    <row r="242" spans="1:8" x14ac:dyDescent="0.3">
      <c r="A242" s="59">
        <v>3842</v>
      </c>
      <c r="B242" s="5">
        <f>+SUMIFS(Tabla16[Importe],Tabla16[MOVIL],Tabla38[[#This Row],[MOVIL]],Tabla16[OBSV],"DESCONTAR POR USO PERSONAL")</f>
        <v>6.3</v>
      </c>
      <c r="C242" s="5">
        <f>+SUMIFS(Tabla16[Importe],Tabla16[MOVIL],Tabla38[[#This Row],[MOVIL]],Tabla16[OBSV],"DESCONTAR POR INCIDENCIA")</f>
        <v>0</v>
      </c>
      <c r="D242" s="5">
        <f>+SUMIFS(Tabla16[Importe],Tabla16[MOVIL],Tabla38[[#This Row],[MOVIL]],Tabla16[OBSV],"DESCONTAR SERVICIO EN EFECTIVO")</f>
        <v>12.6</v>
      </c>
      <c r="E242" s="5">
        <f>+IFERROR(VLOOKUP(Tabla38[[#This Row],[MOVIL]],Tabla1[[#All],[MOVIL]:[COBRO POR NUEVA INCLUSIÓN]],4,FALSE),0)</f>
        <v>0</v>
      </c>
      <c r="F242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2" s="5"/>
      <c r="H242" s="5" t="str">
        <f>_xlfn.XLOOKUP(Tabla38[[#This Row],[MOVIL]],[1]LIQUIDACION!$B:$B,[1]LIQUIDACION!$A:$A,"-",0)</f>
        <v>AEROPUERTO</v>
      </c>
    </row>
    <row r="243" spans="1:8" x14ac:dyDescent="0.3">
      <c r="A243" s="59">
        <v>3855</v>
      </c>
      <c r="B243" s="5">
        <f>+SUMIFS(Tabla16[Importe],Tabla16[MOVIL],Tabla38[[#This Row],[MOVIL]],Tabla16[OBSV],"DESCONTAR POR USO PERSONAL")</f>
        <v>25.2</v>
      </c>
      <c r="C243" s="5">
        <f>+SUMIFS(Tabla16[Importe],Tabla16[MOVIL],Tabla38[[#This Row],[MOVIL]],Tabla16[OBSV],"DESCONTAR POR INCIDENCIA")</f>
        <v>0</v>
      </c>
      <c r="D243" s="5">
        <f>+SUMIFS(Tabla16[Importe],Tabla16[MOVIL],Tabla38[[#This Row],[MOVIL]],Tabla16[OBSV],"DESCONTAR SERVICIO EN EFECTIVO")</f>
        <v>0</v>
      </c>
      <c r="E243" s="5">
        <f>+IFERROR(VLOOKUP(Tabla38[[#This Row],[MOVIL]],Tabla1[[#All],[MOVIL]:[COBRO POR NUEVA INCLUSIÓN]],4,FALSE),0)</f>
        <v>0</v>
      </c>
      <c r="F2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3" s="5"/>
      <c r="H243" s="5" t="str">
        <f>_xlfn.XLOOKUP(Tabla38[[#This Row],[MOVIL]],[1]LIQUIDACION!$B:$B,[1]LIQUIDACION!$A:$A,"-",0)</f>
        <v>AEROPUERTO</v>
      </c>
    </row>
    <row r="244" spans="1:8" x14ac:dyDescent="0.3">
      <c r="A244" s="59">
        <v>785</v>
      </c>
      <c r="B244" s="5">
        <f>+SUMIFS(Tabla16[Importe],Tabla16[MOVIL],Tabla38[[#This Row],[MOVIL]],Tabla16[OBSV],"DESCONTAR POR USO PERSONAL")</f>
        <v>50.399999999999991</v>
      </c>
      <c r="C244" s="5">
        <f>+SUMIFS(Tabla16[Importe],Tabla16[MOVIL],Tabla38[[#This Row],[MOVIL]],Tabla16[OBSV],"DESCONTAR POR INCIDENCIA")</f>
        <v>12.6</v>
      </c>
      <c r="D244" s="5">
        <f>+SUMIFS(Tabla16[Importe],Tabla16[MOVIL],Tabla38[[#This Row],[MOVIL]],Tabla16[OBSV],"DESCONTAR SERVICIO EN EFECTIVO")</f>
        <v>12.6</v>
      </c>
      <c r="E244" s="5">
        <f>+IFERROR(VLOOKUP(Tabla38[[#This Row],[MOVIL]],Tabla1[[#All],[MOVIL]:[COBRO POR NUEVA INCLUSIÓN]],4,FALSE),0)</f>
        <v>0</v>
      </c>
      <c r="F244" s="5">
        <f>(Tabla38[[#This Row],[DESCUENTO POR USO PERSONAL PEX]]+Tabla38[[#This Row],[DESCUENTO POR INCIDENCIAS PEX]]+Tabla38[[#This Row],[DESCUENTO POR SERVICIOS EN EFECTIVO]]+Tabla38[[#This Row],[DESCUENTO POR NUEVA INCLUSION]])</f>
        <v>75.599999999999994</v>
      </c>
      <c r="G244" s="5"/>
      <c r="H244" s="5" t="str">
        <f>_xlfn.XLOOKUP(Tabla38[[#This Row],[MOVIL]],[1]LIQUIDACION!$B:$B,[1]LIQUIDACION!$A:$A,"-",0)</f>
        <v>AEROPUERTO</v>
      </c>
    </row>
    <row r="245" spans="1:8" x14ac:dyDescent="0.3">
      <c r="A245" s="59">
        <v>2653</v>
      </c>
      <c r="B245" s="5">
        <f>+SUMIFS(Tabla16[Importe],Tabla16[MOVIL],Tabla38[[#This Row],[MOVIL]],Tabla16[OBSV],"DESCONTAR POR USO PERSONAL")</f>
        <v>56.699999999999989</v>
      </c>
      <c r="C245" s="5">
        <f>+SUMIFS(Tabla16[Importe],Tabla16[MOVIL],Tabla38[[#This Row],[MOVIL]],Tabla16[OBSV],"DESCONTAR POR INCIDENCIA")</f>
        <v>12.6</v>
      </c>
      <c r="D245" s="5">
        <f>+SUMIFS(Tabla16[Importe],Tabla16[MOVIL],Tabla38[[#This Row],[MOVIL]],Tabla16[OBSV],"DESCONTAR SERVICIO EN EFECTIVO")</f>
        <v>12.6</v>
      </c>
      <c r="E245" s="5">
        <f>+IFERROR(VLOOKUP(Tabla38[[#This Row],[MOVIL]],Tabla1[[#All],[MOVIL]:[COBRO POR NUEVA INCLUSIÓN]],4,FALSE),0)</f>
        <v>0</v>
      </c>
      <c r="F245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245" s="5"/>
      <c r="H245" s="5" t="str">
        <f>_xlfn.XLOOKUP(Tabla38[[#This Row],[MOVIL]],[1]LIQUIDACION!$B:$B,[1]LIQUIDACION!$A:$A,"-",0)</f>
        <v>AEROPUERTO</v>
      </c>
    </row>
    <row r="246" spans="1:8" x14ac:dyDescent="0.3">
      <c r="A246" s="59">
        <v>2597</v>
      </c>
      <c r="B246" s="5">
        <f>+SUMIFS(Tabla16[Importe],Tabla16[MOVIL],Tabla38[[#This Row],[MOVIL]],Tabla16[OBSV],"DESCONTAR POR USO PERSONAL")</f>
        <v>6.3</v>
      </c>
      <c r="C246" s="5">
        <f>+SUMIFS(Tabla16[Importe],Tabla16[MOVIL],Tabla38[[#This Row],[MOVIL]],Tabla16[OBSV],"DESCONTAR POR INCIDENCIA")</f>
        <v>12.6</v>
      </c>
      <c r="D246" s="5">
        <f>+SUMIFS(Tabla16[Importe],Tabla16[MOVIL],Tabla38[[#This Row],[MOVIL]],Tabla16[OBSV],"DESCONTAR SERVICIO EN EFECTIVO")</f>
        <v>0</v>
      </c>
      <c r="E246" s="5">
        <f>+IFERROR(VLOOKUP(Tabla38[[#This Row],[MOVIL]],Tabla1[[#All],[MOVIL]:[COBRO POR NUEVA INCLUSIÓN]],4,FALSE),0)</f>
        <v>0</v>
      </c>
      <c r="F246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46" s="5"/>
      <c r="H246" s="5" t="str">
        <f>_xlfn.XLOOKUP(Tabla38[[#This Row],[MOVIL]],[1]LIQUIDACION!$B:$B,[1]LIQUIDACION!$A:$A,"-",0)</f>
        <v>AEROLINEAS</v>
      </c>
    </row>
    <row r="247" spans="1:8" x14ac:dyDescent="0.3">
      <c r="A247" s="8">
        <v>319</v>
      </c>
      <c r="B247" s="5">
        <f>+SUMIFS(Tabla16[Importe],Tabla16[MOVIL],Tabla38[[#This Row],[MOVIL]],Tabla16[OBSV],"DESCONTAR POR USO PERSONAL")</f>
        <v>0</v>
      </c>
      <c r="C247" s="5">
        <f>+SUMIFS(Tabla16[Importe],Tabla16[MOVIL],Tabla38[[#This Row],[MOVIL]],Tabla16[OBSV],"DESCONTAR POR INCIDENCIA")</f>
        <v>6.3</v>
      </c>
      <c r="D247" s="5">
        <f>+SUMIFS(Tabla16[Importe],Tabla16[MOVIL],Tabla38[[#This Row],[MOVIL]],Tabla16[OBSV],"DESCONTAR SERVICIO EN EFECTIVO")</f>
        <v>0</v>
      </c>
      <c r="E247" s="5">
        <f>+IFERROR(VLOOKUP(Tabla38[[#This Row],[MOVIL]],Tabla1[[#All],[MOVIL]:[COBRO POR NUEVA INCLUSIÓN]],4,FALSE),0)</f>
        <v>0</v>
      </c>
      <c r="F24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47" s="5"/>
      <c r="H247" s="5" t="str">
        <f>_xlfn.XLOOKUP(Tabla38[[#This Row],[MOVIL]],[1]LIQUIDACION!$B:$B,[1]LIQUIDACION!$A:$A,"-",0)</f>
        <v>URBANO PARTNER</v>
      </c>
    </row>
    <row r="248" spans="1:8" x14ac:dyDescent="0.3">
      <c r="A248" s="59">
        <v>684</v>
      </c>
      <c r="B248" s="5">
        <f>+SUMIFS(Tabla16[Importe],Tabla16[MOVIL],Tabla38[[#This Row],[MOVIL]],Tabla16[OBSV],"DESCONTAR POR USO PERSONAL")</f>
        <v>25.2</v>
      </c>
      <c r="C248" s="5">
        <f>+SUMIFS(Tabla16[Importe],Tabla16[MOVIL],Tabla38[[#This Row],[MOVIL]],Tabla16[OBSV],"DESCONTAR POR INCIDENCIA")</f>
        <v>0</v>
      </c>
      <c r="D248" s="5">
        <f>+SUMIFS(Tabla16[Importe],Tabla16[MOVIL],Tabla38[[#This Row],[MOVIL]],Tabla16[OBSV],"DESCONTAR SERVICIO EN EFECTIVO")</f>
        <v>0</v>
      </c>
      <c r="E248" s="5">
        <f>+IFERROR(VLOOKUP(Tabla38[[#This Row],[MOVIL]],Tabla1[[#All],[MOVIL]:[COBRO POR NUEVA INCLUSIÓN]],4,FALSE),0)</f>
        <v>0</v>
      </c>
      <c r="F24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48" s="5"/>
      <c r="H248" s="5" t="str">
        <f>_xlfn.XLOOKUP(Tabla38[[#This Row],[MOVIL]],[1]LIQUIDACION!$B:$B,[1]LIQUIDACION!$A:$A,"-",0)</f>
        <v>URBANO</v>
      </c>
    </row>
    <row r="249" spans="1:8" x14ac:dyDescent="0.3">
      <c r="A249" s="59">
        <v>3938</v>
      </c>
      <c r="B249" s="5">
        <f>+SUMIFS(Tabla16[Importe],Tabla16[MOVIL],Tabla38[[#This Row],[MOVIL]],Tabla16[OBSV],"DESCONTAR POR USO PERSONAL")</f>
        <v>12.6</v>
      </c>
      <c r="C249" s="5">
        <f>+SUMIFS(Tabla16[Importe],Tabla16[MOVIL],Tabla38[[#This Row],[MOVIL]],Tabla16[OBSV],"DESCONTAR POR INCIDENCIA")</f>
        <v>0</v>
      </c>
      <c r="D249" s="5">
        <f>+SUMIFS(Tabla16[Importe],Tabla16[MOVIL],Tabla38[[#This Row],[MOVIL]],Tabla16[OBSV],"DESCONTAR SERVICIO EN EFECTIVO")</f>
        <v>0</v>
      </c>
      <c r="E249" s="5">
        <f>+IFERROR(VLOOKUP(Tabla38[[#This Row],[MOVIL]],Tabla1[[#All],[MOVIL]:[COBRO POR NUEVA INCLUSIÓN]],4,FALSE),0)</f>
        <v>0</v>
      </c>
      <c r="F24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49" s="5"/>
      <c r="H249" s="5" t="str">
        <f>_xlfn.XLOOKUP(Tabla38[[#This Row],[MOVIL]],[1]LIQUIDACION!$B:$B,[1]LIQUIDACION!$A:$A,"-",0)</f>
        <v>AEROLINEAS</v>
      </c>
    </row>
    <row r="250" spans="1:8" x14ac:dyDescent="0.3">
      <c r="A250" s="8">
        <v>2020</v>
      </c>
      <c r="B250" s="5">
        <f>+SUMIFS(Tabla16[Importe],Tabla16[MOVIL],Tabla38[[#This Row],[MOVIL]],Tabla16[OBSV],"DESCONTAR POR USO PERSONAL")</f>
        <v>0</v>
      </c>
      <c r="C250" s="5">
        <f>+SUMIFS(Tabla16[Importe],Tabla16[MOVIL],Tabla38[[#This Row],[MOVIL]],Tabla16[OBSV],"DESCONTAR POR INCIDENCIA")</f>
        <v>0</v>
      </c>
      <c r="D250" s="5">
        <f>+SUMIFS(Tabla16[Importe],Tabla16[MOVIL],Tabla38[[#This Row],[MOVIL]],Tabla16[OBSV],"DESCONTAR SERVICIO EN EFECTIVO")</f>
        <v>0</v>
      </c>
      <c r="E250" s="5">
        <f>+IFERROR(VLOOKUP(Tabla38[[#This Row],[MOVIL]],Tabla1[[#All],[MOVIL]:[COBRO POR NUEVA INCLUSIÓN]],4,FALSE),0)</f>
        <v>0</v>
      </c>
      <c r="F25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0" s="5"/>
      <c r="H250" s="5" t="str">
        <f>_xlfn.XLOOKUP(Tabla38[[#This Row],[MOVIL]],[1]LIQUIDACION!$B:$B,[1]LIQUIDACION!$A:$A,"-",0)</f>
        <v>MEMBRESÍA URBANO</v>
      </c>
    </row>
    <row r="251" spans="1:8" x14ac:dyDescent="0.3">
      <c r="A251" s="59">
        <v>9480</v>
      </c>
      <c r="B251" s="5">
        <f>+SUMIFS(Tabla16[Importe],Tabla16[MOVIL],Tabla38[[#This Row],[MOVIL]],Tabla16[OBSV],"DESCONTAR POR USO PERSONAL")</f>
        <v>12.6</v>
      </c>
      <c r="C251" s="5">
        <f>+SUMIFS(Tabla16[Importe],Tabla16[MOVIL],Tabla38[[#This Row],[MOVIL]],Tabla16[OBSV],"DESCONTAR POR INCIDENCIA")</f>
        <v>18.899999999999999</v>
      </c>
      <c r="D251" s="5">
        <f>+SUMIFS(Tabla16[Importe],Tabla16[MOVIL],Tabla38[[#This Row],[MOVIL]],Tabla16[OBSV],"DESCONTAR SERVICIO EN EFECTIVO")</f>
        <v>0</v>
      </c>
      <c r="E251" s="5">
        <f>+IFERROR(VLOOKUP(Tabla38[[#This Row],[MOVIL]],Tabla1[[#All],[MOVIL]:[COBRO POR NUEVA INCLUSIÓN]],4,FALSE),0)</f>
        <v>0</v>
      </c>
      <c r="F251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51" s="5"/>
      <c r="H251" s="5" t="str">
        <f>_xlfn.XLOOKUP(Tabla38[[#This Row],[MOVIL]],[1]LIQUIDACION!$B:$B,[1]LIQUIDACION!$A:$A,"-",0)</f>
        <v>AEROLINEAS</v>
      </c>
    </row>
    <row r="252" spans="1:8" x14ac:dyDescent="0.3">
      <c r="A252" s="8">
        <v>3460</v>
      </c>
      <c r="B252" s="5">
        <f>+SUMIFS(Tabla16[Importe],Tabla16[MOVIL],Tabla38[[#This Row],[MOVIL]],Tabla16[OBSV],"DESCONTAR POR USO PERSONAL")</f>
        <v>0</v>
      </c>
      <c r="C252" s="5">
        <f>+SUMIFS(Tabla16[Importe],Tabla16[MOVIL],Tabla38[[#This Row],[MOVIL]],Tabla16[OBSV],"DESCONTAR POR INCIDENCIA")</f>
        <v>12.6</v>
      </c>
      <c r="D252" s="5">
        <f>+SUMIFS(Tabla16[Importe],Tabla16[MOVIL],Tabla38[[#This Row],[MOVIL]],Tabla16[OBSV],"DESCONTAR SERVICIO EN EFECTIVO")</f>
        <v>25.2</v>
      </c>
      <c r="E252" s="5">
        <f>+IFERROR(VLOOKUP(Tabla38[[#This Row],[MOVIL]],Tabla1[[#All],[MOVIL]:[COBRO POR NUEVA INCLUSIÓN]],4,FALSE),0)</f>
        <v>0</v>
      </c>
      <c r="F25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52" s="5"/>
      <c r="H252" s="5" t="str">
        <f>_xlfn.XLOOKUP(Tabla38[[#This Row],[MOVIL]],[1]LIQUIDACION!$B:$B,[1]LIQUIDACION!$A:$A,"-",0)</f>
        <v>AEROLINEAS</v>
      </c>
    </row>
    <row r="253" spans="1:8" x14ac:dyDescent="0.3">
      <c r="A253" s="8">
        <v>7581</v>
      </c>
      <c r="B253" s="5">
        <f>+SUMIFS(Tabla16[Importe],Tabla16[MOVIL],Tabla38[[#This Row],[MOVIL]],Tabla16[OBSV],"DESCONTAR POR USO PERSONAL")</f>
        <v>18.899999999999999</v>
      </c>
      <c r="C253" s="5">
        <f>+SUMIFS(Tabla16[Importe],Tabla16[MOVIL],Tabla38[[#This Row],[MOVIL]],Tabla16[OBSV],"DESCONTAR POR INCIDENCIA")</f>
        <v>0</v>
      </c>
      <c r="D253" s="5">
        <f>+SUMIFS(Tabla16[Importe],Tabla16[MOVIL],Tabla38[[#This Row],[MOVIL]],Tabla16[OBSV],"DESCONTAR SERVICIO EN EFECTIVO")</f>
        <v>0</v>
      </c>
      <c r="E253" s="5">
        <f>+IFERROR(VLOOKUP(Tabla38[[#This Row],[MOVIL]],Tabla1[[#All],[MOVIL]:[COBRO POR NUEVA INCLUSIÓN]],4,FALSE),0)</f>
        <v>0</v>
      </c>
      <c r="F25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53" s="5"/>
      <c r="H253" s="5" t="s">
        <v>1374</v>
      </c>
    </row>
    <row r="254" spans="1:8" x14ac:dyDescent="0.3">
      <c r="A254" s="59">
        <v>217</v>
      </c>
      <c r="B254" s="5">
        <f>+SUMIFS(Tabla16[Importe],Tabla16[MOVIL],Tabla38[[#This Row],[MOVIL]],Tabla16[OBSV],"DESCONTAR POR USO PERSONAL")</f>
        <v>18.899999999999999</v>
      </c>
      <c r="C254" s="5">
        <f>+SUMIFS(Tabla16[Importe],Tabla16[MOVIL],Tabla38[[#This Row],[MOVIL]],Tabla16[OBSV],"DESCONTAR POR INCIDENCIA")</f>
        <v>12.6</v>
      </c>
      <c r="D254" s="5">
        <f>+SUMIFS(Tabla16[Importe],Tabla16[MOVIL],Tabla38[[#This Row],[MOVIL]],Tabla16[OBSV],"DESCONTAR SERVICIO EN EFECTIVO")</f>
        <v>12.6</v>
      </c>
      <c r="E254" s="5">
        <f>+IFERROR(VLOOKUP(Tabla38[[#This Row],[MOVIL]],Tabla1[[#All],[MOVIL]:[COBRO POR NUEVA INCLUSIÓN]],4,FALSE),0)</f>
        <v>0</v>
      </c>
      <c r="F254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254" s="5"/>
      <c r="H254" s="5" t="str">
        <f>_xlfn.XLOOKUP(Tabla38[[#This Row],[MOVIL]],[1]LIQUIDACION!$B:$B,[1]LIQUIDACION!$A:$A,"-",0)</f>
        <v>AEROPUERTO</v>
      </c>
    </row>
    <row r="255" spans="1:8" x14ac:dyDescent="0.3">
      <c r="A255" s="59">
        <v>865</v>
      </c>
      <c r="B255" s="5">
        <f>+SUMIFS(Tabla16[Importe],Tabla16[MOVIL],Tabla38[[#This Row],[MOVIL]],Tabla16[OBSV],"DESCONTAR POR USO PERSONAL")</f>
        <v>44.099999999999994</v>
      </c>
      <c r="C255" s="5">
        <f>+SUMIFS(Tabla16[Importe],Tabla16[MOVIL],Tabla38[[#This Row],[MOVIL]],Tabla16[OBSV],"DESCONTAR POR INCIDENCIA")</f>
        <v>0</v>
      </c>
      <c r="D255" s="5">
        <f>+SUMIFS(Tabla16[Importe],Tabla16[MOVIL],Tabla38[[#This Row],[MOVIL]],Tabla16[OBSV],"DESCONTAR SERVICIO EN EFECTIVO")</f>
        <v>6.3</v>
      </c>
      <c r="E255" s="5">
        <f>+IFERROR(VLOOKUP(Tabla38[[#This Row],[MOVIL]],Tabla1[[#All],[MOVIL]:[COBRO POR NUEVA INCLUSIÓN]],4,FALSE),0)</f>
        <v>0</v>
      </c>
      <c r="F255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55" s="5"/>
      <c r="H255" s="5" t="str">
        <f>_xlfn.XLOOKUP(Tabla38[[#This Row],[MOVIL]],[1]LIQUIDACION!$B:$B,[1]LIQUIDACION!$A:$A,"-",0)</f>
        <v>AEROPUERTO</v>
      </c>
    </row>
    <row r="256" spans="1:8" x14ac:dyDescent="0.3">
      <c r="A256" s="8">
        <v>3740</v>
      </c>
      <c r="B256" s="5">
        <f>+SUMIFS(Tabla16[Importe],Tabla16[MOVIL],Tabla38[[#This Row],[MOVIL]],Tabla16[OBSV],"DESCONTAR POR USO PERSONAL")</f>
        <v>0</v>
      </c>
      <c r="C256" s="5">
        <f>+SUMIFS(Tabla16[Importe],Tabla16[MOVIL],Tabla38[[#This Row],[MOVIL]],Tabla16[OBSV],"DESCONTAR POR INCIDENCIA")</f>
        <v>0</v>
      </c>
      <c r="D256" s="5">
        <f>+SUMIFS(Tabla16[Importe],Tabla16[MOVIL],Tabla38[[#This Row],[MOVIL]],Tabla16[OBSV],"DESCONTAR SERVICIO EN EFECTIVO")</f>
        <v>0</v>
      </c>
      <c r="E256" s="5">
        <f>+IFERROR(VLOOKUP(Tabla38[[#This Row],[MOVIL]],Tabla1[[#All],[MOVIL]:[COBRO POR NUEVA INCLUSIÓN]],4,FALSE),0)</f>
        <v>0</v>
      </c>
      <c r="F25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56" s="5"/>
      <c r="H256" s="5" t="str">
        <f>_xlfn.XLOOKUP(Tabla38[[#This Row],[MOVIL]],[1]LIQUIDACION!$B:$B,[1]LIQUIDACION!$A:$A,"-",0)</f>
        <v>AEROPUERTO</v>
      </c>
    </row>
    <row r="257" spans="1:8" x14ac:dyDescent="0.3">
      <c r="A257" s="59">
        <v>3398</v>
      </c>
      <c r="B257" s="5">
        <f>+SUMIFS(Tabla16[Importe],Tabla16[MOVIL],Tabla38[[#This Row],[MOVIL]],Tabla16[OBSV],"DESCONTAR POR USO PERSONAL")</f>
        <v>12.6</v>
      </c>
      <c r="C257" s="5">
        <f>+SUMIFS(Tabla16[Importe],Tabla16[MOVIL],Tabla38[[#This Row],[MOVIL]],Tabla16[OBSV],"DESCONTAR POR INCIDENCIA")</f>
        <v>0</v>
      </c>
      <c r="D257" s="5">
        <f>+SUMIFS(Tabla16[Importe],Tabla16[MOVIL],Tabla38[[#This Row],[MOVIL]],Tabla16[OBSV],"DESCONTAR SERVICIO EN EFECTIVO")</f>
        <v>0</v>
      </c>
      <c r="E257" s="5">
        <f>+IFERROR(VLOOKUP(Tabla38[[#This Row],[MOVIL]],Tabla1[[#All],[MOVIL]:[COBRO POR NUEVA INCLUSIÓN]],4,FALSE),0)</f>
        <v>0</v>
      </c>
      <c r="F25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57" s="5"/>
      <c r="H257" s="5" t="str">
        <f>_xlfn.XLOOKUP(Tabla38[[#This Row],[MOVIL]],[1]LIQUIDACION!$B:$B,[1]LIQUIDACION!$A:$A,"-",0)</f>
        <v>MEMBRESÍA URBANO</v>
      </c>
    </row>
    <row r="258" spans="1:8" x14ac:dyDescent="0.3">
      <c r="A258" s="59">
        <v>223</v>
      </c>
      <c r="B258" s="5">
        <f>+SUMIFS(Tabla16[Importe],Tabla16[MOVIL],Tabla38[[#This Row],[MOVIL]],Tabla16[OBSV],"DESCONTAR POR USO PERSONAL")</f>
        <v>6.3</v>
      </c>
      <c r="C258" s="5">
        <f>+SUMIFS(Tabla16[Importe],Tabla16[MOVIL],Tabla38[[#This Row],[MOVIL]],Tabla16[OBSV],"DESCONTAR POR INCIDENCIA")</f>
        <v>0</v>
      </c>
      <c r="D258" s="5">
        <f>+SUMIFS(Tabla16[Importe],Tabla16[MOVIL],Tabla38[[#This Row],[MOVIL]],Tabla16[OBSV],"DESCONTAR SERVICIO EN EFECTIVO")</f>
        <v>0</v>
      </c>
      <c r="E258" s="5">
        <f>+IFERROR(VLOOKUP(Tabla38[[#This Row],[MOVIL]],Tabla1[[#All],[MOVIL]:[COBRO POR NUEVA INCLUSIÓN]],4,FALSE),0)</f>
        <v>0</v>
      </c>
      <c r="F25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8" s="5"/>
      <c r="H258" s="5" t="str">
        <f>_xlfn.XLOOKUP(Tabla38[[#This Row],[MOVIL]],[1]LIQUIDACION!$B:$B,[1]LIQUIDACION!$A:$A,"-",0)</f>
        <v>AEROPUERTO</v>
      </c>
    </row>
    <row r="259" spans="1:8" x14ac:dyDescent="0.3">
      <c r="A259" s="59">
        <v>561</v>
      </c>
      <c r="B259" s="5">
        <f>+SUMIFS(Tabla16[Importe],Tabla16[MOVIL],Tabla38[[#This Row],[MOVIL]],Tabla16[OBSV],"DESCONTAR POR USO PERSONAL")</f>
        <v>6.3</v>
      </c>
      <c r="C259" s="5">
        <f>+SUMIFS(Tabla16[Importe],Tabla16[MOVIL],Tabla38[[#This Row],[MOVIL]],Tabla16[OBSV],"DESCONTAR POR INCIDENCIA")</f>
        <v>0</v>
      </c>
      <c r="D259" s="5">
        <f>+SUMIFS(Tabla16[Importe],Tabla16[MOVIL],Tabla38[[#This Row],[MOVIL]],Tabla16[OBSV],"DESCONTAR SERVICIO EN EFECTIVO")</f>
        <v>0</v>
      </c>
      <c r="E259" s="5">
        <f>+IFERROR(VLOOKUP(Tabla38[[#This Row],[MOVIL]],Tabla1[[#All],[MOVIL]:[COBRO POR NUEVA INCLUSIÓN]],4,FALSE),0)</f>
        <v>0</v>
      </c>
      <c r="F25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59" s="5"/>
      <c r="H259" s="5" t="str">
        <f>_xlfn.XLOOKUP(Tabla38[[#This Row],[MOVIL]],[1]LIQUIDACION!$B:$B,[1]LIQUIDACION!$A:$A,"-",0)</f>
        <v>MEMBRESÍA URBANO</v>
      </c>
    </row>
    <row r="260" spans="1:8" x14ac:dyDescent="0.3">
      <c r="A260" s="59">
        <v>679</v>
      </c>
      <c r="B260" s="5">
        <f>+SUMIFS(Tabla16[Importe],Tabla16[MOVIL],Tabla38[[#This Row],[MOVIL]],Tabla16[OBSV],"DESCONTAR POR USO PERSONAL")</f>
        <v>25.2</v>
      </c>
      <c r="C260" s="5">
        <f>+SUMIFS(Tabla16[Importe],Tabla16[MOVIL],Tabla38[[#This Row],[MOVIL]],Tabla16[OBSV],"DESCONTAR POR INCIDENCIA")</f>
        <v>0</v>
      </c>
      <c r="D260" s="5">
        <f>+SUMIFS(Tabla16[Importe],Tabla16[MOVIL],Tabla38[[#This Row],[MOVIL]],Tabla16[OBSV],"DESCONTAR SERVICIO EN EFECTIVO")</f>
        <v>0</v>
      </c>
      <c r="E260" s="5">
        <f>+IFERROR(VLOOKUP(Tabla38[[#This Row],[MOVIL]],Tabla1[[#All],[MOVIL]:[COBRO POR NUEVA INCLUSIÓN]],4,FALSE),0)</f>
        <v>0</v>
      </c>
      <c r="F26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0" s="5"/>
      <c r="H260" s="5" t="str">
        <f>_xlfn.XLOOKUP(Tabla38[[#This Row],[MOVIL]],[1]LIQUIDACION!$B:$B,[1]LIQUIDACION!$A:$A,"-",0)</f>
        <v>AEROPUERTO</v>
      </c>
    </row>
    <row r="261" spans="1:8" x14ac:dyDescent="0.3">
      <c r="A261" s="59">
        <v>9134</v>
      </c>
      <c r="B261" s="5">
        <f>+SUMIFS(Tabla16[Importe],Tabla16[MOVIL],Tabla38[[#This Row],[MOVIL]],Tabla16[OBSV],"DESCONTAR POR USO PERSONAL")</f>
        <v>12.6</v>
      </c>
      <c r="C261" s="5">
        <f>+SUMIFS(Tabla16[Importe],Tabla16[MOVIL],Tabla38[[#This Row],[MOVIL]],Tabla16[OBSV],"DESCONTAR POR INCIDENCIA")</f>
        <v>12.6</v>
      </c>
      <c r="D261" s="5">
        <f>+SUMIFS(Tabla16[Importe],Tabla16[MOVIL],Tabla38[[#This Row],[MOVIL]],Tabla16[OBSV],"DESCONTAR SERVICIO EN EFECTIVO")</f>
        <v>0</v>
      </c>
      <c r="E261" s="5">
        <f>+IFERROR(VLOOKUP(Tabla38[[#This Row],[MOVIL]],Tabla1[[#All],[MOVIL]:[COBRO POR NUEVA INCLUSIÓN]],4,FALSE),0)</f>
        <v>0</v>
      </c>
      <c r="F26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1" s="5"/>
      <c r="H261" s="5" t="str">
        <f>_xlfn.XLOOKUP(Tabla38[[#This Row],[MOVIL]],[1]LIQUIDACION!$B:$B,[1]LIQUIDACION!$A:$A,"-",0)</f>
        <v>AEROPUERTO</v>
      </c>
    </row>
    <row r="262" spans="1:8" x14ac:dyDescent="0.3">
      <c r="A262" s="59">
        <v>1424</v>
      </c>
      <c r="B262" s="5">
        <f>+SUMIFS(Tabla16[Importe],Tabla16[MOVIL],Tabla38[[#This Row],[MOVIL]],Tabla16[OBSV],"DESCONTAR POR USO PERSONAL")</f>
        <v>37.799999999999997</v>
      </c>
      <c r="C262" s="5">
        <f>+SUMIFS(Tabla16[Importe],Tabla16[MOVIL],Tabla38[[#This Row],[MOVIL]],Tabla16[OBSV],"DESCONTAR POR INCIDENCIA")</f>
        <v>0</v>
      </c>
      <c r="D262" s="5">
        <f>+SUMIFS(Tabla16[Importe],Tabla16[MOVIL],Tabla38[[#This Row],[MOVIL]],Tabla16[OBSV],"DESCONTAR SERVICIO EN EFECTIVO")</f>
        <v>0</v>
      </c>
      <c r="E262" s="5">
        <f>+IFERROR(VLOOKUP(Tabla38[[#This Row],[MOVIL]],Tabla1[[#All],[MOVIL]:[COBRO POR NUEVA INCLUSIÓN]],4,FALSE),0)</f>
        <v>0</v>
      </c>
      <c r="F26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62" s="5"/>
      <c r="H262" s="5" t="str">
        <f>_xlfn.XLOOKUP(Tabla38[[#This Row],[MOVIL]],[1]LIQUIDACION!$B:$B,[1]LIQUIDACION!$A:$A,"-",0)</f>
        <v>URBANO</v>
      </c>
    </row>
    <row r="263" spans="1:8" x14ac:dyDescent="0.3">
      <c r="A263" s="59">
        <v>9701</v>
      </c>
      <c r="B263" s="5">
        <f>+SUMIFS(Tabla16[Importe],Tabla16[MOVIL],Tabla38[[#This Row],[MOVIL]],Tabla16[OBSV],"DESCONTAR POR USO PERSONAL")</f>
        <v>31.5</v>
      </c>
      <c r="C263" s="5">
        <f>+SUMIFS(Tabla16[Importe],Tabla16[MOVIL],Tabla38[[#This Row],[MOVIL]],Tabla16[OBSV],"DESCONTAR POR INCIDENCIA")</f>
        <v>0</v>
      </c>
      <c r="D263" s="5">
        <f>+SUMIFS(Tabla16[Importe],Tabla16[MOVIL],Tabla38[[#This Row],[MOVIL]],Tabla16[OBSV],"DESCONTAR SERVICIO EN EFECTIVO")</f>
        <v>0</v>
      </c>
      <c r="E263" s="5">
        <f>+IFERROR(VLOOKUP(Tabla38[[#This Row],[MOVIL]],Tabla1[[#All],[MOVIL]:[COBRO POR NUEVA INCLUSIÓN]],4,FALSE),0)</f>
        <v>0</v>
      </c>
      <c r="F26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263" s="5"/>
      <c r="H263" s="5" t="str">
        <f>_xlfn.XLOOKUP(Tabla38[[#This Row],[MOVIL]],[1]LIQUIDACION!$B:$B,[1]LIQUIDACION!$A:$A,"-",0)</f>
        <v>URBANO</v>
      </c>
    </row>
    <row r="264" spans="1:8" x14ac:dyDescent="0.3">
      <c r="A264" s="59">
        <v>735</v>
      </c>
      <c r="B264" s="5">
        <f>+SUMIFS(Tabla16[Importe],Tabla16[MOVIL],Tabla38[[#This Row],[MOVIL]],Tabla16[OBSV],"DESCONTAR POR USO PERSONAL")</f>
        <v>6.3</v>
      </c>
      <c r="C264" s="5">
        <f>+SUMIFS(Tabla16[Importe],Tabla16[MOVIL],Tabla38[[#This Row],[MOVIL]],Tabla16[OBSV],"DESCONTAR POR INCIDENCIA")</f>
        <v>0</v>
      </c>
      <c r="D264" s="5">
        <f>+SUMIFS(Tabla16[Importe],Tabla16[MOVIL],Tabla38[[#This Row],[MOVIL]],Tabla16[OBSV],"DESCONTAR SERVICIO EN EFECTIVO")</f>
        <v>0</v>
      </c>
      <c r="E264" s="5">
        <f>+IFERROR(VLOOKUP(Tabla38[[#This Row],[MOVIL]],Tabla1[[#All],[MOVIL]:[COBRO POR NUEVA INCLUSIÓN]],4,FALSE),0)</f>
        <v>0</v>
      </c>
      <c r="F264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4" s="5"/>
      <c r="H264" s="5" t="str">
        <f>_xlfn.XLOOKUP(Tabla38[[#This Row],[MOVIL]],[1]LIQUIDACION!$B:$B,[1]LIQUIDACION!$A:$A,"-",0)</f>
        <v>AEROPUERTO</v>
      </c>
    </row>
    <row r="265" spans="1:8" x14ac:dyDescent="0.3">
      <c r="A265" s="59">
        <v>988</v>
      </c>
      <c r="B265" s="5">
        <f>+SUMIFS(Tabla16[Importe],Tabla16[MOVIL],Tabla38[[#This Row],[MOVIL]],Tabla16[OBSV],"DESCONTAR POR USO PERSONAL")</f>
        <v>25.2</v>
      </c>
      <c r="C265" s="5">
        <f>+SUMIFS(Tabla16[Importe],Tabla16[MOVIL],Tabla38[[#This Row],[MOVIL]],Tabla16[OBSV],"DESCONTAR POR INCIDENCIA")</f>
        <v>0</v>
      </c>
      <c r="D265" s="5">
        <f>+SUMIFS(Tabla16[Importe],Tabla16[MOVIL],Tabla38[[#This Row],[MOVIL]],Tabla16[OBSV],"DESCONTAR SERVICIO EN EFECTIVO")</f>
        <v>0</v>
      </c>
      <c r="E265" s="5">
        <f>+IFERROR(VLOOKUP(Tabla38[[#This Row],[MOVIL]],Tabla1[[#All],[MOVIL]:[COBRO POR NUEVA INCLUSIÓN]],4,FALSE),0)</f>
        <v>0</v>
      </c>
      <c r="F26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5" s="5"/>
      <c r="H265" s="5" t="str">
        <f>_xlfn.XLOOKUP(Tabla38[[#This Row],[MOVIL]],[1]LIQUIDACION!$B:$B,[1]LIQUIDACION!$A:$A,"-",0)</f>
        <v>AEROPUERTO</v>
      </c>
    </row>
    <row r="266" spans="1:8" x14ac:dyDescent="0.3">
      <c r="A266" s="59">
        <v>9190</v>
      </c>
      <c r="B266" s="5">
        <f>+SUMIFS(Tabla16[Importe],Tabla16[MOVIL],Tabla38[[#This Row],[MOVIL]],Tabla16[OBSV],"DESCONTAR POR USO PERSONAL")</f>
        <v>12.6</v>
      </c>
      <c r="C266" s="5">
        <f>+SUMIFS(Tabla16[Importe],Tabla16[MOVIL],Tabla38[[#This Row],[MOVIL]],Tabla16[OBSV],"DESCONTAR POR INCIDENCIA")</f>
        <v>0</v>
      </c>
      <c r="D266" s="5">
        <f>+SUMIFS(Tabla16[Importe],Tabla16[MOVIL],Tabla38[[#This Row],[MOVIL]],Tabla16[OBSV],"DESCONTAR SERVICIO EN EFECTIVO")</f>
        <v>0</v>
      </c>
      <c r="E266" s="5">
        <f>+IFERROR(VLOOKUP(Tabla38[[#This Row],[MOVIL]],Tabla1[[#All],[MOVIL]:[COBRO POR NUEVA INCLUSIÓN]],4,FALSE),0)</f>
        <v>0</v>
      </c>
      <c r="F26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6" s="5"/>
      <c r="H266" s="5" t="str">
        <f>_xlfn.XLOOKUP(Tabla38[[#This Row],[MOVIL]],[1]LIQUIDACION!$B:$B,[1]LIQUIDACION!$A:$A,"-",0)</f>
        <v>URBANO</v>
      </c>
    </row>
    <row r="267" spans="1:8" x14ac:dyDescent="0.3">
      <c r="A267" s="8">
        <v>3708</v>
      </c>
      <c r="B267" s="5">
        <f>+SUMIFS(Tabla16[Importe],Tabla16[MOVIL],Tabla38[[#This Row],[MOVIL]],Tabla16[OBSV],"DESCONTAR POR USO PERSONAL")</f>
        <v>0</v>
      </c>
      <c r="C267" s="5">
        <f>+SUMIFS(Tabla16[Importe],Tabla16[MOVIL],Tabla38[[#This Row],[MOVIL]],Tabla16[OBSV],"DESCONTAR POR INCIDENCIA")</f>
        <v>25.2</v>
      </c>
      <c r="D267" s="5">
        <f>+SUMIFS(Tabla16[Importe],Tabla16[MOVIL],Tabla38[[#This Row],[MOVIL]],Tabla16[OBSV],"DESCONTAR SERVICIO EN EFECTIVO")</f>
        <v>0</v>
      </c>
      <c r="E267" s="5">
        <f>+IFERROR(VLOOKUP(Tabla38[[#This Row],[MOVIL]],Tabla1[[#All],[MOVIL]:[COBRO POR NUEVA INCLUSIÓN]],4,FALSE),0)</f>
        <v>0</v>
      </c>
      <c r="F26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67" s="5"/>
      <c r="H267" s="5" t="str">
        <f>_xlfn.XLOOKUP(Tabla38[[#This Row],[MOVIL]],[1]LIQUIDACION!$B:$B,[1]LIQUIDACION!$A:$A,"-",0)</f>
        <v>AEROLINEAS</v>
      </c>
    </row>
    <row r="268" spans="1:8" x14ac:dyDescent="0.3">
      <c r="A268" s="59">
        <v>3461</v>
      </c>
      <c r="B268" s="5">
        <f>+SUMIFS(Tabla16[Importe],Tabla16[MOVIL],Tabla38[[#This Row],[MOVIL]],Tabla16[OBSV],"DESCONTAR POR USO PERSONAL")</f>
        <v>6.3</v>
      </c>
      <c r="C268" s="5">
        <f>+SUMIFS(Tabla16[Importe],Tabla16[MOVIL],Tabla38[[#This Row],[MOVIL]],Tabla16[OBSV],"DESCONTAR POR INCIDENCIA")</f>
        <v>0</v>
      </c>
      <c r="D268" s="5">
        <f>+SUMIFS(Tabla16[Importe],Tabla16[MOVIL],Tabla38[[#This Row],[MOVIL]],Tabla16[OBSV],"DESCONTAR SERVICIO EN EFECTIVO")</f>
        <v>0</v>
      </c>
      <c r="E268" s="5">
        <f>+IFERROR(VLOOKUP(Tabla38[[#This Row],[MOVIL]],Tabla1[[#All],[MOVIL]:[COBRO POR NUEVA INCLUSIÓN]],4,FALSE),0)</f>
        <v>0</v>
      </c>
      <c r="F26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68" s="5"/>
      <c r="H268" s="5" t="str">
        <f>_xlfn.XLOOKUP(Tabla38[[#This Row],[MOVIL]],[1]LIQUIDACION!$B:$B,[1]LIQUIDACION!$A:$A,"-",0)</f>
        <v>AEROLINEAS</v>
      </c>
    </row>
    <row r="269" spans="1:8" x14ac:dyDescent="0.3">
      <c r="A269" s="59">
        <v>3818</v>
      </c>
      <c r="B269" s="5">
        <f>+SUMIFS(Tabla16[Importe],Tabla16[MOVIL],Tabla38[[#This Row],[MOVIL]],Tabla16[OBSV],"DESCONTAR POR USO PERSONAL")</f>
        <v>6.3</v>
      </c>
      <c r="C269" s="5">
        <f>+SUMIFS(Tabla16[Importe],Tabla16[MOVIL],Tabla38[[#This Row],[MOVIL]],Tabla16[OBSV],"DESCONTAR POR INCIDENCIA")</f>
        <v>6.3</v>
      </c>
      <c r="D269" s="5">
        <f>+SUMIFS(Tabla16[Importe],Tabla16[MOVIL],Tabla38[[#This Row],[MOVIL]],Tabla16[OBSV],"DESCONTAR SERVICIO EN EFECTIVO")</f>
        <v>0</v>
      </c>
      <c r="E269" s="5">
        <f>+IFERROR(VLOOKUP(Tabla38[[#This Row],[MOVIL]],Tabla1[[#All],[MOVIL]:[COBRO POR NUEVA INCLUSIÓN]],4,FALSE),0)</f>
        <v>0</v>
      </c>
      <c r="F26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69" s="5"/>
      <c r="H269" s="5" t="str">
        <f>_xlfn.XLOOKUP(Tabla38[[#This Row],[MOVIL]],[1]LIQUIDACION!$B:$B,[1]LIQUIDACION!$A:$A,"-",0)</f>
        <v>AEROPUERTO</v>
      </c>
    </row>
    <row r="270" spans="1:8" x14ac:dyDescent="0.3">
      <c r="A270" s="59">
        <v>3956</v>
      </c>
      <c r="B270" s="5">
        <f>+SUMIFS(Tabla16[Importe],Tabla16[MOVIL],Tabla38[[#This Row],[MOVIL]],Tabla16[OBSV],"DESCONTAR POR USO PERSONAL")</f>
        <v>44.099999999999994</v>
      </c>
      <c r="C270" s="5">
        <f>+SUMIFS(Tabla16[Importe],Tabla16[MOVIL],Tabla38[[#This Row],[MOVIL]],Tabla16[OBSV],"DESCONTAR POR INCIDENCIA")</f>
        <v>0</v>
      </c>
      <c r="D270" s="5">
        <f>+SUMIFS(Tabla16[Importe],Tabla16[MOVIL],Tabla38[[#This Row],[MOVIL]],Tabla16[OBSV],"DESCONTAR SERVICIO EN EFECTIVO")</f>
        <v>6.3</v>
      </c>
      <c r="E270" s="5">
        <f>+IFERROR(VLOOKUP(Tabla38[[#This Row],[MOVIL]],Tabla1[[#All],[MOVIL]:[COBRO POR NUEVA INCLUSIÓN]],4,FALSE),0)</f>
        <v>0</v>
      </c>
      <c r="F270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270" s="5"/>
      <c r="H270" s="5" t="str">
        <f>_xlfn.XLOOKUP(Tabla38[[#This Row],[MOVIL]],[1]LIQUIDACION!$B:$B,[1]LIQUIDACION!$A:$A,"-",0)</f>
        <v>MEMBRESÍA NOCTURNA - APTO</v>
      </c>
    </row>
    <row r="271" spans="1:8" x14ac:dyDescent="0.3">
      <c r="A271" s="59">
        <v>3934</v>
      </c>
      <c r="B271" s="5">
        <f>+SUMIFS(Tabla16[Importe],Tabla16[MOVIL],Tabla38[[#This Row],[MOVIL]],Tabla16[OBSV],"DESCONTAR POR USO PERSONAL")</f>
        <v>25.2</v>
      </c>
      <c r="C271" s="5">
        <f>+SUMIFS(Tabla16[Importe],Tabla16[MOVIL],Tabla38[[#This Row],[MOVIL]],Tabla16[OBSV],"DESCONTAR POR INCIDENCIA")</f>
        <v>0</v>
      </c>
      <c r="D271" s="5">
        <f>+SUMIFS(Tabla16[Importe],Tabla16[MOVIL],Tabla38[[#This Row],[MOVIL]],Tabla16[OBSV],"DESCONTAR SERVICIO EN EFECTIVO")</f>
        <v>0</v>
      </c>
      <c r="E271" s="5">
        <f>+IFERROR(VLOOKUP(Tabla38[[#This Row],[MOVIL]],Tabla1[[#All],[MOVIL]:[COBRO POR NUEVA INCLUSIÓN]],4,FALSE),0)</f>
        <v>0</v>
      </c>
      <c r="F27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71" s="5"/>
      <c r="H271" s="5" t="str">
        <f>_xlfn.XLOOKUP(Tabla38[[#This Row],[MOVIL]],[1]LIQUIDACION!$B:$B,[1]LIQUIDACION!$A:$A,"-",0)</f>
        <v>AEROLINEAS</v>
      </c>
    </row>
    <row r="272" spans="1:8" x14ac:dyDescent="0.3">
      <c r="A272" s="8">
        <v>3829</v>
      </c>
      <c r="B272" s="5">
        <f>+SUMIFS(Tabla16[Importe],Tabla16[MOVIL],Tabla38[[#This Row],[MOVIL]],Tabla16[OBSV],"DESCONTAR POR USO PERSONAL")</f>
        <v>0</v>
      </c>
      <c r="C272" s="5">
        <f>+SUMIFS(Tabla16[Importe],Tabla16[MOVIL],Tabla38[[#This Row],[MOVIL]],Tabla16[OBSV],"DESCONTAR POR INCIDENCIA")</f>
        <v>0</v>
      </c>
      <c r="D272" s="5">
        <f>+SUMIFS(Tabla16[Importe],Tabla16[MOVIL],Tabla38[[#This Row],[MOVIL]],Tabla16[OBSV],"DESCONTAR SERVICIO EN EFECTIVO")</f>
        <v>0</v>
      </c>
      <c r="E272" s="5">
        <f>+IFERROR(VLOOKUP(Tabla38[[#This Row],[MOVIL]],Tabla1[[#All],[MOVIL]:[COBRO POR NUEVA INCLUSIÓN]],4,FALSE),0)</f>
        <v>0</v>
      </c>
      <c r="F27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2" s="5"/>
      <c r="H272" s="5" t="str">
        <f>_xlfn.XLOOKUP(Tabla38[[#This Row],[MOVIL]],[1]LIQUIDACION!$B:$B,[1]LIQUIDACION!$A:$A,"-",0)</f>
        <v>AEROLINEAS</v>
      </c>
    </row>
    <row r="273" spans="1:8" x14ac:dyDescent="0.3">
      <c r="A273" s="59">
        <v>3685</v>
      </c>
      <c r="B273" s="5">
        <f>+SUMIFS(Tabla16[Importe],Tabla16[MOVIL],Tabla38[[#This Row],[MOVIL]],Tabla16[OBSV],"DESCONTAR POR USO PERSONAL")</f>
        <v>12.6</v>
      </c>
      <c r="C273" s="5">
        <f>+SUMIFS(Tabla16[Importe],Tabla16[MOVIL],Tabla38[[#This Row],[MOVIL]],Tabla16[OBSV],"DESCONTAR POR INCIDENCIA")</f>
        <v>6.3</v>
      </c>
      <c r="D273" s="5">
        <f>+SUMIFS(Tabla16[Importe],Tabla16[MOVIL],Tabla38[[#This Row],[MOVIL]],Tabla16[OBSV],"DESCONTAR SERVICIO EN EFECTIVO")</f>
        <v>0</v>
      </c>
      <c r="E273" s="5">
        <f>+IFERROR(VLOOKUP(Tabla38[[#This Row],[MOVIL]],Tabla1[[#All],[MOVIL]:[COBRO POR NUEVA INCLUSIÓN]],4,FALSE),0)</f>
        <v>0</v>
      </c>
      <c r="F27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73" s="5"/>
      <c r="H273" s="5" t="str">
        <f>_xlfn.XLOOKUP(Tabla38[[#This Row],[MOVIL]],[1]LIQUIDACION!$B:$B,[1]LIQUIDACION!$A:$A,"-",0)</f>
        <v>AEROLINEAS</v>
      </c>
    </row>
    <row r="274" spans="1:8" x14ac:dyDescent="0.3">
      <c r="A274" s="8">
        <v>3070</v>
      </c>
      <c r="B274" s="5">
        <f>+SUMIFS(Tabla16[Importe],Tabla16[MOVIL],Tabla38[[#This Row],[MOVIL]],Tabla16[OBSV],"DESCONTAR POR USO PERSONAL")</f>
        <v>0</v>
      </c>
      <c r="C274" s="5">
        <f>+SUMIFS(Tabla16[Importe],Tabla16[MOVIL],Tabla38[[#This Row],[MOVIL]],Tabla16[OBSV],"DESCONTAR POR INCIDENCIA")</f>
        <v>0</v>
      </c>
      <c r="D274" s="5">
        <f>+SUMIFS(Tabla16[Importe],Tabla16[MOVIL],Tabla38[[#This Row],[MOVIL]],Tabla16[OBSV],"DESCONTAR SERVICIO EN EFECTIVO")</f>
        <v>0</v>
      </c>
      <c r="E274" s="5">
        <f>+IFERROR(VLOOKUP(Tabla38[[#This Row],[MOVIL]],Tabla1[[#All],[MOVIL]:[COBRO POR NUEVA INCLUSIÓN]],4,FALSE),0)</f>
        <v>0</v>
      </c>
      <c r="F27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4" s="5"/>
      <c r="H274" s="5" t="str">
        <f>_xlfn.XLOOKUP(Tabla38[[#This Row],[MOVIL]],[1]LIQUIDACION!$B:$B,[1]LIQUIDACION!$A:$A,"-",0)</f>
        <v>AEROLINEAS</v>
      </c>
    </row>
    <row r="275" spans="1:8" x14ac:dyDescent="0.3">
      <c r="A275" s="8">
        <v>3948</v>
      </c>
      <c r="B275" s="5">
        <f>+SUMIFS(Tabla16[Importe],Tabla16[MOVIL],Tabla38[[#This Row],[MOVIL]],Tabla16[OBSV],"DESCONTAR POR USO PERSONAL")</f>
        <v>0</v>
      </c>
      <c r="C275" s="5">
        <f>+SUMIFS(Tabla16[Importe],Tabla16[MOVIL],Tabla38[[#This Row],[MOVIL]],Tabla16[OBSV],"DESCONTAR POR INCIDENCIA")</f>
        <v>6.3</v>
      </c>
      <c r="D275" s="5">
        <f>+SUMIFS(Tabla16[Importe],Tabla16[MOVIL],Tabla38[[#This Row],[MOVIL]],Tabla16[OBSV],"DESCONTAR SERVICIO EN EFECTIVO")</f>
        <v>0</v>
      </c>
      <c r="E275" s="5">
        <f>+IFERROR(VLOOKUP(Tabla38[[#This Row],[MOVIL]],Tabla1[[#All],[MOVIL]:[COBRO POR NUEVA INCLUSIÓN]],4,FALSE),0)</f>
        <v>0</v>
      </c>
      <c r="F27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75" s="5"/>
      <c r="H275" s="5" t="str">
        <f>_xlfn.XLOOKUP(Tabla38[[#This Row],[MOVIL]],[1]LIQUIDACION!$B:$B,[1]LIQUIDACION!$A:$A,"-",0)</f>
        <v>AEROLINEAS</v>
      </c>
    </row>
    <row r="276" spans="1:8" x14ac:dyDescent="0.3">
      <c r="A276" s="8">
        <v>245</v>
      </c>
      <c r="B276" s="5">
        <f>+SUMIFS(Tabla16[Importe],Tabla16[MOVIL],Tabla38[[#This Row],[MOVIL]],Tabla16[OBSV],"DESCONTAR POR USO PERSONAL")</f>
        <v>0</v>
      </c>
      <c r="C276" s="5">
        <f>+SUMIFS(Tabla16[Importe],Tabla16[MOVIL],Tabla38[[#This Row],[MOVIL]],Tabla16[OBSV],"DESCONTAR POR INCIDENCIA")</f>
        <v>0</v>
      </c>
      <c r="D276" s="5">
        <f>+SUMIFS(Tabla16[Importe],Tabla16[MOVIL],Tabla38[[#This Row],[MOVIL]],Tabla16[OBSV],"DESCONTAR SERVICIO EN EFECTIVO")</f>
        <v>0</v>
      </c>
      <c r="E276" s="5">
        <f>+IFERROR(VLOOKUP(Tabla38[[#This Row],[MOVIL]],Tabla1[[#All],[MOVIL]:[COBRO POR NUEVA INCLUSIÓN]],4,FALSE),0)</f>
        <v>0</v>
      </c>
      <c r="F27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6" s="5"/>
      <c r="H276" s="5" t="str">
        <f>_xlfn.XLOOKUP(Tabla38[[#This Row],[MOVIL]],[1]LIQUIDACION!$B:$B,[1]LIQUIDACION!$A:$A,"-",0)</f>
        <v>AEROPUERTO</v>
      </c>
    </row>
    <row r="277" spans="1:8" x14ac:dyDescent="0.3">
      <c r="A277" s="59">
        <v>818</v>
      </c>
      <c r="B277" s="5">
        <f>+SUMIFS(Tabla16[Importe],Tabla16[MOVIL],Tabla38[[#This Row],[MOVIL]],Tabla16[OBSV],"DESCONTAR POR USO PERSONAL")</f>
        <v>69.299999999999983</v>
      </c>
      <c r="C277" s="5">
        <f>+SUMIFS(Tabla16[Importe],Tabla16[MOVIL],Tabla38[[#This Row],[MOVIL]],Tabla16[OBSV],"DESCONTAR POR INCIDENCIA")</f>
        <v>0</v>
      </c>
      <c r="D277" s="5">
        <f>+SUMIFS(Tabla16[Importe],Tabla16[MOVIL],Tabla38[[#This Row],[MOVIL]],Tabla16[OBSV],"DESCONTAR SERVICIO EN EFECTIVO")</f>
        <v>0</v>
      </c>
      <c r="E277" s="5">
        <f>+IFERROR(VLOOKUP(Tabla38[[#This Row],[MOVIL]],Tabla1[[#All],[MOVIL]:[COBRO POR NUEVA INCLUSIÓN]],4,FALSE),0)</f>
        <v>0</v>
      </c>
      <c r="F277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77" s="5"/>
      <c r="H277" s="5" t="str">
        <f>_xlfn.XLOOKUP(Tabla38[[#This Row],[MOVIL]],[1]LIQUIDACION!$B:$B,[1]LIQUIDACION!$A:$A,"-",0)</f>
        <v>AEROPUERTO</v>
      </c>
    </row>
    <row r="278" spans="1:8" x14ac:dyDescent="0.3">
      <c r="A278" s="59">
        <v>9510</v>
      </c>
      <c r="B278" s="5">
        <f>+SUMIFS(Tabla16[Importe],Tabla16[MOVIL],Tabla38[[#This Row],[MOVIL]],Tabla16[OBSV],"DESCONTAR POR USO PERSONAL")</f>
        <v>81.899999999999977</v>
      </c>
      <c r="C278" s="5">
        <f>+SUMIFS(Tabla16[Importe],Tabla16[MOVIL],Tabla38[[#This Row],[MOVIL]],Tabla16[OBSV],"DESCONTAR POR INCIDENCIA")</f>
        <v>0</v>
      </c>
      <c r="D278" s="5">
        <f>+SUMIFS(Tabla16[Importe],Tabla16[MOVIL],Tabla38[[#This Row],[MOVIL]],Tabla16[OBSV],"DESCONTAR SERVICIO EN EFECTIVO")</f>
        <v>31.5</v>
      </c>
      <c r="E278" s="5">
        <f>+IFERROR(VLOOKUP(Tabla38[[#This Row],[MOVIL]],Tabla1[[#All],[MOVIL]:[COBRO POR NUEVA INCLUSIÓN]],4,FALSE),0)</f>
        <v>0</v>
      </c>
      <c r="F278" s="5">
        <f>(Tabla38[[#This Row],[DESCUENTO POR USO PERSONAL PEX]]+Tabla38[[#This Row],[DESCUENTO POR INCIDENCIAS PEX]]+Tabla38[[#This Row],[DESCUENTO POR SERVICIOS EN EFECTIVO]]+Tabla38[[#This Row],[DESCUENTO POR NUEVA INCLUSION]])</f>
        <v>113.39999999999998</v>
      </c>
      <c r="G278" s="5"/>
      <c r="H278" s="5" t="str">
        <f>_xlfn.XLOOKUP(Tabla38[[#This Row],[MOVIL]],[1]LIQUIDACION!$B:$B,[1]LIQUIDACION!$A:$A,"-",0)</f>
        <v>AEROPUERTO</v>
      </c>
    </row>
    <row r="279" spans="1:8" x14ac:dyDescent="0.3">
      <c r="A279" s="8">
        <v>219</v>
      </c>
      <c r="B279" s="5">
        <f>+SUMIFS(Tabla16[Importe],Tabla16[MOVIL],Tabla38[[#This Row],[MOVIL]],Tabla16[OBSV],"DESCONTAR POR USO PERSONAL")</f>
        <v>0</v>
      </c>
      <c r="C279" s="5">
        <f>+SUMIFS(Tabla16[Importe],Tabla16[MOVIL],Tabla38[[#This Row],[MOVIL]],Tabla16[OBSV],"DESCONTAR POR INCIDENCIA")</f>
        <v>0</v>
      </c>
      <c r="D279" s="5">
        <f>+SUMIFS(Tabla16[Importe],Tabla16[MOVIL],Tabla38[[#This Row],[MOVIL]],Tabla16[OBSV],"DESCONTAR SERVICIO EN EFECTIVO")</f>
        <v>0</v>
      </c>
      <c r="E279" s="5">
        <f>+IFERROR(VLOOKUP(Tabla38[[#This Row],[MOVIL]],Tabla1[[#All],[MOVIL]:[COBRO POR NUEVA INCLUSIÓN]],4,FALSE),0)</f>
        <v>0</v>
      </c>
      <c r="F27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79" s="5"/>
      <c r="H279" s="5" t="str">
        <f>_xlfn.XLOOKUP(Tabla38[[#This Row],[MOVIL]],[1]LIQUIDACION!$B:$B,[1]LIQUIDACION!$A:$A,"-",0)</f>
        <v>AEROPUERTO</v>
      </c>
    </row>
    <row r="280" spans="1:8" x14ac:dyDescent="0.3">
      <c r="A280" s="59">
        <v>3449</v>
      </c>
      <c r="B280" s="5">
        <f>+SUMIFS(Tabla16[Importe],Tabla16[MOVIL],Tabla38[[#This Row],[MOVIL]],Tabla16[OBSV],"DESCONTAR POR USO PERSONAL")</f>
        <v>18.899999999999999</v>
      </c>
      <c r="C280" s="5">
        <f>+SUMIFS(Tabla16[Importe],Tabla16[MOVIL],Tabla38[[#This Row],[MOVIL]],Tabla16[OBSV],"DESCONTAR POR INCIDENCIA")</f>
        <v>0</v>
      </c>
      <c r="D280" s="5">
        <f>+SUMIFS(Tabla16[Importe],Tabla16[MOVIL],Tabla38[[#This Row],[MOVIL]],Tabla16[OBSV],"DESCONTAR SERVICIO EN EFECTIVO")</f>
        <v>6.3</v>
      </c>
      <c r="E280" s="5">
        <f>+IFERROR(VLOOKUP(Tabla38[[#This Row],[MOVIL]],Tabla1[[#All],[MOVIL]:[COBRO POR NUEVA INCLUSIÓN]],4,FALSE),0)</f>
        <v>0</v>
      </c>
      <c r="F280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80" s="5"/>
      <c r="H280" s="5" t="str">
        <f>_xlfn.XLOOKUP(Tabla38[[#This Row],[MOVIL]],[1]LIQUIDACION!$B:$B,[1]LIQUIDACION!$A:$A,"-",0)</f>
        <v>URBANO PARTNER</v>
      </c>
    </row>
    <row r="281" spans="1:8" x14ac:dyDescent="0.3">
      <c r="A281" s="59">
        <v>207</v>
      </c>
      <c r="B281" s="5">
        <f>+SUMIFS(Tabla16[Importe],Tabla16[MOVIL],Tabla38[[#This Row],[MOVIL]],Tabla16[OBSV],"DESCONTAR POR USO PERSONAL")</f>
        <v>37.799999999999997</v>
      </c>
      <c r="C281" s="5">
        <f>+SUMIFS(Tabla16[Importe],Tabla16[MOVIL],Tabla38[[#This Row],[MOVIL]],Tabla16[OBSV],"DESCONTAR POR INCIDENCIA")</f>
        <v>0</v>
      </c>
      <c r="D281" s="5">
        <f>+SUMIFS(Tabla16[Importe],Tabla16[MOVIL],Tabla38[[#This Row],[MOVIL]],Tabla16[OBSV],"DESCONTAR SERVICIO EN EFECTIVO")</f>
        <v>0</v>
      </c>
      <c r="E281" s="5">
        <f>+IFERROR(VLOOKUP(Tabla38[[#This Row],[MOVIL]],Tabla1[[#All],[MOVIL]:[COBRO POR NUEVA INCLUSIÓN]],4,FALSE),0)</f>
        <v>0</v>
      </c>
      <c r="F281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1" s="5"/>
      <c r="H281" s="5" t="str">
        <f>_xlfn.XLOOKUP(Tabla38[[#This Row],[MOVIL]],[1]LIQUIDACION!$B:$B,[1]LIQUIDACION!$A:$A,"-",0)</f>
        <v>AEROPUERTO</v>
      </c>
    </row>
    <row r="282" spans="1:8" x14ac:dyDescent="0.3">
      <c r="A282" s="59">
        <v>4055</v>
      </c>
      <c r="B282" s="5">
        <f>+SUMIFS(Tabla16[Importe],Tabla16[MOVIL],Tabla38[[#This Row],[MOVIL]],Tabla16[OBSV],"DESCONTAR POR USO PERSONAL")</f>
        <v>62.999999999999986</v>
      </c>
      <c r="C282" s="5">
        <f>+SUMIFS(Tabla16[Importe],Tabla16[MOVIL],Tabla38[[#This Row],[MOVIL]],Tabla16[OBSV],"DESCONTAR POR INCIDENCIA")</f>
        <v>0</v>
      </c>
      <c r="D282" s="5">
        <f>+SUMIFS(Tabla16[Importe],Tabla16[MOVIL],Tabla38[[#This Row],[MOVIL]],Tabla16[OBSV],"DESCONTAR SERVICIO EN EFECTIVO")</f>
        <v>12.6</v>
      </c>
      <c r="E282" s="5">
        <f>+IFERROR(VLOOKUP(Tabla38[[#This Row],[MOVIL]],Tabla1[[#All],[MOVIL]:[COBRO POR NUEVA INCLUSIÓN]],4,FALSE),0)</f>
        <v>0</v>
      </c>
      <c r="F282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282" s="5"/>
      <c r="H282" s="5" t="str">
        <f>_xlfn.XLOOKUP(Tabla38[[#This Row],[MOVIL]],[1]LIQUIDACION!$B:$B,[1]LIQUIDACION!$A:$A,"-",0)</f>
        <v>MEMBRESÍA NOCTURNA - APTO</v>
      </c>
    </row>
    <row r="283" spans="1:8" x14ac:dyDescent="0.3">
      <c r="A283" s="59">
        <v>774</v>
      </c>
      <c r="B283" s="5">
        <f>+SUMIFS(Tabla16[Importe],Tabla16[MOVIL],Tabla38[[#This Row],[MOVIL]],Tabla16[OBSV],"DESCONTAR POR USO PERSONAL")</f>
        <v>69.299999999999983</v>
      </c>
      <c r="C283" s="5">
        <f>+SUMIFS(Tabla16[Importe],Tabla16[MOVIL],Tabla38[[#This Row],[MOVIL]],Tabla16[OBSV],"DESCONTAR POR INCIDENCIA")</f>
        <v>18.899999999999999</v>
      </c>
      <c r="D283" s="5">
        <f>+SUMIFS(Tabla16[Importe],Tabla16[MOVIL],Tabla38[[#This Row],[MOVIL]],Tabla16[OBSV],"DESCONTAR SERVICIO EN EFECTIVO")</f>
        <v>12.6</v>
      </c>
      <c r="E283" s="5">
        <f>+IFERROR(VLOOKUP(Tabla38[[#This Row],[MOVIL]],Tabla1[[#All],[MOVIL]:[COBRO POR NUEVA INCLUSIÓN]],4,FALSE),0)</f>
        <v>0</v>
      </c>
      <c r="F283" s="5">
        <f>(Tabla38[[#This Row],[DESCUENTO POR USO PERSONAL PEX]]+Tabla38[[#This Row],[DESCUENTO POR INCIDENCIAS PEX]]+Tabla38[[#This Row],[DESCUENTO POR SERVICIOS EN EFECTIVO]]+Tabla38[[#This Row],[DESCUENTO POR NUEVA INCLUSION]])</f>
        <v>100.79999999999998</v>
      </c>
      <c r="G283" s="5"/>
      <c r="H283" s="5" t="str">
        <f>_xlfn.XLOOKUP(Tabla38[[#This Row],[MOVIL]],[1]LIQUIDACION!$B:$B,[1]LIQUIDACION!$A:$A,"-",0)</f>
        <v>AEROPUERTO</v>
      </c>
    </row>
    <row r="284" spans="1:8" x14ac:dyDescent="0.3">
      <c r="A284" s="8">
        <v>9935</v>
      </c>
      <c r="B284" s="5">
        <f>+SUMIFS(Tabla16[Importe],Tabla16[MOVIL],Tabla38[[#This Row],[MOVIL]],Tabla16[OBSV],"DESCONTAR POR USO PERSONAL")</f>
        <v>0</v>
      </c>
      <c r="C284" s="5">
        <f>+SUMIFS(Tabla16[Importe],Tabla16[MOVIL],Tabla38[[#This Row],[MOVIL]],Tabla16[OBSV],"DESCONTAR POR INCIDENCIA")</f>
        <v>0</v>
      </c>
      <c r="D284" s="5">
        <f>+SUMIFS(Tabla16[Importe],Tabla16[MOVIL],Tabla38[[#This Row],[MOVIL]],Tabla16[OBSV],"DESCONTAR SERVICIO EN EFECTIVO")</f>
        <v>0</v>
      </c>
      <c r="E284" s="5">
        <f>+IFERROR(VLOOKUP(Tabla38[[#This Row],[MOVIL]],Tabla1[[#All],[MOVIL]:[COBRO POR NUEVA INCLUSIÓN]],4,FALSE),0)</f>
        <v>0</v>
      </c>
      <c r="F28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284" s="5"/>
      <c r="H284" s="5" t="str">
        <f>_xlfn.XLOOKUP(Tabla38[[#This Row],[MOVIL]],[1]LIQUIDACION!$B:$B,[1]LIQUIDACION!$A:$A,"-",0)</f>
        <v>AEROPUERTO</v>
      </c>
    </row>
    <row r="285" spans="1:8" x14ac:dyDescent="0.3">
      <c r="A285" s="59">
        <v>4042</v>
      </c>
      <c r="B285" s="5">
        <f>+SUMIFS(Tabla16[Importe],Tabla16[MOVIL],Tabla38[[#This Row],[MOVIL]],Tabla16[OBSV],"DESCONTAR POR USO PERSONAL")</f>
        <v>12.6</v>
      </c>
      <c r="C285" s="5">
        <f>+SUMIFS(Tabla16[Importe],Tabla16[MOVIL],Tabla38[[#This Row],[MOVIL]],Tabla16[OBSV],"DESCONTAR POR INCIDENCIA")</f>
        <v>0</v>
      </c>
      <c r="D285" s="5">
        <f>+SUMIFS(Tabla16[Importe],Tabla16[MOVIL],Tabla38[[#This Row],[MOVIL]],Tabla16[OBSV],"DESCONTAR SERVICIO EN EFECTIVO")</f>
        <v>0</v>
      </c>
      <c r="E285" s="5">
        <f>+IFERROR(VLOOKUP(Tabla38[[#This Row],[MOVIL]],Tabla1[[#All],[MOVIL]:[COBRO POR NUEVA INCLUSIÓN]],4,FALSE),0)</f>
        <v>0</v>
      </c>
      <c r="F28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5" s="5"/>
      <c r="H285" s="5" t="str">
        <f>_xlfn.XLOOKUP(Tabla38[[#This Row],[MOVIL]],[1]LIQUIDACION!$B:$B,[1]LIQUIDACION!$A:$A,"-",0)</f>
        <v>MEMBRESÍA NOCTURNA - APTO</v>
      </c>
    </row>
    <row r="286" spans="1:8" x14ac:dyDescent="0.3">
      <c r="A286" s="59">
        <v>226</v>
      </c>
      <c r="B286" s="5">
        <f>+SUMIFS(Tabla16[Importe],Tabla16[MOVIL],Tabla38[[#This Row],[MOVIL]],Tabla16[OBSV],"DESCONTAR POR USO PERSONAL")</f>
        <v>6.3</v>
      </c>
      <c r="C286" s="5">
        <f>+SUMIFS(Tabla16[Importe],Tabla16[MOVIL],Tabla38[[#This Row],[MOVIL]],Tabla16[OBSV],"DESCONTAR POR INCIDENCIA")</f>
        <v>6.3</v>
      </c>
      <c r="D286" s="5">
        <f>+SUMIFS(Tabla16[Importe],Tabla16[MOVIL],Tabla38[[#This Row],[MOVIL]],Tabla16[OBSV],"DESCONTAR SERVICIO EN EFECTIVO")</f>
        <v>0</v>
      </c>
      <c r="E286" s="5">
        <f>+IFERROR(VLOOKUP(Tabla38[[#This Row],[MOVIL]],Tabla1[[#All],[MOVIL]:[COBRO POR NUEVA INCLUSIÓN]],4,FALSE),0)</f>
        <v>0</v>
      </c>
      <c r="F286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286" s="5"/>
      <c r="H286" s="5" t="str">
        <f>_xlfn.XLOOKUP(Tabla38[[#This Row],[MOVIL]],[1]LIQUIDACION!$B:$B,[1]LIQUIDACION!$A:$A,"-",0)</f>
        <v>AEROPUERTO</v>
      </c>
    </row>
    <row r="287" spans="1:8" x14ac:dyDescent="0.3">
      <c r="A287" s="8">
        <v>3959</v>
      </c>
      <c r="B287" s="5">
        <f>+SUMIFS(Tabla16[Importe],Tabla16[MOVIL],Tabla38[[#This Row],[MOVIL]],Tabla16[OBSV],"DESCONTAR POR USO PERSONAL")</f>
        <v>12.6</v>
      </c>
      <c r="C287" s="5">
        <f>+SUMIFS(Tabla16[Importe],Tabla16[MOVIL],Tabla38[[#This Row],[MOVIL]],Tabla16[OBSV],"DESCONTAR POR INCIDENCIA")</f>
        <v>0</v>
      </c>
      <c r="D287" s="5">
        <f>+SUMIFS(Tabla16[Importe],Tabla16[MOVIL],Tabla38[[#This Row],[MOVIL]],Tabla16[OBSV],"DESCONTAR SERVICIO EN EFECTIVO")</f>
        <v>25.2</v>
      </c>
      <c r="E287" s="5">
        <f>+IFERROR(VLOOKUP(Tabla38[[#This Row],[MOVIL]],Tabla1[[#All],[MOVIL]:[COBRO POR NUEVA INCLUSIÓN]],4,FALSE),0)</f>
        <v>0</v>
      </c>
      <c r="F28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287" s="5"/>
      <c r="H287" s="5" t="s">
        <v>1374</v>
      </c>
    </row>
    <row r="288" spans="1:8" x14ac:dyDescent="0.3">
      <c r="A288" s="8">
        <v>7038</v>
      </c>
      <c r="B288" s="5">
        <f>+SUMIFS(Tabla16[Importe],Tabla16[MOVIL],Tabla38[[#This Row],[MOVIL]],Tabla16[OBSV],"DESCONTAR POR USO PERSONAL")</f>
        <v>12.6</v>
      </c>
      <c r="C288" s="5">
        <f>+SUMIFS(Tabla16[Importe],Tabla16[MOVIL],Tabla38[[#This Row],[MOVIL]],Tabla16[OBSV],"DESCONTAR POR INCIDENCIA")</f>
        <v>0</v>
      </c>
      <c r="D288" s="5">
        <f>+SUMIFS(Tabla16[Importe],Tabla16[MOVIL],Tabla38[[#This Row],[MOVIL]],Tabla16[OBSV],"DESCONTAR SERVICIO EN EFECTIVO")</f>
        <v>6.3</v>
      </c>
      <c r="E288" s="5">
        <f>+IFERROR(VLOOKUP(Tabla38[[#This Row],[MOVIL]],Tabla1[[#All],[MOVIL]:[COBRO POR NUEVA INCLUSIÓN]],4,FALSE),0)</f>
        <v>0</v>
      </c>
      <c r="F28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8" s="5"/>
      <c r="H288" s="5" t="s">
        <v>1374</v>
      </c>
    </row>
    <row r="289" spans="1:8" x14ac:dyDescent="0.3">
      <c r="A289" s="59">
        <v>2777</v>
      </c>
      <c r="B289" s="5">
        <f>+SUMIFS(Tabla16[Importe],Tabla16[MOVIL],Tabla38[[#This Row],[MOVIL]],Tabla16[OBSV],"DESCONTAR POR USO PERSONAL")</f>
        <v>12.6</v>
      </c>
      <c r="C289" s="5">
        <f>+SUMIFS(Tabla16[Importe],Tabla16[MOVIL],Tabla38[[#This Row],[MOVIL]],Tabla16[OBSV],"DESCONTAR POR INCIDENCIA")</f>
        <v>0</v>
      </c>
      <c r="D289" s="5">
        <f>+SUMIFS(Tabla16[Importe],Tabla16[MOVIL],Tabla38[[#This Row],[MOVIL]],Tabla16[OBSV],"DESCONTAR SERVICIO EN EFECTIVO")</f>
        <v>6.3</v>
      </c>
      <c r="E289" s="5">
        <f>+IFERROR(VLOOKUP(Tabla38[[#This Row],[MOVIL]],Tabla1[[#All],[MOVIL]:[COBRO POR NUEVA INCLUSIÓN]],4,FALSE),0)</f>
        <v>0</v>
      </c>
      <c r="F28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89" s="5"/>
      <c r="H289" s="5" t="str">
        <f>_xlfn.XLOOKUP(Tabla38[[#This Row],[MOVIL]],[1]LIQUIDACION!$B:$B,[1]LIQUIDACION!$A:$A,"-",0)</f>
        <v>AEROLINEAS</v>
      </c>
    </row>
    <row r="290" spans="1:8" x14ac:dyDescent="0.3">
      <c r="A290" s="59">
        <v>2746</v>
      </c>
      <c r="B290" s="5">
        <f>+SUMIFS(Tabla16[Importe],Tabla16[MOVIL],Tabla38[[#This Row],[MOVIL]],Tabla16[OBSV],"DESCONTAR POR USO PERSONAL")</f>
        <v>6.3</v>
      </c>
      <c r="C290" s="5">
        <f>+SUMIFS(Tabla16[Importe],Tabla16[MOVIL],Tabla38[[#This Row],[MOVIL]],Tabla16[OBSV],"DESCONTAR POR INCIDENCIA")</f>
        <v>0</v>
      </c>
      <c r="D290" s="5">
        <f>+SUMIFS(Tabla16[Importe],Tabla16[MOVIL],Tabla38[[#This Row],[MOVIL]],Tabla16[OBSV],"DESCONTAR SERVICIO EN EFECTIVO")</f>
        <v>0</v>
      </c>
      <c r="E290" s="5">
        <f>+IFERROR(VLOOKUP(Tabla38[[#This Row],[MOVIL]],Tabla1[[#All],[MOVIL]:[COBRO POR NUEVA INCLUSIÓN]],4,FALSE),0)</f>
        <v>0</v>
      </c>
      <c r="F29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0" s="5"/>
      <c r="H290" s="5" t="str">
        <f>_xlfn.XLOOKUP(Tabla38[[#This Row],[MOVIL]],[1]LIQUIDACION!$B:$B,[1]LIQUIDACION!$A:$A,"-",0)</f>
        <v>MEMBRESÍA URBANO</v>
      </c>
    </row>
    <row r="291" spans="1:8" x14ac:dyDescent="0.3">
      <c r="A291" s="59">
        <v>1786</v>
      </c>
      <c r="B291" s="5">
        <f>+SUMIFS(Tabla16[Importe],Tabla16[MOVIL],Tabla38[[#This Row],[MOVIL]],Tabla16[OBSV],"DESCONTAR POR USO PERSONAL")</f>
        <v>31.5</v>
      </c>
      <c r="C291" s="5">
        <f>+SUMIFS(Tabla16[Importe],Tabla16[MOVIL],Tabla38[[#This Row],[MOVIL]],Tabla16[OBSV],"DESCONTAR POR INCIDENCIA")</f>
        <v>62.999999999999986</v>
      </c>
      <c r="D291" s="5">
        <f>+SUMIFS(Tabla16[Importe],Tabla16[MOVIL],Tabla38[[#This Row],[MOVIL]],Tabla16[OBSV],"DESCONTAR SERVICIO EN EFECTIVO")</f>
        <v>0</v>
      </c>
      <c r="E291" s="5">
        <f>+IFERROR(VLOOKUP(Tabla38[[#This Row],[MOVIL]],Tabla1[[#All],[MOVIL]:[COBRO POR NUEVA INCLUSIÓN]],4,FALSE),0)</f>
        <v>0</v>
      </c>
      <c r="F291" s="5">
        <f>(Tabla38[[#This Row],[DESCUENTO POR USO PERSONAL PEX]]+Tabla38[[#This Row],[DESCUENTO POR INCIDENCIAS PEX]]+Tabla38[[#This Row],[DESCUENTO POR SERVICIOS EN EFECTIVO]]+Tabla38[[#This Row],[DESCUENTO POR NUEVA INCLUSION]])</f>
        <v>94.499999999999986</v>
      </c>
      <c r="G291" s="5"/>
      <c r="H291" s="5" t="str">
        <f>_xlfn.XLOOKUP(Tabla38[[#This Row],[MOVIL]],[1]LIQUIDACION!$B:$B,[1]LIQUIDACION!$A:$A,"-",0)</f>
        <v>URBANO</v>
      </c>
    </row>
    <row r="292" spans="1:8" x14ac:dyDescent="0.3">
      <c r="A292" s="59">
        <v>3198</v>
      </c>
      <c r="B292" s="5">
        <f>+SUMIFS(Tabla16[Importe],Tabla16[MOVIL],Tabla38[[#This Row],[MOVIL]],Tabla16[OBSV],"DESCONTAR POR USO PERSONAL")</f>
        <v>25.2</v>
      </c>
      <c r="C292" s="5">
        <f>+SUMIFS(Tabla16[Importe],Tabla16[MOVIL],Tabla38[[#This Row],[MOVIL]],Tabla16[OBSV],"DESCONTAR POR INCIDENCIA")</f>
        <v>0</v>
      </c>
      <c r="D292" s="5">
        <f>+SUMIFS(Tabla16[Importe],Tabla16[MOVIL],Tabla38[[#This Row],[MOVIL]],Tabla16[OBSV],"DESCONTAR SERVICIO EN EFECTIVO")</f>
        <v>31.5</v>
      </c>
      <c r="E292" s="5">
        <f>+IFERROR(VLOOKUP(Tabla38[[#This Row],[MOVIL]],Tabla1[[#All],[MOVIL]:[COBRO POR NUEVA INCLUSIÓN]],4,FALSE),0)</f>
        <v>0</v>
      </c>
      <c r="F292" s="5">
        <f>(Tabla38[[#This Row],[DESCUENTO POR USO PERSONAL PEX]]+Tabla38[[#This Row],[DESCUENTO POR INCIDENCIAS PEX]]+Tabla38[[#This Row],[DESCUENTO POR SERVICIOS EN EFECTIVO]]+Tabla38[[#This Row],[DESCUENTO POR NUEVA INCLUSION]])</f>
        <v>56.7</v>
      </c>
      <c r="G292" s="5"/>
      <c r="H292" s="5" t="str">
        <f>_xlfn.XLOOKUP(Tabla38[[#This Row],[MOVIL]],[1]LIQUIDACION!$B:$B,[1]LIQUIDACION!$A:$A,"-",0)</f>
        <v>URBANO PARTNER</v>
      </c>
    </row>
    <row r="293" spans="1:8" x14ac:dyDescent="0.3">
      <c r="A293" s="59">
        <v>9740</v>
      </c>
      <c r="B293" s="5">
        <f>+SUMIFS(Tabla16[Importe],Tabla16[MOVIL],Tabla38[[#This Row],[MOVIL]],Tabla16[OBSV],"DESCONTAR POR USO PERSONAL")</f>
        <v>18.899999999999999</v>
      </c>
      <c r="C293" s="5">
        <f>+SUMIFS(Tabla16[Importe],Tabla16[MOVIL],Tabla38[[#This Row],[MOVIL]],Tabla16[OBSV],"DESCONTAR POR INCIDENCIA")</f>
        <v>0</v>
      </c>
      <c r="D293" s="5">
        <f>+SUMIFS(Tabla16[Importe],Tabla16[MOVIL],Tabla38[[#This Row],[MOVIL]],Tabla16[OBSV],"DESCONTAR SERVICIO EN EFECTIVO")</f>
        <v>0</v>
      </c>
      <c r="E293" s="5">
        <f>+IFERROR(VLOOKUP(Tabla38[[#This Row],[MOVIL]],Tabla1[[#All],[MOVIL]:[COBRO POR NUEVA INCLUSIÓN]],4,FALSE),0)</f>
        <v>0</v>
      </c>
      <c r="F29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293" s="5"/>
      <c r="H293" s="5" t="str">
        <f>_xlfn.XLOOKUP(Tabla38[[#This Row],[MOVIL]],[1]LIQUIDACION!$B:$B,[1]LIQUIDACION!$A:$A,"-",0)</f>
        <v>URBANO</v>
      </c>
    </row>
    <row r="294" spans="1:8" x14ac:dyDescent="0.3">
      <c r="A294" s="59">
        <v>2394</v>
      </c>
      <c r="B294" s="5">
        <f>+SUMIFS(Tabla16[Importe],Tabla16[MOVIL],Tabla38[[#This Row],[MOVIL]],Tabla16[OBSV],"DESCONTAR POR USO PERSONAL")</f>
        <v>62.999999999999986</v>
      </c>
      <c r="C294" s="5">
        <f>+SUMIFS(Tabla16[Importe],Tabla16[MOVIL],Tabla38[[#This Row],[MOVIL]],Tabla16[OBSV],"DESCONTAR POR INCIDENCIA")</f>
        <v>6.3</v>
      </c>
      <c r="D294" s="5">
        <f>+SUMIFS(Tabla16[Importe],Tabla16[MOVIL],Tabla38[[#This Row],[MOVIL]],Tabla16[OBSV],"DESCONTAR SERVICIO EN EFECTIVO")</f>
        <v>0</v>
      </c>
      <c r="E294" s="5">
        <f>+IFERROR(VLOOKUP(Tabla38[[#This Row],[MOVIL]],Tabla1[[#All],[MOVIL]:[COBRO POR NUEVA INCLUSIÓN]],4,FALSE),0)</f>
        <v>0</v>
      </c>
      <c r="F294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294" s="5"/>
      <c r="H294" s="5" t="str">
        <f>_xlfn.XLOOKUP(Tabla38[[#This Row],[MOVIL]],[1]LIQUIDACION!$B:$B,[1]LIQUIDACION!$A:$A,"-",0)</f>
        <v>MEMBRESÍA URBANO</v>
      </c>
    </row>
    <row r="295" spans="1:8" x14ac:dyDescent="0.3">
      <c r="A295" s="59">
        <v>4029</v>
      </c>
      <c r="B295" s="5">
        <f>+SUMIFS(Tabla16[Importe],Tabla16[MOVIL],Tabla38[[#This Row],[MOVIL]],Tabla16[OBSV],"DESCONTAR POR USO PERSONAL")</f>
        <v>18.899999999999999</v>
      </c>
      <c r="C295" s="5">
        <f>+SUMIFS(Tabla16[Importe],Tabla16[MOVIL],Tabla38[[#This Row],[MOVIL]],Tabla16[OBSV],"DESCONTAR POR INCIDENCIA")</f>
        <v>0</v>
      </c>
      <c r="D295" s="5">
        <f>+SUMIFS(Tabla16[Importe],Tabla16[MOVIL],Tabla38[[#This Row],[MOVIL]],Tabla16[OBSV],"DESCONTAR SERVICIO EN EFECTIVO")</f>
        <v>6.3</v>
      </c>
      <c r="E295" s="5">
        <f>+IFERROR(VLOOKUP(Tabla38[[#This Row],[MOVIL]],Tabla1[[#All],[MOVIL]:[COBRO POR NUEVA INCLUSIÓN]],4,FALSE),0)</f>
        <v>0</v>
      </c>
      <c r="F29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295" s="5"/>
      <c r="H295" s="5" t="str">
        <f>_xlfn.XLOOKUP(Tabla38[[#This Row],[MOVIL]],[1]LIQUIDACION!$B:$B,[1]LIQUIDACION!$A:$A,"-",0)</f>
        <v>MEMBRESÍA NOCTURNA - APTO</v>
      </c>
    </row>
    <row r="296" spans="1:8" x14ac:dyDescent="0.3">
      <c r="A296" s="59">
        <v>3787</v>
      </c>
      <c r="B296" s="5">
        <f>+SUMIFS(Tabla16[Importe],Tabla16[MOVIL],Tabla38[[#This Row],[MOVIL]],Tabla16[OBSV],"DESCONTAR POR USO PERSONAL")</f>
        <v>56.699999999999989</v>
      </c>
      <c r="C296" s="5">
        <f>+SUMIFS(Tabla16[Importe],Tabla16[MOVIL],Tabla38[[#This Row],[MOVIL]],Tabla16[OBSV],"DESCONTAR POR INCIDENCIA")</f>
        <v>0</v>
      </c>
      <c r="D296" s="5">
        <f>+SUMIFS(Tabla16[Importe],Tabla16[MOVIL],Tabla38[[#This Row],[MOVIL]],Tabla16[OBSV],"DESCONTAR SERVICIO EN EFECTIVO")</f>
        <v>0</v>
      </c>
      <c r="E296" s="5">
        <f>+IFERROR(VLOOKUP(Tabla38[[#This Row],[MOVIL]],Tabla1[[#All],[MOVIL]:[COBRO POR NUEVA INCLUSIÓN]],4,FALSE),0)</f>
        <v>0</v>
      </c>
      <c r="F296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296" s="5"/>
      <c r="H296" s="5" t="str">
        <f>_xlfn.XLOOKUP(Tabla38[[#This Row],[MOVIL]],[1]LIQUIDACION!$B:$B,[1]LIQUIDACION!$A:$A,"-",0)</f>
        <v>AEROLINEAS</v>
      </c>
    </row>
    <row r="297" spans="1:8" x14ac:dyDescent="0.3">
      <c r="A297" s="8">
        <v>3554</v>
      </c>
      <c r="B297" s="5">
        <f>+SUMIFS(Tabla16[Importe],Tabla16[MOVIL],Tabla38[[#This Row],[MOVIL]],Tabla16[OBSV],"DESCONTAR POR USO PERSONAL")</f>
        <v>0</v>
      </c>
      <c r="C297" s="5">
        <f>+SUMIFS(Tabla16[Importe],Tabla16[MOVIL],Tabla38[[#This Row],[MOVIL]],Tabla16[OBSV],"DESCONTAR POR INCIDENCIA")</f>
        <v>6.3</v>
      </c>
      <c r="D297" s="5">
        <f>+SUMIFS(Tabla16[Importe],Tabla16[MOVIL],Tabla38[[#This Row],[MOVIL]],Tabla16[OBSV],"DESCONTAR SERVICIO EN EFECTIVO")</f>
        <v>0</v>
      </c>
      <c r="E297" s="5">
        <f>+IFERROR(VLOOKUP(Tabla38[[#This Row],[MOVIL]],Tabla1[[#All],[MOVIL]:[COBRO POR NUEVA INCLUSIÓN]],4,FALSE),0)</f>
        <v>0</v>
      </c>
      <c r="F29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7" s="5"/>
      <c r="H297" s="5" t="s">
        <v>1374</v>
      </c>
    </row>
    <row r="298" spans="1:8" x14ac:dyDescent="0.3">
      <c r="A298" s="8">
        <v>2849</v>
      </c>
      <c r="B298" s="5">
        <f>+SUMIFS(Tabla16[Importe],Tabla16[MOVIL],Tabla38[[#This Row],[MOVIL]],Tabla16[OBSV],"DESCONTAR POR USO PERSONAL")</f>
        <v>6.3</v>
      </c>
      <c r="C298" s="5">
        <f>+SUMIFS(Tabla16[Importe],Tabla16[MOVIL],Tabla38[[#This Row],[MOVIL]],Tabla16[OBSV],"DESCONTAR POR INCIDENCIA")</f>
        <v>0</v>
      </c>
      <c r="D298" s="5">
        <f>+SUMIFS(Tabla16[Importe],Tabla16[MOVIL],Tabla38[[#This Row],[MOVIL]],Tabla16[OBSV],"DESCONTAR SERVICIO EN EFECTIVO")</f>
        <v>0</v>
      </c>
      <c r="E298" s="5">
        <f>+IFERROR(VLOOKUP(Tabla38[[#This Row],[MOVIL]],Tabla1[[#All],[MOVIL]:[COBRO POR NUEVA INCLUSIÓN]],4,FALSE),0)</f>
        <v>0</v>
      </c>
      <c r="F29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8" s="5"/>
      <c r="H298" s="5" t="s">
        <v>1374</v>
      </c>
    </row>
    <row r="299" spans="1:8" x14ac:dyDescent="0.3">
      <c r="A299" s="59">
        <v>2218</v>
      </c>
      <c r="B299" s="5">
        <f>+SUMIFS(Tabla16[Importe],Tabla16[MOVIL],Tabla38[[#This Row],[MOVIL]],Tabla16[OBSV],"DESCONTAR POR USO PERSONAL")</f>
        <v>6.3</v>
      </c>
      <c r="C299" s="5">
        <f>+SUMIFS(Tabla16[Importe],Tabla16[MOVIL],Tabla38[[#This Row],[MOVIL]],Tabla16[OBSV],"DESCONTAR POR INCIDENCIA")</f>
        <v>0</v>
      </c>
      <c r="D299" s="5">
        <f>+SUMIFS(Tabla16[Importe],Tabla16[MOVIL],Tabla38[[#This Row],[MOVIL]],Tabla16[OBSV],"DESCONTAR SERVICIO EN EFECTIVO")</f>
        <v>0</v>
      </c>
      <c r="E299" s="5">
        <f>+IFERROR(VLOOKUP(Tabla38[[#This Row],[MOVIL]],Tabla1[[#All],[MOVIL]:[COBRO POR NUEVA INCLUSIÓN]],4,FALSE),0)</f>
        <v>0</v>
      </c>
      <c r="F29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299" s="5"/>
      <c r="H299" s="5" t="str">
        <f>_xlfn.XLOOKUP(Tabla38[[#This Row],[MOVIL]],[1]LIQUIDACION!$B:$B,[1]LIQUIDACION!$A:$A,"-",0)</f>
        <v>MEMBRESÍA URBANO</v>
      </c>
    </row>
    <row r="300" spans="1:8" x14ac:dyDescent="0.3">
      <c r="A300" s="59">
        <v>1615</v>
      </c>
      <c r="B300" s="5">
        <f>+SUMIFS(Tabla16[Importe],Tabla16[MOVIL],Tabla38[[#This Row],[MOVIL]],Tabla16[OBSV],"DESCONTAR POR USO PERSONAL")</f>
        <v>37.799999999999997</v>
      </c>
      <c r="C300" s="5">
        <f>+SUMIFS(Tabla16[Importe],Tabla16[MOVIL],Tabla38[[#This Row],[MOVIL]],Tabla16[OBSV],"DESCONTAR POR INCIDENCIA")</f>
        <v>0</v>
      </c>
      <c r="D300" s="5">
        <f>+SUMIFS(Tabla16[Importe],Tabla16[MOVIL],Tabla38[[#This Row],[MOVIL]],Tabla16[OBSV],"DESCONTAR SERVICIO EN EFECTIVO")</f>
        <v>0</v>
      </c>
      <c r="E300" s="5">
        <f>+IFERROR(VLOOKUP(Tabla38[[#This Row],[MOVIL]],Tabla1[[#All],[MOVIL]:[COBRO POR NUEVA INCLUSIÓN]],4,FALSE),0)</f>
        <v>0</v>
      </c>
      <c r="F300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00" s="5"/>
      <c r="H300" s="5" t="str">
        <f>_xlfn.XLOOKUP(Tabla38[[#This Row],[MOVIL]],[1]LIQUIDACION!$B:$B,[1]LIQUIDACION!$A:$A,"-",0)</f>
        <v>AEROPUERTO VAN</v>
      </c>
    </row>
    <row r="301" spans="1:8" x14ac:dyDescent="0.3">
      <c r="A301" s="59">
        <v>3242</v>
      </c>
      <c r="B301" s="5">
        <f>+SUMIFS(Tabla16[Importe],Tabla16[MOVIL],Tabla38[[#This Row],[MOVIL]],Tabla16[OBSV],"DESCONTAR POR USO PERSONAL")</f>
        <v>18.899999999999999</v>
      </c>
      <c r="C301" s="5">
        <f>+SUMIFS(Tabla16[Importe],Tabla16[MOVIL],Tabla38[[#This Row],[MOVIL]],Tabla16[OBSV],"DESCONTAR POR INCIDENCIA")</f>
        <v>0</v>
      </c>
      <c r="D301" s="5">
        <f>+SUMIFS(Tabla16[Importe],Tabla16[MOVIL],Tabla38[[#This Row],[MOVIL]],Tabla16[OBSV],"DESCONTAR SERVICIO EN EFECTIVO")</f>
        <v>0</v>
      </c>
      <c r="E301" s="5">
        <f>+IFERROR(VLOOKUP(Tabla38[[#This Row],[MOVIL]],Tabla1[[#All],[MOVIL]:[COBRO POR NUEVA INCLUSIÓN]],4,FALSE),0)</f>
        <v>0</v>
      </c>
      <c r="F30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01" s="5"/>
      <c r="H301" s="5" t="str">
        <f>_xlfn.XLOOKUP(Tabla38[[#This Row],[MOVIL]],[1]LIQUIDACION!$B:$B,[1]LIQUIDACION!$A:$A,"-",0)</f>
        <v>URBANO PARTNER</v>
      </c>
    </row>
    <row r="302" spans="1:8" x14ac:dyDescent="0.3">
      <c r="A302" s="59">
        <v>1502</v>
      </c>
      <c r="B302" s="5">
        <f>+SUMIFS(Tabla16[Importe],Tabla16[MOVIL],Tabla38[[#This Row],[MOVIL]],Tabla16[OBSV],"DESCONTAR POR USO PERSONAL")</f>
        <v>31.5</v>
      </c>
      <c r="C302" s="5">
        <f>+SUMIFS(Tabla16[Importe],Tabla16[MOVIL],Tabla38[[#This Row],[MOVIL]],Tabla16[OBSV],"DESCONTAR POR INCIDENCIA")</f>
        <v>0</v>
      </c>
      <c r="D302" s="5">
        <f>+SUMIFS(Tabla16[Importe],Tabla16[MOVIL],Tabla38[[#This Row],[MOVIL]],Tabla16[OBSV],"DESCONTAR SERVICIO EN EFECTIVO")</f>
        <v>0</v>
      </c>
      <c r="E302" s="5">
        <f>+IFERROR(VLOOKUP(Tabla38[[#This Row],[MOVIL]],Tabla1[[#All],[MOVIL]:[COBRO POR NUEVA INCLUSIÓN]],4,FALSE),0)</f>
        <v>0</v>
      </c>
      <c r="F30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2" s="5"/>
      <c r="H302" s="5" t="str">
        <f>_xlfn.XLOOKUP(Tabla38[[#This Row],[MOVIL]],[1]LIQUIDACION!$B:$B,[1]LIQUIDACION!$A:$A,"-",0)</f>
        <v>AEROPUERTO VAN</v>
      </c>
    </row>
    <row r="303" spans="1:8" x14ac:dyDescent="0.3">
      <c r="A303" s="59">
        <v>1422</v>
      </c>
      <c r="B303" s="5">
        <f>+SUMIFS(Tabla16[Importe],Tabla16[MOVIL],Tabla38[[#This Row],[MOVIL]],Tabla16[OBSV],"DESCONTAR POR USO PERSONAL")</f>
        <v>12.6</v>
      </c>
      <c r="C303" s="5">
        <f>+SUMIFS(Tabla16[Importe],Tabla16[MOVIL],Tabla38[[#This Row],[MOVIL]],Tabla16[OBSV],"DESCONTAR POR INCIDENCIA")</f>
        <v>0</v>
      </c>
      <c r="D303" s="5">
        <f>+SUMIFS(Tabla16[Importe],Tabla16[MOVIL],Tabla38[[#This Row],[MOVIL]],Tabla16[OBSV],"DESCONTAR SERVICIO EN EFECTIVO")</f>
        <v>0</v>
      </c>
      <c r="E303" s="5">
        <f>+IFERROR(VLOOKUP(Tabla38[[#This Row],[MOVIL]],Tabla1[[#All],[MOVIL]:[COBRO POR NUEVA INCLUSIÓN]],4,FALSE),0)</f>
        <v>0</v>
      </c>
      <c r="F30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3" s="5"/>
      <c r="H303" s="5" t="str">
        <f>_xlfn.XLOOKUP(Tabla38[[#This Row],[MOVIL]],[1]LIQUIDACION!$B:$B,[1]LIQUIDACION!$A:$A,"-",0)</f>
        <v>AEROPUERTO</v>
      </c>
    </row>
    <row r="304" spans="1:8" x14ac:dyDescent="0.3">
      <c r="A304" s="59">
        <v>1453</v>
      </c>
      <c r="B304" s="5">
        <f>+SUMIFS(Tabla16[Importe],Tabla16[MOVIL],Tabla38[[#This Row],[MOVIL]],Tabla16[OBSV],"DESCONTAR POR USO PERSONAL")</f>
        <v>6.3</v>
      </c>
      <c r="C304" s="5">
        <f>+SUMIFS(Tabla16[Importe],Tabla16[MOVIL],Tabla38[[#This Row],[MOVIL]],Tabla16[OBSV],"DESCONTAR POR INCIDENCIA")</f>
        <v>0</v>
      </c>
      <c r="D304" s="5">
        <f>+SUMIFS(Tabla16[Importe],Tabla16[MOVIL],Tabla38[[#This Row],[MOVIL]],Tabla16[OBSV],"DESCONTAR SERVICIO EN EFECTIVO")</f>
        <v>25.2</v>
      </c>
      <c r="E304" s="5">
        <f>+IFERROR(VLOOKUP(Tabla38[[#This Row],[MOVIL]],Tabla1[[#All],[MOVIL]:[COBRO POR NUEVA INCLUSIÓN]],4,FALSE),0)</f>
        <v>0</v>
      </c>
      <c r="F30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04" s="5"/>
      <c r="H304" s="5" t="str">
        <f>_xlfn.XLOOKUP(Tabla38[[#This Row],[MOVIL]],[1]LIQUIDACION!$B:$B,[1]LIQUIDACION!$A:$A,"-",0)</f>
        <v>AEROPUERTO</v>
      </c>
    </row>
    <row r="305" spans="1:8" x14ac:dyDescent="0.3">
      <c r="A305" s="8">
        <v>4072</v>
      </c>
      <c r="B305" s="5">
        <f>+SUMIFS(Tabla16[Importe],Tabla16[MOVIL],Tabla38[[#This Row],[MOVIL]],Tabla16[OBSV],"DESCONTAR POR USO PERSONAL")</f>
        <v>0</v>
      </c>
      <c r="C305" s="5">
        <f>+SUMIFS(Tabla16[Importe],Tabla16[MOVIL],Tabla38[[#This Row],[MOVIL]],Tabla16[OBSV],"DESCONTAR POR INCIDENCIA")</f>
        <v>0</v>
      </c>
      <c r="D305" s="5">
        <f>+SUMIFS(Tabla16[Importe],Tabla16[MOVIL],Tabla38[[#This Row],[MOVIL]],Tabla16[OBSV],"DESCONTAR SERVICIO EN EFECTIVO")</f>
        <v>0</v>
      </c>
      <c r="E305" s="5">
        <f>+IFERROR(VLOOKUP(Tabla38[[#This Row],[MOVIL]],Tabla1[[#All],[MOVIL]:[COBRO POR NUEVA INCLUSIÓN]],4,FALSE),0)</f>
        <v>0</v>
      </c>
      <c r="F3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5" s="5"/>
      <c r="H305" s="5" t="str">
        <f>_xlfn.XLOOKUP(Tabla38[[#This Row],[MOVIL]],[1]LIQUIDACION!$B:$B,[1]LIQUIDACION!$A:$A,"-",0)</f>
        <v>AEROLINEAS</v>
      </c>
    </row>
    <row r="306" spans="1:8" x14ac:dyDescent="0.3">
      <c r="A306" s="8">
        <v>127</v>
      </c>
      <c r="B306" s="5">
        <f>+SUMIFS(Tabla16[Importe],Tabla16[MOVIL],Tabla38[[#This Row],[MOVIL]],Tabla16[OBSV],"DESCONTAR POR USO PERSONAL")</f>
        <v>0</v>
      </c>
      <c r="C306" s="5">
        <f>+SUMIFS(Tabla16[Importe],Tabla16[MOVIL],Tabla38[[#This Row],[MOVIL]],Tabla16[OBSV],"DESCONTAR POR INCIDENCIA")</f>
        <v>0</v>
      </c>
      <c r="D306" s="5">
        <f>+SUMIFS(Tabla16[Importe],Tabla16[MOVIL],Tabla38[[#This Row],[MOVIL]],Tabla16[OBSV],"DESCONTAR SERVICIO EN EFECTIVO")</f>
        <v>0</v>
      </c>
      <c r="E306" s="5">
        <f>+IFERROR(VLOOKUP(Tabla38[[#This Row],[MOVIL]],Tabla1[[#All],[MOVIL]:[COBRO POR NUEVA INCLUSIÓN]],4,FALSE),0)</f>
        <v>0</v>
      </c>
      <c r="F3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6" s="5"/>
      <c r="H306" s="5" t="str">
        <f>_xlfn.XLOOKUP(Tabla38[[#This Row],[MOVIL]],[1]LIQUIDACION!$B:$B,[1]LIQUIDACION!$A:$A,"-",0)</f>
        <v>AEROLINEAS</v>
      </c>
    </row>
    <row r="307" spans="1:8" x14ac:dyDescent="0.3">
      <c r="A307" s="8">
        <v>4070</v>
      </c>
      <c r="B307" s="5">
        <f>+SUMIFS(Tabla16[Importe],Tabla16[MOVIL],Tabla38[[#This Row],[MOVIL]],Tabla16[OBSV],"DESCONTAR POR USO PERSONAL")</f>
        <v>0</v>
      </c>
      <c r="C307" s="5">
        <f>+SUMIFS(Tabla16[Importe],Tabla16[MOVIL],Tabla38[[#This Row],[MOVIL]],Tabla16[OBSV],"DESCONTAR POR INCIDENCIA")</f>
        <v>0</v>
      </c>
      <c r="D307" s="5">
        <f>+SUMIFS(Tabla16[Importe],Tabla16[MOVIL],Tabla38[[#This Row],[MOVIL]],Tabla16[OBSV],"DESCONTAR SERVICIO EN EFECTIVO")</f>
        <v>0</v>
      </c>
      <c r="E307" s="5">
        <f>+IFERROR(VLOOKUP(Tabla38[[#This Row],[MOVIL]],Tabla1[[#All],[MOVIL]:[COBRO POR NUEVA INCLUSIÓN]],4,FALSE),0)</f>
        <v>0</v>
      </c>
      <c r="F30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07" s="5"/>
      <c r="H307" s="5" t="str">
        <f>_xlfn.XLOOKUP(Tabla38[[#This Row],[MOVIL]],[1]LIQUIDACION!$B:$B,[1]LIQUIDACION!$A:$A,"-",0)</f>
        <v>MEMBRESÍA DIURNA</v>
      </c>
    </row>
    <row r="308" spans="1:8" x14ac:dyDescent="0.3">
      <c r="A308" s="8">
        <v>515</v>
      </c>
      <c r="B308" s="5">
        <f>+SUMIFS(Tabla16[Importe],Tabla16[MOVIL],Tabla38[[#This Row],[MOVIL]],Tabla16[OBSV],"DESCONTAR POR USO PERSONAL")</f>
        <v>0</v>
      </c>
      <c r="C308" s="5">
        <f>+SUMIFS(Tabla16[Importe],Tabla16[MOVIL],Tabla38[[#This Row],[MOVIL]],Tabla16[OBSV],"DESCONTAR POR INCIDENCIA")</f>
        <v>0</v>
      </c>
      <c r="D308" s="5">
        <f>+SUMIFS(Tabla16[Importe],Tabla16[MOVIL],Tabla38[[#This Row],[MOVIL]],Tabla16[OBSV],"DESCONTAR SERVICIO EN EFECTIVO")</f>
        <v>12.6</v>
      </c>
      <c r="E308" s="5">
        <f>+IFERROR(VLOOKUP(Tabla38[[#This Row],[MOVIL]],Tabla1[[#All],[MOVIL]:[COBRO POR NUEVA INCLUSIÓN]],4,FALSE),0)</f>
        <v>0</v>
      </c>
      <c r="F30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8" s="5"/>
      <c r="H308" s="5" t="str">
        <f>_xlfn.XLOOKUP(Tabla38[[#This Row],[MOVIL]],[1]LIQUIDACION!$B:$B,[1]LIQUIDACION!$A:$A,"-",0)</f>
        <v>URBANO</v>
      </c>
    </row>
    <row r="309" spans="1:8" x14ac:dyDescent="0.3">
      <c r="A309" s="8">
        <v>412</v>
      </c>
      <c r="B309" s="5">
        <f>+SUMIFS(Tabla16[Importe],Tabla16[MOVIL],Tabla38[[#This Row],[MOVIL]],Tabla16[OBSV],"DESCONTAR POR USO PERSONAL")</f>
        <v>0</v>
      </c>
      <c r="C309" s="5">
        <f>+SUMIFS(Tabla16[Importe],Tabla16[MOVIL],Tabla38[[#This Row],[MOVIL]],Tabla16[OBSV],"DESCONTAR POR INCIDENCIA")</f>
        <v>12.6</v>
      </c>
      <c r="D309" s="5">
        <f>+SUMIFS(Tabla16[Importe],Tabla16[MOVIL],Tabla38[[#This Row],[MOVIL]],Tabla16[OBSV],"DESCONTAR SERVICIO EN EFECTIVO")</f>
        <v>0</v>
      </c>
      <c r="E309" s="5">
        <f>+IFERROR(VLOOKUP(Tabla38[[#This Row],[MOVIL]],Tabla1[[#All],[MOVIL]:[COBRO POR NUEVA INCLUSIÓN]],4,FALSE),0)</f>
        <v>0</v>
      </c>
      <c r="F30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09" s="5"/>
      <c r="H309" s="5" t="str">
        <f>_xlfn.XLOOKUP(Tabla38[[#This Row],[MOVIL]],[1]LIQUIDACION!$B:$B,[1]LIQUIDACION!$A:$A,"-",0)</f>
        <v>MEMBRESÍA URBANO</v>
      </c>
    </row>
    <row r="310" spans="1:8" x14ac:dyDescent="0.3">
      <c r="A310" s="59">
        <v>2467</v>
      </c>
      <c r="B310" s="5">
        <f>+SUMIFS(Tabla16[Importe],Tabla16[MOVIL],Tabla38[[#This Row],[MOVIL]],Tabla16[OBSV],"DESCONTAR POR USO PERSONAL")</f>
        <v>12.6</v>
      </c>
      <c r="C310" s="5">
        <f>+SUMIFS(Tabla16[Importe],Tabla16[MOVIL],Tabla38[[#This Row],[MOVIL]],Tabla16[OBSV],"DESCONTAR POR INCIDENCIA")</f>
        <v>0</v>
      </c>
      <c r="D310" s="5">
        <f>+SUMIFS(Tabla16[Importe],Tabla16[MOVIL],Tabla38[[#This Row],[MOVIL]],Tabla16[OBSV],"DESCONTAR SERVICIO EN EFECTIVO")</f>
        <v>0</v>
      </c>
      <c r="E310" s="5">
        <f>+IFERROR(VLOOKUP(Tabla38[[#This Row],[MOVIL]],Tabla1[[#All],[MOVIL]:[COBRO POR NUEVA INCLUSIÓN]],4,FALSE),0)</f>
        <v>0</v>
      </c>
      <c r="F31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10" s="5"/>
      <c r="H310" s="5" t="str">
        <f>_xlfn.XLOOKUP(Tabla38[[#This Row],[MOVIL]],[1]LIQUIDACION!$B:$B,[1]LIQUIDACION!$A:$A,"-",0)</f>
        <v>URBANO</v>
      </c>
    </row>
    <row r="311" spans="1:8" x14ac:dyDescent="0.3">
      <c r="A311" s="8">
        <v>3113</v>
      </c>
      <c r="B311" s="5">
        <f>+SUMIFS(Tabla16[Importe],Tabla16[MOVIL],Tabla38[[#This Row],[MOVIL]],Tabla16[OBSV],"DESCONTAR POR USO PERSONAL")</f>
        <v>0</v>
      </c>
      <c r="C311" s="5">
        <f>+SUMIFS(Tabla16[Importe],Tabla16[MOVIL],Tabla38[[#This Row],[MOVIL]],Tabla16[OBSV],"DESCONTAR POR INCIDENCIA")</f>
        <v>0</v>
      </c>
      <c r="D311" s="5">
        <f>+SUMIFS(Tabla16[Importe],Tabla16[MOVIL],Tabla38[[#This Row],[MOVIL]],Tabla16[OBSV],"DESCONTAR SERVICIO EN EFECTIVO")</f>
        <v>0</v>
      </c>
      <c r="E311" s="5">
        <f>+IFERROR(VLOOKUP(Tabla38[[#This Row],[MOVIL]],Tabla1[[#All],[MOVIL]:[COBRO POR NUEVA INCLUSIÓN]],4,FALSE),0)</f>
        <v>0</v>
      </c>
      <c r="F3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1" s="5"/>
      <c r="H311" s="5" t="str">
        <f>_xlfn.XLOOKUP(Tabla38[[#This Row],[MOVIL]],[1]LIQUIDACION!$B:$B,[1]LIQUIDACION!$A:$A,"-",0)</f>
        <v>AEROLINEAS</v>
      </c>
    </row>
    <row r="312" spans="1:8" x14ac:dyDescent="0.3">
      <c r="A312" s="8">
        <v>3638</v>
      </c>
      <c r="B312" s="5">
        <f>+SUMIFS(Tabla16[Importe],Tabla16[MOVIL],Tabla38[[#This Row],[MOVIL]],Tabla16[OBSV],"DESCONTAR POR USO PERSONAL")</f>
        <v>0</v>
      </c>
      <c r="C312" s="5">
        <f>+SUMIFS(Tabla16[Importe],Tabla16[MOVIL],Tabla38[[#This Row],[MOVIL]],Tabla16[OBSV],"DESCONTAR POR INCIDENCIA")</f>
        <v>0</v>
      </c>
      <c r="D312" s="5">
        <f>+SUMIFS(Tabla16[Importe],Tabla16[MOVIL],Tabla38[[#This Row],[MOVIL]],Tabla16[OBSV],"DESCONTAR SERVICIO EN EFECTIVO")</f>
        <v>0</v>
      </c>
      <c r="E312" s="5">
        <f>+IFERROR(VLOOKUP(Tabla38[[#This Row],[MOVIL]],Tabla1[[#All],[MOVIL]:[COBRO POR NUEVA INCLUSIÓN]],4,FALSE),0)</f>
        <v>0</v>
      </c>
      <c r="F31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2" s="5"/>
      <c r="H312" s="5" t="str">
        <f>_xlfn.XLOOKUP(Tabla38[[#This Row],[MOVIL]],[1]LIQUIDACION!$B:$B,[1]LIQUIDACION!$A:$A,"-",0)</f>
        <v>AEROLINEAS</v>
      </c>
    </row>
    <row r="313" spans="1:8" x14ac:dyDescent="0.3">
      <c r="A313" s="8">
        <v>3014</v>
      </c>
      <c r="B313" s="5">
        <f>+SUMIFS(Tabla16[Importe],Tabla16[MOVIL],Tabla38[[#This Row],[MOVIL]],Tabla16[OBSV],"DESCONTAR POR USO PERSONAL")</f>
        <v>0</v>
      </c>
      <c r="C313" s="5">
        <f>+SUMIFS(Tabla16[Importe],Tabla16[MOVIL],Tabla38[[#This Row],[MOVIL]],Tabla16[OBSV],"DESCONTAR POR INCIDENCIA")</f>
        <v>0</v>
      </c>
      <c r="D313" s="5">
        <f>+SUMIFS(Tabla16[Importe],Tabla16[MOVIL],Tabla38[[#This Row],[MOVIL]],Tabla16[OBSV],"DESCONTAR SERVICIO EN EFECTIVO")</f>
        <v>0</v>
      </c>
      <c r="E313" s="5">
        <f>+IFERROR(VLOOKUP(Tabla38[[#This Row],[MOVIL]],Tabla1[[#All],[MOVIL]:[COBRO POR NUEVA INCLUSIÓN]],4,FALSE),0)</f>
        <v>0</v>
      </c>
      <c r="F31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3" s="5"/>
      <c r="H313" s="5" t="str">
        <f>_xlfn.XLOOKUP(Tabla38[[#This Row],[MOVIL]],[1]LIQUIDACION!$B:$B,[1]LIQUIDACION!$A:$A,"-",0)</f>
        <v>AEROLINEAS</v>
      </c>
    </row>
    <row r="314" spans="1:8" x14ac:dyDescent="0.3">
      <c r="A314" s="8">
        <v>2674</v>
      </c>
      <c r="B314" s="5">
        <f>+SUMIFS(Tabla16[Importe],Tabla16[MOVIL],Tabla38[[#This Row],[MOVIL]],Tabla16[OBSV],"DESCONTAR POR USO PERSONAL")</f>
        <v>0</v>
      </c>
      <c r="C314" s="5">
        <f>+SUMIFS(Tabla16[Importe],Tabla16[MOVIL],Tabla38[[#This Row],[MOVIL]],Tabla16[OBSV],"DESCONTAR POR INCIDENCIA")</f>
        <v>0</v>
      </c>
      <c r="D314" s="5">
        <f>+SUMIFS(Tabla16[Importe],Tabla16[MOVIL],Tabla38[[#This Row],[MOVIL]],Tabla16[OBSV],"DESCONTAR SERVICIO EN EFECTIVO")</f>
        <v>0</v>
      </c>
      <c r="E314" s="5">
        <f>+IFERROR(VLOOKUP(Tabla38[[#This Row],[MOVIL]],Tabla1[[#All],[MOVIL]:[COBRO POR NUEVA INCLUSIÓN]],4,FALSE),0)</f>
        <v>0</v>
      </c>
      <c r="F31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4" s="5"/>
      <c r="H314" s="5" t="str">
        <f>_xlfn.XLOOKUP(Tabla38[[#This Row],[MOVIL]],[1]LIQUIDACION!$B:$B,[1]LIQUIDACION!$A:$A,"-",0)</f>
        <v>AEROLINEAS</v>
      </c>
    </row>
    <row r="315" spans="1:8" x14ac:dyDescent="0.3">
      <c r="A315" s="8">
        <v>9045</v>
      </c>
      <c r="B315" s="5">
        <f>+SUMIFS(Tabla16[Importe],Tabla16[MOVIL],Tabla38[[#This Row],[MOVIL]],Tabla16[OBSV],"DESCONTAR POR USO PERSONAL")</f>
        <v>0</v>
      </c>
      <c r="C315" s="5">
        <f>+SUMIFS(Tabla16[Importe],Tabla16[MOVIL],Tabla38[[#This Row],[MOVIL]],Tabla16[OBSV],"DESCONTAR POR INCIDENCIA")</f>
        <v>0</v>
      </c>
      <c r="D315" s="5">
        <f>+SUMIFS(Tabla16[Importe],Tabla16[MOVIL],Tabla38[[#This Row],[MOVIL]],Tabla16[OBSV],"DESCONTAR SERVICIO EN EFECTIVO")</f>
        <v>0</v>
      </c>
      <c r="E315" s="5">
        <f>+IFERROR(VLOOKUP(Tabla38[[#This Row],[MOVIL]],Tabla1[[#All],[MOVIL]:[COBRO POR NUEVA INCLUSIÓN]],4,FALSE),0)</f>
        <v>0</v>
      </c>
      <c r="F31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5" s="5"/>
      <c r="H315" s="5" t="str">
        <f>_xlfn.XLOOKUP(Tabla38[[#This Row],[MOVIL]],[1]LIQUIDACION!$B:$B,[1]LIQUIDACION!$A:$A,"-",0)</f>
        <v>AEROLINEAS</v>
      </c>
    </row>
    <row r="316" spans="1:8" x14ac:dyDescent="0.3">
      <c r="A316" s="8">
        <v>3381</v>
      </c>
      <c r="B316" s="5">
        <f>+SUMIFS(Tabla16[Importe],Tabla16[MOVIL],Tabla38[[#This Row],[MOVIL]],Tabla16[OBSV],"DESCONTAR POR USO PERSONAL")</f>
        <v>0</v>
      </c>
      <c r="C316" s="5">
        <f>+SUMIFS(Tabla16[Importe],Tabla16[MOVIL],Tabla38[[#This Row],[MOVIL]],Tabla16[OBSV],"DESCONTAR POR INCIDENCIA")</f>
        <v>0</v>
      </c>
      <c r="D316" s="5">
        <f>+SUMIFS(Tabla16[Importe],Tabla16[MOVIL],Tabla38[[#This Row],[MOVIL]],Tabla16[OBSV],"DESCONTAR SERVICIO EN EFECTIVO")</f>
        <v>0</v>
      </c>
      <c r="E316" s="5">
        <f>+IFERROR(VLOOKUP(Tabla38[[#This Row],[MOVIL]],Tabla1[[#All],[MOVIL]:[COBRO POR NUEVA INCLUSIÓN]],4,FALSE),0)</f>
        <v>0</v>
      </c>
      <c r="F31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6" s="5"/>
      <c r="H316" s="5" t="str">
        <f>_xlfn.XLOOKUP(Tabla38[[#This Row],[MOVIL]],[1]LIQUIDACION!$B:$B,[1]LIQUIDACION!$A:$A,"-",0)</f>
        <v>URBANO</v>
      </c>
    </row>
    <row r="317" spans="1:8" x14ac:dyDescent="0.3">
      <c r="A317" s="8">
        <v>2014</v>
      </c>
      <c r="B317" s="5">
        <f>+SUMIFS(Tabla16[Importe],Tabla16[MOVIL],Tabla38[[#This Row],[MOVIL]],Tabla16[OBSV],"DESCONTAR POR USO PERSONAL")</f>
        <v>0</v>
      </c>
      <c r="C317" s="5">
        <f>+SUMIFS(Tabla16[Importe],Tabla16[MOVIL],Tabla38[[#This Row],[MOVIL]],Tabla16[OBSV],"DESCONTAR POR INCIDENCIA")</f>
        <v>0</v>
      </c>
      <c r="D317" s="5">
        <f>+SUMIFS(Tabla16[Importe],Tabla16[MOVIL],Tabla38[[#This Row],[MOVIL]],Tabla16[OBSV],"DESCONTAR SERVICIO EN EFECTIVO")</f>
        <v>0</v>
      </c>
      <c r="E317" s="5">
        <f>+IFERROR(VLOOKUP(Tabla38[[#This Row],[MOVIL]],Tabla1[[#All],[MOVIL]:[COBRO POR NUEVA INCLUSIÓN]],4,FALSE),0)</f>
        <v>0</v>
      </c>
      <c r="F31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7" s="5"/>
      <c r="H317" s="5" t="str">
        <f>_xlfn.XLOOKUP(Tabla38[[#This Row],[MOVIL]],[1]LIQUIDACION!$B:$B,[1]LIQUIDACION!$A:$A,"-",0)</f>
        <v>AEROPUERTO</v>
      </c>
    </row>
    <row r="318" spans="1:8" x14ac:dyDescent="0.3">
      <c r="A318" s="8">
        <v>3954</v>
      </c>
      <c r="B318" s="5">
        <f>+SUMIFS(Tabla16[Importe],Tabla16[MOVIL],Tabla38[[#This Row],[MOVIL]],Tabla16[OBSV],"DESCONTAR POR USO PERSONAL")</f>
        <v>0</v>
      </c>
      <c r="C318" s="5">
        <f>+SUMIFS(Tabla16[Importe],Tabla16[MOVIL],Tabla38[[#This Row],[MOVIL]],Tabla16[OBSV],"DESCONTAR POR INCIDENCIA")</f>
        <v>0</v>
      </c>
      <c r="D318" s="5">
        <f>+SUMIFS(Tabla16[Importe],Tabla16[MOVIL],Tabla38[[#This Row],[MOVIL]],Tabla16[OBSV],"DESCONTAR SERVICIO EN EFECTIVO")</f>
        <v>0</v>
      </c>
      <c r="E318" s="5">
        <f>+IFERROR(VLOOKUP(Tabla38[[#This Row],[MOVIL]],Tabla1[[#All],[MOVIL]:[COBRO POR NUEVA INCLUSIÓN]],4,FALSE),0)</f>
        <v>0</v>
      </c>
      <c r="F31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18" s="5"/>
      <c r="H318" s="5" t="str">
        <f>_xlfn.XLOOKUP(Tabla38[[#This Row],[MOVIL]],[1]LIQUIDACION!$B:$B,[1]LIQUIDACION!$A:$A,"-",0)</f>
        <v>AEROLINEAS</v>
      </c>
    </row>
    <row r="319" spans="1:8" x14ac:dyDescent="0.3">
      <c r="A319" s="59">
        <v>4073</v>
      </c>
      <c r="B319" s="5">
        <f>+SUMIFS(Tabla16[Importe],Tabla16[MOVIL],Tabla38[[#This Row],[MOVIL]],Tabla16[OBSV],"DESCONTAR POR USO PERSONAL")</f>
        <v>6.3</v>
      </c>
      <c r="C319" s="5">
        <f>+SUMIFS(Tabla16[Importe],Tabla16[MOVIL],Tabla38[[#This Row],[MOVIL]],Tabla16[OBSV],"DESCONTAR POR INCIDENCIA")</f>
        <v>0</v>
      </c>
      <c r="D319" s="5">
        <f>+SUMIFS(Tabla16[Importe],Tabla16[MOVIL],Tabla38[[#This Row],[MOVIL]],Tabla16[OBSV],"DESCONTAR SERVICIO EN EFECTIVO")</f>
        <v>0</v>
      </c>
      <c r="E319" s="5">
        <f>+IFERROR(VLOOKUP(Tabla38[[#This Row],[MOVIL]],Tabla1[[#All],[MOVIL]:[COBRO POR NUEVA INCLUSIÓN]],4,FALSE),0)</f>
        <v>0</v>
      </c>
      <c r="F3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19" s="5"/>
      <c r="H319" s="5" t="str">
        <f>_xlfn.XLOOKUP(Tabla38[[#This Row],[MOVIL]],[1]LIQUIDACION!$B:$B,[1]LIQUIDACION!$A:$A,"-",0)</f>
        <v>AEROLINEAS</v>
      </c>
    </row>
    <row r="320" spans="1:8" x14ac:dyDescent="0.3">
      <c r="A320" s="59">
        <v>1844</v>
      </c>
      <c r="B320" s="5">
        <f>+SUMIFS(Tabla16[Importe],Tabla16[MOVIL],Tabla38[[#This Row],[MOVIL]],Tabla16[OBSV],"DESCONTAR POR USO PERSONAL")</f>
        <v>12.6</v>
      </c>
      <c r="C320" s="5">
        <f>+SUMIFS(Tabla16[Importe],Tabla16[MOVIL],Tabla38[[#This Row],[MOVIL]],Tabla16[OBSV],"DESCONTAR POR INCIDENCIA")</f>
        <v>0</v>
      </c>
      <c r="D320" s="5">
        <f>+SUMIFS(Tabla16[Importe],Tabla16[MOVIL],Tabla38[[#This Row],[MOVIL]],Tabla16[OBSV],"DESCONTAR SERVICIO EN EFECTIVO")</f>
        <v>0</v>
      </c>
      <c r="E320" s="5">
        <f>+IFERROR(VLOOKUP(Tabla38[[#This Row],[MOVIL]],Tabla1[[#All],[MOVIL]:[COBRO POR NUEVA INCLUSIÓN]],4,FALSE),0)</f>
        <v>0</v>
      </c>
      <c r="F32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0" s="5"/>
      <c r="H320" s="5" t="str">
        <f>_xlfn.XLOOKUP(Tabla38[[#This Row],[MOVIL]],[1]LIQUIDACION!$B:$B,[1]LIQUIDACION!$A:$A,"-",0)</f>
        <v>AEROLINEAS</v>
      </c>
    </row>
    <row r="321" spans="1:8" x14ac:dyDescent="0.3">
      <c r="A321" s="59">
        <v>2416</v>
      </c>
      <c r="B321" s="5">
        <f>+SUMIFS(Tabla16[Importe],Tabla16[MOVIL],Tabla38[[#This Row],[MOVIL]],Tabla16[OBSV],"DESCONTAR POR USO PERSONAL")</f>
        <v>12.6</v>
      </c>
      <c r="C321" s="5">
        <f>+SUMIFS(Tabla16[Importe],Tabla16[MOVIL],Tabla38[[#This Row],[MOVIL]],Tabla16[OBSV],"DESCONTAR POR INCIDENCIA")</f>
        <v>0</v>
      </c>
      <c r="D321" s="5">
        <f>+SUMIFS(Tabla16[Importe],Tabla16[MOVIL],Tabla38[[#This Row],[MOVIL]],Tabla16[OBSV],"DESCONTAR SERVICIO EN EFECTIVO")</f>
        <v>12.6</v>
      </c>
      <c r="E321" s="5">
        <f>+IFERROR(VLOOKUP(Tabla38[[#This Row],[MOVIL]],Tabla1[[#All],[MOVIL]:[COBRO POR NUEVA INCLUSIÓN]],4,FALSE),0)</f>
        <v>0</v>
      </c>
      <c r="F321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21" s="5"/>
      <c r="H321" s="5" t="str">
        <f>_xlfn.XLOOKUP(Tabla38[[#This Row],[MOVIL]],[1]LIQUIDACION!$B:$B,[1]LIQUIDACION!$A:$A,"-",0)</f>
        <v>URBANO</v>
      </c>
    </row>
    <row r="322" spans="1:8" x14ac:dyDescent="0.3">
      <c r="A322" s="59">
        <v>7106</v>
      </c>
      <c r="B322" s="5">
        <f>+SUMIFS(Tabla16[Importe],Tabla16[MOVIL],Tabla38[[#This Row],[MOVIL]],Tabla16[OBSV],"DESCONTAR POR USO PERSONAL")</f>
        <v>12.6</v>
      </c>
      <c r="C322" s="5">
        <f>+SUMIFS(Tabla16[Importe],Tabla16[MOVIL],Tabla38[[#This Row],[MOVIL]],Tabla16[OBSV],"DESCONTAR POR INCIDENCIA")</f>
        <v>0</v>
      </c>
      <c r="D322" s="5">
        <f>+SUMIFS(Tabla16[Importe],Tabla16[MOVIL],Tabla38[[#This Row],[MOVIL]],Tabla16[OBSV],"DESCONTAR SERVICIO EN EFECTIVO")</f>
        <v>0</v>
      </c>
      <c r="E322" s="5">
        <f>+IFERROR(VLOOKUP(Tabla38[[#This Row],[MOVIL]],Tabla1[[#All],[MOVIL]:[COBRO POR NUEVA INCLUSIÓN]],4,FALSE),0)</f>
        <v>0</v>
      </c>
      <c r="F32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2" s="5"/>
      <c r="H322" s="5" t="str">
        <f>_xlfn.XLOOKUP(Tabla38[[#This Row],[MOVIL]],[1]LIQUIDACION!$B:$B,[1]LIQUIDACION!$A:$A,"-",0)</f>
        <v>URBANO PARTNER</v>
      </c>
    </row>
    <row r="323" spans="1:8" x14ac:dyDescent="0.3">
      <c r="A323" s="59">
        <v>3924</v>
      </c>
      <c r="B323" s="5">
        <f>+SUMIFS(Tabla16[Importe],Tabla16[MOVIL],Tabla38[[#This Row],[MOVIL]],Tabla16[OBSV],"DESCONTAR POR USO PERSONAL")</f>
        <v>18.899999999999999</v>
      </c>
      <c r="C323" s="5">
        <f>+SUMIFS(Tabla16[Importe],Tabla16[MOVIL],Tabla38[[#This Row],[MOVIL]],Tabla16[OBSV],"DESCONTAR POR INCIDENCIA")</f>
        <v>0</v>
      </c>
      <c r="D323" s="5">
        <f>+SUMIFS(Tabla16[Importe],Tabla16[MOVIL],Tabla38[[#This Row],[MOVIL]],Tabla16[OBSV],"DESCONTAR SERVICIO EN EFECTIVO")</f>
        <v>0</v>
      </c>
      <c r="E323" s="5">
        <f>+IFERROR(VLOOKUP(Tabla38[[#This Row],[MOVIL]],Tabla1[[#All],[MOVIL]:[COBRO POR NUEVA INCLUSIÓN]],4,FALSE),0)</f>
        <v>0</v>
      </c>
      <c r="F323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3" s="5"/>
      <c r="H323" s="5" t="str">
        <f>_xlfn.XLOOKUP(Tabla38[[#This Row],[MOVIL]],[1]LIQUIDACION!$B:$B,[1]LIQUIDACION!$A:$A,"-",0)</f>
        <v>AEROLINEAS</v>
      </c>
    </row>
    <row r="324" spans="1:8" x14ac:dyDescent="0.3">
      <c r="A324" s="59">
        <v>2189</v>
      </c>
      <c r="B324" s="5">
        <f>+SUMIFS(Tabla16[Importe],Tabla16[MOVIL],Tabla38[[#This Row],[MOVIL]],Tabla16[OBSV],"DESCONTAR POR USO PERSONAL")</f>
        <v>12.6</v>
      </c>
      <c r="C324" s="5">
        <f>+SUMIFS(Tabla16[Importe],Tabla16[MOVIL],Tabla38[[#This Row],[MOVIL]],Tabla16[OBSV],"DESCONTAR POR INCIDENCIA")</f>
        <v>6.3</v>
      </c>
      <c r="D324" s="5">
        <f>+SUMIFS(Tabla16[Importe],Tabla16[MOVIL],Tabla38[[#This Row],[MOVIL]],Tabla16[OBSV],"DESCONTAR SERVICIO EN EFECTIVO")</f>
        <v>0</v>
      </c>
      <c r="E324" s="5">
        <f>+IFERROR(VLOOKUP(Tabla38[[#This Row],[MOVIL]],Tabla1[[#All],[MOVIL]:[COBRO POR NUEVA INCLUSIÓN]],4,FALSE),0)</f>
        <v>0</v>
      </c>
      <c r="F32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4" s="5"/>
      <c r="H324" s="5" t="str">
        <f>_xlfn.XLOOKUP(Tabla38[[#This Row],[MOVIL]],[1]LIQUIDACION!$B:$B,[1]LIQUIDACION!$A:$A,"-",0)</f>
        <v>MEMBRESÍA URBANO</v>
      </c>
    </row>
    <row r="325" spans="1:8" x14ac:dyDescent="0.3">
      <c r="A325" s="59">
        <v>4145</v>
      </c>
      <c r="B325" s="5">
        <f>+SUMIFS(Tabla16[Importe],Tabla16[MOVIL],Tabla38[[#This Row],[MOVIL]],Tabla16[OBSV],"DESCONTAR POR USO PERSONAL")</f>
        <v>81.899999999999977</v>
      </c>
      <c r="C325" s="5">
        <f>+SUMIFS(Tabla16[Importe],Tabla16[MOVIL],Tabla38[[#This Row],[MOVIL]],Tabla16[OBSV],"DESCONTAR POR INCIDENCIA")</f>
        <v>0</v>
      </c>
      <c r="D325" s="5">
        <f>+SUMIFS(Tabla16[Importe],Tabla16[MOVIL],Tabla38[[#This Row],[MOVIL]],Tabla16[OBSV],"DESCONTAR SERVICIO EN EFECTIVO")</f>
        <v>12.6</v>
      </c>
      <c r="E325" s="5">
        <f>+IFERROR(VLOOKUP(Tabla38[[#This Row],[MOVIL]],Tabla1[[#All],[MOVIL]:[COBRO POR NUEVA INCLUSIÓN]],4,FALSE),0)</f>
        <v>0</v>
      </c>
      <c r="F325" s="5">
        <f>(Tabla38[[#This Row],[DESCUENTO POR USO PERSONAL PEX]]+Tabla38[[#This Row],[DESCUENTO POR INCIDENCIAS PEX]]+Tabla38[[#This Row],[DESCUENTO POR SERVICIOS EN EFECTIVO]]+Tabla38[[#This Row],[DESCUENTO POR NUEVA INCLUSION]])</f>
        <v>94.499999999999972</v>
      </c>
      <c r="G325" s="5"/>
      <c r="H325" s="5" t="str">
        <f>_xlfn.XLOOKUP(Tabla38[[#This Row],[MOVIL]],[1]LIQUIDACION!$B:$B,[1]LIQUIDACION!$A:$A,"-",0)</f>
        <v>MEMBRESÍA DIURNA</v>
      </c>
    </row>
    <row r="326" spans="1:8" x14ac:dyDescent="0.3">
      <c r="A326" s="8">
        <v>4026</v>
      </c>
      <c r="B326" s="5">
        <f>+SUMIFS(Tabla16[Importe],Tabla16[MOVIL],Tabla38[[#This Row],[MOVIL]],Tabla16[OBSV],"DESCONTAR POR USO PERSONAL")</f>
        <v>0</v>
      </c>
      <c r="C326" s="5">
        <f>+SUMIFS(Tabla16[Importe],Tabla16[MOVIL],Tabla38[[#This Row],[MOVIL]],Tabla16[OBSV],"DESCONTAR POR INCIDENCIA")</f>
        <v>0</v>
      </c>
      <c r="D326" s="5">
        <f>+SUMIFS(Tabla16[Importe],Tabla16[MOVIL],Tabla38[[#This Row],[MOVIL]],Tabla16[OBSV],"DESCONTAR SERVICIO EN EFECTIVO")</f>
        <v>0</v>
      </c>
      <c r="E326" s="5">
        <f>+IFERROR(VLOOKUP(Tabla38[[#This Row],[MOVIL]],Tabla1[[#All],[MOVIL]:[COBRO POR NUEVA INCLUSIÓN]],4,FALSE),0)</f>
        <v>0</v>
      </c>
      <c r="F32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26" s="5"/>
      <c r="H326" s="5" t="str">
        <f>_xlfn.XLOOKUP(Tabla38[[#This Row],[MOVIL]],[1]LIQUIDACION!$B:$B,[1]LIQUIDACION!$A:$A,"-",0)</f>
        <v>AEROLINEAS</v>
      </c>
    </row>
    <row r="327" spans="1:8" x14ac:dyDescent="0.3">
      <c r="A327" s="59">
        <v>3912</v>
      </c>
      <c r="B327" s="5">
        <f>+SUMIFS(Tabla16[Importe],Tabla16[MOVIL],Tabla38[[#This Row],[MOVIL]],Tabla16[OBSV],"DESCONTAR POR USO PERSONAL")</f>
        <v>6.3</v>
      </c>
      <c r="C327" s="5">
        <f>+SUMIFS(Tabla16[Importe],Tabla16[MOVIL],Tabla38[[#This Row],[MOVIL]],Tabla16[OBSV],"DESCONTAR POR INCIDENCIA")</f>
        <v>0</v>
      </c>
      <c r="D327" s="5">
        <f>+SUMIFS(Tabla16[Importe],Tabla16[MOVIL],Tabla38[[#This Row],[MOVIL]],Tabla16[OBSV],"DESCONTAR SERVICIO EN EFECTIVO")</f>
        <v>0</v>
      </c>
      <c r="E327" s="5">
        <f>+IFERROR(VLOOKUP(Tabla38[[#This Row],[MOVIL]],Tabla1[[#All],[MOVIL]:[COBRO POR NUEVA INCLUSIÓN]],4,FALSE),0)</f>
        <v>0</v>
      </c>
      <c r="F32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27" s="5"/>
      <c r="H327" s="5" t="str">
        <f>_xlfn.XLOOKUP(Tabla38[[#This Row],[MOVIL]],[1]LIQUIDACION!$B:$B,[1]LIQUIDACION!$A:$A,"-",0)</f>
        <v>MEMBRESÍA NOCTURNA - APTO</v>
      </c>
    </row>
    <row r="328" spans="1:8" x14ac:dyDescent="0.3">
      <c r="A328" s="59">
        <v>3939</v>
      </c>
      <c r="B328" s="5">
        <f>+SUMIFS(Tabla16[Importe],Tabla16[MOVIL],Tabla38[[#This Row],[MOVIL]],Tabla16[OBSV],"DESCONTAR POR USO PERSONAL")</f>
        <v>12.6</v>
      </c>
      <c r="C328" s="5">
        <f>+SUMIFS(Tabla16[Importe],Tabla16[MOVIL],Tabla38[[#This Row],[MOVIL]],Tabla16[OBSV],"DESCONTAR POR INCIDENCIA")</f>
        <v>0</v>
      </c>
      <c r="D328" s="5">
        <f>+SUMIFS(Tabla16[Importe],Tabla16[MOVIL],Tabla38[[#This Row],[MOVIL]],Tabla16[OBSV],"DESCONTAR SERVICIO EN EFECTIVO")</f>
        <v>0</v>
      </c>
      <c r="E328" s="5">
        <f>+IFERROR(VLOOKUP(Tabla38[[#This Row],[MOVIL]],Tabla1[[#All],[MOVIL]:[COBRO POR NUEVA INCLUSIÓN]],4,FALSE),0)</f>
        <v>0</v>
      </c>
      <c r="F32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28" s="5"/>
      <c r="H328" s="5" t="str">
        <f>_xlfn.XLOOKUP(Tabla38[[#This Row],[MOVIL]],[1]LIQUIDACION!$B:$B,[1]LIQUIDACION!$A:$A,"-",0)</f>
        <v>MEMBRESÍA NOCTURNA - APTO</v>
      </c>
    </row>
    <row r="329" spans="1:8" x14ac:dyDescent="0.3">
      <c r="A329" s="59">
        <v>3691</v>
      </c>
      <c r="B329" s="5">
        <f>+SUMIFS(Tabla16[Importe],Tabla16[MOVIL],Tabla38[[#This Row],[MOVIL]],Tabla16[OBSV],"DESCONTAR POR USO PERSONAL")</f>
        <v>18.899999999999999</v>
      </c>
      <c r="C329" s="5">
        <f>+SUMIFS(Tabla16[Importe],Tabla16[MOVIL],Tabla38[[#This Row],[MOVIL]],Tabla16[OBSV],"DESCONTAR POR INCIDENCIA")</f>
        <v>0</v>
      </c>
      <c r="D329" s="5">
        <f>+SUMIFS(Tabla16[Importe],Tabla16[MOVIL],Tabla38[[#This Row],[MOVIL]],Tabla16[OBSV],"DESCONTAR SERVICIO EN EFECTIVO")</f>
        <v>0</v>
      </c>
      <c r="E329" s="5">
        <f>+IFERROR(VLOOKUP(Tabla38[[#This Row],[MOVIL]],Tabla1[[#All],[MOVIL]:[COBRO POR NUEVA INCLUSIÓN]],4,FALSE),0)</f>
        <v>0</v>
      </c>
      <c r="F3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29" s="5"/>
      <c r="H329" s="5" t="str">
        <f>_xlfn.XLOOKUP(Tabla38[[#This Row],[MOVIL]],[1]LIQUIDACION!$B:$B,[1]LIQUIDACION!$A:$A,"-",0)</f>
        <v>AEROPUERTO</v>
      </c>
    </row>
    <row r="330" spans="1:8" x14ac:dyDescent="0.3">
      <c r="A330" s="59">
        <v>1591</v>
      </c>
      <c r="B330" s="5">
        <f>+SUMIFS(Tabla16[Importe],Tabla16[MOVIL],Tabla38[[#This Row],[MOVIL]],Tabla16[OBSV],"DESCONTAR POR USO PERSONAL")</f>
        <v>12.6</v>
      </c>
      <c r="C330" s="5">
        <f>+SUMIFS(Tabla16[Importe],Tabla16[MOVIL],Tabla38[[#This Row],[MOVIL]],Tabla16[OBSV],"DESCONTAR POR INCIDENCIA")</f>
        <v>0</v>
      </c>
      <c r="D330" s="5">
        <f>+SUMIFS(Tabla16[Importe],Tabla16[MOVIL],Tabla38[[#This Row],[MOVIL]],Tabla16[OBSV],"DESCONTAR SERVICIO EN EFECTIVO")</f>
        <v>0</v>
      </c>
      <c r="E330" s="5">
        <f>+IFERROR(VLOOKUP(Tabla38[[#This Row],[MOVIL]],Tabla1[[#All],[MOVIL]:[COBRO POR NUEVA INCLUSIÓN]],4,FALSE),0)</f>
        <v>0</v>
      </c>
      <c r="F33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0" s="5"/>
      <c r="H330" s="5" t="str">
        <f>_xlfn.XLOOKUP(Tabla38[[#This Row],[MOVIL]],[1]LIQUIDACION!$B:$B,[1]LIQUIDACION!$A:$A,"-",0)</f>
        <v>AEROLINEAS</v>
      </c>
    </row>
    <row r="331" spans="1:8" x14ac:dyDescent="0.3">
      <c r="A331" s="8">
        <v>9637</v>
      </c>
      <c r="B331" s="5">
        <f>+SUMIFS(Tabla16[Importe],Tabla16[MOVIL],Tabla38[[#This Row],[MOVIL]],Tabla16[OBSV],"DESCONTAR POR USO PERSONAL")</f>
        <v>0</v>
      </c>
      <c r="C331" s="5">
        <f>+SUMIFS(Tabla16[Importe],Tabla16[MOVIL],Tabla38[[#This Row],[MOVIL]],Tabla16[OBSV],"DESCONTAR POR INCIDENCIA")</f>
        <v>0</v>
      </c>
      <c r="D331" s="5">
        <f>+SUMIFS(Tabla16[Importe],Tabla16[MOVIL],Tabla38[[#This Row],[MOVIL]],Tabla16[OBSV],"DESCONTAR SERVICIO EN EFECTIVO")</f>
        <v>0</v>
      </c>
      <c r="E331" s="5">
        <f>+IFERROR(VLOOKUP(Tabla38[[#This Row],[MOVIL]],Tabla1[[#All],[MOVIL]:[COBRO POR NUEVA INCLUSIÓN]],4,FALSE),0)</f>
        <v>0</v>
      </c>
      <c r="F3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1" s="5"/>
      <c r="H331" s="5" t="str">
        <f>_xlfn.XLOOKUP(Tabla38[[#This Row],[MOVIL]],[1]LIQUIDACION!$B:$B,[1]LIQUIDACION!$A:$A,"-",0)</f>
        <v>AEROPUERTO</v>
      </c>
    </row>
    <row r="332" spans="1:8" x14ac:dyDescent="0.3">
      <c r="A332" s="59">
        <v>3768</v>
      </c>
      <c r="B332" s="5">
        <f>+SUMIFS(Tabla16[Importe],Tabla16[MOVIL],Tabla38[[#This Row],[MOVIL]],Tabla16[OBSV],"DESCONTAR POR USO PERSONAL")</f>
        <v>31.5</v>
      </c>
      <c r="C332" s="5">
        <f>+SUMIFS(Tabla16[Importe],Tabla16[MOVIL],Tabla38[[#This Row],[MOVIL]],Tabla16[OBSV],"DESCONTAR POR INCIDENCIA")</f>
        <v>0</v>
      </c>
      <c r="D332" s="5">
        <f>+SUMIFS(Tabla16[Importe],Tabla16[MOVIL],Tabla38[[#This Row],[MOVIL]],Tabla16[OBSV],"DESCONTAR SERVICIO EN EFECTIVO")</f>
        <v>6.3</v>
      </c>
      <c r="E332" s="5">
        <f>+IFERROR(VLOOKUP(Tabla38[[#This Row],[MOVIL]],Tabla1[[#All],[MOVIL]:[COBRO POR NUEVA INCLUSIÓN]],4,FALSE),0)</f>
        <v>0</v>
      </c>
      <c r="F332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32" s="5"/>
      <c r="H332" s="5" t="str">
        <f>_xlfn.XLOOKUP(Tabla38[[#This Row],[MOVIL]],[1]LIQUIDACION!$B:$B,[1]LIQUIDACION!$A:$A,"-",0)</f>
        <v>AEROPUERTO</v>
      </c>
    </row>
    <row r="333" spans="1:8" x14ac:dyDescent="0.3">
      <c r="A333" s="59">
        <v>3509</v>
      </c>
      <c r="B333" s="5">
        <f>+SUMIFS(Tabla16[Importe],Tabla16[MOVIL],Tabla38[[#This Row],[MOVIL]],Tabla16[OBSV],"DESCONTAR POR USO PERSONAL")</f>
        <v>6.3</v>
      </c>
      <c r="C333" s="5">
        <f>+SUMIFS(Tabla16[Importe],Tabla16[MOVIL],Tabla38[[#This Row],[MOVIL]],Tabla16[OBSV],"DESCONTAR POR INCIDENCIA")</f>
        <v>6.3</v>
      </c>
      <c r="D333" s="5">
        <f>+SUMIFS(Tabla16[Importe],Tabla16[MOVIL],Tabla38[[#This Row],[MOVIL]],Tabla16[OBSV],"DESCONTAR SERVICIO EN EFECTIVO")</f>
        <v>0</v>
      </c>
      <c r="E333" s="5">
        <f>+IFERROR(VLOOKUP(Tabla38[[#This Row],[MOVIL]],Tabla1[[#All],[MOVIL]:[COBRO POR NUEVA INCLUSIÓN]],4,FALSE),0)</f>
        <v>0</v>
      </c>
      <c r="F3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33" s="5"/>
      <c r="H333" s="5" t="str">
        <f>_xlfn.XLOOKUP(Tabla38[[#This Row],[MOVIL]],[1]LIQUIDACION!$B:$B,[1]LIQUIDACION!$A:$A,"-",0)</f>
        <v>AEROPUERTO</v>
      </c>
    </row>
    <row r="334" spans="1:8" x14ac:dyDescent="0.3">
      <c r="A334" s="59">
        <v>3568</v>
      </c>
      <c r="B334" s="5">
        <f>+SUMIFS(Tabla16[Importe],Tabla16[MOVIL],Tabla38[[#This Row],[MOVIL]],Tabla16[OBSV],"DESCONTAR POR USO PERSONAL")</f>
        <v>12.6</v>
      </c>
      <c r="C334" s="5">
        <f>+SUMIFS(Tabla16[Importe],Tabla16[MOVIL],Tabla38[[#This Row],[MOVIL]],Tabla16[OBSV],"DESCONTAR POR INCIDENCIA")</f>
        <v>0</v>
      </c>
      <c r="D334" s="5">
        <f>+SUMIFS(Tabla16[Importe],Tabla16[MOVIL],Tabla38[[#This Row],[MOVIL]],Tabla16[OBSV],"DESCONTAR SERVICIO EN EFECTIVO")</f>
        <v>12.6</v>
      </c>
      <c r="E334" s="5">
        <f>+IFERROR(VLOOKUP(Tabla38[[#This Row],[MOVIL]],Tabla1[[#All],[MOVIL]:[COBRO POR NUEVA INCLUSIÓN]],4,FALSE),0)</f>
        <v>0</v>
      </c>
      <c r="F33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4" s="5"/>
      <c r="H334" s="5" t="str">
        <f>_xlfn.XLOOKUP(Tabla38[[#This Row],[MOVIL]],[1]LIQUIDACION!$B:$B,[1]LIQUIDACION!$A:$A,"-",0)</f>
        <v>AEROLINEAS</v>
      </c>
    </row>
    <row r="335" spans="1:8" x14ac:dyDescent="0.3">
      <c r="A335" s="8">
        <v>541</v>
      </c>
      <c r="B335" s="5">
        <f>+SUMIFS(Tabla16[Importe],Tabla16[MOVIL],Tabla38[[#This Row],[MOVIL]],Tabla16[OBSV],"DESCONTAR POR USO PERSONAL")</f>
        <v>0</v>
      </c>
      <c r="C335" s="5">
        <f>+SUMIFS(Tabla16[Importe],Tabla16[MOVIL],Tabla38[[#This Row],[MOVIL]],Tabla16[OBSV],"DESCONTAR POR INCIDENCIA")</f>
        <v>0</v>
      </c>
      <c r="D335" s="5">
        <f>+SUMIFS(Tabla16[Importe],Tabla16[MOVIL],Tabla38[[#This Row],[MOVIL]],Tabla16[OBSV],"DESCONTAR SERVICIO EN EFECTIVO")</f>
        <v>0</v>
      </c>
      <c r="E335" s="5">
        <f>+IFERROR(VLOOKUP(Tabla38[[#This Row],[MOVIL]],Tabla1[[#All],[MOVIL]:[COBRO POR NUEVA INCLUSIÓN]],4,FALSE),0)</f>
        <v>0</v>
      </c>
      <c r="F33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35" s="5"/>
      <c r="H335" s="5" t="str">
        <f>_xlfn.XLOOKUP(Tabla38[[#This Row],[MOVIL]],[1]LIQUIDACION!$B:$B,[1]LIQUIDACION!$A:$A,"-",0)</f>
        <v>URBANO</v>
      </c>
    </row>
    <row r="336" spans="1:8" x14ac:dyDescent="0.3">
      <c r="A336" s="59">
        <v>9177</v>
      </c>
      <c r="B336" s="5">
        <f>+SUMIFS(Tabla16[Importe],Tabla16[MOVIL],Tabla38[[#This Row],[MOVIL]],Tabla16[OBSV],"DESCONTAR POR USO PERSONAL")</f>
        <v>50.399999999999991</v>
      </c>
      <c r="C336" s="5">
        <f>+SUMIFS(Tabla16[Importe],Tabla16[MOVIL],Tabla38[[#This Row],[MOVIL]],Tabla16[OBSV],"DESCONTAR POR INCIDENCIA")</f>
        <v>0</v>
      </c>
      <c r="D336" s="5">
        <f>+SUMIFS(Tabla16[Importe],Tabla16[MOVIL],Tabla38[[#This Row],[MOVIL]],Tabla16[OBSV],"DESCONTAR SERVICIO EN EFECTIVO")</f>
        <v>0</v>
      </c>
      <c r="E336" s="5">
        <f>+IFERROR(VLOOKUP(Tabla38[[#This Row],[MOVIL]],Tabla1[[#All],[MOVIL]:[COBRO POR NUEVA INCLUSIÓN]],4,FALSE),0)</f>
        <v>0</v>
      </c>
      <c r="F336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36" s="5"/>
      <c r="H336" s="5" t="str">
        <f>_xlfn.XLOOKUP(Tabla38[[#This Row],[MOVIL]],[1]LIQUIDACION!$B:$B,[1]LIQUIDACION!$A:$A,"-",0)</f>
        <v>URBANO</v>
      </c>
    </row>
    <row r="337" spans="1:8" x14ac:dyDescent="0.3">
      <c r="A337" s="59">
        <v>3840</v>
      </c>
      <c r="B337" s="5">
        <f>+SUMIFS(Tabla16[Importe],Tabla16[MOVIL],Tabla38[[#This Row],[MOVIL]],Tabla16[OBSV],"DESCONTAR POR USO PERSONAL")</f>
        <v>25.2</v>
      </c>
      <c r="C337" s="5">
        <f>+SUMIFS(Tabla16[Importe],Tabla16[MOVIL],Tabla38[[#This Row],[MOVIL]],Tabla16[OBSV],"DESCONTAR POR INCIDENCIA")</f>
        <v>0</v>
      </c>
      <c r="D337" s="5">
        <f>+SUMIFS(Tabla16[Importe],Tabla16[MOVIL],Tabla38[[#This Row],[MOVIL]],Tabla16[OBSV],"DESCONTAR SERVICIO EN EFECTIVO")</f>
        <v>0</v>
      </c>
      <c r="E337" s="5">
        <f>+IFERROR(VLOOKUP(Tabla38[[#This Row],[MOVIL]],Tabla1[[#All],[MOVIL]:[COBRO POR NUEVA INCLUSIÓN]],4,FALSE),0)</f>
        <v>0</v>
      </c>
      <c r="F33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7" s="5"/>
      <c r="H337" s="5" t="str">
        <f>_xlfn.XLOOKUP(Tabla38[[#This Row],[MOVIL]],[1]LIQUIDACION!$B:$B,[1]LIQUIDACION!$A:$A,"-",0)</f>
        <v>AEROPUERTO</v>
      </c>
    </row>
    <row r="338" spans="1:8" x14ac:dyDescent="0.3">
      <c r="A338" s="59">
        <v>224</v>
      </c>
      <c r="B338" s="5">
        <f>+SUMIFS(Tabla16[Importe],Tabla16[MOVIL],Tabla38[[#This Row],[MOVIL]],Tabla16[OBSV],"DESCONTAR POR USO PERSONAL")</f>
        <v>25.2</v>
      </c>
      <c r="C338" s="5">
        <f>+SUMIFS(Tabla16[Importe],Tabla16[MOVIL],Tabla38[[#This Row],[MOVIL]],Tabla16[OBSV],"DESCONTAR POR INCIDENCIA")</f>
        <v>0</v>
      </c>
      <c r="D338" s="5">
        <f>+SUMIFS(Tabla16[Importe],Tabla16[MOVIL],Tabla38[[#This Row],[MOVIL]],Tabla16[OBSV],"DESCONTAR SERVICIO EN EFECTIVO")</f>
        <v>0</v>
      </c>
      <c r="E338" s="5">
        <f>+IFERROR(VLOOKUP(Tabla38[[#This Row],[MOVIL]],Tabla1[[#All],[MOVIL]:[COBRO POR NUEVA INCLUSIÓN]],4,FALSE),0)</f>
        <v>0</v>
      </c>
      <c r="F33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8" s="5"/>
      <c r="H338" s="5" t="str">
        <f>_xlfn.XLOOKUP(Tabla38[[#This Row],[MOVIL]],[1]LIQUIDACION!$B:$B,[1]LIQUIDACION!$A:$A,"-",0)</f>
        <v>URBANO PARTNER</v>
      </c>
    </row>
    <row r="339" spans="1:8" x14ac:dyDescent="0.3">
      <c r="A339" s="59">
        <v>3695</v>
      </c>
      <c r="B339" s="5">
        <f>+SUMIFS(Tabla16[Importe],Tabla16[MOVIL],Tabla38[[#This Row],[MOVIL]],Tabla16[OBSV],"DESCONTAR POR USO PERSONAL")</f>
        <v>12.6</v>
      </c>
      <c r="C339" s="5">
        <f>+SUMIFS(Tabla16[Importe],Tabla16[MOVIL],Tabla38[[#This Row],[MOVIL]],Tabla16[OBSV],"DESCONTAR POR INCIDENCIA")</f>
        <v>0</v>
      </c>
      <c r="D339" s="5">
        <f>+SUMIFS(Tabla16[Importe],Tabla16[MOVIL],Tabla38[[#This Row],[MOVIL]],Tabla16[OBSV],"DESCONTAR SERVICIO EN EFECTIVO")</f>
        <v>12.6</v>
      </c>
      <c r="E339" s="5">
        <f>+IFERROR(VLOOKUP(Tabla38[[#This Row],[MOVIL]],Tabla1[[#All],[MOVIL]:[COBRO POR NUEVA INCLUSIÓN]],4,FALSE),0)</f>
        <v>0</v>
      </c>
      <c r="F3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39" s="5"/>
      <c r="H339" s="5" t="str">
        <f>_xlfn.XLOOKUP(Tabla38[[#This Row],[MOVIL]],[1]LIQUIDACION!$B:$B,[1]LIQUIDACION!$A:$A,"-",0)</f>
        <v>AEROPUERTO</v>
      </c>
    </row>
    <row r="340" spans="1:8" x14ac:dyDescent="0.3">
      <c r="A340" s="59">
        <v>677</v>
      </c>
      <c r="B340" s="5">
        <f>+SUMIFS(Tabla16[Importe],Tabla16[MOVIL],Tabla38[[#This Row],[MOVIL]],Tabla16[OBSV],"DESCONTAR POR USO PERSONAL")</f>
        <v>12.6</v>
      </c>
      <c r="C340" s="5">
        <f>+SUMIFS(Tabla16[Importe],Tabla16[MOVIL],Tabla38[[#This Row],[MOVIL]],Tabla16[OBSV],"DESCONTAR POR INCIDENCIA")</f>
        <v>0</v>
      </c>
      <c r="D340" s="5">
        <f>+SUMIFS(Tabla16[Importe],Tabla16[MOVIL],Tabla38[[#This Row],[MOVIL]],Tabla16[OBSV],"DESCONTAR SERVICIO EN EFECTIVO")</f>
        <v>0</v>
      </c>
      <c r="E340" s="5">
        <f>+IFERROR(VLOOKUP(Tabla38[[#This Row],[MOVIL]],Tabla1[[#All],[MOVIL]:[COBRO POR NUEVA INCLUSIÓN]],4,FALSE),0)</f>
        <v>0</v>
      </c>
      <c r="F34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40" s="5"/>
      <c r="H340" s="5" t="str">
        <f>_xlfn.XLOOKUP(Tabla38[[#This Row],[MOVIL]],[1]LIQUIDACION!$B:$B,[1]LIQUIDACION!$A:$A,"-",0)</f>
        <v>AEROPUERTO</v>
      </c>
    </row>
    <row r="341" spans="1:8" x14ac:dyDescent="0.3">
      <c r="A341" s="59">
        <v>233</v>
      </c>
      <c r="B341" s="5">
        <f>+SUMIFS(Tabla16[Importe],Tabla16[MOVIL],Tabla38[[#This Row],[MOVIL]],Tabla16[OBSV],"DESCONTAR POR USO PERSONAL")</f>
        <v>18.899999999999999</v>
      </c>
      <c r="C341" s="5">
        <f>+SUMIFS(Tabla16[Importe],Tabla16[MOVIL],Tabla38[[#This Row],[MOVIL]],Tabla16[OBSV],"DESCONTAR POR INCIDENCIA")</f>
        <v>0</v>
      </c>
      <c r="D341" s="5">
        <f>+SUMIFS(Tabla16[Importe],Tabla16[MOVIL],Tabla38[[#This Row],[MOVIL]],Tabla16[OBSV],"DESCONTAR SERVICIO EN EFECTIVO")</f>
        <v>0</v>
      </c>
      <c r="E341" s="5">
        <f>+IFERROR(VLOOKUP(Tabla38[[#This Row],[MOVIL]],Tabla1[[#All],[MOVIL]:[COBRO POR NUEVA INCLUSIÓN]],4,FALSE),0)</f>
        <v>0</v>
      </c>
      <c r="F341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1" s="5"/>
      <c r="H341" s="5" t="str">
        <f>_xlfn.XLOOKUP(Tabla38[[#This Row],[MOVIL]],[1]LIQUIDACION!$B:$B,[1]LIQUIDACION!$A:$A,"-",0)</f>
        <v>AEROPUERTO</v>
      </c>
    </row>
    <row r="342" spans="1:8" x14ac:dyDescent="0.3">
      <c r="A342" s="59">
        <v>4100</v>
      </c>
      <c r="B342" s="5">
        <f>+SUMIFS(Tabla16[Importe],Tabla16[MOVIL],Tabla38[[#This Row],[MOVIL]],Tabla16[OBSV],"DESCONTAR POR USO PERSONAL")</f>
        <v>6.3</v>
      </c>
      <c r="C342" s="5">
        <f>+SUMIFS(Tabla16[Importe],Tabla16[MOVIL],Tabla38[[#This Row],[MOVIL]],Tabla16[OBSV],"DESCONTAR POR INCIDENCIA")</f>
        <v>0</v>
      </c>
      <c r="D342" s="5">
        <f>+SUMIFS(Tabla16[Importe],Tabla16[MOVIL],Tabla38[[#This Row],[MOVIL]],Tabla16[OBSV],"DESCONTAR SERVICIO EN EFECTIVO")</f>
        <v>0</v>
      </c>
      <c r="E342" s="5">
        <f>+IFERROR(VLOOKUP(Tabla38[[#This Row],[MOVIL]],Tabla1[[#All],[MOVIL]:[COBRO POR NUEVA INCLUSIÓN]],4,FALSE),0)</f>
        <v>0</v>
      </c>
      <c r="F34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2" s="5"/>
      <c r="H342" s="5" t="str">
        <f>_xlfn.XLOOKUP(Tabla38[[#This Row],[MOVIL]],[1]LIQUIDACION!$B:$B,[1]LIQUIDACION!$A:$A,"-",0)</f>
        <v>MEMBRESÍA DIURNA</v>
      </c>
    </row>
    <row r="343" spans="1:8" x14ac:dyDescent="0.3">
      <c r="A343" s="59">
        <v>1480</v>
      </c>
      <c r="B343" s="5">
        <f>+SUMIFS(Tabla16[Importe],Tabla16[MOVIL],Tabla38[[#This Row],[MOVIL]],Tabla16[OBSV],"DESCONTAR POR USO PERSONAL")</f>
        <v>25.2</v>
      </c>
      <c r="C343" s="5">
        <f>+SUMIFS(Tabla16[Importe],Tabla16[MOVIL],Tabla38[[#This Row],[MOVIL]],Tabla16[OBSV],"DESCONTAR POR INCIDENCIA")</f>
        <v>0</v>
      </c>
      <c r="D343" s="5">
        <f>+SUMIFS(Tabla16[Importe],Tabla16[MOVIL],Tabla38[[#This Row],[MOVIL]],Tabla16[OBSV],"DESCONTAR SERVICIO EN EFECTIVO")</f>
        <v>0</v>
      </c>
      <c r="E343" s="5">
        <f>+IFERROR(VLOOKUP(Tabla38[[#This Row],[MOVIL]],Tabla1[[#All],[MOVIL]:[COBRO POR NUEVA INCLUSIÓN]],4,FALSE),0)</f>
        <v>0</v>
      </c>
      <c r="F34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3" s="5"/>
      <c r="H343" s="5" t="str">
        <f>_xlfn.XLOOKUP(Tabla38[[#This Row],[MOVIL]],[1]LIQUIDACION!$B:$B,[1]LIQUIDACION!$A:$A,"-",0)</f>
        <v>AEROPUERTO</v>
      </c>
    </row>
    <row r="344" spans="1:8" x14ac:dyDescent="0.3">
      <c r="A344" s="59">
        <v>2850</v>
      </c>
      <c r="B344" s="5">
        <f>+SUMIFS(Tabla16[Importe],Tabla16[MOVIL],Tabla38[[#This Row],[MOVIL]],Tabla16[OBSV],"DESCONTAR POR USO PERSONAL")</f>
        <v>12.6</v>
      </c>
      <c r="C344" s="5">
        <f>+SUMIFS(Tabla16[Importe],Tabla16[MOVIL],Tabla38[[#This Row],[MOVIL]],Tabla16[OBSV],"DESCONTAR POR INCIDENCIA")</f>
        <v>0</v>
      </c>
      <c r="D344" s="5">
        <f>+SUMIFS(Tabla16[Importe],Tabla16[MOVIL],Tabla38[[#This Row],[MOVIL]],Tabla16[OBSV],"DESCONTAR SERVICIO EN EFECTIVO")</f>
        <v>6.3</v>
      </c>
      <c r="E344" s="5">
        <f>+IFERROR(VLOOKUP(Tabla38[[#This Row],[MOVIL]],Tabla1[[#All],[MOVIL]:[COBRO POR NUEVA INCLUSIÓN]],4,FALSE),0)</f>
        <v>0</v>
      </c>
      <c r="F34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44" s="5"/>
      <c r="H344" s="5" t="str">
        <f>_xlfn.XLOOKUP(Tabla38[[#This Row],[MOVIL]],[1]LIQUIDACION!$B:$B,[1]LIQUIDACION!$A:$A,"-",0)</f>
        <v>AEROPUERTO</v>
      </c>
    </row>
    <row r="345" spans="1:8" x14ac:dyDescent="0.3">
      <c r="A345" s="8">
        <v>3335</v>
      </c>
      <c r="B345" s="5">
        <f>+SUMIFS(Tabla16[Importe],Tabla16[MOVIL],Tabla38[[#This Row],[MOVIL]],Tabla16[OBSV],"DESCONTAR POR USO PERSONAL")</f>
        <v>0</v>
      </c>
      <c r="C345" s="5">
        <f>+SUMIFS(Tabla16[Importe],Tabla16[MOVIL],Tabla38[[#This Row],[MOVIL]],Tabla16[OBSV],"DESCONTAR POR INCIDENCIA")</f>
        <v>0</v>
      </c>
      <c r="D345" s="5">
        <f>+SUMIFS(Tabla16[Importe],Tabla16[MOVIL],Tabla38[[#This Row],[MOVIL]],Tabla16[OBSV],"DESCONTAR SERVICIO EN EFECTIVO")</f>
        <v>0</v>
      </c>
      <c r="E345" s="5">
        <f>+IFERROR(VLOOKUP(Tabla38[[#This Row],[MOVIL]],Tabla1[[#All],[MOVIL]:[COBRO POR NUEVA INCLUSIÓN]],4,FALSE),0)</f>
        <v>0</v>
      </c>
      <c r="F3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5" s="5"/>
      <c r="H345" s="5" t="str">
        <f>_xlfn.XLOOKUP(Tabla38[[#This Row],[MOVIL]],[1]LIQUIDACION!$B:$B,[1]LIQUIDACION!$A:$A,"-",0)</f>
        <v>AEROLINEAS</v>
      </c>
    </row>
    <row r="346" spans="1:8" x14ac:dyDescent="0.3">
      <c r="A346" s="59">
        <v>3719</v>
      </c>
      <c r="B346" s="5">
        <f>+SUMIFS(Tabla16[Importe],Tabla16[MOVIL],Tabla38[[#This Row],[MOVIL]],Tabla16[OBSV],"DESCONTAR POR USO PERSONAL")</f>
        <v>6.3</v>
      </c>
      <c r="C346" s="5">
        <f>+SUMIFS(Tabla16[Importe],Tabla16[MOVIL],Tabla38[[#This Row],[MOVIL]],Tabla16[OBSV],"DESCONTAR POR INCIDENCIA")</f>
        <v>0</v>
      </c>
      <c r="D346" s="5">
        <f>+SUMIFS(Tabla16[Importe],Tabla16[MOVIL],Tabla38[[#This Row],[MOVIL]],Tabla16[OBSV],"DESCONTAR SERVICIO EN EFECTIVO")</f>
        <v>0</v>
      </c>
      <c r="E346" s="5">
        <f>+IFERROR(VLOOKUP(Tabla38[[#This Row],[MOVIL]],Tabla1[[#All],[MOVIL]:[COBRO POR NUEVA INCLUSIÓN]],4,FALSE),0)</f>
        <v>0</v>
      </c>
      <c r="F34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46" s="5"/>
      <c r="H346" s="5" t="str">
        <f>_xlfn.XLOOKUP(Tabla38[[#This Row],[MOVIL]],[1]LIQUIDACION!$B:$B,[1]LIQUIDACION!$A:$A,"-",0)</f>
        <v>MEMBRESÍA URBANO</v>
      </c>
    </row>
    <row r="347" spans="1:8" x14ac:dyDescent="0.3">
      <c r="A347" s="59">
        <v>3127</v>
      </c>
      <c r="B347" s="5">
        <f>+SUMIFS(Tabla16[Importe],Tabla16[MOVIL],Tabla38[[#This Row],[MOVIL]],Tabla16[OBSV],"DESCONTAR POR USO PERSONAL")</f>
        <v>25.2</v>
      </c>
      <c r="C347" s="5">
        <f>+SUMIFS(Tabla16[Importe],Tabla16[MOVIL],Tabla38[[#This Row],[MOVIL]],Tabla16[OBSV],"DESCONTAR POR INCIDENCIA")</f>
        <v>0</v>
      </c>
      <c r="D347" s="5">
        <f>+SUMIFS(Tabla16[Importe],Tabla16[MOVIL],Tabla38[[#This Row],[MOVIL]],Tabla16[OBSV],"DESCONTAR SERVICIO EN EFECTIVO")</f>
        <v>0</v>
      </c>
      <c r="E347" s="5">
        <f>+IFERROR(VLOOKUP(Tabla38[[#This Row],[MOVIL]],Tabla1[[#All],[MOVIL]:[COBRO POR NUEVA INCLUSIÓN]],4,FALSE),0)</f>
        <v>0</v>
      </c>
      <c r="F34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47" s="5"/>
      <c r="H347" s="5" t="str">
        <f>_xlfn.XLOOKUP(Tabla38[[#This Row],[MOVIL]],[1]LIQUIDACION!$B:$B,[1]LIQUIDACION!$A:$A,"-",0)</f>
        <v>AEROLINEAS</v>
      </c>
    </row>
    <row r="348" spans="1:8" x14ac:dyDescent="0.3">
      <c r="A348" s="8">
        <v>2784</v>
      </c>
      <c r="B348" s="5">
        <f>+SUMIFS(Tabla16[Importe],Tabla16[MOVIL],Tabla38[[#This Row],[MOVIL]],Tabla16[OBSV],"DESCONTAR POR USO PERSONAL")</f>
        <v>0</v>
      </c>
      <c r="C348" s="5">
        <f>+SUMIFS(Tabla16[Importe],Tabla16[MOVIL],Tabla38[[#This Row],[MOVIL]],Tabla16[OBSV],"DESCONTAR POR INCIDENCIA")</f>
        <v>0</v>
      </c>
      <c r="D348" s="5">
        <f>+SUMIFS(Tabla16[Importe],Tabla16[MOVIL],Tabla38[[#This Row],[MOVIL]],Tabla16[OBSV],"DESCONTAR SERVICIO EN EFECTIVO")</f>
        <v>0</v>
      </c>
      <c r="E348" s="5">
        <f>+IFERROR(VLOOKUP(Tabla38[[#This Row],[MOVIL]],Tabla1[[#All],[MOVIL]:[COBRO POR NUEVA INCLUSIÓN]],4,FALSE),0)</f>
        <v>0</v>
      </c>
      <c r="F3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48" s="5"/>
      <c r="H348" s="5" t="str">
        <f>_xlfn.XLOOKUP(Tabla38[[#This Row],[MOVIL]],[1]LIQUIDACION!$B:$B,[1]LIQUIDACION!$A:$A,"-",0)</f>
        <v>URBANO</v>
      </c>
    </row>
    <row r="349" spans="1:8" x14ac:dyDescent="0.3">
      <c r="A349" s="59">
        <v>4181</v>
      </c>
      <c r="B349" s="5">
        <f>+SUMIFS(Tabla16[Importe],Tabla16[MOVIL],Tabla38[[#This Row],[MOVIL]],Tabla16[OBSV],"DESCONTAR POR USO PERSONAL")</f>
        <v>44.099999999999994</v>
      </c>
      <c r="C349" s="5">
        <f>+SUMIFS(Tabla16[Importe],Tabla16[MOVIL],Tabla38[[#This Row],[MOVIL]],Tabla16[OBSV],"DESCONTAR POR INCIDENCIA")</f>
        <v>0</v>
      </c>
      <c r="D349" s="5">
        <f>+SUMIFS(Tabla16[Importe],Tabla16[MOVIL],Tabla38[[#This Row],[MOVIL]],Tabla16[OBSV],"DESCONTAR SERVICIO EN EFECTIVO")</f>
        <v>0</v>
      </c>
      <c r="E349" s="5">
        <f>+IFERROR(VLOOKUP(Tabla38[[#This Row],[MOVIL]],Tabla1[[#All],[MOVIL]:[COBRO POR NUEVA INCLUSIÓN]],4,FALSE),0)</f>
        <v>0</v>
      </c>
      <c r="F349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349" s="5"/>
      <c r="H349" s="5" t="str">
        <f>_xlfn.XLOOKUP(Tabla38[[#This Row],[MOVIL]],[1]LIQUIDACION!$B:$B,[1]LIQUIDACION!$A:$A,"-",0)</f>
        <v>MEMBRESÍA NOCTURNA - APTO</v>
      </c>
    </row>
    <row r="350" spans="1:8" x14ac:dyDescent="0.3">
      <c r="A350" s="8">
        <v>7629</v>
      </c>
      <c r="B350" s="5">
        <f>+SUMIFS(Tabla16[Importe],Tabla16[MOVIL],Tabla38[[#This Row],[MOVIL]],Tabla16[OBSV],"DESCONTAR POR USO PERSONAL")</f>
        <v>6.3</v>
      </c>
      <c r="C350" s="5">
        <f>+SUMIFS(Tabla16[Importe],Tabla16[MOVIL],Tabla38[[#This Row],[MOVIL]],Tabla16[OBSV],"DESCONTAR POR INCIDENCIA")</f>
        <v>0</v>
      </c>
      <c r="D350" s="5">
        <f>+SUMIFS(Tabla16[Importe],Tabla16[MOVIL],Tabla38[[#This Row],[MOVIL]],Tabla16[OBSV],"DESCONTAR SERVICIO EN EFECTIVO")</f>
        <v>0</v>
      </c>
      <c r="E350" s="5">
        <f>+IFERROR(VLOOKUP(Tabla38[[#This Row],[MOVIL]],Tabla1[[#All],[MOVIL]:[COBRO POR NUEVA INCLUSIÓN]],4,FALSE),0)</f>
        <v>0</v>
      </c>
      <c r="F350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0" s="5"/>
      <c r="H350" s="5" t="s">
        <v>1374</v>
      </c>
    </row>
    <row r="351" spans="1:8" x14ac:dyDescent="0.3">
      <c r="A351" s="59">
        <v>3399</v>
      </c>
      <c r="B351" s="5">
        <f>+SUMIFS(Tabla16[Importe],Tabla16[MOVIL],Tabla38[[#This Row],[MOVIL]],Tabla16[OBSV],"DESCONTAR POR USO PERSONAL")</f>
        <v>6.3</v>
      </c>
      <c r="C351" s="5">
        <f>+SUMIFS(Tabla16[Importe],Tabla16[MOVIL],Tabla38[[#This Row],[MOVIL]],Tabla16[OBSV],"DESCONTAR POR INCIDENCIA")</f>
        <v>0</v>
      </c>
      <c r="D351" s="5">
        <f>+SUMIFS(Tabla16[Importe],Tabla16[MOVIL],Tabla38[[#This Row],[MOVIL]],Tabla16[OBSV],"DESCONTAR SERVICIO EN EFECTIVO")</f>
        <v>0</v>
      </c>
      <c r="E351" s="5">
        <f>+IFERROR(VLOOKUP(Tabla38[[#This Row],[MOVIL]],Tabla1[[#All],[MOVIL]:[COBRO POR NUEVA INCLUSIÓN]],4,FALSE),0)</f>
        <v>0</v>
      </c>
      <c r="F351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1" s="5"/>
      <c r="H351" s="5" t="str">
        <f>_xlfn.XLOOKUP(Tabla38[[#This Row],[MOVIL]],[1]LIQUIDACION!$B:$B,[1]LIQUIDACION!$A:$A,"-",0)</f>
        <v>MEMBRESÍA URBANO</v>
      </c>
    </row>
    <row r="352" spans="1:8" x14ac:dyDescent="0.3">
      <c r="A352" s="8">
        <v>446</v>
      </c>
      <c r="B352" s="5">
        <f>+SUMIFS(Tabla16[Importe],Tabla16[MOVIL],Tabla38[[#This Row],[MOVIL]],Tabla16[OBSV],"DESCONTAR POR USO PERSONAL")</f>
        <v>12.6</v>
      </c>
      <c r="C352" s="5">
        <f>+SUMIFS(Tabla16[Importe],Tabla16[MOVIL],Tabla38[[#This Row],[MOVIL]],Tabla16[OBSV],"DESCONTAR POR INCIDENCIA")</f>
        <v>0</v>
      </c>
      <c r="D352" s="5">
        <f>+SUMIFS(Tabla16[Importe],Tabla16[MOVIL],Tabla38[[#This Row],[MOVIL]],Tabla16[OBSV],"DESCONTAR SERVICIO EN EFECTIVO")</f>
        <v>0</v>
      </c>
      <c r="E352" s="5">
        <f>+IFERROR(VLOOKUP(Tabla38[[#This Row],[MOVIL]],Tabla1[[#All],[MOVIL]:[COBRO POR NUEVA INCLUSIÓN]],4,FALSE),0)</f>
        <v>0</v>
      </c>
      <c r="F35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52" s="5"/>
      <c r="H352" s="5" t="s">
        <v>1374</v>
      </c>
    </row>
    <row r="353" spans="1:8" x14ac:dyDescent="0.3">
      <c r="A353" s="8">
        <v>4251</v>
      </c>
      <c r="B353" s="5">
        <f>+SUMIFS(Tabla16[Importe],Tabla16[MOVIL],Tabla38[[#This Row],[MOVIL]],Tabla16[OBSV],"DESCONTAR POR USO PERSONAL")</f>
        <v>0</v>
      </c>
      <c r="C353" s="5">
        <f>+SUMIFS(Tabla16[Importe],Tabla16[MOVIL],Tabla38[[#This Row],[MOVIL]],Tabla16[OBSV],"DESCONTAR POR INCIDENCIA")</f>
        <v>0</v>
      </c>
      <c r="D353" s="5">
        <f>+SUMIFS(Tabla16[Importe],Tabla16[MOVIL],Tabla38[[#This Row],[MOVIL]],Tabla16[OBSV],"DESCONTAR SERVICIO EN EFECTIVO")</f>
        <v>0</v>
      </c>
      <c r="E353" s="5">
        <f>+IFERROR(VLOOKUP(Tabla38[[#This Row],[MOVIL]],Tabla1[[#All],[MOVIL]:[COBRO POR NUEVA INCLUSIÓN]],4,FALSE),0)</f>
        <v>0</v>
      </c>
      <c r="F35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3" s="5"/>
      <c r="H353" s="5" t="str">
        <f>_xlfn.XLOOKUP(Tabla38[[#This Row],[MOVIL]],[1]LIQUIDACION!$B:$B,[1]LIQUIDACION!$A:$A,"-",0)</f>
        <v>URBANO PARTNER</v>
      </c>
    </row>
    <row r="354" spans="1:8" x14ac:dyDescent="0.3">
      <c r="A354" s="8">
        <v>1874</v>
      </c>
      <c r="B354" s="5">
        <f>+SUMIFS(Tabla16[Importe],Tabla16[MOVIL],Tabla38[[#This Row],[MOVIL]],Tabla16[OBSV],"DESCONTAR POR USO PERSONAL")</f>
        <v>0</v>
      </c>
      <c r="C354" s="5">
        <f>+SUMIFS(Tabla16[Importe],Tabla16[MOVIL],Tabla38[[#This Row],[MOVIL]],Tabla16[OBSV],"DESCONTAR POR INCIDENCIA")</f>
        <v>0</v>
      </c>
      <c r="D354" s="5">
        <f>+SUMIFS(Tabla16[Importe],Tabla16[MOVIL],Tabla38[[#This Row],[MOVIL]],Tabla16[OBSV],"DESCONTAR SERVICIO EN EFECTIVO")</f>
        <v>0</v>
      </c>
      <c r="E354" s="5">
        <f>+IFERROR(VLOOKUP(Tabla38[[#This Row],[MOVIL]],Tabla1[[#All],[MOVIL]:[COBRO POR NUEVA INCLUSIÓN]],4,FALSE),0)</f>
        <v>0</v>
      </c>
      <c r="F35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54" s="5"/>
      <c r="H354" s="5" t="str">
        <f>_xlfn.XLOOKUP(Tabla38[[#This Row],[MOVIL]],[1]LIQUIDACION!$B:$B,[1]LIQUIDACION!$A:$A,"-",0)</f>
        <v>AEROLINEAS</v>
      </c>
    </row>
    <row r="355" spans="1:8" x14ac:dyDescent="0.3">
      <c r="A355" s="8">
        <v>957</v>
      </c>
      <c r="B355" s="5">
        <f>+SUMIFS(Tabla16[Importe],Tabla16[MOVIL],Tabla38[[#This Row],[MOVIL]],Tabla16[OBSV],"DESCONTAR POR USO PERSONAL")</f>
        <v>0</v>
      </c>
      <c r="C355" s="5">
        <f>+SUMIFS(Tabla16[Importe],Tabla16[MOVIL],Tabla38[[#This Row],[MOVIL]],Tabla16[OBSV],"DESCONTAR POR INCIDENCIA")</f>
        <v>0</v>
      </c>
      <c r="D355" s="5">
        <f>+SUMIFS(Tabla16[Importe],Tabla16[MOVIL],Tabla38[[#This Row],[MOVIL]],Tabla16[OBSV],"DESCONTAR SERVICIO EN EFECTIVO")</f>
        <v>25.2</v>
      </c>
      <c r="E355" s="5">
        <f>+IFERROR(VLOOKUP(Tabla38[[#This Row],[MOVIL]],Tabla1[[#All],[MOVIL]:[COBRO POR NUEVA INCLUSIÓN]],4,FALSE),0)</f>
        <v>0</v>
      </c>
      <c r="F355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5" s="5"/>
      <c r="H355" s="5" t="str">
        <f>_xlfn.XLOOKUP(Tabla38[[#This Row],[MOVIL]],[1]LIQUIDACION!$B:$B,[1]LIQUIDACION!$A:$A,"-",0)</f>
        <v>AEROLINEAS</v>
      </c>
    </row>
    <row r="356" spans="1:8" x14ac:dyDescent="0.3">
      <c r="A356" s="59">
        <v>4154</v>
      </c>
      <c r="B356" s="5">
        <f>+SUMIFS(Tabla16[Importe],Tabla16[MOVIL],Tabla38[[#This Row],[MOVIL]],Tabla16[OBSV],"DESCONTAR POR USO PERSONAL")</f>
        <v>6.3</v>
      </c>
      <c r="C356" s="5">
        <f>+SUMIFS(Tabla16[Importe],Tabla16[MOVIL],Tabla38[[#This Row],[MOVIL]],Tabla16[OBSV],"DESCONTAR POR INCIDENCIA")</f>
        <v>0</v>
      </c>
      <c r="D356" s="5">
        <f>+SUMIFS(Tabla16[Importe],Tabla16[MOVIL],Tabla38[[#This Row],[MOVIL]],Tabla16[OBSV],"DESCONTAR SERVICIO EN EFECTIVO")</f>
        <v>0</v>
      </c>
      <c r="E356" s="5">
        <f>+IFERROR(VLOOKUP(Tabla38[[#This Row],[MOVIL]],Tabla1[[#All],[MOVIL]:[COBRO POR NUEVA INCLUSIÓN]],4,FALSE),0)</f>
        <v>0</v>
      </c>
      <c r="F356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56" s="5"/>
      <c r="H356" s="5" t="str">
        <f>_xlfn.XLOOKUP(Tabla38[[#This Row],[MOVIL]],[1]LIQUIDACION!$B:$B,[1]LIQUIDACION!$A:$A,"-",0)</f>
        <v>URBANO PARTNER</v>
      </c>
    </row>
    <row r="357" spans="1:8" x14ac:dyDescent="0.3">
      <c r="A357" s="59">
        <v>4099</v>
      </c>
      <c r="B357" s="5">
        <f>+SUMIFS(Tabla16[Importe],Tabla16[MOVIL],Tabla38[[#This Row],[MOVIL]],Tabla16[OBSV],"DESCONTAR POR USO PERSONAL")</f>
        <v>50.399999999999991</v>
      </c>
      <c r="C357" s="5">
        <f>+SUMIFS(Tabla16[Importe],Tabla16[MOVIL],Tabla38[[#This Row],[MOVIL]],Tabla16[OBSV],"DESCONTAR POR INCIDENCIA")</f>
        <v>0</v>
      </c>
      <c r="D357" s="5">
        <f>+SUMIFS(Tabla16[Importe],Tabla16[MOVIL],Tabla38[[#This Row],[MOVIL]],Tabla16[OBSV],"DESCONTAR SERVICIO EN EFECTIVO")</f>
        <v>0</v>
      </c>
      <c r="E357" s="5">
        <f>+IFERROR(VLOOKUP(Tabla38[[#This Row],[MOVIL]],Tabla1[[#All],[MOVIL]:[COBRO POR NUEVA INCLUSIÓN]],4,FALSE),0)</f>
        <v>0</v>
      </c>
      <c r="F357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57" s="5"/>
      <c r="H357" s="5" t="str">
        <f>_xlfn.XLOOKUP(Tabla38[[#This Row],[MOVIL]],[1]LIQUIDACION!$B:$B,[1]LIQUIDACION!$A:$A,"-",0)</f>
        <v>MEMBRESÍA NOCTURNA - APTO</v>
      </c>
    </row>
    <row r="358" spans="1:8" x14ac:dyDescent="0.3">
      <c r="A358" s="8">
        <v>7109</v>
      </c>
      <c r="B358" s="5">
        <f>+SUMIFS(Tabla16[Importe],Tabla16[MOVIL],Tabla38[[#This Row],[MOVIL]],Tabla16[OBSV],"DESCONTAR POR USO PERSONAL")</f>
        <v>25.2</v>
      </c>
      <c r="C358" s="5">
        <f>+SUMIFS(Tabla16[Importe],Tabla16[MOVIL],Tabla38[[#This Row],[MOVIL]],Tabla16[OBSV],"DESCONTAR POR INCIDENCIA")</f>
        <v>0</v>
      </c>
      <c r="D358" s="5">
        <f>+SUMIFS(Tabla16[Importe],Tabla16[MOVIL],Tabla38[[#This Row],[MOVIL]],Tabla16[OBSV],"DESCONTAR SERVICIO EN EFECTIVO")</f>
        <v>0</v>
      </c>
      <c r="E358" s="5">
        <f>+IFERROR(VLOOKUP(Tabla38[[#This Row],[MOVIL]],Tabla1[[#All],[MOVIL]:[COBRO POR NUEVA INCLUSIÓN]],4,FALSE),0)</f>
        <v>0</v>
      </c>
      <c r="F35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8" s="5"/>
      <c r="H358" s="5" t="s">
        <v>1374</v>
      </c>
    </row>
    <row r="359" spans="1:8" x14ac:dyDescent="0.3">
      <c r="A359" s="8">
        <v>9102</v>
      </c>
      <c r="B359" s="5">
        <f>+SUMIFS(Tabla16[Importe],Tabla16[MOVIL],Tabla38[[#This Row],[MOVIL]],Tabla16[OBSV],"DESCONTAR POR USO PERSONAL")</f>
        <v>0</v>
      </c>
      <c r="C359" s="5">
        <f>+SUMIFS(Tabla16[Importe],Tabla16[MOVIL],Tabla38[[#This Row],[MOVIL]],Tabla16[OBSV],"DESCONTAR POR INCIDENCIA")</f>
        <v>0</v>
      </c>
      <c r="D359" s="5">
        <f>+SUMIFS(Tabla16[Importe],Tabla16[MOVIL],Tabla38[[#This Row],[MOVIL]],Tabla16[OBSV],"DESCONTAR SERVICIO EN EFECTIVO")</f>
        <v>25.2</v>
      </c>
      <c r="E359" s="5">
        <f>+IFERROR(VLOOKUP(Tabla38[[#This Row],[MOVIL]],Tabla1[[#All],[MOVIL]:[COBRO POR NUEVA INCLUSIÓN]],4,FALSE),0)</f>
        <v>0</v>
      </c>
      <c r="F35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59" s="5"/>
      <c r="H359" s="5" t="str">
        <f>_xlfn.XLOOKUP(Tabla38[[#This Row],[MOVIL]],[1]LIQUIDACION!$B:$B,[1]LIQUIDACION!$A:$A,"-",0)</f>
        <v>AEROPUERTO</v>
      </c>
    </row>
    <row r="360" spans="1:8" x14ac:dyDescent="0.3">
      <c r="A360" s="59">
        <v>9891</v>
      </c>
      <c r="B360" s="5">
        <f>+SUMIFS(Tabla16[Importe],Tabla16[MOVIL],Tabla38[[#This Row],[MOVIL]],Tabla16[OBSV],"DESCONTAR POR USO PERSONAL")</f>
        <v>6.3</v>
      </c>
      <c r="C360" s="5">
        <f>+SUMIFS(Tabla16[Importe],Tabla16[MOVIL],Tabla38[[#This Row],[MOVIL]],Tabla16[OBSV],"DESCONTAR POR INCIDENCIA")</f>
        <v>0</v>
      </c>
      <c r="D360" s="5">
        <f>+SUMIFS(Tabla16[Importe],Tabla16[MOVIL],Tabla38[[#This Row],[MOVIL]],Tabla16[OBSV],"DESCONTAR SERVICIO EN EFECTIVO")</f>
        <v>12.6</v>
      </c>
      <c r="E360" s="5">
        <f>+IFERROR(VLOOKUP(Tabla38[[#This Row],[MOVIL]],Tabla1[[#All],[MOVIL]:[COBRO POR NUEVA INCLUSIÓN]],4,FALSE),0)</f>
        <v>0</v>
      </c>
      <c r="F360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0" s="5"/>
      <c r="H360" s="5" t="str">
        <f>_xlfn.XLOOKUP(Tabla38[[#This Row],[MOVIL]],[1]LIQUIDACION!$B:$B,[1]LIQUIDACION!$A:$A,"-",0)</f>
        <v>AEROPUERTO</v>
      </c>
    </row>
    <row r="361" spans="1:8" x14ac:dyDescent="0.3">
      <c r="A361" s="8">
        <v>4135</v>
      </c>
      <c r="B361" s="5">
        <f>+SUMIFS(Tabla16[Importe],Tabla16[MOVIL],Tabla38[[#This Row],[MOVIL]],Tabla16[OBSV],"DESCONTAR POR USO PERSONAL")</f>
        <v>0</v>
      </c>
      <c r="C361" s="5">
        <f>+SUMIFS(Tabla16[Importe],Tabla16[MOVIL],Tabla38[[#This Row],[MOVIL]],Tabla16[OBSV],"DESCONTAR POR INCIDENCIA")</f>
        <v>0</v>
      </c>
      <c r="D361" s="5">
        <f>+SUMIFS(Tabla16[Importe],Tabla16[MOVIL],Tabla38[[#This Row],[MOVIL]],Tabla16[OBSV],"DESCONTAR SERVICIO EN EFECTIVO")</f>
        <v>0</v>
      </c>
      <c r="E361" s="5">
        <f>+IFERROR(VLOOKUP(Tabla38[[#This Row],[MOVIL]],Tabla1[[#All],[MOVIL]:[COBRO POR NUEVA INCLUSIÓN]],4,FALSE),0)</f>
        <v>0</v>
      </c>
      <c r="F36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1" s="5"/>
      <c r="H361" s="5" t="str">
        <f>_xlfn.XLOOKUP(Tabla38[[#This Row],[MOVIL]],[1]LIQUIDACION!$B:$B,[1]LIQUIDACION!$A:$A,"-",0)</f>
        <v>AEROLINEAS</v>
      </c>
    </row>
    <row r="362" spans="1:8" x14ac:dyDescent="0.3">
      <c r="A362" s="59">
        <v>9834</v>
      </c>
      <c r="B362" s="5">
        <f>+SUMIFS(Tabla16[Importe],Tabla16[MOVIL],Tabla38[[#This Row],[MOVIL]],Tabla16[OBSV],"DESCONTAR POR USO PERSONAL")</f>
        <v>62.999999999999986</v>
      </c>
      <c r="C362" s="5">
        <f>+SUMIFS(Tabla16[Importe],Tabla16[MOVIL],Tabla38[[#This Row],[MOVIL]],Tabla16[OBSV],"DESCONTAR POR INCIDENCIA")</f>
        <v>0</v>
      </c>
      <c r="D362" s="5">
        <f>+SUMIFS(Tabla16[Importe],Tabla16[MOVIL],Tabla38[[#This Row],[MOVIL]],Tabla16[OBSV],"DESCONTAR SERVICIO EN EFECTIVO")</f>
        <v>6.3</v>
      </c>
      <c r="E362" s="5">
        <f>+IFERROR(VLOOKUP(Tabla38[[#This Row],[MOVIL]],Tabla1[[#All],[MOVIL]:[COBRO POR NUEVA INCLUSIÓN]],4,FALSE),0)</f>
        <v>0</v>
      </c>
      <c r="F362" s="5">
        <f>(Tabla38[[#This Row],[DESCUENTO POR USO PERSONAL PEX]]+Tabla38[[#This Row],[DESCUENTO POR INCIDENCIAS PEX]]+Tabla38[[#This Row],[DESCUENTO POR SERVICIOS EN EFECTIVO]]+Tabla38[[#This Row],[DESCUENTO POR NUEVA INCLUSION]])</f>
        <v>69.299999999999983</v>
      </c>
      <c r="G362" s="5"/>
      <c r="H362" s="5" t="str">
        <f>_xlfn.XLOOKUP(Tabla38[[#This Row],[MOVIL]],[1]LIQUIDACION!$B:$B,[1]LIQUIDACION!$A:$A,"-",0)</f>
        <v>AEROPUERTO</v>
      </c>
    </row>
    <row r="363" spans="1:8" x14ac:dyDescent="0.3">
      <c r="A363" s="8">
        <v>3504</v>
      </c>
      <c r="B363" s="5">
        <f>+SUMIFS(Tabla16[Importe],Tabla16[MOVIL],Tabla38[[#This Row],[MOVIL]],Tabla16[OBSV],"DESCONTAR POR USO PERSONAL")</f>
        <v>0</v>
      </c>
      <c r="C363" s="5">
        <f>+SUMIFS(Tabla16[Importe],Tabla16[MOVIL],Tabla38[[#This Row],[MOVIL]],Tabla16[OBSV],"DESCONTAR POR INCIDENCIA")</f>
        <v>0</v>
      </c>
      <c r="D363" s="5">
        <f>+SUMIFS(Tabla16[Importe],Tabla16[MOVIL],Tabla38[[#This Row],[MOVIL]],Tabla16[OBSV],"DESCONTAR SERVICIO EN EFECTIVO")</f>
        <v>0</v>
      </c>
      <c r="E363" s="5">
        <f>+IFERROR(VLOOKUP(Tabla38[[#This Row],[MOVIL]],Tabla1[[#All],[MOVIL]:[COBRO POR NUEVA INCLUSIÓN]],4,FALSE),0)</f>
        <v>0</v>
      </c>
      <c r="F36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3" s="5"/>
      <c r="H363" s="5" t="str">
        <f>_xlfn.XLOOKUP(Tabla38[[#This Row],[MOVIL]],[1]LIQUIDACION!$B:$B,[1]LIQUIDACION!$A:$A,"-",0)</f>
        <v>AEROLINEAS</v>
      </c>
    </row>
    <row r="364" spans="1:8" x14ac:dyDescent="0.3">
      <c r="A364" s="8">
        <v>4163</v>
      </c>
      <c r="B364" s="5">
        <f>+SUMIFS(Tabla16[Importe],Tabla16[MOVIL],Tabla38[[#This Row],[MOVIL]],Tabla16[OBSV],"DESCONTAR POR USO PERSONAL")</f>
        <v>0</v>
      </c>
      <c r="C364" s="5">
        <f>+SUMIFS(Tabla16[Importe],Tabla16[MOVIL],Tabla38[[#This Row],[MOVIL]],Tabla16[OBSV],"DESCONTAR POR INCIDENCIA")</f>
        <v>0</v>
      </c>
      <c r="D364" s="5">
        <f>+SUMIFS(Tabla16[Importe],Tabla16[MOVIL],Tabla38[[#This Row],[MOVIL]],Tabla16[OBSV],"DESCONTAR SERVICIO EN EFECTIVO")</f>
        <v>12.6</v>
      </c>
      <c r="E364" s="5">
        <f>+IFERROR(VLOOKUP(Tabla38[[#This Row],[MOVIL]],Tabla1[[#All],[MOVIL]:[COBRO POR NUEVA INCLUSIÓN]],4,FALSE),0)</f>
        <v>0</v>
      </c>
      <c r="F36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4" s="5"/>
      <c r="H364" s="5" t="str">
        <f>_xlfn.XLOOKUP(Tabla38[[#This Row],[MOVIL]],[1]LIQUIDACION!$B:$B,[1]LIQUIDACION!$A:$A,"-",0)</f>
        <v>AEROLINEAS</v>
      </c>
    </row>
    <row r="365" spans="1:8" x14ac:dyDescent="0.3">
      <c r="A365" s="59">
        <v>4138</v>
      </c>
      <c r="B365" s="5">
        <f>+SUMIFS(Tabla16[Importe],Tabla16[MOVIL],Tabla38[[#This Row],[MOVIL]],Tabla16[OBSV],"DESCONTAR POR USO PERSONAL")</f>
        <v>6.3</v>
      </c>
      <c r="C365" s="5">
        <f>+SUMIFS(Tabla16[Importe],Tabla16[MOVIL],Tabla38[[#This Row],[MOVIL]],Tabla16[OBSV],"DESCONTAR POR INCIDENCIA")</f>
        <v>0</v>
      </c>
      <c r="D365" s="5">
        <f>+SUMIFS(Tabla16[Importe],Tabla16[MOVIL],Tabla38[[#This Row],[MOVIL]],Tabla16[OBSV],"DESCONTAR SERVICIO EN EFECTIVO")</f>
        <v>12.6</v>
      </c>
      <c r="E365" s="5">
        <f>+IFERROR(VLOOKUP(Tabla38[[#This Row],[MOVIL]],Tabla1[[#All],[MOVIL]:[COBRO POR NUEVA INCLUSIÓN]],4,FALSE),0)</f>
        <v>0</v>
      </c>
      <c r="F36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65" s="5"/>
      <c r="H365" s="5" t="str">
        <f>_xlfn.XLOOKUP(Tabla38[[#This Row],[MOVIL]],[1]LIQUIDACION!$B:$B,[1]LIQUIDACION!$A:$A,"-",0)</f>
        <v>AEROLINEAS</v>
      </c>
    </row>
    <row r="366" spans="1:8" x14ac:dyDescent="0.3">
      <c r="A366" s="8">
        <v>4183</v>
      </c>
      <c r="B366" s="5">
        <f>+SUMIFS(Tabla16[Importe],Tabla16[MOVIL],Tabla38[[#This Row],[MOVIL]],Tabla16[OBSV],"DESCONTAR POR USO PERSONAL")</f>
        <v>0</v>
      </c>
      <c r="C366" s="5">
        <f>+SUMIFS(Tabla16[Importe],Tabla16[MOVIL],Tabla38[[#This Row],[MOVIL]],Tabla16[OBSV],"DESCONTAR POR INCIDENCIA")</f>
        <v>0</v>
      </c>
      <c r="D366" s="5">
        <f>+SUMIFS(Tabla16[Importe],Tabla16[MOVIL],Tabla38[[#This Row],[MOVIL]],Tabla16[OBSV],"DESCONTAR SERVICIO EN EFECTIVO")</f>
        <v>25.2</v>
      </c>
      <c r="E366" s="5">
        <f>+IFERROR(VLOOKUP(Tabla38[[#This Row],[MOVIL]],Tabla1[[#All],[MOVIL]:[COBRO POR NUEVA INCLUSIÓN]],4,FALSE),0)</f>
        <v>0</v>
      </c>
      <c r="F36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66" s="5"/>
      <c r="H366" s="5" t="str">
        <f>_xlfn.XLOOKUP(Tabla38[[#This Row],[MOVIL]],[1]LIQUIDACION!$B:$B,[1]LIQUIDACION!$A:$A,"-",0)</f>
        <v>URBANO PARTNER</v>
      </c>
    </row>
    <row r="367" spans="1:8" x14ac:dyDescent="0.3">
      <c r="A367" s="8">
        <v>3348</v>
      </c>
      <c r="B367" s="5">
        <f>+SUMIFS(Tabla16[Importe],Tabla16[MOVIL],Tabla38[[#This Row],[MOVIL]],Tabla16[OBSV],"DESCONTAR POR USO PERSONAL")</f>
        <v>0</v>
      </c>
      <c r="C367" s="5">
        <f>+SUMIFS(Tabla16[Importe],Tabla16[MOVIL],Tabla38[[#This Row],[MOVIL]],Tabla16[OBSV],"DESCONTAR POR INCIDENCIA")</f>
        <v>0</v>
      </c>
      <c r="D367" s="5">
        <f>+SUMIFS(Tabla16[Importe],Tabla16[MOVIL],Tabla38[[#This Row],[MOVIL]],Tabla16[OBSV],"DESCONTAR SERVICIO EN EFECTIVO")</f>
        <v>0</v>
      </c>
      <c r="E367" s="5">
        <f>+IFERROR(VLOOKUP(Tabla38[[#This Row],[MOVIL]],Tabla1[[#All],[MOVIL]:[COBRO POR NUEVA INCLUSIÓN]],4,FALSE),0)</f>
        <v>0</v>
      </c>
      <c r="F367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7" s="5"/>
      <c r="H367" s="5" t="str">
        <f>_xlfn.XLOOKUP(Tabla38[[#This Row],[MOVIL]],[1]LIQUIDACION!$B:$B,[1]LIQUIDACION!$A:$A,"-",0)</f>
        <v>AEROLINEAS</v>
      </c>
    </row>
    <row r="368" spans="1:8" x14ac:dyDescent="0.3">
      <c r="A368" s="59">
        <v>1868</v>
      </c>
      <c r="B368" s="5">
        <f>+SUMIFS(Tabla16[Importe],Tabla16[MOVIL],Tabla38[[#This Row],[MOVIL]],Tabla16[OBSV],"DESCONTAR POR USO PERSONAL")</f>
        <v>6.3</v>
      </c>
      <c r="C368" s="5">
        <f>+SUMIFS(Tabla16[Importe],Tabla16[MOVIL],Tabla38[[#This Row],[MOVIL]],Tabla16[OBSV],"DESCONTAR POR INCIDENCIA")</f>
        <v>6.3</v>
      </c>
      <c r="D368" s="5">
        <f>+SUMIFS(Tabla16[Importe],Tabla16[MOVIL],Tabla38[[#This Row],[MOVIL]],Tabla16[OBSV],"DESCONTAR SERVICIO EN EFECTIVO")</f>
        <v>0</v>
      </c>
      <c r="E368" s="5">
        <f>+IFERROR(VLOOKUP(Tabla38[[#This Row],[MOVIL]],Tabla1[[#All],[MOVIL]:[COBRO POR NUEVA INCLUSIÓN]],4,FALSE),0)</f>
        <v>0</v>
      </c>
      <c r="F368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68" s="5"/>
      <c r="H368" s="5" t="str">
        <f>_xlfn.XLOOKUP(Tabla38[[#This Row],[MOVIL]],[1]LIQUIDACION!$B:$B,[1]LIQUIDACION!$A:$A,"-",0)</f>
        <v>URBANO PARTNER</v>
      </c>
    </row>
    <row r="369" spans="1:8" x14ac:dyDescent="0.3">
      <c r="A369" s="8">
        <v>781</v>
      </c>
      <c r="B369" s="5">
        <f>+SUMIFS(Tabla16[Importe],Tabla16[MOVIL],Tabla38[[#This Row],[MOVIL]],Tabla16[OBSV],"DESCONTAR POR USO PERSONAL")</f>
        <v>0</v>
      </c>
      <c r="C369" s="5">
        <f>+SUMIFS(Tabla16[Importe],Tabla16[MOVIL],Tabla38[[#This Row],[MOVIL]],Tabla16[OBSV],"DESCONTAR POR INCIDENCIA")</f>
        <v>0</v>
      </c>
      <c r="D369" s="5">
        <f>+SUMIFS(Tabla16[Importe],Tabla16[MOVIL],Tabla38[[#This Row],[MOVIL]],Tabla16[OBSV],"DESCONTAR SERVICIO EN EFECTIVO")</f>
        <v>0</v>
      </c>
      <c r="E369" s="5">
        <f>+IFERROR(VLOOKUP(Tabla38[[#This Row],[MOVIL]],Tabla1[[#All],[MOVIL]:[COBRO POR NUEVA INCLUSIÓN]],4,FALSE),0)</f>
        <v>0</v>
      </c>
      <c r="F36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69" s="5"/>
      <c r="H369" s="5" t="str">
        <f>_xlfn.XLOOKUP(Tabla38[[#This Row],[MOVIL]],[1]LIQUIDACION!$B:$B,[1]LIQUIDACION!$A:$A,"-",0)</f>
        <v>AEROPUERTO</v>
      </c>
    </row>
    <row r="370" spans="1:8" x14ac:dyDescent="0.3">
      <c r="A370" s="59">
        <v>3666</v>
      </c>
      <c r="B370" s="5">
        <f>+SUMIFS(Tabla16[Importe],Tabla16[MOVIL],Tabla38[[#This Row],[MOVIL]],Tabla16[OBSV],"DESCONTAR POR USO PERSONAL")</f>
        <v>12.6</v>
      </c>
      <c r="C370" s="5">
        <f>+SUMIFS(Tabla16[Importe],Tabla16[MOVIL],Tabla38[[#This Row],[MOVIL]],Tabla16[OBSV],"DESCONTAR POR INCIDENCIA")</f>
        <v>0</v>
      </c>
      <c r="D370" s="5">
        <f>+SUMIFS(Tabla16[Importe],Tabla16[MOVIL],Tabla38[[#This Row],[MOVIL]],Tabla16[OBSV],"DESCONTAR SERVICIO EN EFECTIVO")</f>
        <v>0</v>
      </c>
      <c r="E370" s="5">
        <f>+IFERROR(VLOOKUP(Tabla38[[#This Row],[MOVIL]],Tabla1[[#All],[MOVIL]:[COBRO POR NUEVA INCLUSIÓN]],4,FALSE),0)</f>
        <v>0</v>
      </c>
      <c r="F370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0" s="5"/>
      <c r="H370" s="5" t="str">
        <f>_xlfn.XLOOKUP(Tabla38[[#This Row],[MOVIL]],[1]LIQUIDACION!$B:$B,[1]LIQUIDACION!$A:$A,"-",0)</f>
        <v>AEROPUERTO</v>
      </c>
    </row>
    <row r="371" spans="1:8" x14ac:dyDescent="0.3">
      <c r="A371" s="59">
        <v>951</v>
      </c>
      <c r="B371" s="5">
        <f>+SUMIFS(Tabla16[Importe],Tabla16[MOVIL],Tabla38[[#This Row],[MOVIL]],Tabla16[OBSV],"DESCONTAR POR USO PERSONAL")</f>
        <v>50.399999999999991</v>
      </c>
      <c r="C371" s="5">
        <f>+SUMIFS(Tabla16[Importe],Tabla16[MOVIL],Tabla38[[#This Row],[MOVIL]],Tabla16[OBSV],"DESCONTAR POR INCIDENCIA")</f>
        <v>6.3</v>
      </c>
      <c r="D371" s="5">
        <f>+SUMIFS(Tabla16[Importe],Tabla16[MOVIL],Tabla38[[#This Row],[MOVIL]],Tabla16[OBSV],"DESCONTAR SERVICIO EN EFECTIVO")</f>
        <v>0</v>
      </c>
      <c r="E371" s="5">
        <f>+IFERROR(VLOOKUP(Tabla38[[#This Row],[MOVIL]],Tabla1[[#All],[MOVIL]:[COBRO POR NUEVA INCLUSIÓN]],4,FALSE),0)</f>
        <v>0</v>
      </c>
      <c r="F371" s="5">
        <f>(Tabla38[[#This Row],[DESCUENTO POR USO PERSONAL PEX]]+Tabla38[[#This Row],[DESCUENTO POR INCIDENCIAS PEX]]+Tabla38[[#This Row],[DESCUENTO POR SERVICIOS EN EFECTIVO]]+Tabla38[[#This Row],[DESCUENTO POR NUEVA INCLUSION]])</f>
        <v>56.699999999999989</v>
      </c>
      <c r="G371" s="5"/>
      <c r="H371" s="5" t="str">
        <f>_xlfn.XLOOKUP(Tabla38[[#This Row],[MOVIL]],[1]LIQUIDACION!$B:$B,[1]LIQUIDACION!$A:$A,"-",0)</f>
        <v>AEROPUERTO</v>
      </c>
    </row>
    <row r="372" spans="1:8" x14ac:dyDescent="0.3">
      <c r="A372" s="59">
        <v>3905</v>
      </c>
      <c r="B372" s="5">
        <f>+SUMIFS(Tabla16[Importe],Tabla16[MOVIL],Tabla38[[#This Row],[MOVIL]],Tabla16[OBSV],"DESCONTAR POR USO PERSONAL")</f>
        <v>12.6</v>
      </c>
      <c r="C372" s="5">
        <f>+SUMIFS(Tabla16[Importe],Tabla16[MOVIL],Tabla38[[#This Row],[MOVIL]],Tabla16[OBSV],"DESCONTAR POR INCIDENCIA")</f>
        <v>0</v>
      </c>
      <c r="D372" s="5">
        <f>+SUMIFS(Tabla16[Importe],Tabla16[MOVIL],Tabla38[[#This Row],[MOVIL]],Tabla16[OBSV],"DESCONTAR SERVICIO EN EFECTIVO")</f>
        <v>0</v>
      </c>
      <c r="E372" s="5">
        <f>+IFERROR(VLOOKUP(Tabla38[[#This Row],[MOVIL]],Tabla1[[#All],[MOVIL]:[COBRO POR NUEVA INCLUSIÓN]],4,FALSE),0)</f>
        <v>0</v>
      </c>
      <c r="F37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2" s="5"/>
      <c r="H372" s="5" t="str">
        <f>_xlfn.XLOOKUP(Tabla38[[#This Row],[MOVIL]],[1]LIQUIDACION!$B:$B,[1]LIQUIDACION!$A:$A,"-",0)</f>
        <v>AEROLINEAS</v>
      </c>
    </row>
    <row r="373" spans="1:8" x14ac:dyDescent="0.3">
      <c r="A373" s="8">
        <v>4278</v>
      </c>
      <c r="B373" s="5">
        <f>+SUMIFS(Tabla16[Importe],Tabla16[MOVIL],Tabla38[[#This Row],[MOVIL]],Tabla16[OBSV],"DESCONTAR POR USO PERSONAL")</f>
        <v>0</v>
      </c>
      <c r="C373" s="5">
        <f>+SUMIFS(Tabla16[Importe],Tabla16[MOVIL],Tabla38[[#This Row],[MOVIL]],Tabla16[OBSV],"DESCONTAR POR INCIDENCIA")</f>
        <v>0</v>
      </c>
      <c r="D373" s="5">
        <f>+SUMIFS(Tabla16[Importe],Tabla16[MOVIL],Tabla38[[#This Row],[MOVIL]],Tabla16[OBSV],"DESCONTAR SERVICIO EN EFECTIVO")</f>
        <v>12.6</v>
      </c>
      <c r="E373" s="5">
        <f>+IFERROR(VLOOKUP(Tabla38[[#This Row],[MOVIL]],Tabla1[[#All],[MOVIL]:[COBRO POR NUEVA INCLUSIÓN]],4,FALSE),0)</f>
        <v>0</v>
      </c>
      <c r="F37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3" s="5"/>
      <c r="H373" s="5" t="str">
        <f>_xlfn.XLOOKUP(Tabla38[[#This Row],[MOVIL]],[1]LIQUIDACION!$B:$B,[1]LIQUIDACION!$A:$A,"-",0)</f>
        <v>AEROLINEAS</v>
      </c>
    </row>
    <row r="374" spans="1:8" x14ac:dyDescent="0.3">
      <c r="A374" s="8">
        <v>2961</v>
      </c>
      <c r="B374" s="5">
        <f>+SUMIFS(Tabla16[Importe],Tabla16[MOVIL],Tabla38[[#This Row],[MOVIL]],Tabla16[OBSV],"DESCONTAR POR USO PERSONAL")</f>
        <v>0</v>
      </c>
      <c r="C374" s="5">
        <f>+SUMIFS(Tabla16[Importe],Tabla16[MOVIL],Tabla38[[#This Row],[MOVIL]],Tabla16[OBSV],"DESCONTAR POR INCIDENCIA")</f>
        <v>12.6</v>
      </c>
      <c r="D374" s="5">
        <f>+SUMIFS(Tabla16[Importe],Tabla16[MOVIL],Tabla38[[#This Row],[MOVIL]],Tabla16[OBSV],"DESCONTAR SERVICIO EN EFECTIVO")</f>
        <v>0</v>
      </c>
      <c r="E374" s="5">
        <f>+IFERROR(VLOOKUP(Tabla38[[#This Row],[MOVIL]],Tabla1[[#All],[MOVIL]:[COBRO POR NUEVA INCLUSIÓN]],4,FALSE),0)</f>
        <v>0</v>
      </c>
      <c r="F37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4" s="5"/>
      <c r="H374" s="5" t="str">
        <f>_xlfn.XLOOKUP(Tabla38[[#This Row],[MOVIL]],[1]LIQUIDACION!$B:$B,[1]LIQUIDACION!$A:$A,"-",0)</f>
        <v>AEROLINEAS</v>
      </c>
    </row>
    <row r="375" spans="1:8" x14ac:dyDescent="0.3">
      <c r="A375" s="8">
        <v>4300</v>
      </c>
      <c r="B375" s="5">
        <f>+SUMIFS(Tabla16[Importe],Tabla16[MOVIL],Tabla38[[#This Row],[MOVIL]],Tabla16[OBSV],"DESCONTAR POR USO PERSONAL")</f>
        <v>0</v>
      </c>
      <c r="C375" s="5">
        <f>+SUMIFS(Tabla16[Importe],Tabla16[MOVIL],Tabla38[[#This Row],[MOVIL]],Tabla16[OBSV],"DESCONTAR POR INCIDENCIA")</f>
        <v>0</v>
      </c>
      <c r="D375" s="5">
        <f>+SUMIFS(Tabla16[Importe],Tabla16[MOVIL],Tabla38[[#This Row],[MOVIL]],Tabla16[OBSV],"DESCONTAR SERVICIO EN EFECTIVO")</f>
        <v>0</v>
      </c>
      <c r="E375" s="5">
        <f>+IFERROR(VLOOKUP(Tabla38[[#This Row],[MOVIL]],Tabla1[[#All],[MOVIL]:[COBRO POR NUEVA INCLUSIÓN]],4,FALSE),0)</f>
        <v>0</v>
      </c>
      <c r="F37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75" s="5"/>
      <c r="H375" s="5" t="str">
        <f>_xlfn.XLOOKUP(Tabla38[[#This Row],[MOVIL]],[1]LIQUIDACION!$B:$B,[1]LIQUIDACION!$A:$A,"-",0)</f>
        <v>MEMBRESÍA DIURNA</v>
      </c>
    </row>
    <row r="376" spans="1:8" x14ac:dyDescent="0.3">
      <c r="A376" s="59">
        <v>803</v>
      </c>
      <c r="B376" s="5">
        <f>+SUMIFS(Tabla16[Importe],Tabla16[MOVIL],Tabla38[[#This Row],[MOVIL]],Tabla16[OBSV],"DESCONTAR POR USO PERSONAL")</f>
        <v>31.5</v>
      </c>
      <c r="C376" s="5">
        <f>+SUMIFS(Tabla16[Importe],Tabla16[MOVIL],Tabla38[[#This Row],[MOVIL]],Tabla16[OBSV],"DESCONTAR POR INCIDENCIA")</f>
        <v>0</v>
      </c>
      <c r="D376" s="5">
        <f>+SUMIFS(Tabla16[Importe],Tabla16[MOVIL],Tabla38[[#This Row],[MOVIL]],Tabla16[OBSV],"DESCONTAR SERVICIO EN EFECTIVO")</f>
        <v>0</v>
      </c>
      <c r="E376" s="5">
        <f>+IFERROR(VLOOKUP(Tabla38[[#This Row],[MOVIL]],Tabla1[[#All],[MOVIL]:[COBRO POR NUEVA INCLUSIÓN]],4,FALSE),0)</f>
        <v>0</v>
      </c>
      <c r="F37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76" s="5"/>
      <c r="H376" s="5" t="str">
        <f>_xlfn.XLOOKUP(Tabla38[[#This Row],[MOVIL]],[1]LIQUIDACION!$B:$B,[1]LIQUIDACION!$A:$A,"-",0)</f>
        <v>AEROPUERTO</v>
      </c>
    </row>
    <row r="377" spans="1:8" x14ac:dyDescent="0.3">
      <c r="A377" s="8">
        <v>1425</v>
      </c>
      <c r="B377" s="5">
        <f>+SUMIFS(Tabla16[Importe],Tabla16[MOVIL],Tabla38[[#This Row],[MOVIL]],Tabla16[OBSV],"DESCONTAR POR USO PERSONAL")</f>
        <v>0</v>
      </c>
      <c r="C377" s="5">
        <f>+SUMIFS(Tabla16[Importe],Tabla16[MOVIL],Tabla38[[#This Row],[MOVIL]],Tabla16[OBSV],"DESCONTAR POR INCIDENCIA")</f>
        <v>12.6</v>
      </c>
      <c r="D377" s="5">
        <f>+SUMIFS(Tabla16[Importe],Tabla16[MOVIL],Tabla38[[#This Row],[MOVIL]],Tabla16[OBSV],"DESCONTAR SERVICIO EN EFECTIVO")</f>
        <v>0</v>
      </c>
      <c r="E377" s="5">
        <f>+IFERROR(VLOOKUP(Tabla38[[#This Row],[MOVIL]],Tabla1[[#All],[MOVIL]:[COBRO POR NUEVA INCLUSIÓN]],4,FALSE),0)</f>
        <v>0</v>
      </c>
      <c r="F37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7" s="5"/>
      <c r="H377" s="5" t="str">
        <f>_xlfn.XLOOKUP(Tabla38[[#This Row],[MOVIL]],[1]LIQUIDACION!$B:$B,[1]LIQUIDACION!$A:$A,"-",0)</f>
        <v>AEROLINEAS</v>
      </c>
    </row>
    <row r="378" spans="1:8" x14ac:dyDescent="0.3">
      <c r="A378" s="59">
        <v>9354</v>
      </c>
      <c r="B378" s="5">
        <f>+SUMIFS(Tabla16[Importe],Tabla16[MOVIL],Tabla38[[#This Row],[MOVIL]],Tabla16[OBSV],"DESCONTAR POR USO PERSONAL")</f>
        <v>6.3</v>
      </c>
      <c r="C378" s="5">
        <f>+SUMIFS(Tabla16[Importe],Tabla16[MOVIL],Tabla38[[#This Row],[MOVIL]],Tabla16[OBSV],"DESCONTAR POR INCIDENCIA")</f>
        <v>0</v>
      </c>
      <c r="D378" s="5">
        <f>+SUMIFS(Tabla16[Importe],Tabla16[MOVIL],Tabla38[[#This Row],[MOVIL]],Tabla16[OBSV],"DESCONTAR SERVICIO EN EFECTIVO")</f>
        <v>0</v>
      </c>
      <c r="E378" s="5">
        <f>+IFERROR(VLOOKUP(Tabla38[[#This Row],[MOVIL]],Tabla1[[#All],[MOVIL]:[COBRO POR NUEVA INCLUSIÓN]],4,FALSE),0)</f>
        <v>0</v>
      </c>
      <c r="F378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78" s="5"/>
      <c r="H378" s="5" t="str">
        <f>_xlfn.XLOOKUP(Tabla38[[#This Row],[MOVIL]],[1]LIQUIDACION!$B:$B,[1]LIQUIDACION!$A:$A,"-",0)</f>
        <v>AEROLINEAS</v>
      </c>
    </row>
    <row r="379" spans="1:8" x14ac:dyDescent="0.3">
      <c r="A379" s="59">
        <v>722</v>
      </c>
      <c r="B379" s="5">
        <f>+SUMIFS(Tabla16[Importe],Tabla16[MOVIL],Tabla38[[#This Row],[MOVIL]],Tabla16[OBSV],"DESCONTAR POR USO PERSONAL")</f>
        <v>12.6</v>
      </c>
      <c r="C379" s="5">
        <f>+SUMIFS(Tabla16[Importe],Tabla16[MOVIL],Tabla38[[#This Row],[MOVIL]],Tabla16[OBSV],"DESCONTAR POR INCIDENCIA")</f>
        <v>0</v>
      </c>
      <c r="D379" s="5">
        <f>+SUMIFS(Tabla16[Importe],Tabla16[MOVIL],Tabla38[[#This Row],[MOVIL]],Tabla16[OBSV],"DESCONTAR SERVICIO EN EFECTIVO")</f>
        <v>0</v>
      </c>
      <c r="E379" s="5">
        <f>+IFERROR(VLOOKUP(Tabla38[[#This Row],[MOVIL]],Tabla1[[#All],[MOVIL]:[COBRO POR NUEVA INCLUSIÓN]],4,FALSE),0)</f>
        <v>0</v>
      </c>
      <c r="F379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79" s="5"/>
      <c r="H379" s="5" t="str">
        <f>_xlfn.XLOOKUP(Tabla38[[#This Row],[MOVIL]],[1]LIQUIDACION!$B:$B,[1]LIQUIDACION!$A:$A,"-",0)</f>
        <v>MEMBRESÍA URBANO</v>
      </c>
    </row>
    <row r="380" spans="1:8" x14ac:dyDescent="0.3">
      <c r="A380" s="8">
        <v>9099</v>
      </c>
      <c r="B380" s="5">
        <f>+SUMIFS(Tabla16[Importe],Tabla16[MOVIL],Tabla38[[#This Row],[MOVIL]],Tabla16[OBSV],"DESCONTAR POR USO PERSONAL")</f>
        <v>0</v>
      </c>
      <c r="C380" s="5">
        <f>+SUMIFS(Tabla16[Importe],Tabla16[MOVIL],Tabla38[[#This Row],[MOVIL]],Tabla16[OBSV],"DESCONTAR POR INCIDENCIA")</f>
        <v>0</v>
      </c>
      <c r="D380" s="5">
        <f>+SUMIFS(Tabla16[Importe],Tabla16[MOVIL],Tabla38[[#This Row],[MOVIL]],Tabla16[OBSV],"DESCONTAR SERVICIO EN EFECTIVO")</f>
        <v>0</v>
      </c>
      <c r="E380" s="5">
        <f>+IFERROR(VLOOKUP(Tabla38[[#This Row],[MOVIL]],Tabla1[[#All],[MOVIL]:[COBRO POR NUEVA INCLUSIÓN]],4,FALSE),0)</f>
        <v>0</v>
      </c>
      <c r="F38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0" s="5"/>
      <c r="H380" s="5" t="str">
        <f>_xlfn.XLOOKUP(Tabla38[[#This Row],[MOVIL]],[1]LIQUIDACION!$B:$B,[1]LIQUIDACION!$A:$A,"-",0)</f>
        <v>AEROLINEAS</v>
      </c>
    </row>
    <row r="381" spans="1:8" x14ac:dyDescent="0.3">
      <c r="A381" s="59">
        <v>4301</v>
      </c>
      <c r="B381" s="5">
        <f>+SUMIFS(Tabla16[Importe],Tabla16[MOVIL],Tabla38[[#This Row],[MOVIL]],Tabla16[OBSV],"DESCONTAR POR USO PERSONAL")</f>
        <v>12.6</v>
      </c>
      <c r="C381" s="5">
        <f>+SUMIFS(Tabla16[Importe],Tabla16[MOVIL],Tabla38[[#This Row],[MOVIL]],Tabla16[OBSV],"DESCONTAR POR INCIDENCIA")</f>
        <v>0</v>
      </c>
      <c r="D381" s="5">
        <f>+SUMIFS(Tabla16[Importe],Tabla16[MOVIL],Tabla38[[#This Row],[MOVIL]],Tabla16[OBSV],"DESCONTAR SERVICIO EN EFECTIVO")</f>
        <v>0</v>
      </c>
      <c r="E381" s="5">
        <f>+IFERROR(VLOOKUP(Tabla38[[#This Row],[MOVIL]],Tabla1[[#All],[MOVIL]:[COBRO POR NUEVA INCLUSIÓN]],4,FALSE),0)</f>
        <v>0</v>
      </c>
      <c r="F38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81" s="5"/>
      <c r="H381" s="5" t="str">
        <f>_xlfn.XLOOKUP(Tabla38[[#This Row],[MOVIL]],[1]LIQUIDACION!$B:$B,[1]LIQUIDACION!$A:$A,"-",0)</f>
        <v>AEROLINEAS</v>
      </c>
    </row>
    <row r="382" spans="1:8" x14ac:dyDescent="0.3">
      <c r="A382" s="59">
        <v>3138</v>
      </c>
      <c r="B382" s="5">
        <f>+SUMIFS(Tabla16[Importe],Tabla16[MOVIL],Tabla38[[#This Row],[MOVIL]],Tabla16[OBSV],"DESCONTAR POR USO PERSONAL")</f>
        <v>6.3</v>
      </c>
      <c r="C382" s="5">
        <f>+SUMIFS(Tabla16[Importe],Tabla16[MOVIL],Tabla38[[#This Row],[MOVIL]],Tabla16[OBSV],"DESCONTAR POR INCIDENCIA")</f>
        <v>12.6</v>
      </c>
      <c r="D382" s="5">
        <f>+SUMIFS(Tabla16[Importe],Tabla16[MOVIL],Tabla38[[#This Row],[MOVIL]],Tabla16[OBSV],"DESCONTAR SERVICIO EN EFECTIVO")</f>
        <v>12.6</v>
      </c>
      <c r="E382" s="5">
        <f>+IFERROR(VLOOKUP(Tabla38[[#This Row],[MOVIL]],Tabla1[[#All],[MOVIL]:[COBRO POR NUEVA INCLUSIÓN]],4,FALSE),0)</f>
        <v>0</v>
      </c>
      <c r="F382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2" s="5"/>
      <c r="H382" s="5" t="str">
        <f>_xlfn.XLOOKUP(Tabla38[[#This Row],[MOVIL]],[1]LIQUIDACION!$B:$B,[1]LIQUIDACION!$A:$A,"-",0)</f>
        <v>AEROLINEAS</v>
      </c>
    </row>
    <row r="383" spans="1:8" x14ac:dyDescent="0.3">
      <c r="A383" s="59">
        <v>4078</v>
      </c>
      <c r="B383" s="5">
        <f>+SUMIFS(Tabla16[Importe],Tabla16[MOVIL],Tabla38[[#This Row],[MOVIL]],Tabla16[OBSV],"DESCONTAR POR USO PERSONAL")</f>
        <v>18.899999999999999</v>
      </c>
      <c r="C383" s="5">
        <f>+SUMIFS(Tabla16[Importe],Tabla16[MOVIL],Tabla38[[#This Row],[MOVIL]],Tabla16[OBSV],"DESCONTAR POR INCIDENCIA")</f>
        <v>0</v>
      </c>
      <c r="D383" s="5">
        <f>+SUMIFS(Tabla16[Importe],Tabla16[MOVIL],Tabla38[[#This Row],[MOVIL]],Tabla16[OBSV],"DESCONTAR SERVICIO EN EFECTIVO")</f>
        <v>12.6</v>
      </c>
      <c r="E383" s="5">
        <f>+IFERROR(VLOOKUP(Tabla38[[#This Row],[MOVIL]],Tabla1[[#All],[MOVIL]:[COBRO POR NUEVA INCLUSIÓN]],4,FALSE),0)</f>
        <v>0</v>
      </c>
      <c r="F38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383" s="5"/>
      <c r="H383" s="5" t="str">
        <f>_xlfn.XLOOKUP(Tabla38[[#This Row],[MOVIL]],[1]LIQUIDACION!$B:$B,[1]LIQUIDACION!$A:$A,"-",0)</f>
        <v>URBANO PARTNER</v>
      </c>
    </row>
    <row r="384" spans="1:8" x14ac:dyDescent="0.3">
      <c r="A384" s="59">
        <v>2583</v>
      </c>
      <c r="B384" s="5">
        <f>+SUMIFS(Tabla16[Importe],Tabla16[MOVIL],Tabla38[[#This Row],[MOVIL]],Tabla16[OBSV],"DESCONTAR POR USO PERSONAL")</f>
        <v>44.099999999999994</v>
      </c>
      <c r="C384" s="5">
        <f>+SUMIFS(Tabla16[Importe],Tabla16[MOVIL],Tabla38[[#This Row],[MOVIL]],Tabla16[OBSV],"DESCONTAR POR INCIDENCIA")</f>
        <v>0</v>
      </c>
      <c r="D384" s="5">
        <f>+SUMIFS(Tabla16[Importe],Tabla16[MOVIL],Tabla38[[#This Row],[MOVIL]],Tabla16[OBSV],"DESCONTAR SERVICIO EN EFECTIVO")</f>
        <v>12.6</v>
      </c>
      <c r="E384" s="5">
        <f>+IFERROR(VLOOKUP(Tabla38[[#This Row],[MOVIL]],Tabla1[[#All],[MOVIL]:[COBRO POR NUEVA INCLUSIÓN]],4,FALSE),0)</f>
        <v>0</v>
      </c>
      <c r="F384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384" s="5"/>
      <c r="H384" s="5" t="str">
        <f>_xlfn.XLOOKUP(Tabla38[[#This Row],[MOVIL]],[1]LIQUIDACION!$B:$B,[1]LIQUIDACION!$A:$A,"-",0)</f>
        <v>AEROPUERTO</v>
      </c>
    </row>
    <row r="385" spans="1:8" x14ac:dyDescent="0.3">
      <c r="A385" s="59">
        <v>3613</v>
      </c>
      <c r="B385" s="5">
        <f>+SUMIFS(Tabla16[Importe],Tabla16[MOVIL],Tabla38[[#This Row],[MOVIL]],Tabla16[OBSV],"DESCONTAR POR USO PERSONAL")</f>
        <v>6.3</v>
      </c>
      <c r="C385" s="5">
        <f>+SUMIFS(Tabla16[Importe],Tabla16[MOVIL],Tabla38[[#This Row],[MOVIL]],Tabla16[OBSV],"DESCONTAR POR INCIDENCIA")</f>
        <v>0</v>
      </c>
      <c r="D385" s="5">
        <f>+SUMIFS(Tabla16[Importe],Tabla16[MOVIL],Tabla38[[#This Row],[MOVIL]],Tabla16[OBSV],"DESCONTAR SERVICIO EN EFECTIVO")</f>
        <v>0</v>
      </c>
      <c r="E385" s="5">
        <f>+IFERROR(VLOOKUP(Tabla38[[#This Row],[MOVIL]],Tabla1[[#All],[MOVIL]:[COBRO POR NUEVA INCLUSIÓN]],4,FALSE),0)</f>
        <v>0</v>
      </c>
      <c r="F385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5" s="5"/>
      <c r="H385" s="5" t="str">
        <f>_xlfn.XLOOKUP(Tabla38[[#This Row],[MOVIL]],[1]LIQUIDACION!$B:$B,[1]LIQUIDACION!$A:$A,"-",0)</f>
        <v>AEROLINEAS</v>
      </c>
    </row>
    <row r="386" spans="1:8" x14ac:dyDescent="0.3">
      <c r="A386" s="59">
        <v>4311</v>
      </c>
      <c r="B386" s="5">
        <f>+SUMIFS(Tabla16[Importe],Tabla16[MOVIL],Tabla38[[#This Row],[MOVIL]],Tabla16[OBSV],"DESCONTAR POR USO PERSONAL")</f>
        <v>62.999999999999986</v>
      </c>
      <c r="C386" s="5">
        <f>+SUMIFS(Tabla16[Importe],Tabla16[MOVIL],Tabla38[[#This Row],[MOVIL]],Tabla16[OBSV],"DESCONTAR POR INCIDENCIA")</f>
        <v>0</v>
      </c>
      <c r="D386" s="5">
        <f>+SUMIFS(Tabla16[Importe],Tabla16[MOVIL],Tabla38[[#This Row],[MOVIL]],Tabla16[OBSV],"DESCONTAR SERVICIO EN EFECTIVO")</f>
        <v>0</v>
      </c>
      <c r="E386" s="5">
        <f>+IFERROR(VLOOKUP(Tabla38[[#This Row],[MOVIL]],Tabla1[[#All],[MOVIL]:[COBRO POR NUEVA INCLUSIÓN]],4,FALSE),0)</f>
        <v>0</v>
      </c>
      <c r="F386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86" s="5"/>
      <c r="H386" s="5" t="str">
        <f>_xlfn.XLOOKUP(Tabla38[[#This Row],[MOVIL]],[1]LIQUIDACION!$B:$B,[1]LIQUIDACION!$A:$A,"-",0)</f>
        <v>AEROLINEAS</v>
      </c>
    </row>
    <row r="387" spans="1:8" x14ac:dyDescent="0.3">
      <c r="A387" s="8">
        <v>1798</v>
      </c>
      <c r="B387" s="5">
        <f>+SUMIFS(Tabla16[Importe],Tabla16[MOVIL],Tabla38[[#This Row],[MOVIL]],Tabla16[OBSV],"DESCONTAR POR USO PERSONAL")</f>
        <v>0</v>
      </c>
      <c r="C387" s="5">
        <f>+SUMIFS(Tabla16[Importe],Tabla16[MOVIL],Tabla38[[#This Row],[MOVIL]],Tabla16[OBSV],"DESCONTAR POR INCIDENCIA")</f>
        <v>6.3</v>
      </c>
      <c r="D387" s="5">
        <f>+SUMIFS(Tabla16[Importe],Tabla16[MOVIL],Tabla38[[#This Row],[MOVIL]],Tabla16[OBSV],"DESCONTAR SERVICIO EN EFECTIVO")</f>
        <v>0</v>
      </c>
      <c r="E387" s="5">
        <f>+IFERROR(VLOOKUP(Tabla38[[#This Row],[MOVIL]],Tabla1[[#All],[MOVIL]:[COBRO POR NUEVA INCLUSIÓN]],4,FALSE),0)</f>
        <v>0</v>
      </c>
      <c r="F38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87" s="5"/>
      <c r="H387" s="5" t="str">
        <f>_xlfn.XLOOKUP(Tabla38[[#This Row],[MOVIL]],[1]LIQUIDACION!$B:$B,[1]LIQUIDACION!$A:$A,"-",0)</f>
        <v>AEROPUERTO</v>
      </c>
    </row>
    <row r="388" spans="1:8" x14ac:dyDescent="0.3">
      <c r="A388" s="59">
        <v>3951</v>
      </c>
      <c r="B388" s="5">
        <f>+SUMIFS(Tabla16[Importe],Tabla16[MOVIL],Tabla38[[#This Row],[MOVIL]],Tabla16[OBSV],"DESCONTAR POR USO PERSONAL")</f>
        <v>18.899999999999999</v>
      </c>
      <c r="C388" s="5">
        <f>+SUMIFS(Tabla16[Importe],Tabla16[MOVIL],Tabla38[[#This Row],[MOVIL]],Tabla16[OBSV],"DESCONTAR POR INCIDENCIA")</f>
        <v>6.3</v>
      </c>
      <c r="D388" s="5">
        <f>+SUMIFS(Tabla16[Importe],Tabla16[MOVIL],Tabla38[[#This Row],[MOVIL]],Tabla16[OBSV],"DESCONTAR SERVICIO EN EFECTIVO")</f>
        <v>0</v>
      </c>
      <c r="E388" s="5">
        <f>+IFERROR(VLOOKUP(Tabla38[[#This Row],[MOVIL]],Tabla1[[#All],[MOVIL]:[COBRO POR NUEVA INCLUSIÓN]],4,FALSE),0)</f>
        <v>0</v>
      </c>
      <c r="F388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88" s="5"/>
      <c r="H388" s="5" t="str">
        <f>_xlfn.XLOOKUP(Tabla38[[#This Row],[MOVIL]],[1]LIQUIDACION!$B:$B,[1]LIQUIDACION!$A:$A,"-",0)</f>
        <v>AEROLINEAS</v>
      </c>
    </row>
    <row r="389" spans="1:8" x14ac:dyDescent="0.3">
      <c r="A389" s="8">
        <v>1595</v>
      </c>
      <c r="B389" s="5">
        <f>+SUMIFS(Tabla16[Importe],Tabla16[MOVIL],Tabla38[[#This Row],[MOVIL]],Tabla16[OBSV],"DESCONTAR POR USO PERSONAL")</f>
        <v>0</v>
      </c>
      <c r="C389" s="5">
        <f>+SUMIFS(Tabla16[Importe],Tabla16[MOVIL],Tabla38[[#This Row],[MOVIL]],Tabla16[OBSV],"DESCONTAR POR INCIDENCIA")</f>
        <v>0</v>
      </c>
      <c r="D389" s="5">
        <f>+SUMIFS(Tabla16[Importe],Tabla16[MOVIL],Tabla38[[#This Row],[MOVIL]],Tabla16[OBSV],"DESCONTAR SERVICIO EN EFECTIVO")</f>
        <v>0</v>
      </c>
      <c r="E389" s="5">
        <f>+IFERROR(VLOOKUP(Tabla38[[#This Row],[MOVIL]],Tabla1[[#All],[MOVIL]:[COBRO POR NUEVA INCLUSIÓN]],4,FALSE),0)</f>
        <v>0</v>
      </c>
      <c r="F38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89" s="5"/>
      <c r="H389" s="5" t="str">
        <f>_xlfn.XLOOKUP(Tabla38[[#This Row],[MOVIL]],[1]LIQUIDACION!$B:$B,[1]LIQUIDACION!$A:$A,"-",0)</f>
        <v>AEROPUERTO</v>
      </c>
    </row>
    <row r="390" spans="1:8" x14ac:dyDescent="0.3">
      <c r="A390" s="8">
        <v>291</v>
      </c>
      <c r="B390" s="5">
        <f>+SUMIFS(Tabla16[Importe],Tabla16[MOVIL],Tabla38[[#This Row],[MOVIL]],Tabla16[OBSV],"DESCONTAR POR USO PERSONAL")</f>
        <v>0</v>
      </c>
      <c r="C390" s="5">
        <f>+SUMIFS(Tabla16[Importe],Tabla16[MOVIL],Tabla38[[#This Row],[MOVIL]],Tabla16[OBSV],"DESCONTAR POR INCIDENCIA")</f>
        <v>0</v>
      </c>
      <c r="D390" s="5">
        <f>+SUMIFS(Tabla16[Importe],Tabla16[MOVIL],Tabla38[[#This Row],[MOVIL]],Tabla16[OBSV],"DESCONTAR SERVICIO EN EFECTIVO")</f>
        <v>0</v>
      </c>
      <c r="E390" s="5">
        <f>+IFERROR(VLOOKUP(Tabla38[[#This Row],[MOVIL]],Tabla1[[#All],[MOVIL]:[COBRO POR NUEVA INCLUSIÓN]],4,FALSE),0)</f>
        <v>0</v>
      </c>
      <c r="F39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0" s="5"/>
      <c r="H390" s="5" t="str">
        <f>_xlfn.XLOOKUP(Tabla38[[#This Row],[MOVIL]],[1]LIQUIDACION!$B:$B,[1]LIQUIDACION!$A:$A,"-",0)</f>
        <v>AEROPUERTO</v>
      </c>
    </row>
    <row r="391" spans="1:8" x14ac:dyDescent="0.3">
      <c r="A391" s="8">
        <v>9821</v>
      </c>
      <c r="B391" s="5">
        <f>+SUMIFS(Tabla16[Importe],Tabla16[MOVIL],Tabla38[[#This Row],[MOVIL]],Tabla16[OBSV],"DESCONTAR POR USO PERSONAL")</f>
        <v>50.399999999999991</v>
      </c>
      <c r="C391" s="5">
        <f>+SUMIFS(Tabla16[Importe],Tabla16[MOVIL],Tabla38[[#This Row],[MOVIL]],Tabla16[OBSV],"DESCONTAR POR INCIDENCIA")</f>
        <v>0</v>
      </c>
      <c r="D391" s="5">
        <f>+SUMIFS(Tabla16[Importe],Tabla16[MOVIL],Tabla38[[#This Row],[MOVIL]],Tabla16[OBSV],"DESCONTAR SERVICIO EN EFECTIVO")</f>
        <v>0</v>
      </c>
      <c r="E391" s="5">
        <f>+IFERROR(VLOOKUP(Tabla38[[#This Row],[MOVIL]],Tabla1[[#All],[MOVIL]:[COBRO POR NUEVA INCLUSIÓN]],4,FALSE),0)</f>
        <v>0</v>
      </c>
      <c r="F391" s="5">
        <f>(Tabla38[[#This Row],[DESCUENTO POR USO PERSONAL PEX]]+Tabla38[[#This Row],[DESCUENTO POR INCIDENCIAS PEX]]+Tabla38[[#This Row],[DESCUENTO POR SERVICIOS EN EFECTIVO]]+Tabla38[[#This Row],[DESCUENTO POR NUEVA INCLUSION]])</f>
        <v>50.399999999999991</v>
      </c>
      <c r="G391" s="5"/>
      <c r="H391" s="5" t="s">
        <v>1374</v>
      </c>
    </row>
    <row r="392" spans="1:8" x14ac:dyDescent="0.3">
      <c r="A392" s="59">
        <v>4103</v>
      </c>
      <c r="B392" s="5">
        <f>+SUMIFS(Tabla16[Importe],Tabla16[MOVIL],Tabla38[[#This Row],[MOVIL]],Tabla16[OBSV],"DESCONTAR POR USO PERSONAL")</f>
        <v>62.999999999999986</v>
      </c>
      <c r="C392" s="5">
        <f>+SUMIFS(Tabla16[Importe],Tabla16[MOVIL],Tabla38[[#This Row],[MOVIL]],Tabla16[OBSV],"DESCONTAR POR INCIDENCIA")</f>
        <v>0</v>
      </c>
      <c r="D392" s="5">
        <f>+SUMIFS(Tabla16[Importe],Tabla16[MOVIL],Tabla38[[#This Row],[MOVIL]],Tabla16[OBSV],"DESCONTAR SERVICIO EN EFECTIVO")</f>
        <v>0</v>
      </c>
      <c r="E392" s="5">
        <f>+IFERROR(VLOOKUP(Tabla38[[#This Row],[MOVIL]],Tabla1[[#All],[MOVIL]:[COBRO POR NUEVA INCLUSIÓN]],4,FALSE),0)</f>
        <v>0</v>
      </c>
      <c r="F392" s="5">
        <f>(Tabla38[[#This Row],[DESCUENTO POR USO PERSONAL PEX]]+Tabla38[[#This Row],[DESCUENTO POR INCIDENCIAS PEX]]+Tabla38[[#This Row],[DESCUENTO POR SERVICIOS EN EFECTIVO]]+Tabla38[[#This Row],[DESCUENTO POR NUEVA INCLUSION]])</f>
        <v>62.999999999999986</v>
      </c>
      <c r="G392" s="5"/>
      <c r="H392" s="5" t="str">
        <f>_xlfn.XLOOKUP(Tabla38[[#This Row],[MOVIL]],[1]LIQUIDACION!$B:$B,[1]LIQUIDACION!$A:$A,"-",0)</f>
        <v>AEROPUERTO</v>
      </c>
    </row>
    <row r="393" spans="1:8" x14ac:dyDescent="0.3">
      <c r="A393" s="59">
        <v>4295</v>
      </c>
      <c r="B393" s="5">
        <f>+SUMIFS(Tabla16[Importe],Tabla16[MOVIL],Tabla38[[#This Row],[MOVIL]],Tabla16[OBSV],"DESCONTAR POR USO PERSONAL")</f>
        <v>6.3</v>
      </c>
      <c r="C393" s="5">
        <f>+SUMIFS(Tabla16[Importe],Tabla16[MOVIL],Tabla38[[#This Row],[MOVIL]],Tabla16[OBSV],"DESCONTAR POR INCIDENCIA")</f>
        <v>0</v>
      </c>
      <c r="D393" s="5">
        <f>+SUMIFS(Tabla16[Importe],Tabla16[MOVIL],Tabla38[[#This Row],[MOVIL]],Tabla16[OBSV],"DESCONTAR SERVICIO EN EFECTIVO")</f>
        <v>0</v>
      </c>
      <c r="E393" s="5">
        <f>+IFERROR(VLOOKUP(Tabla38[[#This Row],[MOVIL]],Tabla1[[#All],[MOVIL]:[COBRO POR NUEVA INCLUSIÓN]],4,FALSE),0)</f>
        <v>0</v>
      </c>
      <c r="F39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393" s="5"/>
      <c r="H393" s="5" t="str">
        <f>_xlfn.XLOOKUP(Tabla38[[#This Row],[MOVIL]],[1]LIQUIDACION!$B:$B,[1]LIQUIDACION!$A:$A,"-",0)</f>
        <v>AEROLINEAS</v>
      </c>
    </row>
    <row r="394" spans="1:8" x14ac:dyDescent="0.3">
      <c r="A394" s="8">
        <v>9158</v>
      </c>
      <c r="B394" s="5">
        <f>+SUMIFS(Tabla16[Importe],Tabla16[MOVIL],Tabla38[[#This Row],[MOVIL]],Tabla16[OBSV],"DESCONTAR POR USO PERSONAL")</f>
        <v>0</v>
      </c>
      <c r="C394" s="5">
        <f>+SUMIFS(Tabla16[Importe],Tabla16[MOVIL],Tabla38[[#This Row],[MOVIL]],Tabla16[OBSV],"DESCONTAR POR INCIDENCIA")</f>
        <v>0</v>
      </c>
      <c r="D394" s="5">
        <f>+SUMIFS(Tabla16[Importe],Tabla16[MOVIL],Tabla38[[#This Row],[MOVIL]],Tabla16[OBSV],"DESCONTAR SERVICIO EN EFECTIVO")</f>
        <v>0</v>
      </c>
      <c r="E394" s="5">
        <f>+IFERROR(VLOOKUP(Tabla38[[#This Row],[MOVIL]],Tabla1[[#All],[MOVIL]:[COBRO POR NUEVA INCLUSIÓN]],4,FALSE),0)</f>
        <v>0</v>
      </c>
      <c r="F394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4" s="5"/>
      <c r="H394" s="5" t="str">
        <f>_xlfn.XLOOKUP(Tabla38[[#This Row],[MOVIL]],[1]LIQUIDACION!$B:$B,[1]LIQUIDACION!$A:$A,"-",0)</f>
        <v>AEROPUERTO VAN</v>
      </c>
    </row>
    <row r="395" spans="1:8" x14ac:dyDescent="0.3">
      <c r="A395" s="59">
        <v>4331</v>
      </c>
      <c r="B395" s="5">
        <f>+SUMIFS(Tabla16[Importe],Tabla16[MOVIL],Tabla38[[#This Row],[MOVIL]],Tabla16[OBSV],"DESCONTAR POR USO PERSONAL")</f>
        <v>18.899999999999999</v>
      </c>
      <c r="C395" s="5">
        <f>+SUMIFS(Tabla16[Importe],Tabla16[MOVIL],Tabla38[[#This Row],[MOVIL]],Tabla16[OBSV],"DESCONTAR POR INCIDENCIA")</f>
        <v>0</v>
      </c>
      <c r="D395" s="5">
        <f>+SUMIFS(Tabla16[Importe],Tabla16[MOVIL],Tabla38[[#This Row],[MOVIL]],Tabla16[OBSV],"DESCONTAR SERVICIO EN EFECTIVO")</f>
        <v>0</v>
      </c>
      <c r="E395" s="5">
        <f>+IFERROR(VLOOKUP(Tabla38[[#This Row],[MOVIL]],Tabla1[[#All],[MOVIL]:[COBRO POR NUEVA INCLUSIÓN]],4,FALSE),0)</f>
        <v>0</v>
      </c>
      <c r="F39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395" s="5"/>
      <c r="H395" s="5" t="str">
        <f>_xlfn.XLOOKUP(Tabla38[[#This Row],[MOVIL]],[1]LIQUIDACION!$B:$B,[1]LIQUIDACION!$A:$A,"-",0)</f>
        <v>MEMBRESÍA NOCTURNA - APTO</v>
      </c>
    </row>
    <row r="396" spans="1:8" x14ac:dyDescent="0.3">
      <c r="A396" s="59">
        <v>3838</v>
      </c>
      <c r="B396" s="5">
        <f>+SUMIFS(Tabla16[Importe],Tabla16[MOVIL],Tabla38[[#This Row],[MOVIL]],Tabla16[OBSV],"DESCONTAR POR USO PERSONAL")</f>
        <v>25.2</v>
      </c>
      <c r="C396" s="5">
        <f>+SUMIFS(Tabla16[Importe],Tabla16[MOVIL],Tabla38[[#This Row],[MOVIL]],Tabla16[OBSV],"DESCONTAR POR INCIDENCIA")</f>
        <v>0</v>
      </c>
      <c r="D396" s="5">
        <f>+SUMIFS(Tabla16[Importe],Tabla16[MOVIL],Tabla38[[#This Row],[MOVIL]],Tabla16[OBSV],"DESCONTAR SERVICIO EN EFECTIVO")</f>
        <v>0</v>
      </c>
      <c r="E396" s="5">
        <f>+IFERROR(VLOOKUP(Tabla38[[#This Row],[MOVIL]],Tabla1[[#All],[MOVIL]:[COBRO POR NUEVA INCLUSIÓN]],4,FALSE),0)</f>
        <v>0</v>
      </c>
      <c r="F39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396" s="5"/>
      <c r="H396" s="5" t="str">
        <f>_xlfn.XLOOKUP(Tabla38[[#This Row],[MOVIL]],[1]LIQUIDACION!$B:$B,[1]LIQUIDACION!$A:$A,"-",0)</f>
        <v>AEROPUERTO</v>
      </c>
    </row>
    <row r="397" spans="1:8" x14ac:dyDescent="0.3">
      <c r="A397" s="59">
        <v>3386</v>
      </c>
      <c r="B397" s="5">
        <f>+SUMIFS(Tabla16[Importe],Tabla16[MOVIL],Tabla38[[#This Row],[MOVIL]],Tabla16[OBSV],"DESCONTAR POR USO PERSONAL")</f>
        <v>12.6</v>
      </c>
      <c r="C397" s="5">
        <f>+SUMIFS(Tabla16[Importe],Tabla16[MOVIL],Tabla38[[#This Row],[MOVIL]],Tabla16[OBSV],"DESCONTAR POR INCIDENCIA")</f>
        <v>0</v>
      </c>
      <c r="D397" s="5">
        <f>+SUMIFS(Tabla16[Importe],Tabla16[MOVIL],Tabla38[[#This Row],[MOVIL]],Tabla16[OBSV],"DESCONTAR SERVICIO EN EFECTIVO")</f>
        <v>0</v>
      </c>
      <c r="E397" s="5">
        <f>+IFERROR(VLOOKUP(Tabla38[[#This Row],[MOVIL]],Tabla1[[#All],[MOVIL]:[COBRO POR NUEVA INCLUSIÓN]],4,FALSE),0)</f>
        <v>0</v>
      </c>
      <c r="F397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397" s="5"/>
      <c r="H397" s="5" t="str">
        <f>_xlfn.XLOOKUP(Tabla38[[#This Row],[MOVIL]],[1]LIQUIDACION!$B:$B,[1]LIQUIDACION!$A:$A,"-",0)</f>
        <v>AEROPUERTO VAN</v>
      </c>
    </row>
    <row r="398" spans="1:8" x14ac:dyDescent="0.3">
      <c r="A398" s="8">
        <v>4294</v>
      </c>
      <c r="B398" s="5">
        <f>+SUMIFS(Tabla16[Importe],Tabla16[MOVIL],Tabla38[[#This Row],[MOVIL]],Tabla16[OBSV],"DESCONTAR POR USO PERSONAL")</f>
        <v>0</v>
      </c>
      <c r="C398" s="5">
        <f>+SUMIFS(Tabla16[Importe],Tabla16[MOVIL],Tabla38[[#This Row],[MOVIL]],Tabla16[OBSV],"DESCONTAR POR INCIDENCIA")</f>
        <v>0</v>
      </c>
      <c r="D398" s="5">
        <f>+SUMIFS(Tabla16[Importe],Tabla16[MOVIL],Tabla38[[#This Row],[MOVIL]],Tabla16[OBSV],"DESCONTAR SERVICIO EN EFECTIVO")</f>
        <v>0</v>
      </c>
      <c r="E398" s="5">
        <f>+IFERROR(VLOOKUP(Tabla38[[#This Row],[MOVIL]],Tabla1[[#All],[MOVIL]:[COBRO POR NUEVA INCLUSIÓN]],4,FALSE),0)</f>
        <v>0</v>
      </c>
      <c r="F39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398" s="5"/>
      <c r="H398" s="5" t="str">
        <f>_xlfn.XLOOKUP(Tabla38[[#This Row],[MOVIL]],[1]LIQUIDACION!$B:$B,[1]LIQUIDACION!$A:$A,"-",0)</f>
        <v>AEROLINEAS</v>
      </c>
    </row>
    <row r="399" spans="1:8" x14ac:dyDescent="0.3">
      <c r="A399" s="59">
        <v>1441</v>
      </c>
      <c r="B399" s="5">
        <f>+SUMIFS(Tabla16[Importe],Tabla16[MOVIL],Tabla38[[#This Row],[MOVIL]],Tabla16[OBSV],"DESCONTAR POR USO PERSONAL")</f>
        <v>31.5</v>
      </c>
      <c r="C399" s="5">
        <f>+SUMIFS(Tabla16[Importe],Tabla16[MOVIL],Tabla38[[#This Row],[MOVIL]],Tabla16[OBSV],"DESCONTAR POR INCIDENCIA")</f>
        <v>0</v>
      </c>
      <c r="D399" s="5">
        <f>+SUMIFS(Tabla16[Importe],Tabla16[MOVIL],Tabla38[[#This Row],[MOVIL]],Tabla16[OBSV],"DESCONTAR SERVICIO EN EFECTIVO")</f>
        <v>6.3</v>
      </c>
      <c r="E399" s="5">
        <f>+IFERROR(VLOOKUP(Tabla38[[#This Row],[MOVIL]],Tabla1[[#All],[MOVIL]:[COBRO POR NUEVA INCLUSIÓN]],4,FALSE),0)</f>
        <v>0</v>
      </c>
      <c r="F399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399" s="5"/>
      <c r="H399" s="5" t="str">
        <f>_xlfn.XLOOKUP(Tabla38[[#This Row],[MOVIL]],[1]LIQUIDACION!$B:$B,[1]LIQUIDACION!$A:$A,"-",0)</f>
        <v>AEROPUERTO</v>
      </c>
    </row>
    <row r="400" spans="1:8" x14ac:dyDescent="0.3">
      <c r="A400" s="8">
        <v>1894</v>
      </c>
      <c r="B400" s="5">
        <f>+SUMIFS(Tabla16[Importe],Tabla16[MOVIL],Tabla38[[#This Row],[MOVIL]],Tabla16[OBSV],"DESCONTAR POR USO PERSONAL")</f>
        <v>0</v>
      </c>
      <c r="C400" s="5">
        <f>+SUMIFS(Tabla16[Importe],Tabla16[MOVIL],Tabla38[[#This Row],[MOVIL]],Tabla16[OBSV],"DESCONTAR POR INCIDENCIA")</f>
        <v>0</v>
      </c>
      <c r="D400" s="5">
        <f>+SUMIFS(Tabla16[Importe],Tabla16[MOVIL],Tabla38[[#This Row],[MOVIL]],Tabla16[OBSV],"DESCONTAR SERVICIO EN EFECTIVO")</f>
        <v>0</v>
      </c>
      <c r="E400" s="5">
        <f>+IFERROR(VLOOKUP(Tabla38[[#This Row],[MOVIL]],Tabla1[[#All],[MOVIL]:[COBRO POR NUEVA INCLUSIÓN]],4,FALSE),0)</f>
        <v>0</v>
      </c>
      <c r="F40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0" s="5"/>
      <c r="H400" s="5" t="str">
        <f>_xlfn.XLOOKUP(Tabla38[[#This Row],[MOVIL]],[1]LIQUIDACION!$B:$B,[1]LIQUIDACION!$A:$A,"-",0)</f>
        <v>AEROLINEAS</v>
      </c>
    </row>
    <row r="401" spans="1:8" x14ac:dyDescent="0.3">
      <c r="A401" s="8">
        <v>4196</v>
      </c>
      <c r="B401" s="5">
        <f>+SUMIFS(Tabla16[Importe],Tabla16[MOVIL],Tabla38[[#This Row],[MOVIL]],Tabla16[OBSV],"DESCONTAR POR USO PERSONAL")</f>
        <v>0</v>
      </c>
      <c r="C401" s="5">
        <f>+SUMIFS(Tabla16[Importe],Tabla16[MOVIL],Tabla38[[#This Row],[MOVIL]],Tabla16[OBSV],"DESCONTAR POR INCIDENCIA")</f>
        <v>0</v>
      </c>
      <c r="D401" s="5">
        <f>+SUMIFS(Tabla16[Importe],Tabla16[MOVIL],Tabla38[[#This Row],[MOVIL]],Tabla16[OBSV],"DESCONTAR SERVICIO EN EFECTIVO")</f>
        <v>0</v>
      </c>
      <c r="E401" s="5">
        <f>+IFERROR(VLOOKUP(Tabla38[[#This Row],[MOVIL]],Tabla1[[#All],[MOVIL]:[COBRO POR NUEVA INCLUSIÓN]],4,FALSE),0)</f>
        <v>0</v>
      </c>
      <c r="F40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1" s="5"/>
      <c r="H401" s="5" t="str">
        <f>_xlfn.XLOOKUP(Tabla38[[#This Row],[MOVIL]],[1]LIQUIDACION!$B:$B,[1]LIQUIDACION!$A:$A,"-",0)</f>
        <v>AEROLINEAS</v>
      </c>
    </row>
    <row r="402" spans="1:8" x14ac:dyDescent="0.3">
      <c r="A402" s="59">
        <v>4337</v>
      </c>
      <c r="B402" s="5">
        <f>+SUMIFS(Tabla16[Importe],Tabla16[MOVIL],Tabla38[[#This Row],[MOVIL]],Tabla16[OBSV],"DESCONTAR POR USO PERSONAL")</f>
        <v>44.099999999999994</v>
      </c>
      <c r="C402" s="5">
        <f>+SUMIFS(Tabla16[Importe],Tabla16[MOVIL],Tabla38[[#This Row],[MOVIL]],Tabla16[OBSV],"DESCONTAR POR INCIDENCIA")</f>
        <v>0</v>
      </c>
      <c r="D402" s="5">
        <f>+SUMIFS(Tabla16[Importe],Tabla16[MOVIL],Tabla38[[#This Row],[MOVIL]],Tabla16[OBSV],"DESCONTAR SERVICIO EN EFECTIVO")</f>
        <v>0</v>
      </c>
      <c r="E402" s="5">
        <f>+IFERROR(VLOOKUP(Tabla38[[#This Row],[MOVIL]],Tabla1[[#All],[MOVIL]:[COBRO POR NUEVA INCLUSIÓN]],4,FALSE),0)</f>
        <v>0</v>
      </c>
      <c r="F402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02" s="5"/>
      <c r="H402" s="5" t="str">
        <f>_xlfn.XLOOKUP(Tabla38[[#This Row],[MOVIL]],[1]LIQUIDACION!$B:$B,[1]LIQUIDACION!$A:$A,"-",0)</f>
        <v>URBANO PARTNER</v>
      </c>
    </row>
    <row r="403" spans="1:8" x14ac:dyDescent="0.3">
      <c r="A403" s="59">
        <v>9896</v>
      </c>
      <c r="B403" s="5">
        <f>+SUMIFS(Tabla16[Importe],Tabla16[MOVIL],Tabla38[[#This Row],[MOVIL]],Tabla16[OBSV],"DESCONTAR POR USO PERSONAL")</f>
        <v>6.3</v>
      </c>
      <c r="C403" s="5">
        <f>+SUMIFS(Tabla16[Importe],Tabla16[MOVIL],Tabla38[[#This Row],[MOVIL]],Tabla16[OBSV],"DESCONTAR POR INCIDENCIA")</f>
        <v>0</v>
      </c>
      <c r="D403" s="5">
        <f>+SUMIFS(Tabla16[Importe],Tabla16[MOVIL],Tabla38[[#This Row],[MOVIL]],Tabla16[OBSV],"DESCONTAR SERVICIO EN EFECTIVO")</f>
        <v>0</v>
      </c>
      <c r="E403" s="5">
        <f>+IFERROR(VLOOKUP(Tabla38[[#This Row],[MOVIL]],Tabla1[[#All],[MOVIL]:[COBRO POR NUEVA INCLUSIÓN]],4,FALSE),0)</f>
        <v>0</v>
      </c>
      <c r="F403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3" s="5"/>
      <c r="H403" s="5" t="str">
        <f>_xlfn.XLOOKUP(Tabla38[[#This Row],[MOVIL]],[1]LIQUIDACION!$B:$B,[1]LIQUIDACION!$A:$A,"-",0)</f>
        <v>URBANO</v>
      </c>
    </row>
    <row r="404" spans="1:8" x14ac:dyDescent="0.3">
      <c r="A404" s="59">
        <v>2356</v>
      </c>
      <c r="B404" s="5">
        <f>+SUMIFS(Tabla16[Importe],Tabla16[MOVIL],Tabla38[[#This Row],[MOVIL]],Tabla16[OBSV],"DESCONTAR POR USO PERSONAL")</f>
        <v>6.3</v>
      </c>
      <c r="C404" s="5">
        <f>+SUMIFS(Tabla16[Importe],Tabla16[MOVIL],Tabla38[[#This Row],[MOVIL]],Tabla16[OBSV],"DESCONTAR POR INCIDENCIA")</f>
        <v>12.6</v>
      </c>
      <c r="D404" s="5">
        <f>+SUMIFS(Tabla16[Importe],Tabla16[MOVIL],Tabla38[[#This Row],[MOVIL]],Tabla16[OBSV],"DESCONTAR SERVICIO EN EFECTIVO")</f>
        <v>0</v>
      </c>
      <c r="E404" s="5">
        <f>+IFERROR(VLOOKUP(Tabla38[[#This Row],[MOVIL]],Tabla1[[#All],[MOVIL]:[COBRO POR NUEVA INCLUSIÓN]],4,FALSE),0)</f>
        <v>0</v>
      </c>
      <c r="F404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04" s="5"/>
      <c r="H404" s="5" t="str">
        <f>_xlfn.XLOOKUP(Tabla38[[#This Row],[MOVIL]],[1]LIQUIDACION!$B:$B,[1]LIQUIDACION!$A:$A,"-",0)</f>
        <v>AEROPUERTO</v>
      </c>
    </row>
    <row r="405" spans="1:8" x14ac:dyDescent="0.3">
      <c r="A405" s="8">
        <v>4306</v>
      </c>
      <c r="B405" s="5">
        <f>+SUMIFS(Tabla16[Importe],Tabla16[MOVIL],Tabla38[[#This Row],[MOVIL]],Tabla16[OBSV],"DESCONTAR POR USO PERSONAL")</f>
        <v>0</v>
      </c>
      <c r="C405" s="5">
        <f>+SUMIFS(Tabla16[Importe],Tabla16[MOVIL],Tabla38[[#This Row],[MOVIL]],Tabla16[OBSV],"DESCONTAR POR INCIDENCIA")</f>
        <v>0</v>
      </c>
      <c r="D405" s="5">
        <f>+SUMIFS(Tabla16[Importe],Tabla16[MOVIL],Tabla38[[#This Row],[MOVIL]],Tabla16[OBSV],"DESCONTAR SERVICIO EN EFECTIVO")</f>
        <v>0</v>
      </c>
      <c r="E405" s="5">
        <f>+IFERROR(VLOOKUP(Tabla38[[#This Row],[MOVIL]],Tabla1[[#All],[MOVIL]:[COBRO POR NUEVA INCLUSIÓN]],4,FALSE),0)</f>
        <v>0</v>
      </c>
      <c r="F40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5" s="5"/>
      <c r="H405" s="5" t="str">
        <f>_xlfn.XLOOKUP(Tabla38[[#This Row],[MOVIL]],[1]LIQUIDACION!$B:$B,[1]LIQUIDACION!$A:$A,"-",0)</f>
        <v>MEMBRESÍA DIURNA</v>
      </c>
    </row>
    <row r="406" spans="1:8" x14ac:dyDescent="0.3">
      <c r="A406" s="8">
        <v>3206</v>
      </c>
      <c r="B406" s="5">
        <f>+SUMIFS(Tabla16[Importe],Tabla16[MOVIL],Tabla38[[#This Row],[MOVIL]],Tabla16[OBSV],"DESCONTAR POR USO PERSONAL")</f>
        <v>0</v>
      </c>
      <c r="C406" s="5">
        <f>+SUMIFS(Tabla16[Importe],Tabla16[MOVIL],Tabla38[[#This Row],[MOVIL]],Tabla16[OBSV],"DESCONTAR POR INCIDENCIA")</f>
        <v>0</v>
      </c>
      <c r="D406" s="5">
        <f>+SUMIFS(Tabla16[Importe],Tabla16[MOVIL],Tabla38[[#This Row],[MOVIL]],Tabla16[OBSV],"DESCONTAR SERVICIO EN EFECTIVO")</f>
        <v>0</v>
      </c>
      <c r="E406" s="5">
        <f>+IFERROR(VLOOKUP(Tabla38[[#This Row],[MOVIL]],Tabla1[[#All],[MOVIL]:[COBRO POR NUEVA INCLUSIÓN]],4,FALSE),0)</f>
        <v>0</v>
      </c>
      <c r="F406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6" s="5"/>
      <c r="H406" s="5" t="str">
        <f>_xlfn.XLOOKUP(Tabla38[[#This Row],[MOVIL]],[1]LIQUIDACION!$B:$B,[1]LIQUIDACION!$A:$A,"-",0)</f>
        <v>AEROLINEAS</v>
      </c>
    </row>
    <row r="407" spans="1:8" x14ac:dyDescent="0.3">
      <c r="A407" s="59">
        <v>4266</v>
      </c>
      <c r="B407" s="5">
        <f>+SUMIFS(Tabla16[Importe],Tabla16[MOVIL],Tabla38[[#This Row],[MOVIL]],Tabla16[OBSV],"DESCONTAR POR USO PERSONAL")</f>
        <v>6.3</v>
      </c>
      <c r="C407" s="5">
        <f>+SUMIFS(Tabla16[Importe],Tabla16[MOVIL],Tabla38[[#This Row],[MOVIL]],Tabla16[OBSV],"DESCONTAR POR INCIDENCIA")</f>
        <v>0</v>
      </c>
      <c r="D407" s="5">
        <f>+SUMIFS(Tabla16[Importe],Tabla16[MOVIL],Tabla38[[#This Row],[MOVIL]],Tabla16[OBSV],"DESCONTAR SERVICIO EN EFECTIVO")</f>
        <v>0</v>
      </c>
      <c r="E407" s="5">
        <f>+IFERROR(VLOOKUP(Tabla38[[#This Row],[MOVIL]],Tabla1[[#All],[MOVIL]:[COBRO POR NUEVA INCLUSIÓN]],4,FALSE),0)</f>
        <v>0</v>
      </c>
      <c r="F407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07" s="5"/>
      <c r="H407" s="5" t="str">
        <f>_xlfn.XLOOKUP(Tabla38[[#This Row],[MOVIL]],[1]LIQUIDACION!$B:$B,[1]LIQUIDACION!$A:$A,"-",0)</f>
        <v>MEMBRESÍA DIURNA</v>
      </c>
    </row>
    <row r="408" spans="1:8" x14ac:dyDescent="0.3">
      <c r="A408" s="8">
        <v>3950</v>
      </c>
      <c r="B408" s="5">
        <f>+SUMIFS(Tabla16[Importe],Tabla16[MOVIL],Tabla38[[#This Row],[MOVIL]],Tabla16[OBSV],"DESCONTAR POR USO PERSONAL")</f>
        <v>0</v>
      </c>
      <c r="C408" s="5">
        <f>+SUMIFS(Tabla16[Importe],Tabla16[MOVIL],Tabla38[[#This Row],[MOVIL]],Tabla16[OBSV],"DESCONTAR POR INCIDENCIA")</f>
        <v>0</v>
      </c>
      <c r="D408" s="5">
        <f>+SUMIFS(Tabla16[Importe],Tabla16[MOVIL],Tabla38[[#This Row],[MOVIL]],Tabla16[OBSV],"DESCONTAR SERVICIO EN EFECTIVO")</f>
        <v>0</v>
      </c>
      <c r="E408" s="5">
        <f>+IFERROR(VLOOKUP(Tabla38[[#This Row],[MOVIL]],Tabla1[[#All],[MOVIL]:[COBRO POR NUEVA INCLUSIÓN]],4,FALSE),0)</f>
        <v>0</v>
      </c>
      <c r="F40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8" s="5"/>
      <c r="H408" s="5" t="str">
        <f>_xlfn.XLOOKUP(Tabla38[[#This Row],[MOVIL]],[1]LIQUIDACION!$B:$B,[1]LIQUIDACION!$A:$A,"-",0)</f>
        <v>AEROLINEAS</v>
      </c>
    </row>
    <row r="409" spans="1:8" x14ac:dyDescent="0.3">
      <c r="A409" s="8">
        <v>9887</v>
      </c>
      <c r="B409" s="5">
        <f>+SUMIFS(Tabla16[Importe],Tabla16[MOVIL],Tabla38[[#This Row],[MOVIL]],Tabla16[OBSV],"DESCONTAR POR USO PERSONAL")</f>
        <v>0</v>
      </c>
      <c r="C409" s="5">
        <f>+SUMIFS(Tabla16[Importe],Tabla16[MOVIL],Tabla38[[#This Row],[MOVIL]],Tabla16[OBSV],"DESCONTAR POR INCIDENCIA")</f>
        <v>0</v>
      </c>
      <c r="D409" s="5">
        <f>+SUMIFS(Tabla16[Importe],Tabla16[MOVIL],Tabla38[[#This Row],[MOVIL]],Tabla16[OBSV],"DESCONTAR SERVICIO EN EFECTIVO")</f>
        <v>0</v>
      </c>
      <c r="E409" s="5">
        <f>+IFERROR(VLOOKUP(Tabla38[[#This Row],[MOVIL]],Tabla1[[#All],[MOVIL]:[COBRO POR NUEVA INCLUSIÓN]],4,FALSE),0)</f>
        <v>0</v>
      </c>
      <c r="F409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09" s="5"/>
      <c r="H409" s="5" t="s">
        <v>1374</v>
      </c>
    </row>
    <row r="410" spans="1:8" x14ac:dyDescent="0.3">
      <c r="A410" s="59">
        <v>9820</v>
      </c>
      <c r="B410" s="5">
        <f>+SUMIFS(Tabla16[Importe],Tabla16[MOVIL],Tabla38[[#This Row],[MOVIL]],Tabla16[OBSV],"DESCONTAR POR USO PERSONAL")</f>
        <v>119.69999999999996</v>
      </c>
      <c r="C410" s="5">
        <f>+SUMIFS(Tabla16[Importe],Tabla16[MOVIL],Tabla38[[#This Row],[MOVIL]],Tabla16[OBSV],"DESCONTAR POR INCIDENCIA")</f>
        <v>0</v>
      </c>
      <c r="D410" s="5">
        <f>+SUMIFS(Tabla16[Importe],Tabla16[MOVIL],Tabla38[[#This Row],[MOVIL]],Tabla16[OBSV],"DESCONTAR SERVICIO EN EFECTIVO")</f>
        <v>25.2</v>
      </c>
      <c r="E410" s="5">
        <f>+IFERROR(VLOOKUP(Tabla38[[#This Row],[MOVIL]],Tabla1[[#All],[MOVIL]:[COBRO POR NUEVA INCLUSIÓN]],4,FALSE),0)</f>
        <v>0</v>
      </c>
      <c r="F410" s="5">
        <f>(Tabla38[[#This Row],[DESCUENTO POR USO PERSONAL PEX]]+Tabla38[[#This Row],[DESCUENTO POR INCIDENCIAS PEX]]+Tabla38[[#This Row],[DESCUENTO POR SERVICIOS EN EFECTIVO]]+Tabla38[[#This Row],[DESCUENTO POR NUEVA INCLUSION]])</f>
        <v>144.89999999999995</v>
      </c>
      <c r="G410" s="5"/>
      <c r="H410" s="5" t="str">
        <f>_xlfn.XLOOKUP(Tabla38[[#This Row],[MOVIL]],[1]LIQUIDACION!$B:$B,[1]LIQUIDACION!$A:$A,"-",0)</f>
        <v>AEROPUERTO VAN</v>
      </c>
    </row>
    <row r="411" spans="1:8" x14ac:dyDescent="0.3">
      <c r="A411" s="8">
        <v>1209</v>
      </c>
      <c r="B411" s="5">
        <f>+SUMIFS(Tabla16[Importe],Tabla16[MOVIL],Tabla38[[#This Row],[MOVIL]],Tabla16[OBSV],"DESCONTAR POR USO PERSONAL")</f>
        <v>0</v>
      </c>
      <c r="C411" s="5">
        <f>+SUMIFS(Tabla16[Importe],Tabla16[MOVIL],Tabla38[[#This Row],[MOVIL]],Tabla16[OBSV],"DESCONTAR POR INCIDENCIA")</f>
        <v>0</v>
      </c>
      <c r="D411" s="5">
        <f>+SUMIFS(Tabla16[Importe],Tabla16[MOVIL],Tabla38[[#This Row],[MOVIL]],Tabla16[OBSV],"DESCONTAR SERVICIO EN EFECTIVO")</f>
        <v>0</v>
      </c>
      <c r="E411" s="5">
        <f>+IFERROR(VLOOKUP(Tabla38[[#This Row],[MOVIL]],Tabla1[[#All],[MOVIL]:[COBRO POR NUEVA INCLUSIÓN]],4,FALSE),0)</f>
        <v>0</v>
      </c>
      <c r="F41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11" s="5"/>
      <c r="H411" s="5" t="str">
        <f>_xlfn.XLOOKUP(Tabla38[[#This Row],[MOVIL]],[1]LIQUIDACION!$B:$B,[1]LIQUIDACION!$A:$A,"-",0)</f>
        <v>URBANO PARTNER</v>
      </c>
    </row>
    <row r="412" spans="1:8" x14ac:dyDescent="0.3">
      <c r="A412" s="59">
        <v>1543</v>
      </c>
      <c r="B412" s="5">
        <f>+SUMIFS(Tabla16[Importe],Tabla16[MOVIL],Tabla38[[#This Row],[MOVIL]],Tabla16[OBSV],"DESCONTAR POR USO PERSONAL")</f>
        <v>6.3</v>
      </c>
      <c r="C412" s="5">
        <f>+SUMIFS(Tabla16[Importe],Tabla16[MOVIL],Tabla38[[#This Row],[MOVIL]],Tabla16[OBSV],"DESCONTAR POR INCIDENCIA")</f>
        <v>0</v>
      </c>
      <c r="D412" s="5">
        <f>+SUMIFS(Tabla16[Importe],Tabla16[MOVIL],Tabla38[[#This Row],[MOVIL]],Tabla16[OBSV],"DESCONTAR SERVICIO EN EFECTIVO")</f>
        <v>0</v>
      </c>
      <c r="E412" s="5">
        <f>+IFERROR(VLOOKUP(Tabla38[[#This Row],[MOVIL]],Tabla1[[#All],[MOVIL]:[COBRO POR NUEVA INCLUSIÓN]],4,FALSE),0)</f>
        <v>0</v>
      </c>
      <c r="F412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2" s="5"/>
      <c r="H412" s="5" t="str">
        <f>_xlfn.XLOOKUP(Tabla38[[#This Row],[MOVIL]],[1]LIQUIDACION!$B:$B,[1]LIQUIDACION!$A:$A,"-",0)</f>
        <v>URBANO</v>
      </c>
    </row>
    <row r="413" spans="1:8" x14ac:dyDescent="0.3">
      <c r="A413" s="8">
        <v>754</v>
      </c>
      <c r="B413" s="5">
        <f>+SUMIFS(Tabla16[Importe],Tabla16[MOVIL],Tabla38[[#This Row],[MOVIL]],Tabla16[OBSV],"DESCONTAR POR USO PERSONAL")</f>
        <v>0</v>
      </c>
      <c r="C413" s="5">
        <f>+SUMIFS(Tabla16[Importe],Tabla16[MOVIL],Tabla38[[#This Row],[MOVIL]],Tabla16[OBSV],"DESCONTAR POR INCIDENCIA")</f>
        <v>0</v>
      </c>
      <c r="D413" s="5">
        <f>+SUMIFS(Tabla16[Importe],Tabla16[MOVIL],Tabla38[[#This Row],[MOVIL]],Tabla16[OBSV],"DESCONTAR SERVICIO EN EFECTIVO")</f>
        <v>12.6</v>
      </c>
      <c r="E413" s="5">
        <f>+IFERROR(VLOOKUP(Tabla38[[#This Row],[MOVIL]],Tabla1[[#All],[MOVIL]:[COBRO POR NUEVA INCLUSIÓN]],4,FALSE),0)</f>
        <v>0</v>
      </c>
      <c r="F41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13" s="5"/>
      <c r="H413" s="5" t="str">
        <f>_xlfn.XLOOKUP(Tabla38[[#This Row],[MOVIL]],[1]LIQUIDACION!$B:$B,[1]LIQUIDACION!$A:$A,"-",0)</f>
        <v>AEROPUERTO</v>
      </c>
    </row>
    <row r="414" spans="1:8" x14ac:dyDescent="0.3">
      <c r="A414" s="59">
        <v>1485</v>
      </c>
      <c r="B414" s="5">
        <f>+SUMIFS(Tabla16[Importe],Tabla16[MOVIL],Tabla38[[#This Row],[MOVIL]],Tabla16[OBSV],"DESCONTAR POR USO PERSONAL")</f>
        <v>12.6</v>
      </c>
      <c r="C414" s="5">
        <f>+SUMIFS(Tabla16[Importe],Tabla16[MOVIL],Tabla38[[#This Row],[MOVIL]],Tabla16[OBSV],"DESCONTAR POR INCIDENCIA")</f>
        <v>0</v>
      </c>
      <c r="D414" s="5">
        <f>+SUMIFS(Tabla16[Importe],Tabla16[MOVIL],Tabla38[[#This Row],[MOVIL]],Tabla16[OBSV],"DESCONTAR SERVICIO EN EFECTIVO")</f>
        <v>25.2</v>
      </c>
      <c r="E414" s="5">
        <f>+IFERROR(VLOOKUP(Tabla38[[#This Row],[MOVIL]],Tabla1[[#All],[MOVIL]:[COBRO POR NUEVA INCLUSIÓN]],4,FALSE),0)</f>
        <v>0</v>
      </c>
      <c r="F414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4" s="5"/>
      <c r="H414" s="5" t="str">
        <f>_xlfn.XLOOKUP(Tabla38[[#This Row],[MOVIL]],[1]LIQUIDACION!$B:$B,[1]LIQUIDACION!$A:$A,"-",0)</f>
        <v>AEROPUERTO</v>
      </c>
    </row>
    <row r="415" spans="1:8" x14ac:dyDescent="0.3">
      <c r="A415" s="59">
        <v>7028</v>
      </c>
      <c r="B415" s="5">
        <f>+SUMIFS(Tabla16[Importe],Tabla16[MOVIL],Tabla38[[#This Row],[MOVIL]],Tabla16[OBSV],"DESCONTAR POR USO PERSONAL")</f>
        <v>12.6</v>
      </c>
      <c r="C415" s="5">
        <f>+SUMIFS(Tabla16[Importe],Tabla16[MOVIL],Tabla38[[#This Row],[MOVIL]],Tabla16[OBSV],"DESCONTAR POR INCIDENCIA")</f>
        <v>6.3</v>
      </c>
      <c r="D415" s="5">
        <f>+SUMIFS(Tabla16[Importe],Tabla16[MOVIL],Tabla38[[#This Row],[MOVIL]],Tabla16[OBSV],"DESCONTAR SERVICIO EN EFECTIVO")</f>
        <v>0</v>
      </c>
      <c r="E415" s="5">
        <f>+IFERROR(VLOOKUP(Tabla38[[#This Row],[MOVIL]],Tabla1[[#All],[MOVIL]:[COBRO POR NUEVA INCLUSIÓN]],4,FALSE),0)</f>
        <v>0</v>
      </c>
      <c r="F415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15" s="5"/>
      <c r="H415" s="5" t="str">
        <f>_xlfn.XLOOKUP(Tabla38[[#This Row],[MOVIL]],[1]LIQUIDACION!$B:$B,[1]LIQUIDACION!$A:$A,"-",0)</f>
        <v>AEROPUERTO</v>
      </c>
    </row>
    <row r="416" spans="1:8" x14ac:dyDescent="0.3">
      <c r="A416" s="59">
        <v>3049</v>
      </c>
      <c r="B416" s="5">
        <f>+SUMIFS(Tabla16[Importe],Tabla16[MOVIL],Tabla38[[#This Row],[MOVIL]],Tabla16[OBSV],"DESCONTAR POR USO PERSONAL")</f>
        <v>25.2</v>
      </c>
      <c r="C416" s="5">
        <f>+SUMIFS(Tabla16[Importe],Tabla16[MOVIL],Tabla38[[#This Row],[MOVIL]],Tabla16[OBSV],"DESCONTAR POR INCIDENCIA")</f>
        <v>0</v>
      </c>
      <c r="D416" s="5">
        <f>+SUMIFS(Tabla16[Importe],Tabla16[MOVIL],Tabla38[[#This Row],[MOVIL]],Tabla16[OBSV],"DESCONTAR SERVICIO EN EFECTIVO")</f>
        <v>0</v>
      </c>
      <c r="E416" s="5">
        <f>+IFERROR(VLOOKUP(Tabla38[[#This Row],[MOVIL]],Tabla1[[#All],[MOVIL]:[COBRO POR NUEVA INCLUSIÓN]],4,FALSE),0)</f>
        <v>0</v>
      </c>
      <c r="F416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6" s="5"/>
      <c r="H416" s="5" t="str">
        <f>_xlfn.XLOOKUP(Tabla38[[#This Row],[MOVIL]],[1]LIQUIDACION!$B:$B,[1]LIQUIDACION!$A:$A,"-",0)</f>
        <v>URBANO</v>
      </c>
    </row>
    <row r="417" spans="1:8" x14ac:dyDescent="0.3">
      <c r="A417" s="59">
        <v>2060</v>
      </c>
      <c r="B417" s="5">
        <f>+SUMIFS(Tabla16[Importe],Tabla16[MOVIL],Tabla38[[#This Row],[MOVIL]],Tabla16[OBSV],"DESCONTAR POR USO PERSONAL")</f>
        <v>25.2</v>
      </c>
      <c r="C417" s="5">
        <f>+SUMIFS(Tabla16[Importe],Tabla16[MOVIL],Tabla38[[#This Row],[MOVIL]],Tabla16[OBSV],"DESCONTAR POR INCIDENCIA")</f>
        <v>0</v>
      </c>
      <c r="D417" s="5">
        <f>+SUMIFS(Tabla16[Importe],Tabla16[MOVIL],Tabla38[[#This Row],[MOVIL]],Tabla16[OBSV],"DESCONTAR SERVICIO EN EFECTIVO")</f>
        <v>0</v>
      </c>
      <c r="E417" s="5">
        <f>+IFERROR(VLOOKUP(Tabla38[[#This Row],[MOVIL]],Tabla1[[#All],[MOVIL]:[COBRO POR NUEVA INCLUSIÓN]],4,FALSE),0)</f>
        <v>0</v>
      </c>
      <c r="F41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17" s="5"/>
      <c r="H417" s="5" t="str">
        <f>_xlfn.XLOOKUP(Tabla38[[#This Row],[MOVIL]],[1]LIQUIDACION!$B:$B,[1]LIQUIDACION!$A:$A,"-",0)</f>
        <v>URBANO PARTNER</v>
      </c>
    </row>
    <row r="418" spans="1:8" x14ac:dyDescent="0.3">
      <c r="A418" s="59">
        <v>3095</v>
      </c>
      <c r="B418" s="5">
        <f>+SUMIFS(Tabla16[Importe],Tabla16[MOVIL],Tabla38[[#This Row],[MOVIL]],Tabla16[OBSV],"DESCONTAR POR USO PERSONAL")</f>
        <v>25.2</v>
      </c>
      <c r="C418" s="5">
        <f>+SUMIFS(Tabla16[Importe],Tabla16[MOVIL],Tabla38[[#This Row],[MOVIL]],Tabla16[OBSV],"DESCONTAR POR INCIDENCIA")</f>
        <v>12.6</v>
      </c>
      <c r="D418" s="5">
        <f>+SUMIFS(Tabla16[Importe],Tabla16[MOVIL],Tabla38[[#This Row],[MOVIL]],Tabla16[OBSV],"DESCONTAR SERVICIO EN EFECTIVO")</f>
        <v>0</v>
      </c>
      <c r="E418" s="5">
        <f>+IFERROR(VLOOKUP(Tabla38[[#This Row],[MOVIL]],Tabla1[[#All],[MOVIL]:[COBRO POR NUEVA INCLUSIÓN]],4,FALSE),0)</f>
        <v>0</v>
      </c>
      <c r="F41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18" s="5"/>
      <c r="H418" s="5" t="str">
        <f>_xlfn.XLOOKUP(Tabla38[[#This Row],[MOVIL]],[1]LIQUIDACION!$B:$B,[1]LIQUIDACION!$A:$A,"-",0)</f>
        <v>AEROLINEAS</v>
      </c>
    </row>
    <row r="419" spans="1:8" x14ac:dyDescent="0.3">
      <c r="A419" s="59">
        <v>4302</v>
      </c>
      <c r="B419" s="5">
        <f>+SUMIFS(Tabla16[Importe],Tabla16[MOVIL],Tabla38[[#This Row],[MOVIL]],Tabla16[OBSV],"DESCONTAR POR USO PERSONAL")</f>
        <v>6.3</v>
      </c>
      <c r="C419" s="5">
        <f>+SUMIFS(Tabla16[Importe],Tabla16[MOVIL],Tabla38[[#This Row],[MOVIL]],Tabla16[OBSV],"DESCONTAR POR INCIDENCIA")</f>
        <v>0</v>
      </c>
      <c r="D419" s="5">
        <f>+SUMIFS(Tabla16[Importe],Tabla16[MOVIL],Tabla38[[#This Row],[MOVIL]],Tabla16[OBSV],"DESCONTAR SERVICIO EN EFECTIVO")</f>
        <v>0</v>
      </c>
      <c r="E419" s="5">
        <f>+IFERROR(VLOOKUP(Tabla38[[#This Row],[MOVIL]],Tabla1[[#All],[MOVIL]:[COBRO POR NUEVA INCLUSIÓN]],4,FALSE),0)</f>
        <v>0</v>
      </c>
      <c r="F419" s="5">
        <f>(Tabla38[[#This Row],[DESCUENTO POR USO PERSONAL PEX]]+Tabla38[[#This Row],[DESCUENTO POR INCIDENCIAS PEX]]+Tabla38[[#This Row],[DESCUENTO POR SERVICIOS EN EFECTIVO]]+Tabla38[[#This Row],[DESCUENTO POR NUEVA INCLUSION]])</f>
        <v>6.3</v>
      </c>
      <c r="G419" s="5"/>
      <c r="H419" s="5" t="str">
        <f>_xlfn.XLOOKUP(Tabla38[[#This Row],[MOVIL]],[1]LIQUIDACION!$B:$B,[1]LIQUIDACION!$A:$A,"-",0)</f>
        <v>AEROLINEAS</v>
      </c>
    </row>
    <row r="420" spans="1:8" x14ac:dyDescent="0.3">
      <c r="A420" s="59">
        <v>4357</v>
      </c>
      <c r="B420" s="5">
        <f>+SUMIFS(Tabla16[Importe],Tabla16[MOVIL],Tabla38[[#This Row],[MOVIL]],Tabla16[OBSV],"DESCONTAR POR USO PERSONAL")</f>
        <v>31.5</v>
      </c>
      <c r="C420" s="5">
        <f>+SUMIFS(Tabla16[Importe],Tabla16[MOVIL],Tabla38[[#This Row],[MOVIL]],Tabla16[OBSV],"DESCONTAR POR INCIDENCIA")</f>
        <v>0</v>
      </c>
      <c r="D420" s="5">
        <f>+SUMIFS(Tabla16[Importe],Tabla16[MOVIL],Tabla38[[#This Row],[MOVIL]],Tabla16[OBSV],"DESCONTAR SERVICIO EN EFECTIVO")</f>
        <v>0</v>
      </c>
      <c r="E420" s="5">
        <f>+IFERROR(VLOOKUP(Tabla38[[#This Row],[MOVIL]],Tabla1[[#All],[MOVIL]:[COBRO POR NUEVA INCLUSIÓN]],4,FALSE),0)</f>
        <v>0</v>
      </c>
      <c r="F420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0" s="5"/>
      <c r="H420" s="5" t="str">
        <f>_xlfn.XLOOKUP(Tabla38[[#This Row],[MOVIL]],[1]LIQUIDACION!$B:$B,[1]LIQUIDACION!$A:$A,"-",0)</f>
        <v>MEMBRESÍA DIURNA</v>
      </c>
    </row>
    <row r="421" spans="1:8" x14ac:dyDescent="0.3">
      <c r="A421" s="8">
        <v>4290</v>
      </c>
      <c r="B421" s="5">
        <f>+SUMIFS(Tabla16[Importe],Tabla16[MOVIL],Tabla38[[#This Row],[MOVIL]],Tabla16[OBSV],"DESCONTAR POR USO PERSONAL")</f>
        <v>0</v>
      </c>
      <c r="C421" s="5">
        <f>+SUMIFS(Tabla16[Importe],Tabla16[MOVIL],Tabla38[[#This Row],[MOVIL]],Tabla16[OBSV],"DESCONTAR POR INCIDENCIA")</f>
        <v>0</v>
      </c>
      <c r="D421" s="5">
        <f>+SUMIFS(Tabla16[Importe],Tabla16[MOVIL],Tabla38[[#This Row],[MOVIL]],Tabla16[OBSV],"DESCONTAR SERVICIO EN EFECTIVO")</f>
        <v>0</v>
      </c>
      <c r="E421" s="5">
        <f>+IFERROR(VLOOKUP(Tabla38[[#This Row],[MOVIL]],Tabla1[[#All],[MOVIL]:[COBRO POR NUEVA INCLUSIÓN]],4,FALSE),0)</f>
        <v>0</v>
      </c>
      <c r="F42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1" s="5"/>
      <c r="H421" s="5" t="str">
        <f>_xlfn.XLOOKUP(Tabla38[[#This Row],[MOVIL]],[1]LIQUIDACION!$B:$B,[1]LIQUIDACION!$A:$A,"-",0)</f>
        <v>MEMBRESÍA NOCTURNA - APTO</v>
      </c>
    </row>
    <row r="422" spans="1:8" x14ac:dyDescent="0.3">
      <c r="A422" s="59">
        <v>3810</v>
      </c>
      <c r="B422" s="5">
        <f>+SUMIFS(Tabla16[Importe],Tabla16[MOVIL],Tabla38[[#This Row],[MOVIL]],Tabla16[OBSV],"DESCONTAR POR USO PERSONAL")</f>
        <v>31.5</v>
      </c>
      <c r="C422" s="5">
        <f>+SUMIFS(Tabla16[Importe],Tabla16[MOVIL],Tabla38[[#This Row],[MOVIL]],Tabla16[OBSV],"DESCONTAR POR INCIDENCIA")</f>
        <v>12.6</v>
      </c>
      <c r="D422" s="5">
        <f>+SUMIFS(Tabla16[Importe],Tabla16[MOVIL],Tabla38[[#This Row],[MOVIL]],Tabla16[OBSV],"DESCONTAR SERVICIO EN EFECTIVO")</f>
        <v>6.3</v>
      </c>
      <c r="E422" s="5">
        <f>+IFERROR(VLOOKUP(Tabla38[[#This Row],[MOVIL]],Tabla1[[#All],[MOVIL]:[COBRO POR NUEVA INCLUSIÓN]],4,FALSE),0)</f>
        <v>0</v>
      </c>
      <c r="F422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22" s="5"/>
      <c r="H422" s="5" t="str">
        <f>_xlfn.XLOOKUP(Tabla38[[#This Row],[MOVIL]],[1]LIQUIDACION!$B:$B,[1]LIQUIDACION!$A:$A,"-",0)</f>
        <v>AEROPUERTO</v>
      </c>
    </row>
    <row r="423" spans="1:8" x14ac:dyDescent="0.3">
      <c r="A423" s="59">
        <v>9599</v>
      </c>
      <c r="B423" s="5">
        <f>+SUMIFS(Tabla16[Importe],Tabla16[MOVIL],Tabla38[[#This Row],[MOVIL]],Tabla16[OBSV],"DESCONTAR POR USO PERSONAL")</f>
        <v>25.2</v>
      </c>
      <c r="C423" s="5">
        <f>+SUMIFS(Tabla16[Importe],Tabla16[MOVIL],Tabla38[[#This Row],[MOVIL]],Tabla16[OBSV],"DESCONTAR POR INCIDENCIA")</f>
        <v>0</v>
      </c>
      <c r="D423" s="5">
        <f>+SUMIFS(Tabla16[Importe],Tabla16[MOVIL],Tabla38[[#This Row],[MOVIL]],Tabla16[OBSV],"DESCONTAR SERVICIO EN EFECTIVO")</f>
        <v>0</v>
      </c>
      <c r="E423" s="5">
        <f>+IFERROR(VLOOKUP(Tabla38[[#This Row],[MOVIL]],Tabla1[[#All],[MOVIL]:[COBRO POR NUEVA INCLUSIÓN]],4,FALSE),0)</f>
        <v>0</v>
      </c>
      <c r="F42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3" s="5"/>
      <c r="H423" s="5" t="str">
        <f>_xlfn.XLOOKUP(Tabla38[[#This Row],[MOVIL]],[1]LIQUIDACION!$B:$B,[1]LIQUIDACION!$A:$A,"-",0)</f>
        <v>URBANO</v>
      </c>
    </row>
    <row r="424" spans="1:8" x14ac:dyDescent="0.3">
      <c r="A424" s="59">
        <v>715</v>
      </c>
      <c r="B424" s="5">
        <f>+SUMIFS(Tabla16[Importe],Tabla16[MOVIL],Tabla38[[#This Row],[MOVIL]],Tabla16[OBSV],"DESCONTAR POR USO PERSONAL")</f>
        <v>25.2</v>
      </c>
      <c r="C424" s="5">
        <f>+SUMIFS(Tabla16[Importe],Tabla16[MOVIL],Tabla38[[#This Row],[MOVIL]],Tabla16[OBSV],"DESCONTAR POR INCIDENCIA")</f>
        <v>0</v>
      </c>
      <c r="D424" s="5">
        <f>+SUMIFS(Tabla16[Importe],Tabla16[MOVIL],Tabla38[[#This Row],[MOVIL]],Tabla16[OBSV],"DESCONTAR SERVICIO EN EFECTIVO")</f>
        <v>0</v>
      </c>
      <c r="E424" s="5">
        <f>+IFERROR(VLOOKUP(Tabla38[[#This Row],[MOVIL]],Tabla1[[#All],[MOVIL]:[COBRO POR NUEVA INCLUSIÓN]],4,FALSE),0)</f>
        <v>0</v>
      </c>
      <c r="F424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4" s="5"/>
      <c r="H424" s="5" t="str">
        <f>_xlfn.XLOOKUP(Tabla38[[#This Row],[MOVIL]],[1]LIQUIDACION!$B:$B,[1]LIQUIDACION!$A:$A,"-",0)</f>
        <v>AEROPUERTO</v>
      </c>
    </row>
    <row r="425" spans="1:8" x14ac:dyDescent="0.3">
      <c r="A425" s="59">
        <v>9234</v>
      </c>
      <c r="B425" s="5">
        <f>+SUMIFS(Tabla16[Importe],Tabla16[MOVIL],Tabla38[[#This Row],[MOVIL]],Tabla16[OBSV],"DESCONTAR POR USO PERSONAL")</f>
        <v>12.6</v>
      </c>
      <c r="C425" s="5">
        <f>+SUMIFS(Tabla16[Importe],Tabla16[MOVIL],Tabla38[[#This Row],[MOVIL]],Tabla16[OBSV],"DESCONTAR POR INCIDENCIA")</f>
        <v>0</v>
      </c>
      <c r="D425" s="5">
        <f>+SUMIFS(Tabla16[Importe],Tabla16[MOVIL],Tabla38[[#This Row],[MOVIL]],Tabla16[OBSV],"DESCONTAR SERVICIO EN EFECTIVO")</f>
        <v>0</v>
      </c>
      <c r="E425" s="5">
        <f>+IFERROR(VLOOKUP(Tabla38[[#This Row],[MOVIL]],Tabla1[[#All],[MOVIL]:[COBRO POR NUEVA INCLUSIÓN]],4,FALSE),0)</f>
        <v>0</v>
      </c>
      <c r="F42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25" s="5"/>
      <c r="H425" s="5" t="str">
        <f>_xlfn.XLOOKUP(Tabla38[[#This Row],[MOVIL]],[1]LIQUIDACION!$B:$B,[1]LIQUIDACION!$A:$A,"-",0)</f>
        <v>URBANO PARTNER</v>
      </c>
    </row>
    <row r="426" spans="1:8" x14ac:dyDescent="0.3">
      <c r="A426" s="59">
        <v>1793</v>
      </c>
      <c r="B426" s="5">
        <f>+SUMIFS(Tabla16[Importe],Tabla16[MOVIL],Tabla38[[#This Row],[MOVIL]],Tabla16[OBSV],"DESCONTAR POR USO PERSONAL")</f>
        <v>31.5</v>
      </c>
      <c r="C426" s="5">
        <f>+SUMIFS(Tabla16[Importe],Tabla16[MOVIL],Tabla38[[#This Row],[MOVIL]],Tabla16[OBSV],"DESCONTAR POR INCIDENCIA")</f>
        <v>0</v>
      </c>
      <c r="D426" s="5">
        <f>+SUMIFS(Tabla16[Importe],Tabla16[MOVIL],Tabla38[[#This Row],[MOVIL]],Tabla16[OBSV],"DESCONTAR SERVICIO EN EFECTIVO")</f>
        <v>0</v>
      </c>
      <c r="E426" s="5">
        <f>+IFERROR(VLOOKUP(Tabla38[[#This Row],[MOVIL]],Tabla1[[#All],[MOVIL]:[COBRO POR NUEVA INCLUSIÓN]],4,FALSE),0)</f>
        <v>0</v>
      </c>
      <c r="F42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26" s="5"/>
      <c r="H426" s="5" t="str">
        <f>_xlfn.XLOOKUP(Tabla38[[#This Row],[MOVIL]],[1]LIQUIDACION!$B:$B,[1]LIQUIDACION!$A:$A,"-",0)</f>
        <v>AEROPUERTO</v>
      </c>
    </row>
    <row r="427" spans="1:8" x14ac:dyDescent="0.3">
      <c r="A427" s="59">
        <v>4354</v>
      </c>
      <c r="B427" s="5">
        <f>+SUMIFS(Tabla16[Importe],Tabla16[MOVIL],Tabla38[[#This Row],[MOVIL]],Tabla16[OBSV],"DESCONTAR POR USO PERSONAL")</f>
        <v>25.2</v>
      </c>
      <c r="C427" s="5">
        <f>+SUMIFS(Tabla16[Importe],Tabla16[MOVIL],Tabla38[[#This Row],[MOVIL]],Tabla16[OBSV],"DESCONTAR POR INCIDENCIA")</f>
        <v>0</v>
      </c>
      <c r="D427" s="5">
        <f>+SUMIFS(Tabla16[Importe],Tabla16[MOVIL],Tabla38[[#This Row],[MOVIL]],Tabla16[OBSV],"DESCONTAR SERVICIO EN EFECTIVO")</f>
        <v>0</v>
      </c>
      <c r="E427" s="5">
        <f>+IFERROR(VLOOKUP(Tabla38[[#This Row],[MOVIL]],Tabla1[[#All],[MOVIL]:[COBRO POR NUEVA INCLUSIÓN]],4,FALSE),0)</f>
        <v>0</v>
      </c>
      <c r="F427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27" s="5"/>
      <c r="H427" s="5" t="str">
        <f>_xlfn.XLOOKUP(Tabla38[[#This Row],[MOVIL]],[1]LIQUIDACION!$B:$B,[1]LIQUIDACION!$A:$A,"-",0)</f>
        <v>MEMBRESÍA DIURNA</v>
      </c>
    </row>
    <row r="428" spans="1:8" x14ac:dyDescent="0.3">
      <c r="A428" s="8">
        <v>4364</v>
      </c>
      <c r="B428" s="5">
        <f>+SUMIFS(Tabla16[Importe],Tabla16[MOVIL],Tabla38[[#This Row],[MOVIL]],Tabla16[OBSV],"DESCONTAR POR USO PERSONAL")</f>
        <v>0</v>
      </c>
      <c r="C428" s="5">
        <f>+SUMIFS(Tabla16[Importe],Tabla16[MOVIL],Tabla38[[#This Row],[MOVIL]],Tabla16[OBSV],"DESCONTAR POR INCIDENCIA")</f>
        <v>0</v>
      </c>
      <c r="D428" s="5">
        <f>+SUMIFS(Tabla16[Importe],Tabla16[MOVIL],Tabla38[[#This Row],[MOVIL]],Tabla16[OBSV],"DESCONTAR SERVICIO EN EFECTIVO")</f>
        <v>0</v>
      </c>
      <c r="E428" s="5">
        <f>+IFERROR(VLOOKUP(Tabla38[[#This Row],[MOVIL]],Tabla1[[#All],[MOVIL]:[COBRO POR NUEVA INCLUSIÓN]],4,FALSE),0)</f>
        <v>0</v>
      </c>
      <c r="F42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28" s="5"/>
      <c r="H428" s="5" t="str">
        <f>_xlfn.XLOOKUP(Tabla38[[#This Row],[MOVIL]],[1]LIQUIDACION!$B:$B,[1]LIQUIDACION!$A:$A,"-",0)</f>
        <v>AEROLINEAS</v>
      </c>
    </row>
    <row r="429" spans="1:8" x14ac:dyDescent="0.3">
      <c r="A429" s="59">
        <v>4312</v>
      </c>
      <c r="B429" s="5">
        <f>+SUMIFS(Tabla16[Importe],Tabla16[MOVIL],Tabla38[[#This Row],[MOVIL]],Tabla16[OBSV],"DESCONTAR POR USO PERSONAL")</f>
        <v>18.899999999999999</v>
      </c>
      <c r="C429" s="5">
        <f>+SUMIFS(Tabla16[Importe],Tabla16[MOVIL],Tabla38[[#This Row],[MOVIL]],Tabla16[OBSV],"DESCONTAR POR INCIDENCIA")</f>
        <v>0</v>
      </c>
      <c r="D429" s="5">
        <f>+SUMIFS(Tabla16[Importe],Tabla16[MOVIL],Tabla38[[#This Row],[MOVIL]],Tabla16[OBSV],"DESCONTAR SERVICIO EN EFECTIVO")</f>
        <v>0</v>
      </c>
      <c r="E429" s="5">
        <f>+IFERROR(VLOOKUP(Tabla38[[#This Row],[MOVIL]],Tabla1[[#All],[MOVIL]:[COBRO POR NUEVA INCLUSIÓN]],4,FALSE),0)</f>
        <v>0</v>
      </c>
      <c r="F429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29" s="5"/>
      <c r="H429" s="5" t="str">
        <f>_xlfn.XLOOKUP(Tabla38[[#This Row],[MOVIL]],[1]LIQUIDACION!$B:$B,[1]LIQUIDACION!$A:$A,"-",0)</f>
        <v>AEROLINEAS</v>
      </c>
    </row>
    <row r="430" spans="1:8" x14ac:dyDescent="0.3">
      <c r="A430" s="8">
        <v>1828</v>
      </c>
      <c r="B430" s="5">
        <f>+SUMIFS(Tabla16[Importe],Tabla16[MOVIL],Tabla38[[#This Row],[MOVIL]],Tabla16[OBSV],"DESCONTAR POR USO PERSONAL")</f>
        <v>0</v>
      </c>
      <c r="C430" s="5">
        <f>+SUMIFS(Tabla16[Importe],Tabla16[MOVIL],Tabla38[[#This Row],[MOVIL]],Tabla16[OBSV],"DESCONTAR POR INCIDENCIA")</f>
        <v>0</v>
      </c>
      <c r="D430" s="5">
        <f>+SUMIFS(Tabla16[Importe],Tabla16[MOVIL],Tabla38[[#This Row],[MOVIL]],Tabla16[OBSV],"DESCONTAR SERVICIO EN EFECTIVO")</f>
        <v>0</v>
      </c>
      <c r="E430" s="5">
        <f>+IFERROR(VLOOKUP(Tabla38[[#This Row],[MOVIL]],Tabla1[[#All],[MOVIL]:[COBRO POR NUEVA INCLUSIÓN]],4,FALSE),0)</f>
        <v>0</v>
      </c>
      <c r="F430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0" s="5"/>
      <c r="H430" s="5" t="str">
        <f>_xlfn.XLOOKUP(Tabla38[[#This Row],[MOVIL]],[1]LIQUIDACION!$B:$B,[1]LIQUIDACION!$A:$A,"-",0)</f>
        <v>AEROPUERTO</v>
      </c>
    </row>
    <row r="431" spans="1:8" x14ac:dyDescent="0.3">
      <c r="A431" s="8">
        <v>4334</v>
      </c>
      <c r="B431" s="5">
        <f>+SUMIFS(Tabla16[Importe],Tabla16[MOVIL],Tabla38[[#This Row],[MOVIL]],Tabla16[OBSV],"DESCONTAR POR USO PERSONAL")</f>
        <v>0</v>
      </c>
      <c r="C431" s="5">
        <f>+SUMIFS(Tabla16[Importe],Tabla16[MOVIL],Tabla38[[#This Row],[MOVIL]],Tabla16[OBSV],"DESCONTAR POR INCIDENCIA")</f>
        <v>0</v>
      </c>
      <c r="D431" s="5">
        <f>+SUMIFS(Tabla16[Importe],Tabla16[MOVIL],Tabla38[[#This Row],[MOVIL]],Tabla16[OBSV],"DESCONTAR SERVICIO EN EFECTIVO")</f>
        <v>0</v>
      </c>
      <c r="E431" s="5">
        <f>+IFERROR(VLOOKUP(Tabla38[[#This Row],[MOVIL]],Tabla1[[#All],[MOVIL]:[COBRO POR NUEVA INCLUSIÓN]],4,FALSE),0)</f>
        <v>0</v>
      </c>
      <c r="F431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31" s="5"/>
      <c r="H431" s="5" t="s">
        <v>1374</v>
      </c>
    </row>
    <row r="432" spans="1:8" x14ac:dyDescent="0.3">
      <c r="A432" s="8">
        <v>3572</v>
      </c>
      <c r="B432" s="5">
        <f>+SUMIFS(Tabla16[Importe],Tabla16[MOVIL],Tabla38[[#This Row],[MOVIL]],Tabla16[OBSV],"DESCONTAR POR USO PERSONAL")</f>
        <v>0</v>
      </c>
      <c r="C432" s="5">
        <f>+SUMIFS(Tabla16[Importe],Tabla16[MOVIL],Tabla38[[#This Row],[MOVIL]],Tabla16[OBSV],"DESCONTAR POR INCIDENCIA")</f>
        <v>0</v>
      </c>
      <c r="D432" s="5">
        <f>+SUMIFS(Tabla16[Importe],Tabla16[MOVIL],Tabla38[[#This Row],[MOVIL]],Tabla16[OBSV],"DESCONTAR SERVICIO EN EFECTIVO")</f>
        <v>12.6</v>
      </c>
      <c r="E432" s="5">
        <f>+IFERROR(VLOOKUP(Tabla38[[#This Row],[MOVIL]],Tabla1[[#All],[MOVIL]:[COBRO POR NUEVA INCLUSIÓN]],4,FALSE),0)</f>
        <v>0</v>
      </c>
      <c r="F432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2" s="5"/>
      <c r="H432" s="5" t="str">
        <f>_xlfn.XLOOKUP(Tabla38[[#This Row],[MOVIL]],[1]LIQUIDACION!$B:$B,[1]LIQUIDACION!$A:$A,"-",0)</f>
        <v>URBANO PARTNER</v>
      </c>
    </row>
    <row r="433" spans="1:8" x14ac:dyDescent="0.3">
      <c r="A433" s="59">
        <v>4041</v>
      </c>
      <c r="B433" s="5">
        <f>+SUMIFS(Tabla16[Importe],Tabla16[MOVIL],Tabla38[[#This Row],[MOVIL]],Tabla16[OBSV],"DESCONTAR POR USO PERSONAL")</f>
        <v>12.6</v>
      </c>
      <c r="C433" s="5">
        <f>+SUMIFS(Tabla16[Importe],Tabla16[MOVIL],Tabla38[[#This Row],[MOVIL]],Tabla16[OBSV],"DESCONTAR POR INCIDENCIA")</f>
        <v>0</v>
      </c>
      <c r="D433" s="5">
        <f>+SUMIFS(Tabla16[Importe],Tabla16[MOVIL],Tabla38[[#This Row],[MOVIL]],Tabla16[OBSV],"DESCONTAR SERVICIO EN EFECTIVO")</f>
        <v>0</v>
      </c>
      <c r="E433" s="5">
        <f>+IFERROR(VLOOKUP(Tabla38[[#This Row],[MOVIL]],Tabla1[[#All],[MOVIL]:[COBRO POR NUEVA INCLUSIÓN]],4,FALSE),0)</f>
        <v>0</v>
      </c>
      <c r="F433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3" s="5"/>
      <c r="H433" s="5" t="str">
        <f>_xlfn.XLOOKUP(Tabla38[[#This Row],[MOVIL]],[1]LIQUIDACION!$B:$B,[1]LIQUIDACION!$A:$A,"-",0)</f>
        <v>AEROLINEAS</v>
      </c>
    </row>
    <row r="434" spans="1:8" x14ac:dyDescent="0.3">
      <c r="A434" s="59">
        <v>4186</v>
      </c>
      <c r="B434" s="5">
        <f>+SUMIFS(Tabla16[Importe],Tabla16[MOVIL],Tabla38[[#This Row],[MOVIL]],Tabla16[OBSV],"DESCONTAR POR USO PERSONAL")</f>
        <v>6.3</v>
      </c>
      <c r="C434" s="5">
        <f>+SUMIFS(Tabla16[Importe],Tabla16[MOVIL],Tabla38[[#This Row],[MOVIL]],Tabla16[OBSV],"DESCONTAR POR INCIDENCIA")</f>
        <v>6.3</v>
      </c>
      <c r="D434" s="5">
        <f>+SUMIFS(Tabla16[Importe],Tabla16[MOVIL],Tabla38[[#This Row],[MOVIL]],Tabla16[OBSV],"DESCONTAR SERVICIO EN EFECTIVO")</f>
        <v>0</v>
      </c>
      <c r="E434" s="5">
        <f>+IFERROR(VLOOKUP(Tabla38[[#This Row],[MOVIL]],Tabla1[[#All],[MOVIL]:[COBRO POR NUEVA INCLUSIÓN]],4,FALSE),0)</f>
        <v>0</v>
      </c>
      <c r="F43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4" s="5"/>
      <c r="H434" s="5" t="str">
        <f>_xlfn.XLOOKUP(Tabla38[[#This Row],[MOVIL]],[1]LIQUIDACION!$B:$B,[1]LIQUIDACION!$A:$A,"-",0)</f>
        <v>URBANO PARTNER</v>
      </c>
    </row>
    <row r="435" spans="1:8" x14ac:dyDescent="0.3">
      <c r="A435" s="59">
        <v>3913</v>
      </c>
      <c r="B435" s="5">
        <f>+SUMIFS(Tabla16[Importe],Tabla16[MOVIL],Tabla38[[#This Row],[MOVIL]],Tabla16[OBSV],"DESCONTAR POR USO PERSONAL")</f>
        <v>12.6</v>
      </c>
      <c r="C435" s="5">
        <f>+SUMIFS(Tabla16[Importe],Tabla16[MOVIL],Tabla38[[#This Row],[MOVIL]],Tabla16[OBSV],"DESCONTAR POR INCIDENCIA")</f>
        <v>0</v>
      </c>
      <c r="D435" s="5">
        <f>+SUMIFS(Tabla16[Importe],Tabla16[MOVIL],Tabla38[[#This Row],[MOVIL]],Tabla16[OBSV],"DESCONTAR SERVICIO EN EFECTIVO")</f>
        <v>0</v>
      </c>
      <c r="E435" s="5">
        <f>+IFERROR(VLOOKUP(Tabla38[[#This Row],[MOVIL]],Tabla1[[#All],[MOVIL]:[COBRO POR NUEVA INCLUSIÓN]],4,FALSE),0)</f>
        <v>0</v>
      </c>
      <c r="F43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35" s="5"/>
      <c r="H435" s="5" t="str">
        <f>_xlfn.XLOOKUP(Tabla38[[#This Row],[MOVIL]],[1]LIQUIDACION!$B:$B,[1]LIQUIDACION!$A:$A,"-",0)</f>
        <v>MEMBRESÍA NOCTURNA - APTO</v>
      </c>
    </row>
    <row r="436" spans="1:8" x14ac:dyDescent="0.3">
      <c r="A436" s="59">
        <v>9382</v>
      </c>
      <c r="B436" s="5">
        <f>+SUMIFS(Tabla16[Importe],Tabla16[MOVIL],Tabla38[[#This Row],[MOVIL]],Tabla16[OBSV],"DESCONTAR POR USO PERSONAL")</f>
        <v>31.5</v>
      </c>
      <c r="C436" s="5">
        <f>+SUMIFS(Tabla16[Importe],Tabla16[MOVIL],Tabla38[[#This Row],[MOVIL]],Tabla16[OBSV],"DESCONTAR POR INCIDENCIA")</f>
        <v>0</v>
      </c>
      <c r="D436" s="5">
        <f>+SUMIFS(Tabla16[Importe],Tabla16[MOVIL],Tabla38[[#This Row],[MOVIL]],Tabla16[OBSV],"DESCONTAR SERVICIO EN EFECTIVO")</f>
        <v>0</v>
      </c>
      <c r="E436" s="5">
        <f>+IFERROR(VLOOKUP(Tabla38[[#This Row],[MOVIL]],Tabla1[[#All],[MOVIL]:[COBRO POR NUEVA INCLUSIÓN]],4,FALSE),0)</f>
        <v>0</v>
      </c>
      <c r="F436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36" s="5"/>
      <c r="H436" s="5" t="str">
        <f>_xlfn.XLOOKUP(Tabla38[[#This Row],[MOVIL]],[1]LIQUIDACION!$B:$B,[1]LIQUIDACION!$A:$A,"-",0)</f>
        <v>AEROPUERTO</v>
      </c>
    </row>
    <row r="437" spans="1:8" x14ac:dyDescent="0.3">
      <c r="A437" s="8">
        <v>4121</v>
      </c>
      <c r="B437" s="5">
        <f>+SUMIFS(Tabla16[Importe],Tabla16[MOVIL],Tabla38[[#This Row],[MOVIL]],Tabla16[OBSV],"DESCONTAR POR USO PERSONAL")</f>
        <v>0</v>
      </c>
      <c r="C437" s="5">
        <f>+SUMIFS(Tabla16[Importe],Tabla16[MOVIL],Tabla38[[#This Row],[MOVIL]],Tabla16[OBSV],"DESCONTAR POR INCIDENCIA")</f>
        <v>18.899999999999999</v>
      </c>
      <c r="D437" s="5">
        <f>+SUMIFS(Tabla16[Importe],Tabla16[MOVIL],Tabla38[[#This Row],[MOVIL]],Tabla16[OBSV],"DESCONTAR SERVICIO EN EFECTIVO")</f>
        <v>0</v>
      </c>
      <c r="E437" s="5">
        <f>+IFERROR(VLOOKUP(Tabla38[[#This Row],[MOVIL]],Tabla1[[#All],[MOVIL]:[COBRO POR NUEVA INCLUSIÓN]],4,FALSE),0)</f>
        <v>0</v>
      </c>
      <c r="F437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7" s="5"/>
      <c r="H437" s="5" t="str">
        <f>_xlfn.XLOOKUP(Tabla38[[#This Row],[MOVIL]],[1]LIQUIDACION!$B:$B,[1]LIQUIDACION!$A:$A,"-",0)</f>
        <v>URBANO PARTNER</v>
      </c>
    </row>
    <row r="438" spans="1:8" x14ac:dyDescent="0.3">
      <c r="A438" s="59">
        <v>4365</v>
      </c>
      <c r="B438" s="5">
        <f>+SUMIFS(Tabla16[Importe],Tabla16[MOVIL],Tabla38[[#This Row],[MOVIL]],Tabla16[OBSV],"DESCONTAR POR USO PERSONAL")</f>
        <v>18.899999999999999</v>
      </c>
      <c r="C438" s="5">
        <f>+SUMIFS(Tabla16[Importe],Tabla16[MOVIL],Tabla38[[#This Row],[MOVIL]],Tabla16[OBSV],"DESCONTAR POR INCIDENCIA")</f>
        <v>0</v>
      </c>
      <c r="D438" s="5">
        <f>+SUMIFS(Tabla16[Importe],Tabla16[MOVIL],Tabla38[[#This Row],[MOVIL]],Tabla16[OBSV],"DESCONTAR SERVICIO EN EFECTIVO")</f>
        <v>0</v>
      </c>
      <c r="E438" s="5">
        <f>+IFERROR(VLOOKUP(Tabla38[[#This Row],[MOVIL]],Tabla1[[#All],[MOVIL]:[COBRO POR NUEVA INCLUSIÓN]],4,FALSE),0)</f>
        <v>0</v>
      </c>
      <c r="F438" s="5">
        <f>(Tabla38[[#This Row],[DESCUENTO POR USO PERSONAL PEX]]+Tabla38[[#This Row],[DESCUENTO POR INCIDENCIAS PEX]]+Tabla38[[#This Row],[DESCUENTO POR SERVICIOS EN EFECTIVO]]+Tabla38[[#This Row],[DESCUENTO POR NUEVA INCLUSION]])</f>
        <v>18.899999999999999</v>
      </c>
      <c r="G438" s="5"/>
      <c r="H438" s="5" t="str">
        <f>_xlfn.XLOOKUP(Tabla38[[#This Row],[MOVIL]],[1]LIQUIDACION!$B:$B,[1]LIQUIDACION!$A:$A,"-",0)</f>
        <v>AEROLINEAS</v>
      </c>
    </row>
    <row r="439" spans="1:8" x14ac:dyDescent="0.3">
      <c r="A439" s="59">
        <v>4356</v>
      </c>
      <c r="B439" s="5">
        <f>+SUMIFS(Tabla16[Importe],Tabla16[MOVIL],Tabla38[[#This Row],[MOVIL]],Tabla16[OBSV],"DESCONTAR POR USO PERSONAL")</f>
        <v>12.6</v>
      </c>
      <c r="C439" s="5">
        <f>+SUMIFS(Tabla16[Importe],Tabla16[MOVIL],Tabla38[[#This Row],[MOVIL]],Tabla16[OBSV],"DESCONTAR POR INCIDENCIA")</f>
        <v>12.6</v>
      </c>
      <c r="D439" s="5">
        <f>+SUMIFS(Tabla16[Importe],Tabla16[MOVIL],Tabla38[[#This Row],[MOVIL]],Tabla16[OBSV],"DESCONTAR SERVICIO EN EFECTIVO")</f>
        <v>0</v>
      </c>
      <c r="E439" s="5">
        <f>+IFERROR(VLOOKUP(Tabla38[[#This Row],[MOVIL]],Tabla1[[#All],[MOVIL]:[COBRO POR NUEVA INCLUSIÓN]],4,FALSE),0)</f>
        <v>0</v>
      </c>
      <c r="F439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39" s="5"/>
      <c r="H439" s="5" t="str">
        <f>_xlfn.XLOOKUP(Tabla38[[#This Row],[MOVIL]],[1]LIQUIDACION!$B:$B,[1]LIQUIDACION!$A:$A,"-",0)</f>
        <v>MEMBRESÍA NOCTURNA - APTO</v>
      </c>
    </row>
    <row r="440" spans="1:8" x14ac:dyDescent="0.3">
      <c r="A440" s="8">
        <v>7085</v>
      </c>
      <c r="B440" s="5">
        <f>+SUMIFS(Tabla16[Importe],Tabla16[MOVIL],Tabla38[[#This Row],[MOVIL]],Tabla16[OBSV],"DESCONTAR POR USO PERSONAL")</f>
        <v>44.099999999999994</v>
      </c>
      <c r="C440" s="5">
        <f>+SUMIFS(Tabla16[Importe],Tabla16[MOVIL],Tabla38[[#This Row],[MOVIL]],Tabla16[OBSV],"DESCONTAR POR INCIDENCIA")</f>
        <v>12.6</v>
      </c>
      <c r="D440" s="5">
        <f>+SUMIFS(Tabla16[Importe],Tabla16[MOVIL],Tabla38[[#This Row],[MOVIL]],Tabla16[OBSV],"DESCONTAR SERVICIO EN EFECTIVO")</f>
        <v>0</v>
      </c>
      <c r="E440" s="5">
        <f>+IFERROR(VLOOKUP(Tabla38[[#This Row],[MOVIL]],Tabla1[[#All],[MOVIL]:[COBRO POR NUEVA INCLUSIÓN]],4,FALSE),0)</f>
        <v>0</v>
      </c>
      <c r="F44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40" s="5"/>
      <c r="H440" s="5" t="s">
        <v>1374</v>
      </c>
    </row>
    <row r="441" spans="1:8" x14ac:dyDescent="0.3">
      <c r="A441" s="59">
        <v>4173</v>
      </c>
      <c r="B441" s="5">
        <f>+SUMIFS(Tabla16[Importe],Tabla16[MOVIL],Tabla38[[#This Row],[MOVIL]],Tabla16[OBSV],"DESCONTAR POR USO PERSONAL")</f>
        <v>12.6</v>
      </c>
      <c r="C441" s="5">
        <f>+SUMIFS(Tabla16[Importe],Tabla16[MOVIL],Tabla38[[#This Row],[MOVIL]],Tabla16[OBSV],"DESCONTAR POR INCIDENCIA")</f>
        <v>0</v>
      </c>
      <c r="D441" s="5">
        <f>+SUMIFS(Tabla16[Importe],Tabla16[MOVIL],Tabla38[[#This Row],[MOVIL]],Tabla16[OBSV],"DESCONTAR SERVICIO EN EFECTIVO")</f>
        <v>0</v>
      </c>
      <c r="E441" s="5">
        <f>+IFERROR(VLOOKUP(Tabla38[[#This Row],[MOVIL]],Tabla1[[#All],[MOVIL]:[COBRO POR NUEVA INCLUSIÓN]],4,FALSE),0)</f>
        <v>0</v>
      </c>
      <c r="F441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41" s="5"/>
      <c r="H441" s="5" t="str">
        <f>_xlfn.XLOOKUP(Tabla38[[#This Row],[MOVIL]],[1]LIQUIDACION!$B:$B,[1]LIQUIDACION!$A:$A,"-",0)</f>
        <v>MEMBRESÍA NOCTURNA - APTO</v>
      </c>
    </row>
    <row r="442" spans="1:8" x14ac:dyDescent="0.3">
      <c r="A442" s="59">
        <v>9302</v>
      </c>
      <c r="B442" s="5">
        <f>+SUMIFS(Tabla16[Importe],Tabla16[MOVIL],Tabla38[[#This Row],[MOVIL]],Tabla16[OBSV],"DESCONTAR POR USO PERSONAL")</f>
        <v>18.899999999999999</v>
      </c>
      <c r="C442" s="5">
        <f>+SUMIFS(Tabla16[Importe],Tabla16[MOVIL],Tabla38[[#This Row],[MOVIL]],Tabla16[OBSV],"DESCONTAR POR INCIDENCIA")</f>
        <v>6.3</v>
      </c>
      <c r="D442" s="5">
        <f>+SUMIFS(Tabla16[Importe],Tabla16[MOVIL],Tabla38[[#This Row],[MOVIL]],Tabla16[OBSV],"DESCONTAR SERVICIO EN EFECTIVO")</f>
        <v>0</v>
      </c>
      <c r="E442" s="5">
        <f>+IFERROR(VLOOKUP(Tabla38[[#This Row],[MOVIL]],Tabla1[[#All],[MOVIL]:[COBRO POR NUEVA INCLUSIÓN]],4,FALSE),0)</f>
        <v>0</v>
      </c>
      <c r="F442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42" s="5"/>
      <c r="H442" s="5" t="str">
        <f>_xlfn.XLOOKUP(Tabla38[[#This Row],[MOVIL]],[1]LIQUIDACION!$B:$B,[1]LIQUIDACION!$A:$A,"-",0)</f>
        <v>AEROLINEAS</v>
      </c>
    </row>
    <row r="443" spans="1:8" x14ac:dyDescent="0.3">
      <c r="A443" s="8">
        <v>3943</v>
      </c>
      <c r="B443" s="5">
        <f>+SUMIFS(Tabla16[Importe],Tabla16[MOVIL],Tabla38[[#This Row],[MOVIL]],Tabla16[OBSV],"DESCONTAR POR USO PERSONAL")</f>
        <v>0</v>
      </c>
      <c r="C443" s="5">
        <f>+SUMIFS(Tabla16[Importe],Tabla16[MOVIL],Tabla38[[#This Row],[MOVIL]],Tabla16[OBSV],"DESCONTAR POR INCIDENCIA")</f>
        <v>0</v>
      </c>
      <c r="D443" s="5">
        <f>+SUMIFS(Tabla16[Importe],Tabla16[MOVIL],Tabla38[[#This Row],[MOVIL]],Tabla16[OBSV],"DESCONTAR SERVICIO EN EFECTIVO")</f>
        <v>0</v>
      </c>
      <c r="E443" s="5">
        <f>+IFERROR(VLOOKUP(Tabla38[[#This Row],[MOVIL]],Tabla1[[#All],[MOVIL]:[COBRO POR NUEVA INCLUSIÓN]],4,FALSE),0)</f>
        <v>0</v>
      </c>
      <c r="F443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3" s="5"/>
      <c r="H443" s="5" t="str">
        <f>_xlfn.XLOOKUP(Tabla38[[#This Row],[MOVIL]],[1]LIQUIDACION!$B:$B,[1]LIQUIDACION!$A:$A,"-",0)</f>
        <v>URBANO PARTNER</v>
      </c>
    </row>
    <row r="444" spans="1:8" x14ac:dyDescent="0.3">
      <c r="A444" s="59">
        <v>2225</v>
      </c>
      <c r="B444" s="5">
        <f>+SUMIFS(Tabla16[Importe],Tabla16[MOVIL],Tabla38[[#This Row],[MOVIL]],Tabla16[OBSV],"DESCONTAR POR USO PERSONAL")</f>
        <v>12.6</v>
      </c>
      <c r="C444" s="5">
        <f>+SUMIFS(Tabla16[Importe],Tabla16[MOVIL],Tabla38[[#This Row],[MOVIL]],Tabla16[OBSV],"DESCONTAR POR INCIDENCIA")</f>
        <v>0</v>
      </c>
      <c r="D444" s="5">
        <f>+SUMIFS(Tabla16[Importe],Tabla16[MOVIL],Tabla38[[#This Row],[MOVIL]],Tabla16[OBSV],"DESCONTAR SERVICIO EN EFECTIVO")</f>
        <v>0</v>
      </c>
      <c r="E444" s="5">
        <f>+IFERROR(VLOOKUP(Tabla38[[#This Row],[MOVIL]],Tabla1[[#All],[MOVIL]:[COBRO POR NUEVA INCLUSIÓN]],4,FALSE),0)</f>
        <v>0</v>
      </c>
      <c r="F444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44" s="5"/>
      <c r="H444" s="5" t="str">
        <f>_xlfn.XLOOKUP(Tabla38[[#This Row],[MOVIL]],[1]LIQUIDACION!$B:$B,[1]LIQUIDACION!$A:$A,"-",0)</f>
        <v>AEROLINEAS</v>
      </c>
    </row>
    <row r="445" spans="1:8" x14ac:dyDescent="0.3">
      <c r="A445" s="8">
        <v>4296</v>
      </c>
      <c r="B445" s="5">
        <f>+SUMIFS(Tabla16[Importe],Tabla16[MOVIL],Tabla38[[#This Row],[MOVIL]],Tabla16[OBSV],"DESCONTAR POR USO PERSONAL")</f>
        <v>0</v>
      </c>
      <c r="C445" s="5">
        <f>+SUMIFS(Tabla16[Importe],Tabla16[MOVIL],Tabla38[[#This Row],[MOVIL]],Tabla16[OBSV],"DESCONTAR POR INCIDENCIA")</f>
        <v>0</v>
      </c>
      <c r="D445" s="5">
        <f>+SUMIFS(Tabla16[Importe],Tabla16[MOVIL],Tabla38[[#This Row],[MOVIL]],Tabla16[OBSV],"DESCONTAR SERVICIO EN EFECTIVO")</f>
        <v>0</v>
      </c>
      <c r="E445" s="5">
        <f>+IFERROR(VLOOKUP(Tabla38[[#This Row],[MOVIL]],Tabla1[[#All],[MOVIL]:[COBRO POR NUEVA INCLUSIÓN]],4,FALSE),0)</f>
        <v>0</v>
      </c>
      <c r="F445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5" s="5"/>
      <c r="H445" s="5" t="str">
        <f>_xlfn.XLOOKUP(Tabla38[[#This Row],[MOVIL]],[1]LIQUIDACION!$B:$B,[1]LIQUIDACION!$A:$A,"-",0)</f>
        <v>AEROLINEAS</v>
      </c>
    </row>
    <row r="446" spans="1:8" x14ac:dyDescent="0.3">
      <c r="A446" s="59">
        <v>2980</v>
      </c>
      <c r="B446" s="5">
        <f>+SUMIFS(Tabla16[Importe],Tabla16[MOVIL],Tabla38[[#This Row],[MOVIL]],Tabla16[OBSV],"DESCONTAR POR USO PERSONAL")</f>
        <v>37.799999999999997</v>
      </c>
      <c r="C446" s="5">
        <f>+SUMIFS(Tabla16[Importe],Tabla16[MOVIL],Tabla38[[#This Row],[MOVIL]],Tabla16[OBSV],"DESCONTAR POR INCIDENCIA")</f>
        <v>12.6</v>
      </c>
      <c r="D446" s="5">
        <f>+SUMIFS(Tabla16[Importe],Tabla16[MOVIL],Tabla38[[#This Row],[MOVIL]],Tabla16[OBSV],"DESCONTAR SERVICIO EN EFECTIVO")</f>
        <v>0</v>
      </c>
      <c r="E446" s="5">
        <f>+IFERROR(VLOOKUP(Tabla38[[#This Row],[MOVIL]],Tabla1[[#All],[MOVIL]:[COBRO POR NUEVA INCLUSIÓN]],4,FALSE),0)</f>
        <v>0</v>
      </c>
      <c r="F446" s="5">
        <f>(Tabla38[[#This Row],[DESCUENTO POR USO PERSONAL PEX]]+Tabla38[[#This Row],[DESCUENTO POR INCIDENCIAS PEX]]+Tabla38[[#This Row],[DESCUENTO POR SERVICIOS EN EFECTIVO]]+Tabla38[[#This Row],[DESCUENTO POR NUEVA INCLUSION]])</f>
        <v>50.4</v>
      </c>
      <c r="G446" s="5"/>
      <c r="H446" s="5" t="str">
        <f>_xlfn.XLOOKUP(Tabla38[[#This Row],[MOVIL]],[1]LIQUIDACION!$B:$B,[1]LIQUIDACION!$A:$A,"-",0)</f>
        <v>FLOTA PROPIA</v>
      </c>
    </row>
    <row r="447" spans="1:8" x14ac:dyDescent="0.3">
      <c r="A447" s="59">
        <v>4206</v>
      </c>
      <c r="B447" s="5">
        <f>+SUMIFS(Tabla16[Importe],Tabla16[MOVIL],Tabla38[[#This Row],[MOVIL]],Tabla16[OBSV],"DESCONTAR POR USO PERSONAL")</f>
        <v>69.299999999999983</v>
      </c>
      <c r="C447" s="5">
        <f>+SUMIFS(Tabla16[Importe],Tabla16[MOVIL],Tabla38[[#This Row],[MOVIL]],Tabla16[OBSV],"DESCONTAR POR INCIDENCIA")</f>
        <v>0</v>
      </c>
      <c r="D447" s="5">
        <f>+SUMIFS(Tabla16[Importe],Tabla16[MOVIL],Tabla38[[#This Row],[MOVIL]],Tabla16[OBSV],"DESCONTAR SERVICIO EN EFECTIVO")</f>
        <v>6.3</v>
      </c>
      <c r="E447" s="5">
        <f>+IFERROR(VLOOKUP(Tabla38[[#This Row],[MOVIL]],Tabla1[[#All],[MOVIL]:[COBRO POR NUEVA INCLUSIÓN]],4,FALSE),0)</f>
        <v>0</v>
      </c>
      <c r="F447" s="5">
        <f>(Tabla38[[#This Row],[DESCUENTO POR USO PERSONAL PEX]]+Tabla38[[#This Row],[DESCUENTO POR INCIDENCIAS PEX]]+Tabla38[[#This Row],[DESCUENTO POR SERVICIOS EN EFECTIVO]]+Tabla38[[#This Row],[DESCUENTO POR NUEVA INCLUSION]])</f>
        <v>75.59999999999998</v>
      </c>
      <c r="G447" s="5"/>
      <c r="H447" s="5" t="str">
        <f>_xlfn.XLOOKUP(Tabla38[[#This Row],[MOVIL]],[1]LIQUIDACION!$B:$B,[1]LIQUIDACION!$A:$A,"-",0)</f>
        <v>FLOTA PROPIA</v>
      </c>
    </row>
    <row r="448" spans="1:8" x14ac:dyDescent="0.3">
      <c r="A448" s="8">
        <v>4218</v>
      </c>
      <c r="B448" s="5">
        <f>+SUMIFS(Tabla16[Importe],Tabla16[MOVIL],Tabla38[[#This Row],[MOVIL]],Tabla16[OBSV],"DESCONTAR POR USO PERSONAL")</f>
        <v>0</v>
      </c>
      <c r="C448" s="5">
        <f>+SUMIFS(Tabla16[Importe],Tabla16[MOVIL],Tabla38[[#This Row],[MOVIL]],Tabla16[OBSV],"DESCONTAR POR INCIDENCIA")</f>
        <v>0</v>
      </c>
      <c r="D448" s="5">
        <f>+SUMIFS(Tabla16[Importe],Tabla16[MOVIL],Tabla38[[#This Row],[MOVIL]],Tabla16[OBSV],"DESCONTAR SERVICIO EN EFECTIVO")</f>
        <v>0</v>
      </c>
      <c r="E448" s="5">
        <f>+IFERROR(VLOOKUP(Tabla38[[#This Row],[MOVIL]],Tabla1[[#All],[MOVIL]:[COBRO POR NUEVA INCLUSIÓN]],4,FALSE),0)</f>
        <v>0</v>
      </c>
      <c r="F448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48" s="5"/>
      <c r="H448" s="5" t="str">
        <f>_xlfn.XLOOKUP(Tabla38[[#This Row],[MOVIL]],[1]LIQUIDACION!$B:$B,[1]LIQUIDACION!$A:$A,"-",0)</f>
        <v>FLOTA PROPIA</v>
      </c>
    </row>
    <row r="449" spans="1:8" x14ac:dyDescent="0.3">
      <c r="A449" s="59">
        <v>2983</v>
      </c>
      <c r="B449" s="5">
        <f>+SUMIFS(Tabla16[Importe],Tabla16[MOVIL],Tabla38[[#This Row],[MOVIL]],Tabla16[OBSV],"DESCONTAR POR USO PERSONAL")</f>
        <v>50.399999999999991</v>
      </c>
      <c r="C449" s="5">
        <f>+SUMIFS(Tabla16[Importe],Tabla16[MOVIL],Tabla38[[#This Row],[MOVIL]],Tabla16[OBSV],"DESCONTAR POR INCIDENCIA")</f>
        <v>0</v>
      </c>
      <c r="D449" s="5">
        <f>+SUMIFS(Tabla16[Importe],Tabla16[MOVIL],Tabla38[[#This Row],[MOVIL]],Tabla16[OBSV],"DESCONTAR SERVICIO EN EFECTIVO")</f>
        <v>12.6</v>
      </c>
      <c r="E449" s="5">
        <f>+IFERROR(VLOOKUP(Tabla38[[#This Row],[MOVIL]],Tabla1[[#All],[MOVIL]:[COBRO POR NUEVA INCLUSIÓN]],4,FALSE),0)</f>
        <v>0</v>
      </c>
      <c r="F449" s="5">
        <f>(Tabla38[[#This Row],[DESCUENTO POR USO PERSONAL PEX]]+Tabla38[[#This Row],[DESCUENTO POR INCIDENCIAS PEX]]+Tabla38[[#This Row],[DESCUENTO POR SERVICIOS EN EFECTIVO]]+Tabla38[[#This Row],[DESCUENTO POR NUEVA INCLUSION]])</f>
        <v>62.999999999999993</v>
      </c>
      <c r="G449" s="5"/>
      <c r="H449" s="5" t="str">
        <f>_xlfn.XLOOKUP(Tabla38[[#This Row],[MOVIL]],[1]LIQUIDACION!$B:$B,[1]LIQUIDACION!$A:$A,"-",0)</f>
        <v>FLOTA PROPIA</v>
      </c>
    </row>
    <row r="450" spans="1:8" x14ac:dyDescent="0.3">
      <c r="A450" s="59">
        <v>4217</v>
      </c>
      <c r="B450" s="5">
        <f>+SUMIFS(Tabla16[Importe],Tabla16[MOVIL],Tabla38[[#This Row],[MOVIL]],Tabla16[OBSV],"DESCONTAR POR USO PERSONAL")</f>
        <v>31.5</v>
      </c>
      <c r="C450" s="5">
        <f>+SUMIFS(Tabla16[Importe],Tabla16[MOVIL],Tabla38[[#This Row],[MOVIL]],Tabla16[OBSV],"DESCONTAR POR INCIDENCIA")</f>
        <v>6.3</v>
      </c>
      <c r="D450" s="5">
        <f>+SUMIFS(Tabla16[Importe],Tabla16[MOVIL],Tabla38[[#This Row],[MOVIL]],Tabla16[OBSV],"DESCONTAR SERVICIO EN EFECTIVO")</f>
        <v>18.899999999999999</v>
      </c>
      <c r="E450" s="5">
        <f>+IFERROR(VLOOKUP(Tabla38[[#This Row],[MOVIL]],Tabla1[[#All],[MOVIL]:[COBRO POR NUEVA INCLUSIÓN]],4,FALSE),0)</f>
        <v>0</v>
      </c>
      <c r="F450" s="5">
        <f>(Tabla38[[#This Row],[DESCUENTO POR USO PERSONAL PEX]]+Tabla38[[#This Row],[DESCUENTO POR INCIDENCIAS PEX]]+Tabla38[[#This Row],[DESCUENTO POR SERVICIOS EN EFECTIVO]]+Tabla38[[#This Row],[DESCUENTO POR NUEVA INCLUSION]])</f>
        <v>56.699999999999996</v>
      </c>
      <c r="G450" s="5"/>
      <c r="H450" s="5" t="str">
        <f>_xlfn.XLOOKUP(Tabla38[[#This Row],[MOVIL]],[1]LIQUIDACION!$B:$B,[1]LIQUIDACION!$A:$A,"-",0)</f>
        <v>FLOTA PROPIA</v>
      </c>
    </row>
    <row r="451" spans="1:8" x14ac:dyDescent="0.3">
      <c r="A451" s="59">
        <v>4205</v>
      </c>
      <c r="B451" s="5">
        <f>+SUMIFS(Tabla16[Importe],Tabla16[MOVIL],Tabla38[[#This Row],[MOVIL]],Tabla16[OBSV],"DESCONTAR POR USO PERSONAL")</f>
        <v>176.40000000000003</v>
      </c>
      <c r="C451" s="5">
        <f>+SUMIFS(Tabla16[Importe],Tabla16[MOVIL],Tabla38[[#This Row],[MOVIL]],Tabla16[OBSV],"DESCONTAR POR INCIDENCIA")</f>
        <v>0</v>
      </c>
      <c r="D451" s="5">
        <f>+SUMIFS(Tabla16[Importe],Tabla16[MOVIL],Tabla38[[#This Row],[MOVIL]],Tabla16[OBSV],"DESCONTAR SERVICIO EN EFECTIVO")</f>
        <v>0</v>
      </c>
      <c r="E451" s="5">
        <f>+IFERROR(VLOOKUP(Tabla38[[#This Row],[MOVIL]],Tabla1[[#All],[MOVIL]:[COBRO POR NUEVA INCLUSIÓN]],4,FALSE),0)</f>
        <v>0</v>
      </c>
      <c r="F451" s="5">
        <f>(Tabla38[[#This Row],[DESCUENTO POR USO PERSONAL PEX]]+Tabla38[[#This Row],[DESCUENTO POR INCIDENCIAS PEX]]+Tabla38[[#This Row],[DESCUENTO POR SERVICIOS EN EFECTIVO]]+Tabla38[[#This Row],[DESCUENTO POR NUEVA INCLUSION]])</f>
        <v>176.40000000000003</v>
      </c>
      <c r="G451" s="5"/>
      <c r="H451" s="5" t="str">
        <f>_xlfn.XLOOKUP(Tabla38[[#This Row],[MOVIL]],[1]LIQUIDACION!$B:$B,[1]LIQUIDACION!$A:$A,"-",0)</f>
        <v>FLOTA PROPIA</v>
      </c>
    </row>
    <row r="452" spans="1:8" x14ac:dyDescent="0.3">
      <c r="A452" s="8">
        <v>2984</v>
      </c>
      <c r="B452" s="5">
        <f>+SUMIFS(Tabla16[Importe],Tabla16[MOVIL],Tabla38[[#This Row],[MOVIL]],Tabla16[OBSV],"DESCONTAR POR USO PERSONAL")</f>
        <v>0</v>
      </c>
      <c r="C452" s="5">
        <f>+SUMIFS(Tabla16[Importe],Tabla16[MOVIL],Tabla38[[#This Row],[MOVIL]],Tabla16[OBSV],"DESCONTAR POR INCIDENCIA")</f>
        <v>0</v>
      </c>
      <c r="D452" s="5">
        <f>+SUMIFS(Tabla16[Importe],Tabla16[MOVIL],Tabla38[[#This Row],[MOVIL]],Tabla16[OBSV],"DESCONTAR SERVICIO EN EFECTIVO")</f>
        <v>0</v>
      </c>
      <c r="E452" s="5">
        <f>+IFERROR(VLOOKUP(Tabla38[[#This Row],[MOVIL]],Tabla1[[#All],[MOVIL]:[COBRO POR NUEVA INCLUSIÓN]],4,FALSE),0)</f>
        <v>0</v>
      </c>
      <c r="F452" s="5">
        <f>(Tabla38[[#This Row],[DESCUENTO POR USO PERSONAL PEX]]+Tabla38[[#This Row],[DESCUENTO POR INCIDENCIAS PEX]]+Tabla38[[#This Row],[DESCUENTO POR SERVICIOS EN EFECTIVO]]+Tabla38[[#This Row],[DESCUENTO POR NUEVA INCLUSION]])</f>
        <v>0</v>
      </c>
      <c r="G452" s="5"/>
      <c r="H452" s="5" t="str">
        <f>_xlfn.XLOOKUP(Tabla38[[#This Row],[MOVIL]],[1]LIQUIDACION!$B:$B,[1]LIQUIDACION!$A:$A,"-",0)</f>
        <v>FLOTA PROPIA</v>
      </c>
    </row>
    <row r="453" spans="1:8" x14ac:dyDescent="0.3">
      <c r="A453" s="59">
        <v>4175</v>
      </c>
      <c r="B453" s="5">
        <f>+SUMIFS(Tabla16[Importe],Tabla16[MOVIL],Tabla38[[#This Row],[MOVIL]],Tabla16[OBSV],"DESCONTAR POR USO PERSONAL")</f>
        <v>6.3</v>
      </c>
      <c r="C453" s="5">
        <f>+SUMIFS(Tabla16[Importe],Tabla16[MOVIL],Tabla38[[#This Row],[MOVIL]],Tabla16[OBSV],"DESCONTAR POR INCIDENCIA")</f>
        <v>6.3</v>
      </c>
      <c r="D453" s="5">
        <f>+SUMIFS(Tabla16[Importe],Tabla16[MOVIL],Tabla38[[#This Row],[MOVIL]],Tabla16[OBSV],"DESCONTAR SERVICIO EN EFECTIVO")</f>
        <v>12.6</v>
      </c>
      <c r="E453" s="5">
        <f>+IFERROR(VLOOKUP(Tabla38[[#This Row],[MOVIL]],Tabla1[[#All],[MOVIL]:[COBRO POR NUEVA INCLUSIÓN]],4,FALSE),0)</f>
        <v>0</v>
      </c>
      <c r="F453" s="5">
        <f>(Tabla38[[#This Row],[DESCUENTO POR USO PERSONAL PEX]]+Tabla38[[#This Row],[DESCUENTO POR INCIDENCIAS PEX]]+Tabla38[[#This Row],[DESCUENTO POR SERVICIOS EN EFECTIVO]]+Tabla38[[#This Row],[DESCUENTO POR NUEVA INCLUSION]])</f>
        <v>25.2</v>
      </c>
      <c r="G453" s="5"/>
      <c r="H453" s="5" t="str">
        <f>_xlfn.XLOOKUP(Tabla38[[#This Row],[MOVIL]],[1]LIQUIDACION!$B:$B,[1]LIQUIDACION!$A:$A,"-",0)</f>
        <v>FLOTA PROPIA</v>
      </c>
    </row>
    <row r="454" spans="1:8" x14ac:dyDescent="0.3">
      <c r="A454" s="59">
        <v>4323</v>
      </c>
      <c r="B454" s="5">
        <f>+SUMIFS(Tabla16[Importe],Tabla16[MOVIL],Tabla38[[#This Row],[MOVIL]],Tabla16[OBSV],"DESCONTAR POR USO PERSONAL")</f>
        <v>12.6</v>
      </c>
      <c r="C454" s="5">
        <f>+SUMIFS(Tabla16[Importe],Tabla16[MOVIL],Tabla38[[#This Row],[MOVIL]],Tabla16[OBSV],"DESCONTAR POR INCIDENCIA")</f>
        <v>18.899999999999999</v>
      </c>
      <c r="D454" s="5">
        <f>+SUMIFS(Tabla16[Importe],Tabla16[MOVIL],Tabla38[[#This Row],[MOVIL]],Tabla16[OBSV],"DESCONTAR SERVICIO EN EFECTIVO")</f>
        <v>0</v>
      </c>
      <c r="E454" s="5">
        <f>+IFERROR(VLOOKUP(Tabla38[[#This Row],[MOVIL]],Tabla1[[#All],[MOVIL]:[COBRO POR NUEVA INCLUSIÓN]],4,FALSE),0)</f>
        <v>0</v>
      </c>
      <c r="F454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54" s="5"/>
      <c r="H454" s="5" t="str">
        <f>_xlfn.XLOOKUP(Tabla38[[#This Row],[MOVIL]],[1]LIQUIDACION!$B:$B,[1]LIQUIDACION!$A:$A,"-",0)</f>
        <v>FLOTA PROPIA</v>
      </c>
    </row>
    <row r="455" spans="1:8" x14ac:dyDescent="0.3">
      <c r="A455" s="8">
        <v>4208</v>
      </c>
      <c r="B455" s="5">
        <f>+SUMIFS(Tabla16[Importe],Tabla16[MOVIL],Tabla38[[#This Row],[MOVIL]],Tabla16[OBSV],"DESCONTAR POR USO PERSONAL")</f>
        <v>0</v>
      </c>
      <c r="C455" s="5">
        <f>+SUMIFS(Tabla16[Importe],Tabla16[MOVIL],Tabla38[[#This Row],[MOVIL]],Tabla16[OBSV],"DESCONTAR POR INCIDENCIA")</f>
        <v>0</v>
      </c>
      <c r="D455" s="5">
        <f>+SUMIFS(Tabla16[Importe],Tabla16[MOVIL],Tabla38[[#This Row],[MOVIL]],Tabla16[OBSV],"DESCONTAR SERVICIO EN EFECTIVO")</f>
        <v>12.6</v>
      </c>
      <c r="E455" s="5">
        <f>+IFERROR(VLOOKUP(Tabla38[[#This Row],[MOVIL]],Tabla1[[#All],[MOVIL]:[COBRO POR NUEVA INCLUSIÓN]],4,FALSE),0)</f>
        <v>0</v>
      </c>
      <c r="F455" s="5">
        <f>(Tabla38[[#This Row],[DESCUENTO POR USO PERSONAL PEX]]+Tabla38[[#This Row],[DESCUENTO POR INCIDENCIAS PEX]]+Tabla38[[#This Row],[DESCUENTO POR SERVICIOS EN EFECTIVO]]+Tabla38[[#This Row],[DESCUENTO POR NUEVA INCLUSION]])</f>
        <v>12.6</v>
      </c>
      <c r="G455" s="5"/>
      <c r="H455" s="5" t="str">
        <f>_xlfn.XLOOKUP(Tabla38[[#This Row],[MOVIL]],[1]LIQUIDACION!$B:$B,[1]LIQUIDACION!$A:$A,"-",0)</f>
        <v>FLOTA PROPIA</v>
      </c>
    </row>
    <row r="456" spans="1:8" x14ac:dyDescent="0.3">
      <c r="A456" s="59">
        <v>4211</v>
      </c>
      <c r="B456" s="5">
        <f>+SUMIFS(Tabla16[Importe],Tabla16[MOVIL],Tabla38[[#This Row],[MOVIL]],Tabla16[OBSV],"DESCONTAR POR USO PERSONAL")</f>
        <v>151.19999999999999</v>
      </c>
      <c r="C456" s="5">
        <f>+SUMIFS(Tabla16[Importe],Tabla16[MOVIL],Tabla38[[#This Row],[MOVIL]],Tabla16[OBSV],"DESCONTAR POR INCIDENCIA")</f>
        <v>0</v>
      </c>
      <c r="D456" s="5">
        <f>+SUMIFS(Tabla16[Importe],Tabla16[MOVIL],Tabla38[[#This Row],[MOVIL]],Tabla16[OBSV],"DESCONTAR SERVICIO EN EFECTIVO")</f>
        <v>0</v>
      </c>
      <c r="E456" s="5">
        <f>+IFERROR(VLOOKUP(Tabla38[[#This Row],[MOVIL]],Tabla1[[#All],[MOVIL]:[COBRO POR NUEVA INCLUSIÓN]],4,FALSE),0)</f>
        <v>0</v>
      </c>
      <c r="F456" s="5">
        <f>(Tabla38[[#This Row],[DESCUENTO POR USO PERSONAL PEX]]+Tabla38[[#This Row],[DESCUENTO POR INCIDENCIAS PEX]]+Tabla38[[#This Row],[DESCUENTO POR SERVICIOS EN EFECTIVO]]+Tabla38[[#This Row],[DESCUENTO POR NUEVA INCLUSION]])</f>
        <v>151.19999999999999</v>
      </c>
      <c r="G456" s="5"/>
      <c r="H456" s="5" t="str">
        <f>_xlfn.XLOOKUP(Tabla38[[#This Row],[MOVIL]],[1]LIQUIDACION!$B:$B,[1]LIQUIDACION!$A:$A,"-",0)</f>
        <v>FLOTA PROPIA</v>
      </c>
    </row>
    <row r="457" spans="1:8" x14ac:dyDescent="0.3">
      <c r="A457" s="59">
        <v>2987</v>
      </c>
      <c r="B457" s="5">
        <f>+SUMIFS(Tabla16[Importe],Tabla16[MOVIL],Tabla38[[#This Row],[MOVIL]],Tabla16[OBSV],"DESCONTAR POR USO PERSONAL")</f>
        <v>12.6</v>
      </c>
      <c r="C457" s="5">
        <f>+SUMIFS(Tabla16[Importe],Tabla16[MOVIL],Tabla38[[#This Row],[MOVIL]],Tabla16[OBSV],"DESCONTAR POR INCIDENCIA")</f>
        <v>12.6</v>
      </c>
      <c r="D457" s="5">
        <f>+SUMIFS(Tabla16[Importe],Tabla16[MOVIL],Tabla38[[#This Row],[MOVIL]],Tabla16[OBSV],"DESCONTAR SERVICIO EN EFECTIVO")</f>
        <v>12.6</v>
      </c>
      <c r="E457" s="5">
        <f>+IFERROR(VLOOKUP(Tabla38[[#This Row],[MOVIL]],Tabla1[[#All],[MOVIL]:[COBRO POR NUEVA INCLUSIÓN]],4,FALSE),0)</f>
        <v>0</v>
      </c>
      <c r="F457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57" s="5"/>
      <c r="H457" s="5" t="str">
        <f>_xlfn.XLOOKUP(Tabla38[[#This Row],[MOVIL]],[1]LIQUIDACION!$B:$B,[1]LIQUIDACION!$A:$A,"-",0)</f>
        <v>FLOTA PROPIA</v>
      </c>
    </row>
    <row r="458" spans="1:8" x14ac:dyDescent="0.3">
      <c r="A458" s="59">
        <v>4215</v>
      </c>
      <c r="B458" s="5">
        <f>+SUMIFS(Tabla16[Importe],Tabla16[MOVIL],Tabla38[[#This Row],[MOVIL]],Tabla16[OBSV],"DESCONTAR POR USO PERSONAL")</f>
        <v>18.899999999999999</v>
      </c>
      <c r="C458" s="5">
        <f>+SUMIFS(Tabla16[Importe],Tabla16[MOVIL],Tabla38[[#This Row],[MOVIL]],Tabla16[OBSV],"DESCONTAR POR INCIDENCIA")</f>
        <v>0</v>
      </c>
      <c r="D458" s="5">
        <f>+SUMIFS(Tabla16[Importe],Tabla16[MOVIL],Tabla38[[#This Row],[MOVIL]],Tabla16[OBSV],"DESCONTAR SERVICIO EN EFECTIVO")</f>
        <v>18.899999999999999</v>
      </c>
      <c r="E458" s="5">
        <f>+IFERROR(VLOOKUP(Tabla38[[#This Row],[MOVIL]],Tabla1[[#All],[MOVIL]:[COBRO POR NUEVA INCLUSIÓN]],4,FALSE),0)</f>
        <v>0</v>
      </c>
      <c r="F458" s="5">
        <f>(Tabla38[[#This Row],[DESCUENTO POR USO PERSONAL PEX]]+Tabla38[[#This Row],[DESCUENTO POR INCIDENCIAS PEX]]+Tabla38[[#This Row],[DESCUENTO POR SERVICIOS EN EFECTIVO]]+Tabla38[[#This Row],[DESCUENTO POR NUEVA INCLUSION]])</f>
        <v>37.799999999999997</v>
      </c>
      <c r="G458" s="5"/>
      <c r="H458" s="5" t="str">
        <f>_xlfn.XLOOKUP(Tabla38[[#This Row],[MOVIL]],[1]LIQUIDACION!$B:$B,[1]LIQUIDACION!$A:$A,"-",0)</f>
        <v>FLOTA PROPIA</v>
      </c>
    </row>
    <row r="459" spans="1:8" x14ac:dyDescent="0.3">
      <c r="A459" s="59">
        <v>2979</v>
      </c>
      <c r="B459" s="5">
        <f>+SUMIFS(Tabla16[Importe],Tabla16[MOVIL],Tabla38[[#This Row],[MOVIL]],Tabla16[OBSV],"DESCONTAR POR USO PERSONAL")</f>
        <v>81.899999999999977</v>
      </c>
      <c r="C459" s="5">
        <f>+SUMIFS(Tabla16[Importe],Tabla16[MOVIL],Tabla38[[#This Row],[MOVIL]],Tabla16[OBSV],"DESCONTAR POR INCIDENCIA")</f>
        <v>0</v>
      </c>
      <c r="D459" s="5">
        <f>+SUMIFS(Tabla16[Importe],Tabla16[MOVIL],Tabla38[[#This Row],[MOVIL]],Tabla16[OBSV],"DESCONTAR SERVICIO EN EFECTIVO")</f>
        <v>0</v>
      </c>
      <c r="E459" s="5">
        <f>+IFERROR(VLOOKUP(Tabla38[[#This Row],[MOVIL]],Tabla1[[#All],[MOVIL]:[COBRO POR NUEVA INCLUSIÓN]],4,FALSE),0)</f>
        <v>0</v>
      </c>
      <c r="F459" s="5">
        <f>(Tabla38[[#This Row],[DESCUENTO POR USO PERSONAL PEX]]+Tabla38[[#This Row],[DESCUENTO POR INCIDENCIAS PEX]]+Tabla38[[#This Row],[DESCUENTO POR SERVICIOS EN EFECTIVO]]+Tabla38[[#This Row],[DESCUENTO POR NUEVA INCLUSION]])</f>
        <v>81.899999999999977</v>
      </c>
      <c r="G459" s="5"/>
      <c r="H459" s="5" t="str">
        <f>_xlfn.XLOOKUP(Tabla38[[#This Row],[MOVIL]],[1]LIQUIDACION!$B:$B,[1]LIQUIDACION!$A:$A,"-",0)</f>
        <v>FLOTA PROPIA</v>
      </c>
    </row>
    <row r="460" spans="1:8" x14ac:dyDescent="0.3">
      <c r="A460" s="59">
        <v>2986</v>
      </c>
      <c r="B460" s="5">
        <f>+SUMIFS(Tabla16[Importe],Tabla16[MOVIL],Tabla38[[#This Row],[MOVIL]],Tabla16[OBSV],"DESCONTAR POR USO PERSONAL")</f>
        <v>44.099999999999994</v>
      </c>
      <c r="C460" s="5">
        <f>+SUMIFS(Tabla16[Importe],Tabla16[MOVIL],Tabla38[[#This Row],[MOVIL]],Tabla16[OBSV],"DESCONTAR POR INCIDENCIA")</f>
        <v>0</v>
      </c>
      <c r="D460" s="5">
        <f>+SUMIFS(Tabla16[Importe],Tabla16[MOVIL],Tabla38[[#This Row],[MOVIL]],Tabla16[OBSV],"DESCONTAR SERVICIO EN EFECTIVO")</f>
        <v>0</v>
      </c>
      <c r="E460" s="5">
        <f>+IFERROR(VLOOKUP(Tabla38[[#This Row],[MOVIL]],Tabla1[[#All],[MOVIL]:[COBRO POR NUEVA INCLUSIÓN]],4,FALSE),0)</f>
        <v>0</v>
      </c>
      <c r="F460" s="5">
        <f>(Tabla38[[#This Row],[DESCUENTO POR USO PERSONAL PEX]]+Tabla38[[#This Row],[DESCUENTO POR INCIDENCIAS PEX]]+Tabla38[[#This Row],[DESCUENTO POR SERVICIOS EN EFECTIVO]]+Tabla38[[#This Row],[DESCUENTO POR NUEVA INCLUSION]])</f>
        <v>44.099999999999994</v>
      </c>
      <c r="G460" s="5"/>
      <c r="H460" s="5" t="str">
        <f>_xlfn.XLOOKUP(Tabla38[[#This Row],[MOVIL]],[1]LIQUIDACION!$B:$B,[1]LIQUIDACION!$A:$A,"-",0)</f>
        <v>FLOTA PROPIA</v>
      </c>
    </row>
    <row r="461" spans="1:8" x14ac:dyDescent="0.3">
      <c r="A461" s="59">
        <v>2974</v>
      </c>
      <c r="B461" s="5">
        <f>+SUMIFS(Tabla16[Importe],Tabla16[MOVIL],Tabla38[[#This Row],[MOVIL]],Tabla16[OBSV],"DESCONTAR POR USO PERSONAL")</f>
        <v>100.79999999999997</v>
      </c>
      <c r="C461" s="5">
        <f>+SUMIFS(Tabla16[Importe],Tabla16[MOVIL],Tabla38[[#This Row],[MOVIL]],Tabla16[OBSV],"DESCONTAR POR INCIDENCIA")</f>
        <v>0</v>
      </c>
      <c r="D461" s="5">
        <f>+SUMIFS(Tabla16[Importe],Tabla16[MOVIL],Tabla38[[#This Row],[MOVIL]],Tabla16[OBSV],"DESCONTAR SERVICIO EN EFECTIVO")</f>
        <v>0</v>
      </c>
      <c r="E461" s="5">
        <f>+IFERROR(VLOOKUP(Tabla38[[#This Row],[MOVIL]],Tabla1[[#All],[MOVIL]:[COBRO POR NUEVA INCLUSIÓN]],4,FALSE),0)</f>
        <v>0</v>
      </c>
      <c r="F461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461" s="5"/>
      <c r="H461" s="5" t="str">
        <f>_xlfn.XLOOKUP(Tabla38[[#This Row],[MOVIL]],[1]LIQUIDACION!$B:$B,[1]LIQUIDACION!$A:$A,"-",0)</f>
        <v>FLOTA PROPIA</v>
      </c>
    </row>
    <row r="462" spans="1:8" x14ac:dyDescent="0.3">
      <c r="A462" s="59">
        <v>2976</v>
      </c>
      <c r="B462" s="5">
        <f>+SUMIFS(Tabla16[Importe],Tabla16[MOVIL],Tabla38[[#This Row],[MOVIL]],Tabla16[OBSV],"DESCONTAR POR USO PERSONAL")</f>
        <v>107.09999999999997</v>
      </c>
      <c r="C462" s="5">
        <f>+SUMIFS(Tabla16[Importe],Tabla16[MOVIL],Tabla38[[#This Row],[MOVIL]],Tabla16[OBSV],"DESCONTAR POR INCIDENCIA")</f>
        <v>0</v>
      </c>
      <c r="D462" s="5">
        <f>+SUMIFS(Tabla16[Importe],Tabla16[MOVIL],Tabla38[[#This Row],[MOVIL]],Tabla16[OBSV],"DESCONTAR SERVICIO EN EFECTIVO")</f>
        <v>0</v>
      </c>
      <c r="E462" s="5">
        <f>+IFERROR(VLOOKUP(Tabla38[[#This Row],[MOVIL]],Tabla1[[#All],[MOVIL]:[COBRO POR NUEVA INCLUSIÓN]],4,FALSE),0)</f>
        <v>0</v>
      </c>
      <c r="F462" s="5">
        <f>(Tabla38[[#This Row],[DESCUENTO POR USO PERSONAL PEX]]+Tabla38[[#This Row],[DESCUENTO POR INCIDENCIAS PEX]]+Tabla38[[#This Row],[DESCUENTO POR SERVICIOS EN EFECTIVO]]+Tabla38[[#This Row],[DESCUENTO POR NUEVA INCLUSION]])</f>
        <v>107.09999999999997</v>
      </c>
      <c r="G462" s="5"/>
      <c r="H462" s="5" t="str">
        <f>_xlfn.XLOOKUP(Tabla38[[#This Row],[MOVIL]],[1]LIQUIDACION!$B:$B,[1]LIQUIDACION!$A:$A,"-",0)</f>
        <v>FLOTA PROPIA</v>
      </c>
    </row>
    <row r="463" spans="1:8" x14ac:dyDescent="0.3">
      <c r="A463" s="8">
        <v>4201</v>
      </c>
      <c r="B463" s="5">
        <f>+SUMIFS(Tabla16[Importe],Tabla16[MOVIL],Tabla38[[#This Row],[MOVIL]],Tabla16[OBSV],"DESCONTAR POR USO PERSONAL")</f>
        <v>0</v>
      </c>
      <c r="C463" s="5">
        <f>+SUMIFS(Tabla16[Importe],Tabla16[MOVIL],Tabla38[[#This Row],[MOVIL]],Tabla16[OBSV],"DESCONTAR POR INCIDENCIA")</f>
        <v>12.6</v>
      </c>
      <c r="D463" s="5">
        <f>+SUMIFS(Tabla16[Importe],Tabla16[MOVIL],Tabla38[[#This Row],[MOVIL]],Tabla16[OBSV],"DESCONTAR SERVICIO EN EFECTIVO")</f>
        <v>18.899999999999999</v>
      </c>
      <c r="E463" s="5">
        <f>+IFERROR(VLOOKUP(Tabla38[[#This Row],[MOVIL]],Tabla1[[#All],[MOVIL]:[COBRO POR NUEVA INCLUSIÓN]],4,FALSE),0)</f>
        <v>0</v>
      </c>
      <c r="F463" s="5">
        <f>(Tabla38[[#This Row],[DESCUENTO POR USO PERSONAL PEX]]+Tabla38[[#This Row],[DESCUENTO POR INCIDENCIAS PEX]]+Tabla38[[#This Row],[DESCUENTO POR SERVICIOS EN EFECTIVO]]+Tabla38[[#This Row],[DESCUENTO POR NUEVA INCLUSION]])</f>
        <v>31.5</v>
      </c>
      <c r="G463" s="5"/>
      <c r="H463" s="5" t="str">
        <f>_xlfn.XLOOKUP(Tabla38[[#This Row],[MOVIL]],[1]LIQUIDACION!$B:$B,[1]LIQUIDACION!$A:$A,"-",0)</f>
        <v>FLOTA PROPIA</v>
      </c>
    </row>
    <row r="464" spans="1:8" x14ac:dyDescent="0.3">
      <c r="A464" s="59">
        <v>4172</v>
      </c>
      <c r="B464" s="5">
        <f>+SUMIFS(Tabla16[Importe],Tabla16[MOVIL],Tabla38[[#This Row],[MOVIL]],Tabla16[OBSV],"DESCONTAR POR USO PERSONAL")</f>
        <v>100.79999999999997</v>
      </c>
      <c r="C464" s="5">
        <f>+SUMIFS(Tabla16[Importe],Tabla16[MOVIL],Tabla38[[#This Row],[MOVIL]],Tabla16[OBSV],"DESCONTAR POR INCIDENCIA")</f>
        <v>0</v>
      </c>
      <c r="D464" s="5">
        <f>+SUMIFS(Tabla16[Importe],Tabla16[MOVIL],Tabla38[[#This Row],[MOVIL]],Tabla16[OBSV],"DESCONTAR SERVICIO EN EFECTIVO")</f>
        <v>0</v>
      </c>
      <c r="E464" s="5">
        <f>+IFERROR(VLOOKUP(Tabla38[[#This Row],[MOVIL]],Tabla1[[#All],[MOVIL]:[COBRO POR NUEVA INCLUSIÓN]],4,FALSE),0)</f>
        <v>0</v>
      </c>
      <c r="F464" s="5">
        <f>(Tabla38[[#This Row],[DESCUENTO POR USO PERSONAL PEX]]+Tabla38[[#This Row],[DESCUENTO POR INCIDENCIAS PEX]]+Tabla38[[#This Row],[DESCUENTO POR SERVICIOS EN EFECTIVO]]+Tabla38[[#This Row],[DESCUENTO POR NUEVA INCLUSION]])</f>
        <v>100.79999999999997</v>
      </c>
      <c r="G464" s="5"/>
      <c r="H464" s="5" t="str">
        <f>_xlfn.XLOOKUP(Tabla38[[#This Row],[MOVIL]],[1]LIQUIDACION!$B:$B,[1]LIQUIDACION!$A:$A,"-",0)</f>
        <v>FLOTA PROPIA</v>
      </c>
    </row>
    <row r="465" spans="1:8" x14ac:dyDescent="0.3">
      <c r="A465" s="59">
        <v>4176</v>
      </c>
      <c r="B465" s="5">
        <f>+SUMIFS(Tabla16[Importe],Tabla16[MOVIL],Tabla38[[#This Row],[MOVIL]],Tabla16[OBSV],"DESCONTAR POR USO PERSONAL")</f>
        <v>31.5</v>
      </c>
      <c r="C465" s="5">
        <f>+SUMIFS(Tabla16[Importe],Tabla16[MOVIL],Tabla38[[#This Row],[MOVIL]],Tabla16[OBSV],"DESCONTAR POR INCIDENCIA")</f>
        <v>0</v>
      </c>
      <c r="D465" s="5">
        <f>+SUMIFS(Tabla16[Importe],Tabla16[MOVIL],Tabla38[[#This Row],[MOVIL]],Tabla16[OBSV],"DESCONTAR SERVICIO EN EFECTIVO")</f>
        <v>12.6</v>
      </c>
      <c r="E465" s="5">
        <f>+IFERROR(VLOOKUP(Tabla38[[#This Row],[MOVIL]],Tabla1[[#All],[MOVIL]:[COBRO POR NUEVA INCLUSIÓN]],4,FALSE),0)</f>
        <v>0</v>
      </c>
      <c r="F465" s="5">
        <f>(Tabla38[[#This Row],[DESCUENTO POR USO PERSONAL PEX]]+Tabla38[[#This Row],[DESCUENTO POR INCIDENCIAS PEX]]+Tabla38[[#This Row],[DESCUENTO POR SERVICIOS EN EFECTIVO]]+Tabla38[[#This Row],[DESCUENTO POR NUEVA INCLUSION]])</f>
        <v>44.1</v>
      </c>
      <c r="G465" s="5"/>
      <c r="H465" s="5" t="str">
        <f>_xlfn.XLOOKUP(Tabla38[[#This Row],[MOVIL]],[1]LIQUIDACION!$B:$B,[1]LIQUIDACION!$A:$A,"-",0)</f>
        <v>FLOTA PROPIA</v>
      </c>
    </row>
    <row r="466" spans="1:8" x14ac:dyDescent="0.3">
      <c r="B466" s="5">
        <f>SUM(B2:B465)</f>
        <v>8675.1000000000095</v>
      </c>
      <c r="C466" s="5">
        <f>SUM(C2:C465)</f>
        <v>856.79999999999984</v>
      </c>
      <c r="D466" s="5">
        <f>SUM(D2:D465)</f>
        <v>1480.4999999999989</v>
      </c>
      <c r="E466" s="5">
        <f>SUM(E2:E465)</f>
        <v>0</v>
      </c>
      <c r="F466" s="5">
        <f>SUM(F2:F465)</f>
        <v>11012.400000000009</v>
      </c>
      <c r="G466" s="5"/>
    </row>
  </sheetData>
  <conditionalFormatting sqref="A1">
    <cfRule type="duplicateValues" dxfId="489" priority="18"/>
  </conditionalFormatting>
  <conditionalFormatting sqref="A2:A465">
    <cfRule type="duplicateValues" dxfId="488" priority="267151"/>
    <cfRule type="duplicateValues" dxfId="487" priority="267152"/>
    <cfRule type="duplicateValues" dxfId="486" priority="267153"/>
    <cfRule type="duplicateValues" dxfId="485" priority="267154"/>
    <cfRule type="duplicateValues" dxfId="484" priority="267155"/>
    <cfRule type="duplicateValues" dxfId="483" priority="267156"/>
    <cfRule type="duplicateValues" dxfId="482" priority="267157"/>
    <cfRule type="duplicateValues" dxfId="481" priority="267158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F73A2-38BF-4D3D-8E9B-BFA171FDD53A}">
  <sheetPr>
    <tabColor theme="9" tint="-0.249977111117893"/>
  </sheetPr>
  <dimension ref="A1:E460"/>
  <sheetViews>
    <sheetView zoomScale="90" zoomScaleNormal="90" workbookViewId="0">
      <selection activeCell="C1" sqref="C1"/>
    </sheetView>
  </sheetViews>
  <sheetFormatPr baseColWidth="10" defaultColWidth="11.44140625" defaultRowHeight="14.4" x14ac:dyDescent="0.3"/>
  <cols>
    <col min="1" max="1" width="11" bestFit="1" customWidth="1"/>
    <col min="2" max="2" width="11.33203125" bestFit="1" customWidth="1"/>
    <col min="3" max="3" width="19.109375" bestFit="1" customWidth="1"/>
    <col min="4" max="4" width="28.88671875" bestFit="1" customWidth="1"/>
    <col min="5" max="5" width="21.5546875" bestFit="1" customWidth="1"/>
    <col min="6" max="6" width="7" bestFit="1" customWidth="1"/>
    <col min="7" max="7" width="33.44140625" bestFit="1" customWidth="1"/>
  </cols>
  <sheetData>
    <row r="1" spans="1:5" ht="32.4" customHeight="1" x14ac:dyDescent="0.3">
      <c r="A1" s="10" t="s">
        <v>48</v>
      </c>
      <c r="B1" s="11" t="s">
        <v>11</v>
      </c>
      <c r="C1" s="12" t="s">
        <v>49</v>
      </c>
      <c r="D1" s="26" t="s">
        <v>492</v>
      </c>
      <c r="E1" s="11" t="s">
        <v>50</v>
      </c>
    </row>
    <row r="2" spans="1:5" ht="15.6" customHeight="1" x14ac:dyDescent="0.3">
      <c r="A2" s="54" t="s">
        <v>324</v>
      </c>
      <c r="B2" s="31">
        <v>717</v>
      </c>
      <c r="C2" s="32" t="s">
        <v>52</v>
      </c>
      <c r="D2" s="33" t="s">
        <v>322</v>
      </c>
      <c r="E2" s="34"/>
    </row>
    <row r="3" spans="1:5" x14ac:dyDescent="0.3">
      <c r="A3" s="54" t="s">
        <v>51</v>
      </c>
      <c r="B3" s="31">
        <v>210</v>
      </c>
      <c r="C3" s="32" t="s">
        <v>52</v>
      </c>
      <c r="D3" s="33" t="s">
        <v>322</v>
      </c>
      <c r="E3" s="56"/>
    </row>
    <row r="4" spans="1:5" x14ac:dyDescent="0.3">
      <c r="A4" s="30" t="s">
        <v>283</v>
      </c>
      <c r="B4" s="31">
        <v>2246</v>
      </c>
      <c r="C4" s="32" t="s">
        <v>52</v>
      </c>
      <c r="D4" s="33" t="s">
        <v>322</v>
      </c>
      <c r="E4" s="56"/>
    </row>
    <row r="5" spans="1:5" x14ac:dyDescent="0.3">
      <c r="A5" s="30" t="s">
        <v>120</v>
      </c>
      <c r="B5" s="31">
        <v>1981</v>
      </c>
      <c r="C5" s="32" t="s">
        <v>52</v>
      </c>
      <c r="D5" s="33" t="s">
        <v>322</v>
      </c>
      <c r="E5" s="56"/>
    </row>
    <row r="6" spans="1:5" x14ac:dyDescent="0.3">
      <c r="A6" s="30" t="s">
        <v>61</v>
      </c>
      <c r="B6" s="31">
        <v>772</v>
      </c>
      <c r="C6" s="32" t="s">
        <v>52</v>
      </c>
      <c r="D6" s="33" t="s">
        <v>322</v>
      </c>
      <c r="E6" s="56"/>
    </row>
    <row r="7" spans="1:5" x14ac:dyDescent="0.3">
      <c r="A7" s="30" t="s">
        <v>131</v>
      </c>
      <c r="B7" s="31">
        <v>3243</v>
      </c>
      <c r="C7" s="32" t="s">
        <v>52</v>
      </c>
      <c r="D7" s="33" t="s">
        <v>322</v>
      </c>
      <c r="E7" s="56"/>
    </row>
    <row r="8" spans="1:5" x14ac:dyDescent="0.3">
      <c r="A8" s="30" t="s">
        <v>170</v>
      </c>
      <c r="B8" s="31">
        <v>9214</v>
      </c>
      <c r="C8" s="32" t="s">
        <v>52</v>
      </c>
      <c r="D8" s="33" t="s">
        <v>322</v>
      </c>
      <c r="E8" s="56"/>
    </row>
    <row r="9" spans="1:5" x14ac:dyDescent="0.3">
      <c r="A9" s="30" t="s">
        <v>57</v>
      </c>
      <c r="B9" s="31">
        <v>674</v>
      </c>
      <c r="C9" s="32" t="s">
        <v>52</v>
      </c>
      <c r="D9" s="33" t="s">
        <v>322</v>
      </c>
      <c r="E9" s="56"/>
    </row>
    <row r="10" spans="1:5" x14ac:dyDescent="0.3">
      <c r="A10" s="30" t="s">
        <v>55</v>
      </c>
      <c r="B10" s="31">
        <v>230</v>
      </c>
      <c r="C10" s="32" t="s">
        <v>52</v>
      </c>
      <c r="D10" s="33" t="s">
        <v>322</v>
      </c>
      <c r="E10" s="56"/>
    </row>
    <row r="11" spans="1:5" x14ac:dyDescent="0.3">
      <c r="A11" s="30" t="s">
        <v>173</v>
      </c>
      <c r="B11" s="31">
        <v>7090</v>
      </c>
      <c r="C11" s="32" t="s">
        <v>52</v>
      </c>
      <c r="D11" s="33" t="s">
        <v>322</v>
      </c>
      <c r="E11" s="56"/>
    </row>
    <row r="12" spans="1:5" x14ac:dyDescent="0.3">
      <c r="A12" s="30" t="s">
        <v>420</v>
      </c>
      <c r="B12" s="31">
        <v>2586</v>
      </c>
      <c r="C12" s="32" t="s">
        <v>52</v>
      </c>
      <c r="D12" s="33" t="s">
        <v>323</v>
      </c>
      <c r="E12" s="56"/>
    </row>
    <row r="13" spans="1:5" x14ac:dyDescent="0.3">
      <c r="A13" s="30" t="s">
        <v>198</v>
      </c>
      <c r="B13" s="31">
        <v>1524</v>
      </c>
      <c r="C13" s="32" t="s">
        <v>52</v>
      </c>
      <c r="D13" s="33" t="s">
        <v>322</v>
      </c>
      <c r="E13" s="56"/>
    </row>
    <row r="14" spans="1:5" x14ac:dyDescent="0.3">
      <c r="A14" s="30" t="s">
        <v>134</v>
      </c>
      <c r="B14" s="31">
        <v>7065</v>
      </c>
      <c r="C14" s="32" t="s">
        <v>52</v>
      </c>
      <c r="D14" s="33" t="s">
        <v>322</v>
      </c>
      <c r="E14" s="56"/>
    </row>
    <row r="15" spans="1:5" x14ac:dyDescent="0.3">
      <c r="A15" s="30" t="s">
        <v>60</v>
      </c>
      <c r="B15" s="31">
        <v>766</v>
      </c>
      <c r="C15" s="32" t="s">
        <v>52</v>
      </c>
      <c r="D15" s="33" t="s">
        <v>322</v>
      </c>
      <c r="E15" s="56"/>
    </row>
    <row r="16" spans="1:5" x14ac:dyDescent="0.3">
      <c r="A16" s="30" t="s">
        <v>126</v>
      </c>
      <c r="B16" s="31">
        <v>2308</v>
      </c>
      <c r="C16" s="32" t="s">
        <v>52</v>
      </c>
      <c r="D16" s="33" t="s">
        <v>322</v>
      </c>
      <c r="E16" s="56"/>
    </row>
    <row r="17" spans="1:5" x14ac:dyDescent="0.3">
      <c r="A17" s="30" t="s">
        <v>248</v>
      </c>
      <c r="B17" s="31">
        <v>826</v>
      </c>
      <c r="C17" s="32" t="s">
        <v>52</v>
      </c>
      <c r="D17" s="33" t="s">
        <v>322</v>
      </c>
      <c r="E17" s="56"/>
    </row>
    <row r="18" spans="1:5" x14ac:dyDescent="0.3">
      <c r="A18" s="30" t="s">
        <v>107</v>
      </c>
      <c r="B18" s="31">
        <v>9259</v>
      </c>
      <c r="C18" s="32" t="s">
        <v>52</v>
      </c>
      <c r="D18" s="33" t="s">
        <v>322</v>
      </c>
      <c r="E18" s="56"/>
    </row>
    <row r="19" spans="1:5" x14ac:dyDescent="0.3">
      <c r="A19" s="30" t="s">
        <v>128</v>
      </c>
      <c r="B19" s="31">
        <v>2463</v>
      </c>
      <c r="C19" s="32" t="s">
        <v>52</v>
      </c>
      <c r="D19" s="33" t="s">
        <v>322</v>
      </c>
      <c r="E19" s="56"/>
    </row>
    <row r="20" spans="1:5" x14ac:dyDescent="0.3">
      <c r="A20" s="30" t="s">
        <v>193</v>
      </c>
      <c r="B20" s="31">
        <v>9761</v>
      </c>
      <c r="C20" s="32" t="s">
        <v>52</v>
      </c>
      <c r="D20" s="33" t="s">
        <v>322</v>
      </c>
      <c r="E20" s="56"/>
    </row>
    <row r="21" spans="1:5" x14ac:dyDescent="0.3">
      <c r="A21" s="30" t="s">
        <v>162</v>
      </c>
      <c r="B21" s="31">
        <v>9226</v>
      </c>
      <c r="C21" s="32" t="s">
        <v>52</v>
      </c>
      <c r="D21" s="33" t="s">
        <v>322</v>
      </c>
      <c r="E21" s="56"/>
    </row>
    <row r="22" spans="1:5" x14ac:dyDescent="0.3">
      <c r="A22" s="30" t="s">
        <v>254</v>
      </c>
      <c r="B22" s="31">
        <v>2848</v>
      </c>
      <c r="C22" s="32" t="s">
        <v>52</v>
      </c>
      <c r="D22" s="33" t="s">
        <v>322</v>
      </c>
      <c r="E22" s="56"/>
    </row>
    <row r="23" spans="1:5" x14ac:dyDescent="0.3">
      <c r="A23" s="30" t="s">
        <v>62</v>
      </c>
      <c r="B23" s="31">
        <v>790</v>
      </c>
      <c r="C23" s="32" t="s">
        <v>52</v>
      </c>
      <c r="D23" s="33" t="s">
        <v>322</v>
      </c>
      <c r="E23" s="56"/>
    </row>
    <row r="24" spans="1:5" x14ac:dyDescent="0.3">
      <c r="A24" s="30" t="s">
        <v>106</v>
      </c>
      <c r="B24" s="31">
        <v>7438</v>
      </c>
      <c r="C24" s="32" t="s">
        <v>52</v>
      </c>
      <c r="D24" s="33" t="s">
        <v>322</v>
      </c>
      <c r="E24" s="56"/>
    </row>
    <row r="25" spans="1:5" x14ac:dyDescent="0.3">
      <c r="A25" s="30" t="s">
        <v>113</v>
      </c>
      <c r="B25" s="31">
        <v>529</v>
      </c>
      <c r="C25" s="32" t="s">
        <v>52</v>
      </c>
      <c r="D25" s="33" t="s">
        <v>322</v>
      </c>
      <c r="E25" s="56"/>
    </row>
    <row r="26" spans="1:5" x14ac:dyDescent="0.3">
      <c r="A26" s="30" t="s">
        <v>398</v>
      </c>
      <c r="B26" s="31">
        <v>675</v>
      </c>
      <c r="C26" s="32" t="s">
        <v>52</v>
      </c>
      <c r="D26" s="33" t="s">
        <v>322</v>
      </c>
      <c r="E26" s="56"/>
    </row>
    <row r="27" spans="1:5" x14ac:dyDescent="0.3">
      <c r="A27" s="30" t="s">
        <v>493</v>
      </c>
      <c r="B27" s="31">
        <v>5162</v>
      </c>
      <c r="C27" s="32" t="s">
        <v>52</v>
      </c>
      <c r="D27" s="33" t="s">
        <v>322</v>
      </c>
      <c r="E27" s="56"/>
    </row>
    <row r="28" spans="1:5" x14ac:dyDescent="0.3">
      <c r="A28" s="30" t="s">
        <v>284</v>
      </c>
      <c r="B28" s="31">
        <v>3775</v>
      </c>
      <c r="C28" s="32" t="s">
        <v>52</v>
      </c>
      <c r="D28" s="33" t="s">
        <v>322</v>
      </c>
      <c r="E28" s="56"/>
    </row>
    <row r="29" spans="1:5" x14ac:dyDescent="0.3">
      <c r="A29" s="30" t="s">
        <v>125</v>
      </c>
      <c r="B29" s="31">
        <v>2278</v>
      </c>
      <c r="C29" s="32" t="s">
        <v>52</v>
      </c>
      <c r="D29" s="33" t="s">
        <v>322</v>
      </c>
      <c r="E29" s="56"/>
    </row>
    <row r="30" spans="1:5" x14ac:dyDescent="0.3">
      <c r="A30" s="30" t="s">
        <v>164</v>
      </c>
      <c r="B30" s="31">
        <v>2736</v>
      </c>
      <c r="C30" s="32" t="s">
        <v>52</v>
      </c>
      <c r="D30" s="33" t="s">
        <v>322</v>
      </c>
      <c r="E30" s="56"/>
    </row>
    <row r="31" spans="1:5" x14ac:dyDescent="0.3">
      <c r="A31" s="30" t="s">
        <v>116</v>
      </c>
      <c r="B31" s="31">
        <v>633</v>
      </c>
      <c r="C31" s="32" t="s">
        <v>52</v>
      </c>
      <c r="D31" s="33" t="s">
        <v>322</v>
      </c>
      <c r="E31" s="56"/>
    </row>
    <row r="32" spans="1:5" x14ac:dyDescent="0.3">
      <c r="A32" s="30" t="s">
        <v>223</v>
      </c>
      <c r="B32" s="31">
        <v>1445</v>
      </c>
      <c r="C32" s="32" t="s">
        <v>52</v>
      </c>
      <c r="D32" s="33" t="s">
        <v>322</v>
      </c>
      <c r="E32" s="56"/>
    </row>
    <row r="33" spans="1:5" x14ac:dyDescent="0.3">
      <c r="A33" s="30" t="s">
        <v>280</v>
      </c>
      <c r="B33" s="31">
        <v>1226</v>
      </c>
      <c r="C33" s="32" t="s">
        <v>52</v>
      </c>
      <c r="D33" s="33" t="s">
        <v>322</v>
      </c>
      <c r="E33" s="56"/>
    </row>
    <row r="34" spans="1:5" x14ac:dyDescent="0.3">
      <c r="A34" s="30" t="s">
        <v>115</v>
      </c>
      <c r="B34" s="31">
        <v>553</v>
      </c>
      <c r="C34" s="32" t="s">
        <v>52</v>
      </c>
      <c r="D34" s="33" t="s">
        <v>322</v>
      </c>
      <c r="E34" s="56"/>
    </row>
    <row r="35" spans="1:5" x14ac:dyDescent="0.3">
      <c r="A35" s="30" t="s">
        <v>259</v>
      </c>
      <c r="B35" s="31">
        <v>3160</v>
      </c>
      <c r="C35" s="32" t="s">
        <v>52</v>
      </c>
      <c r="D35" s="33" t="s">
        <v>322</v>
      </c>
      <c r="E35" s="56"/>
    </row>
    <row r="36" spans="1:5" x14ac:dyDescent="0.3">
      <c r="A36" s="53" t="s">
        <v>225</v>
      </c>
      <c r="B36" s="52">
        <v>9604</v>
      </c>
      <c r="C36" s="32" t="s">
        <v>52</v>
      </c>
      <c r="D36" s="33" t="s">
        <v>322</v>
      </c>
      <c r="E36" s="56"/>
    </row>
    <row r="37" spans="1:5" x14ac:dyDescent="0.3">
      <c r="A37" s="30" t="s">
        <v>64</v>
      </c>
      <c r="B37" s="31">
        <v>807</v>
      </c>
      <c r="C37" s="32" t="s">
        <v>52</v>
      </c>
      <c r="D37" s="33" t="s">
        <v>322</v>
      </c>
      <c r="E37" s="56"/>
    </row>
    <row r="38" spans="1:5" x14ac:dyDescent="0.3">
      <c r="A38" s="30" t="s">
        <v>217</v>
      </c>
      <c r="B38" s="31">
        <v>1537</v>
      </c>
      <c r="C38" s="32" t="s">
        <v>52</v>
      </c>
      <c r="D38" s="33" t="s">
        <v>322</v>
      </c>
      <c r="E38" s="56"/>
    </row>
    <row r="39" spans="1:5" x14ac:dyDescent="0.3">
      <c r="A39" s="30" t="s">
        <v>206</v>
      </c>
      <c r="B39" s="31">
        <v>1673</v>
      </c>
      <c r="C39" s="32" t="s">
        <v>52</v>
      </c>
      <c r="D39" s="33" t="s">
        <v>322</v>
      </c>
      <c r="E39" s="56"/>
    </row>
    <row r="40" spans="1:5" x14ac:dyDescent="0.3">
      <c r="A40" s="30" t="s">
        <v>168</v>
      </c>
      <c r="B40" s="31">
        <v>221</v>
      </c>
      <c r="C40" s="32" t="s">
        <v>52</v>
      </c>
      <c r="D40" s="33" t="s">
        <v>322</v>
      </c>
      <c r="E40" s="56"/>
    </row>
    <row r="41" spans="1:5" x14ac:dyDescent="0.3">
      <c r="A41" s="30" t="s">
        <v>158</v>
      </c>
      <c r="B41" s="31">
        <v>666</v>
      </c>
      <c r="C41" s="32" t="s">
        <v>52</v>
      </c>
      <c r="D41" s="33" t="s">
        <v>322</v>
      </c>
      <c r="E41" s="56"/>
    </row>
    <row r="42" spans="1:5" x14ac:dyDescent="0.3">
      <c r="A42" s="30" t="s">
        <v>167</v>
      </c>
      <c r="B42" s="31">
        <v>9245</v>
      </c>
      <c r="C42" s="32" t="s">
        <v>52</v>
      </c>
      <c r="D42" s="33" t="s">
        <v>322</v>
      </c>
      <c r="E42" s="56"/>
    </row>
    <row r="43" spans="1:5" x14ac:dyDescent="0.3">
      <c r="A43" s="30" t="s">
        <v>119</v>
      </c>
      <c r="B43" s="31">
        <v>1915</v>
      </c>
      <c r="C43" s="32" t="s">
        <v>52</v>
      </c>
      <c r="D43" s="33" t="s">
        <v>322</v>
      </c>
      <c r="E43" s="56"/>
    </row>
    <row r="44" spans="1:5" x14ac:dyDescent="0.3">
      <c r="A44" s="30" t="s">
        <v>133</v>
      </c>
      <c r="B44" s="31">
        <v>5142</v>
      </c>
      <c r="C44" s="32" t="s">
        <v>52</v>
      </c>
      <c r="D44" s="33" t="s">
        <v>322</v>
      </c>
      <c r="E44" s="56"/>
    </row>
    <row r="45" spans="1:5" x14ac:dyDescent="0.3">
      <c r="A45" s="30" t="s">
        <v>101</v>
      </c>
      <c r="B45" s="31">
        <v>3289</v>
      </c>
      <c r="C45" s="32" t="s">
        <v>52</v>
      </c>
      <c r="D45" s="33" t="s">
        <v>322</v>
      </c>
      <c r="E45" s="56"/>
    </row>
    <row r="46" spans="1:5" x14ac:dyDescent="0.3">
      <c r="A46" s="30" t="s">
        <v>132</v>
      </c>
      <c r="B46" s="31">
        <v>5032</v>
      </c>
      <c r="C46" s="32" t="s">
        <v>52</v>
      </c>
      <c r="D46" s="33" t="s">
        <v>322</v>
      </c>
      <c r="E46" s="56"/>
    </row>
    <row r="47" spans="1:5" x14ac:dyDescent="0.3">
      <c r="A47" s="30" t="s">
        <v>117</v>
      </c>
      <c r="B47" s="31">
        <v>680</v>
      </c>
      <c r="C47" s="32" t="s">
        <v>52</v>
      </c>
      <c r="D47" s="33" t="s">
        <v>322</v>
      </c>
      <c r="E47" s="56"/>
    </row>
    <row r="48" spans="1:5" x14ac:dyDescent="0.3">
      <c r="A48" s="30" t="s">
        <v>157</v>
      </c>
      <c r="B48" s="31">
        <v>1601</v>
      </c>
      <c r="C48" s="32" t="s">
        <v>52</v>
      </c>
      <c r="D48" s="33" t="s">
        <v>322</v>
      </c>
      <c r="E48" s="56"/>
    </row>
    <row r="49" spans="1:5" x14ac:dyDescent="0.3">
      <c r="A49" s="30" t="s">
        <v>66</v>
      </c>
      <c r="B49" s="31">
        <v>831</v>
      </c>
      <c r="C49" s="32" t="s">
        <v>52</v>
      </c>
      <c r="D49" s="33" t="s">
        <v>322</v>
      </c>
      <c r="E49" s="56"/>
    </row>
    <row r="50" spans="1:5" x14ac:dyDescent="0.3">
      <c r="A50" s="30" t="s">
        <v>91</v>
      </c>
      <c r="B50" s="31">
        <v>1532</v>
      </c>
      <c r="C50" s="32" t="s">
        <v>52</v>
      </c>
      <c r="D50" s="33" t="s">
        <v>322</v>
      </c>
      <c r="E50" s="56"/>
    </row>
    <row r="51" spans="1:5" x14ac:dyDescent="0.3">
      <c r="A51" s="30" t="s">
        <v>155</v>
      </c>
      <c r="B51" s="31">
        <v>7027</v>
      </c>
      <c r="C51" s="32" t="s">
        <v>52</v>
      </c>
      <c r="D51" s="33" t="s">
        <v>322</v>
      </c>
      <c r="E51" s="56"/>
    </row>
    <row r="52" spans="1:5" x14ac:dyDescent="0.3">
      <c r="A52" s="30" t="s">
        <v>249</v>
      </c>
      <c r="B52" s="31">
        <v>1875</v>
      </c>
      <c r="C52" s="32" t="s">
        <v>52</v>
      </c>
      <c r="D52" s="33" t="s">
        <v>322</v>
      </c>
      <c r="E52" s="56"/>
    </row>
    <row r="53" spans="1:5" x14ac:dyDescent="0.3">
      <c r="A53" s="30" t="s">
        <v>130</v>
      </c>
      <c r="B53" s="31">
        <v>2547</v>
      </c>
      <c r="C53" s="32" t="s">
        <v>52</v>
      </c>
      <c r="D53" s="33" t="s">
        <v>322</v>
      </c>
      <c r="E53" s="56"/>
    </row>
    <row r="54" spans="1:5" x14ac:dyDescent="0.3">
      <c r="A54" s="30" t="s">
        <v>255</v>
      </c>
      <c r="B54" s="31">
        <v>9626</v>
      </c>
      <c r="C54" s="32" t="s">
        <v>52</v>
      </c>
      <c r="D54" s="33" t="s">
        <v>322</v>
      </c>
      <c r="E54" s="56"/>
    </row>
    <row r="55" spans="1:5" x14ac:dyDescent="0.3">
      <c r="A55" s="30" t="s">
        <v>56</v>
      </c>
      <c r="B55" s="31">
        <v>251</v>
      </c>
      <c r="C55" s="32" t="s">
        <v>52</v>
      </c>
      <c r="D55" s="33" t="s">
        <v>322</v>
      </c>
      <c r="E55" s="56"/>
    </row>
    <row r="56" spans="1:5" x14ac:dyDescent="0.3">
      <c r="A56" s="30" t="s">
        <v>108</v>
      </c>
      <c r="B56" s="31">
        <v>301</v>
      </c>
      <c r="C56" s="32" t="s">
        <v>52</v>
      </c>
      <c r="D56" s="33" t="s">
        <v>322</v>
      </c>
      <c r="E56" s="56"/>
    </row>
    <row r="57" spans="1:5" x14ac:dyDescent="0.3">
      <c r="A57" s="30" t="s">
        <v>191</v>
      </c>
      <c r="B57" s="31">
        <v>3703</v>
      </c>
      <c r="C57" s="32" t="s">
        <v>52</v>
      </c>
      <c r="D57" s="33" t="s">
        <v>322</v>
      </c>
      <c r="E57" s="56"/>
    </row>
    <row r="58" spans="1:5" x14ac:dyDescent="0.3">
      <c r="A58" s="30" t="s">
        <v>109</v>
      </c>
      <c r="B58" s="31">
        <v>380</v>
      </c>
      <c r="C58" s="32" t="s">
        <v>52</v>
      </c>
      <c r="D58" s="33" t="s">
        <v>322</v>
      </c>
      <c r="E58" s="56"/>
    </row>
    <row r="59" spans="1:5" x14ac:dyDescent="0.3">
      <c r="A59" s="30" t="s">
        <v>54</v>
      </c>
      <c r="B59" s="31">
        <v>227</v>
      </c>
      <c r="C59" s="32" t="s">
        <v>52</v>
      </c>
      <c r="D59" s="33" t="s">
        <v>322</v>
      </c>
      <c r="E59" s="56"/>
    </row>
    <row r="60" spans="1:5" x14ac:dyDescent="0.3">
      <c r="A60" s="30" t="s">
        <v>127</v>
      </c>
      <c r="B60" s="31">
        <v>2441</v>
      </c>
      <c r="C60" s="32" t="s">
        <v>52</v>
      </c>
      <c r="D60" s="33" t="s">
        <v>322</v>
      </c>
      <c r="E60" s="56"/>
    </row>
    <row r="61" spans="1:5" x14ac:dyDescent="0.3">
      <c r="A61" s="30" t="s">
        <v>325</v>
      </c>
      <c r="B61" s="31">
        <v>658</v>
      </c>
      <c r="C61" s="32" t="s">
        <v>52</v>
      </c>
      <c r="D61" s="33" t="s">
        <v>323</v>
      </c>
      <c r="E61" s="56"/>
    </row>
    <row r="62" spans="1:5" x14ac:dyDescent="0.3">
      <c r="A62" s="30" t="s">
        <v>205</v>
      </c>
      <c r="B62" s="31">
        <v>3041</v>
      </c>
      <c r="C62" s="32" t="s">
        <v>52</v>
      </c>
      <c r="D62" s="33" t="s">
        <v>322</v>
      </c>
      <c r="E62" s="56"/>
    </row>
    <row r="63" spans="1:5" x14ac:dyDescent="0.3">
      <c r="A63" s="30" t="s">
        <v>224</v>
      </c>
      <c r="B63" s="31">
        <v>9004</v>
      </c>
      <c r="C63" s="32" t="s">
        <v>52</v>
      </c>
      <c r="D63" s="33" t="s">
        <v>322</v>
      </c>
      <c r="E63" s="56"/>
    </row>
    <row r="64" spans="1:5" x14ac:dyDescent="0.3">
      <c r="A64" s="30" t="s">
        <v>326</v>
      </c>
      <c r="B64" s="31">
        <v>1576</v>
      </c>
      <c r="C64" s="32" t="s">
        <v>52</v>
      </c>
      <c r="D64" s="33" t="s">
        <v>322</v>
      </c>
      <c r="E64" s="56"/>
    </row>
    <row r="65" spans="1:5" x14ac:dyDescent="0.3">
      <c r="A65" s="30" t="s">
        <v>197</v>
      </c>
      <c r="B65" s="31">
        <v>9636</v>
      </c>
      <c r="C65" s="32" t="s">
        <v>52</v>
      </c>
      <c r="D65" s="33" t="s">
        <v>322</v>
      </c>
      <c r="E65" s="56"/>
    </row>
    <row r="66" spans="1:5" x14ac:dyDescent="0.3">
      <c r="A66" s="30" t="s">
        <v>135</v>
      </c>
      <c r="B66" s="31">
        <v>9991</v>
      </c>
      <c r="C66" s="32" t="s">
        <v>52</v>
      </c>
      <c r="D66" s="33" t="s">
        <v>322</v>
      </c>
      <c r="E66" s="56"/>
    </row>
    <row r="67" spans="1:5" x14ac:dyDescent="0.3">
      <c r="A67" s="30" t="s">
        <v>63</v>
      </c>
      <c r="B67" s="31">
        <v>795</v>
      </c>
      <c r="C67" s="32" t="s">
        <v>52</v>
      </c>
      <c r="D67" s="33" t="s">
        <v>322</v>
      </c>
      <c r="E67" s="56"/>
    </row>
    <row r="68" spans="1:5" x14ac:dyDescent="0.3">
      <c r="A68" s="30" t="s">
        <v>78</v>
      </c>
      <c r="B68" s="31">
        <v>1447</v>
      </c>
      <c r="C68" s="32" t="s">
        <v>52</v>
      </c>
      <c r="D68" s="33" t="s">
        <v>322</v>
      </c>
      <c r="E68" s="56"/>
    </row>
    <row r="69" spans="1:5" x14ac:dyDescent="0.3">
      <c r="A69" s="30" t="s">
        <v>85</v>
      </c>
      <c r="B69" s="31">
        <v>4286</v>
      </c>
      <c r="C69" s="32" t="s">
        <v>52</v>
      </c>
      <c r="D69" s="33" t="s">
        <v>322</v>
      </c>
      <c r="E69" s="56"/>
    </row>
    <row r="70" spans="1:5" x14ac:dyDescent="0.3">
      <c r="A70" s="30" t="s">
        <v>327</v>
      </c>
      <c r="B70" s="31">
        <v>9424</v>
      </c>
      <c r="C70" s="32" t="s">
        <v>52</v>
      </c>
      <c r="D70" s="33" t="s">
        <v>322</v>
      </c>
      <c r="E70" s="56"/>
    </row>
    <row r="71" spans="1:5" x14ac:dyDescent="0.3">
      <c r="A71" s="30" t="s">
        <v>75</v>
      </c>
      <c r="B71" s="31">
        <v>1416</v>
      </c>
      <c r="C71" s="32" t="s">
        <v>52</v>
      </c>
      <c r="D71" s="33" t="s">
        <v>322</v>
      </c>
      <c r="E71" s="56"/>
    </row>
    <row r="72" spans="1:5" x14ac:dyDescent="0.3">
      <c r="A72" s="30" t="s">
        <v>418</v>
      </c>
      <c r="B72" s="31">
        <v>2520</v>
      </c>
      <c r="C72" s="32" t="s">
        <v>52</v>
      </c>
      <c r="D72" s="33" t="s">
        <v>322</v>
      </c>
      <c r="E72" s="56"/>
    </row>
    <row r="73" spans="1:5" x14ac:dyDescent="0.3">
      <c r="A73" s="30" t="s">
        <v>129</v>
      </c>
      <c r="B73" s="31">
        <v>2501</v>
      </c>
      <c r="C73" s="32" t="s">
        <v>52</v>
      </c>
      <c r="D73" s="33" t="s">
        <v>322</v>
      </c>
      <c r="E73" s="56"/>
    </row>
    <row r="74" spans="1:5" x14ac:dyDescent="0.3">
      <c r="A74" s="30" t="s">
        <v>110</v>
      </c>
      <c r="B74" s="31">
        <v>423</v>
      </c>
      <c r="C74" s="32" t="s">
        <v>52</v>
      </c>
      <c r="D74" s="33" t="s">
        <v>322</v>
      </c>
      <c r="E74" s="56"/>
    </row>
    <row r="75" spans="1:5" x14ac:dyDescent="0.3">
      <c r="A75" s="30" t="s">
        <v>414</v>
      </c>
      <c r="B75" s="31">
        <v>2005</v>
      </c>
      <c r="C75" s="32" t="s">
        <v>52</v>
      </c>
      <c r="D75" s="33" t="s">
        <v>322</v>
      </c>
      <c r="E75" s="56"/>
    </row>
    <row r="76" spans="1:5" x14ac:dyDescent="0.3">
      <c r="A76" s="30" t="s">
        <v>58</v>
      </c>
      <c r="B76" s="31">
        <v>707</v>
      </c>
      <c r="C76" s="32" t="s">
        <v>52</v>
      </c>
      <c r="D76" s="33" t="s">
        <v>322</v>
      </c>
      <c r="E76" s="56"/>
    </row>
    <row r="77" spans="1:5" x14ac:dyDescent="0.3">
      <c r="A77" s="30" t="s">
        <v>68</v>
      </c>
      <c r="B77" s="31">
        <v>846</v>
      </c>
      <c r="C77" s="32" t="s">
        <v>52</v>
      </c>
      <c r="D77" s="33" t="s">
        <v>322</v>
      </c>
      <c r="E77" s="56"/>
    </row>
    <row r="78" spans="1:5" x14ac:dyDescent="0.3">
      <c r="A78" s="30" t="s">
        <v>245</v>
      </c>
      <c r="B78" s="31">
        <v>9682</v>
      </c>
      <c r="C78" s="32" t="s">
        <v>52</v>
      </c>
      <c r="D78" s="33" t="s">
        <v>322</v>
      </c>
      <c r="E78" s="56"/>
    </row>
    <row r="79" spans="1:5" x14ac:dyDescent="0.3">
      <c r="A79" s="30" t="s">
        <v>222</v>
      </c>
      <c r="B79" s="51">
        <v>1594</v>
      </c>
      <c r="C79" s="32" t="s">
        <v>52</v>
      </c>
      <c r="D79" s="33" t="s">
        <v>322</v>
      </c>
      <c r="E79" s="56"/>
    </row>
    <row r="80" spans="1:5" x14ac:dyDescent="0.3">
      <c r="A80" s="30" t="s">
        <v>94</v>
      </c>
      <c r="B80" s="51">
        <v>3047</v>
      </c>
      <c r="C80" s="32" t="s">
        <v>52</v>
      </c>
      <c r="D80" s="33" t="s">
        <v>322</v>
      </c>
      <c r="E80" s="56"/>
    </row>
    <row r="81" spans="1:5" x14ac:dyDescent="0.3">
      <c r="A81" s="30" t="s">
        <v>328</v>
      </c>
      <c r="B81" s="31">
        <v>2051</v>
      </c>
      <c r="C81" s="32" t="s">
        <v>52</v>
      </c>
      <c r="D81" s="33" t="s">
        <v>322</v>
      </c>
      <c r="E81" s="56"/>
    </row>
    <row r="82" spans="1:5" x14ac:dyDescent="0.3">
      <c r="A82" s="30" t="s">
        <v>271</v>
      </c>
      <c r="B82" s="31">
        <v>899</v>
      </c>
      <c r="C82" s="32" t="s">
        <v>52</v>
      </c>
      <c r="D82" s="33" t="s">
        <v>322</v>
      </c>
      <c r="E82" s="56"/>
    </row>
    <row r="83" spans="1:5" x14ac:dyDescent="0.3">
      <c r="A83" s="30" t="s">
        <v>111</v>
      </c>
      <c r="B83" s="31">
        <v>467</v>
      </c>
      <c r="C83" s="32" t="s">
        <v>52</v>
      </c>
      <c r="D83" s="33" t="s">
        <v>322</v>
      </c>
      <c r="E83" s="56"/>
    </row>
    <row r="84" spans="1:5" x14ac:dyDescent="0.3">
      <c r="A84" s="30" t="s">
        <v>146</v>
      </c>
      <c r="B84" s="51">
        <v>9154</v>
      </c>
      <c r="C84" s="32" t="s">
        <v>52</v>
      </c>
      <c r="D84" s="33" t="s">
        <v>322</v>
      </c>
      <c r="E84" s="56"/>
    </row>
    <row r="85" spans="1:5" x14ac:dyDescent="0.3">
      <c r="A85" s="30" t="s">
        <v>74</v>
      </c>
      <c r="B85" s="31">
        <v>1411</v>
      </c>
      <c r="C85" s="32" t="s">
        <v>52</v>
      </c>
      <c r="D85" s="33" t="s">
        <v>322</v>
      </c>
      <c r="E85" s="56"/>
    </row>
    <row r="86" spans="1:5" x14ac:dyDescent="0.3">
      <c r="A86" s="30" t="s">
        <v>95</v>
      </c>
      <c r="B86" s="51">
        <v>3102</v>
      </c>
      <c r="C86" s="32" t="s">
        <v>52</v>
      </c>
      <c r="D86" s="33" t="s">
        <v>322</v>
      </c>
      <c r="E86" s="56"/>
    </row>
    <row r="87" spans="1:5" x14ac:dyDescent="0.3">
      <c r="A87" s="30" t="s">
        <v>89</v>
      </c>
      <c r="B87" s="31">
        <v>9017</v>
      </c>
      <c r="C87" s="32" t="s">
        <v>52</v>
      </c>
      <c r="D87" s="33" t="s">
        <v>322</v>
      </c>
      <c r="E87" s="56"/>
    </row>
    <row r="88" spans="1:5" x14ac:dyDescent="0.3">
      <c r="A88" s="30" t="s">
        <v>329</v>
      </c>
      <c r="B88" s="31">
        <v>1466</v>
      </c>
      <c r="C88" s="32" t="s">
        <v>52</v>
      </c>
      <c r="D88" s="33" t="s">
        <v>322</v>
      </c>
      <c r="E88" s="56"/>
    </row>
    <row r="89" spans="1:5" x14ac:dyDescent="0.3">
      <c r="A89" s="30" t="s">
        <v>330</v>
      </c>
      <c r="B89" s="31">
        <v>659</v>
      </c>
      <c r="C89" s="32" t="s">
        <v>52</v>
      </c>
      <c r="D89" s="33" t="s">
        <v>322</v>
      </c>
      <c r="E89" s="56"/>
    </row>
    <row r="90" spans="1:5" x14ac:dyDescent="0.3">
      <c r="A90" s="30" t="s">
        <v>190</v>
      </c>
      <c r="B90" s="31">
        <v>2275</v>
      </c>
      <c r="C90" s="32" t="s">
        <v>52</v>
      </c>
      <c r="D90" s="33" t="s">
        <v>322</v>
      </c>
      <c r="E90" s="56"/>
    </row>
    <row r="91" spans="1:5" x14ac:dyDescent="0.3">
      <c r="A91" s="30" t="s">
        <v>79</v>
      </c>
      <c r="B91" s="31">
        <v>1468</v>
      </c>
      <c r="C91" s="32" t="s">
        <v>52</v>
      </c>
      <c r="D91" s="33" t="s">
        <v>322</v>
      </c>
      <c r="E91" s="56"/>
    </row>
    <row r="92" spans="1:5" x14ac:dyDescent="0.3">
      <c r="A92" s="30" t="s">
        <v>202</v>
      </c>
      <c r="B92" s="31">
        <v>9575</v>
      </c>
      <c r="C92" s="32" t="s">
        <v>52</v>
      </c>
      <c r="D92" s="33" t="s">
        <v>322</v>
      </c>
      <c r="E92" s="56"/>
    </row>
    <row r="93" spans="1:5" x14ac:dyDescent="0.3">
      <c r="A93" s="30" t="s">
        <v>396</v>
      </c>
      <c r="B93" s="31">
        <v>559</v>
      </c>
      <c r="C93" s="32" t="s">
        <v>52</v>
      </c>
      <c r="D93" s="33" t="s">
        <v>322</v>
      </c>
      <c r="E93" s="56"/>
    </row>
    <row r="94" spans="1:5" x14ac:dyDescent="0.3">
      <c r="A94" s="30" t="s">
        <v>212</v>
      </c>
      <c r="B94" s="31">
        <v>1410</v>
      </c>
      <c r="C94" s="32" t="s">
        <v>52</v>
      </c>
      <c r="D94" s="33" t="s">
        <v>322</v>
      </c>
      <c r="E94" s="56"/>
    </row>
    <row r="95" spans="1:5" x14ac:dyDescent="0.3">
      <c r="A95" s="30" t="s">
        <v>331</v>
      </c>
      <c r="B95" s="31">
        <v>1420</v>
      </c>
      <c r="C95" s="32" t="s">
        <v>52</v>
      </c>
      <c r="D95" s="33" t="s">
        <v>322</v>
      </c>
      <c r="E95" s="56"/>
    </row>
    <row r="96" spans="1:5" x14ac:dyDescent="0.3">
      <c r="A96" s="30" t="s">
        <v>88</v>
      </c>
      <c r="B96" s="31">
        <v>7628</v>
      </c>
      <c r="C96" s="32" t="s">
        <v>52</v>
      </c>
      <c r="D96" s="33" t="s">
        <v>322</v>
      </c>
      <c r="E96" s="56"/>
    </row>
    <row r="97" spans="1:5" x14ac:dyDescent="0.3">
      <c r="A97" s="30" t="s">
        <v>273</v>
      </c>
      <c r="B97" s="31">
        <v>3664</v>
      </c>
      <c r="C97" s="32" t="s">
        <v>52</v>
      </c>
      <c r="D97" s="33" t="s">
        <v>322</v>
      </c>
      <c r="E97" s="56"/>
    </row>
    <row r="98" spans="1:5" x14ac:dyDescent="0.3">
      <c r="A98" s="30" t="s">
        <v>332</v>
      </c>
      <c r="B98" s="31">
        <v>3357</v>
      </c>
      <c r="C98" s="32" t="s">
        <v>52</v>
      </c>
      <c r="D98" s="33" t="s">
        <v>322</v>
      </c>
      <c r="E98" s="56"/>
    </row>
    <row r="99" spans="1:5" x14ac:dyDescent="0.3">
      <c r="A99" s="30" t="s">
        <v>102</v>
      </c>
      <c r="B99" s="31">
        <v>3309</v>
      </c>
      <c r="C99" s="32" t="s">
        <v>52</v>
      </c>
      <c r="D99" s="33" t="s">
        <v>322</v>
      </c>
      <c r="E99" s="56"/>
    </row>
    <row r="100" spans="1:5" x14ac:dyDescent="0.3">
      <c r="A100" s="30" t="s">
        <v>97</v>
      </c>
      <c r="B100" s="31">
        <v>3118</v>
      </c>
      <c r="C100" s="32" t="s">
        <v>52</v>
      </c>
      <c r="D100" s="33" t="s">
        <v>322</v>
      </c>
      <c r="E100" s="56"/>
    </row>
    <row r="101" spans="1:5" x14ac:dyDescent="0.3">
      <c r="A101" s="30" t="s">
        <v>405</v>
      </c>
      <c r="B101" s="31">
        <v>1437</v>
      </c>
      <c r="C101" s="32" t="s">
        <v>52</v>
      </c>
      <c r="D101" s="33" t="s">
        <v>322</v>
      </c>
      <c r="E101" s="56"/>
    </row>
    <row r="102" spans="1:5" x14ac:dyDescent="0.3">
      <c r="A102" s="30" t="s">
        <v>73</v>
      </c>
      <c r="B102" s="31">
        <v>1401</v>
      </c>
      <c r="C102" s="32" t="s">
        <v>52</v>
      </c>
      <c r="D102" s="33" t="s">
        <v>322</v>
      </c>
      <c r="E102" s="56"/>
    </row>
    <row r="103" spans="1:5" x14ac:dyDescent="0.3">
      <c r="A103" s="30" t="s">
        <v>417</v>
      </c>
      <c r="B103" s="31">
        <v>2186</v>
      </c>
      <c r="C103" s="32" t="s">
        <v>52</v>
      </c>
      <c r="D103" s="33" t="s">
        <v>322</v>
      </c>
      <c r="E103" s="56"/>
    </row>
    <row r="104" spans="1:5" x14ac:dyDescent="0.3">
      <c r="A104" s="30" t="s">
        <v>80</v>
      </c>
      <c r="B104" s="31">
        <v>1470</v>
      </c>
      <c r="C104" s="32" t="s">
        <v>52</v>
      </c>
      <c r="D104" s="33" t="s">
        <v>322</v>
      </c>
      <c r="E104" s="56"/>
    </row>
    <row r="105" spans="1:5" x14ac:dyDescent="0.3">
      <c r="A105" s="30" t="s">
        <v>53</v>
      </c>
      <c r="B105" s="31">
        <v>213</v>
      </c>
      <c r="C105" s="32" t="s">
        <v>52</v>
      </c>
      <c r="D105" s="33" t="s">
        <v>322</v>
      </c>
      <c r="E105" s="56"/>
    </row>
    <row r="106" spans="1:5" x14ac:dyDescent="0.3">
      <c r="A106" s="30" t="s">
        <v>100</v>
      </c>
      <c r="B106" s="31">
        <v>3159</v>
      </c>
      <c r="C106" s="32" t="s">
        <v>52</v>
      </c>
      <c r="D106" s="33" t="s">
        <v>322</v>
      </c>
      <c r="E106" s="56"/>
    </row>
    <row r="107" spans="1:5" x14ac:dyDescent="0.3">
      <c r="A107" s="30" t="s">
        <v>121</v>
      </c>
      <c r="B107" s="31">
        <v>2030</v>
      </c>
      <c r="C107" s="32" t="s">
        <v>52</v>
      </c>
      <c r="D107" s="33" t="s">
        <v>322</v>
      </c>
      <c r="E107" s="56"/>
    </row>
    <row r="108" spans="1:5" x14ac:dyDescent="0.3">
      <c r="A108" s="30" t="s">
        <v>494</v>
      </c>
      <c r="B108" s="31">
        <v>794</v>
      </c>
      <c r="C108" s="32" t="s">
        <v>52</v>
      </c>
      <c r="D108" s="33" t="s">
        <v>322</v>
      </c>
      <c r="E108" s="56"/>
    </row>
    <row r="109" spans="1:5" x14ac:dyDescent="0.3">
      <c r="A109" s="30" t="s">
        <v>286</v>
      </c>
      <c r="B109" s="31">
        <v>3809</v>
      </c>
      <c r="C109" s="32" t="s">
        <v>52</v>
      </c>
      <c r="D109" s="33" t="s">
        <v>322</v>
      </c>
      <c r="E109" s="56"/>
    </row>
    <row r="110" spans="1:5" x14ac:dyDescent="0.3">
      <c r="A110" s="30" t="s">
        <v>221</v>
      </c>
      <c r="B110" s="31">
        <v>9685</v>
      </c>
      <c r="C110" s="32" t="s">
        <v>52</v>
      </c>
      <c r="D110" s="33" t="s">
        <v>322</v>
      </c>
      <c r="E110" s="56"/>
    </row>
    <row r="111" spans="1:5" x14ac:dyDescent="0.3">
      <c r="A111" s="30" t="s">
        <v>166</v>
      </c>
      <c r="B111" s="31">
        <v>3424</v>
      </c>
      <c r="C111" s="32" t="s">
        <v>52</v>
      </c>
      <c r="D111" s="33" t="s">
        <v>322</v>
      </c>
      <c r="E111" s="56"/>
    </row>
    <row r="112" spans="1:5" x14ac:dyDescent="0.3">
      <c r="A112" s="30" t="s">
        <v>93</v>
      </c>
      <c r="B112" s="31">
        <v>3038</v>
      </c>
      <c r="C112" s="32" t="s">
        <v>52</v>
      </c>
      <c r="D112" s="33" t="s">
        <v>322</v>
      </c>
      <c r="E112" s="56"/>
    </row>
    <row r="113" spans="1:5" x14ac:dyDescent="0.3">
      <c r="A113" s="30" t="s">
        <v>287</v>
      </c>
      <c r="B113" s="31">
        <v>3565</v>
      </c>
      <c r="C113" s="32" t="s">
        <v>52</v>
      </c>
      <c r="D113" s="33" t="s">
        <v>322</v>
      </c>
      <c r="E113" s="56"/>
    </row>
    <row r="114" spans="1:5" x14ac:dyDescent="0.3">
      <c r="A114" s="30" t="s">
        <v>397</v>
      </c>
      <c r="B114" s="31">
        <v>596</v>
      </c>
      <c r="C114" s="32" t="s">
        <v>52</v>
      </c>
      <c r="D114" s="33" t="s">
        <v>322</v>
      </c>
      <c r="E114" s="56"/>
    </row>
    <row r="115" spans="1:5" x14ac:dyDescent="0.3">
      <c r="A115" s="30" t="s">
        <v>77</v>
      </c>
      <c r="B115" s="31">
        <v>1443</v>
      </c>
      <c r="C115" s="32" t="s">
        <v>52</v>
      </c>
      <c r="D115" s="33" t="s">
        <v>322</v>
      </c>
      <c r="E115" s="56"/>
    </row>
    <row r="116" spans="1:5" x14ac:dyDescent="0.3">
      <c r="A116" s="30" t="s">
        <v>288</v>
      </c>
      <c r="B116" s="31">
        <v>9665</v>
      </c>
      <c r="C116" s="32" t="s">
        <v>52</v>
      </c>
      <c r="D116" s="33" t="s">
        <v>322</v>
      </c>
      <c r="E116" s="56"/>
    </row>
    <row r="117" spans="1:5" x14ac:dyDescent="0.3">
      <c r="A117" s="30" t="s">
        <v>65</v>
      </c>
      <c r="B117" s="31">
        <v>830</v>
      </c>
      <c r="C117" s="32" t="s">
        <v>52</v>
      </c>
      <c r="D117" s="33" t="s">
        <v>322</v>
      </c>
      <c r="E117" s="56"/>
    </row>
    <row r="118" spans="1:5" x14ac:dyDescent="0.3">
      <c r="A118" s="30" t="s">
        <v>123</v>
      </c>
      <c r="B118" s="31">
        <v>2168</v>
      </c>
      <c r="C118" s="32" t="s">
        <v>52</v>
      </c>
      <c r="D118" s="33" t="s">
        <v>322</v>
      </c>
      <c r="E118" s="56"/>
    </row>
    <row r="119" spans="1:5" x14ac:dyDescent="0.3">
      <c r="A119" s="30" t="s">
        <v>104</v>
      </c>
      <c r="B119" s="31">
        <v>3411</v>
      </c>
      <c r="C119" s="32" t="s">
        <v>52</v>
      </c>
      <c r="D119" s="33" t="s">
        <v>322</v>
      </c>
      <c r="E119" s="56"/>
    </row>
    <row r="120" spans="1:5" x14ac:dyDescent="0.3">
      <c r="A120" s="30" t="s">
        <v>229</v>
      </c>
      <c r="B120" s="31">
        <v>9883</v>
      </c>
      <c r="C120" s="32" t="s">
        <v>52</v>
      </c>
      <c r="D120" s="33" t="s">
        <v>322</v>
      </c>
      <c r="E120" s="56"/>
    </row>
    <row r="121" spans="1:5" x14ac:dyDescent="0.3">
      <c r="A121" s="30" t="s">
        <v>124</v>
      </c>
      <c r="B121" s="31">
        <v>2220</v>
      </c>
      <c r="C121" s="32" t="s">
        <v>52</v>
      </c>
      <c r="D121" s="33" t="s">
        <v>322</v>
      </c>
      <c r="E121" s="56"/>
    </row>
    <row r="122" spans="1:5" x14ac:dyDescent="0.3">
      <c r="A122" s="30" t="s">
        <v>99</v>
      </c>
      <c r="B122" s="31">
        <v>3153</v>
      </c>
      <c r="C122" s="32" t="s">
        <v>52</v>
      </c>
      <c r="D122" s="33" t="s">
        <v>322</v>
      </c>
      <c r="E122" s="56"/>
    </row>
    <row r="123" spans="1:5" x14ac:dyDescent="0.3">
      <c r="A123" s="30" t="s">
        <v>333</v>
      </c>
      <c r="B123" s="31">
        <v>2210</v>
      </c>
      <c r="C123" s="32" t="s">
        <v>52</v>
      </c>
      <c r="D123" s="33" t="s">
        <v>322</v>
      </c>
      <c r="E123" s="56"/>
    </row>
    <row r="124" spans="1:5" x14ac:dyDescent="0.3">
      <c r="A124" s="30" t="s">
        <v>289</v>
      </c>
      <c r="B124" s="31">
        <v>1774</v>
      </c>
      <c r="C124" s="32" t="s">
        <v>52</v>
      </c>
      <c r="D124" s="33" t="s">
        <v>322</v>
      </c>
      <c r="E124" s="56"/>
    </row>
    <row r="125" spans="1:5" x14ac:dyDescent="0.3">
      <c r="A125" s="30" t="s">
        <v>67</v>
      </c>
      <c r="B125" s="31">
        <v>837</v>
      </c>
      <c r="C125" s="32" t="s">
        <v>52</v>
      </c>
      <c r="D125" s="33" t="s">
        <v>322</v>
      </c>
      <c r="E125" s="56"/>
    </row>
    <row r="126" spans="1:5" x14ac:dyDescent="0.3">
      <c r="A126" s="30" t="s">
        <v>252</v>
      </c>
      <c r="B126" s="31">
        <v>9470</v>
      </c>
      <c r="C126" s="32" t="s">
        <v>52</v>
      </c>
      <c r="D126" s="33" t="s">
        <v>322</v>
      </c>
      <c r="E126" s="56"/>
    </row>
    <row r="127" spans="1:5" x14ac:dyDescent="0.3">
      <c r="A127" s="30" t="s">
        <v>86</v>
      </c>
      <c r="B127" s="31">
        <v>3236</v>
      </c>
      <c r="C127" s="32" t="s">
        <v>52</v>
      </c>
      <c r="D127" s="33" t="s">
        <v>322</v>
      </c>
      <c r="E127" s="56"/>
    </row>
    <row r="128" spans="1:5" x14ac:dyDescent="0.3">
      <c r="A128" s="30" t="s">
        <v>265</v>
      </c>
      <c r="B128" s="31">
        <v>3662</v>
      </c>
      <c r="C128" s="32" t="s">
        <v>52</v>
      </c>
      <c r="D128" s="33" t="s">
        <v>322</v>
      </c>
      <c r="E128" s="56"/>
    </row>
    <row r="129" spans="1:5" x14ac:dyDescent="0.3">
      <c r="A129" s="30" t="s">
        <v>439</v>
      </c>
      <c r="B129" s="31">
        <v>3786</v>
      </c>
      <c r="C129" s="32" t="s">
        <v>52</v>
      </c>
      <c r="D129" s="33" t="s">
        <v>323</v>
      </c>
      <c r="E129" s="56"/>
    </row>
    <row r="130" spans="1:5" x14ac:dyDescent="0.3">
      <c r="A130" s="30" t="s">
        <v>189</v>
      </c>
      <c r="B130" s="31">
        <v>7635</v>
      </c>
      <c r="C130" s="32" t="s">
        <v>52</v>
      </c>
      <c r="D130" s="33" t="s">
        <v>322</v>
      </c>
      <c r="E130" s="56"/>
    </row>
    <row r="131" spans="1:5" x14ac:dyDescent="0.3">
      <c r="A131" s="30" t="s">
        <v>82</v>
      </c>
      <c r="B131" s="31">
        <v>1553</v>
      </c>
      <c r="C131" s="32" t="s">
        <v>52</v>
      </c>
      <c r="D131" s="33" t="s">
        <v>322</v>
      </c>
      <c r="E131" s="56"/>
    </row>
    <row r="132" spans="1:5" x14ac:dyDescent="0.3">
      <c r="A132" s="30" t="s">
        <v>84</v>
      </c>
      <c r="B132" s="31">
        <v>1584</v>
      </c>
      <c r="C132" s="32" t="s">
        <v>52</v>
      </c>
      <c r="D132" s="33" t="s">
        <v>322</v>
      </c>
      <c r="E132" s="56"/>
    </row>
    <row r="133" spans="1:5" x14ac:dyDescent="0.3">
      <c r="A133" s="30" t="s">
        <v>143</v>
      </c>
      <c r="B133" s="31">
        <v>870</v>
      </c>
      <c r="C133" s="32" t="s">
        <v>52</v>
      </c>
      <c r="D133" s="33" t="s">
        <v>322</v>
      </c>
      <c r="E133" s="56"/>
    </row>
    <row r="134" spans="1:5" x14ac:dyDescent="0.3">
      <c r="A134" s="30" t="s">
        <v>174</v>
      </c>
      <c r="B134" s="31">
        <v>9434</v>
      </c>
      <c r="C134" s="32" t="s">
        <v>52</v>
      </c>
      <c r="D134" s="33" t="s">
        <v>322</v>
      </c>
      <c r="E134" s="56"/>
    </row>
    <row r="135" spans="1:5" x14ac:dyDescent="0.3">
      <c r="A135" s="30" t="s">
        <v>290</v>
      </c>
      <c r="B135" s="31">
        <v>926</v>
      </c>
      <c r="C135" s="32" t="s">
        <v>52</v>
      </c>
      <c r="D135" s="33" t="s">
        <v>322</v>
      </c>
      <c r="E135" s="56"/>
    </row>
    <row r="136" spans="1:5" x14ac:dyDescent="0.3">
      <c r="A136" s="30" t="s">
        <v>83</v>
      </c>
      <c r="B136" s="31">
        <v>1603</v>
      </c>
      <c r="C136" s="32" t="s">
        <v>52</v>
      </c>
      <c r="D136" s="33" t="s">
        <v>322</v>
      </c>
      <c r="E136" s="56"/>
    </row>
    <row r="137" spans="1:5" x14ac:dyDescent="0.3">
      <c r="A137" s="30" t="s">
        <v>71</v>
      </c>
      <c r="B137" s="31">
        <v>985</v>
      </c>
      <c r="C137" s="32" t="s">
        <v>52</v>
      </c>
      <c r="D137" s="33" t="s">
        <v>322</v>
      </c>
      <c r="E137" s="56"/>
    </row>
    <row r="138" spans="1:5" x14ac:dyDescent="0.3">
      <c r="A138" s="30" t="s">
        <v>103</v>
      </c>
      <c r="B138" s="31">
        <v>3378</v>
      </c>
      <c r="C138" s="32" t="s">
        <v>52</v>
      </c>
      <c r="D138" s="33" t="s">
        <v>322</v>
      </c>
      <c r="E138" s="56"/>
    </row>
    <row r="139" spans="1:5" x14ac:dyDescent="0.3">
      <c r="A139" s="30" t="s">
        <v>335</v>
      </c>
      <c r="B139" s="31">
        <v>2755</v>
      </c>
      <c r="C139" s="32" t="s">
        <v>52</v>
      </c>
      <c r="D139" s="33" t="s">
        <v>322</v>
      </c>
      <c r="E139" s="56"/>
    </row>
    <row r="140" spans="1:5" x14ac:dyDescent="0.3">
      <c r="A140" s="30" t="s">
        <v>230</v>
      </c>
      <c r="B140" s="31">
        <v>283</v>
      </c>
      <c r="C140" s="32" t="s">
        <v>52</v>
      </c>
      <c r="D140" s="33" t="s">
        <v>322</v>
      </c>
      <c r="E140" s="56"/>
    </row>
    <row r="141" spans="1:5" x14ac:dyDescent="0.3">
      <c r="A141" s="30" t="s">
        <v>112</v>
      </c>
      <c r="B141" s="31">
        <v>507</v>
      </c>
      <c r="C141" s="32" t="s">
        <v>52</v>
      </c>
      <c r="D141" s="33" t="s">
        <v>322</v>
      </c>
      <c r="E141" s="56"/>
    </row>
    <row r="142" spans="1:5" x14ac:dyDescent="0.3">
      <c r="A142" s="30" t="s">
        <v>70</v>
      </c>
      <c r="B142" s="31">
        <v>923</v>
      </c>
      <c r="C142" s="32" t="s">
        <v>52</v>
      </c>
      <c r="D142" s="33" t="s">
        <v>322</v>
      </c>
      <c r="E142" s="56"/>
    </row>
    <row r="143" spans="1:5" x14ac:dyDescent="0.3">
      <c r="A143" s="30" t="s">
        <v>270</v>
      </c>
      <c r="B143" s="31">
        <v>1472</v>
      </c>
      <c r="C143" s="32" t="s">
        <v>52</v>
      </c>
      <c r="D143" s="33" t="s">
        <v>322</v>
      </c>
      <c r="E143" s="56"/>
    </row>
    <row r="144" spans="1:5" x14ac:dyDescent="0.3">
      <c r="A144" s="30" t="s">
        <v>122</v>
      </c>
      <c r="B144" s="31">
        <v>2039</v>
      </c>
      <c r="C144" s="32" t="s">
        <v>52</v>
      </c>
      <c r="D144" s="33" t="s">
        <v>322</v>
      </c>
      <c r="E144" s="56"/>
    </row>
    <row r="145" spans="1:5" x14ac:dyDescent="0.3">
      <c r="A145" s="30" t="s">
        <v>251</v>
      </c>
      <c r="B145" s="31">
        <v>952</v>
      </c>
      <c r="C145" s="32" t="s">
        <v>52</v>
      </c>
      <c r="D145" s="33" t="s">
        <v>322</v>
      </c>
      <c r="E145" s="56"/>
    </row>
    <row r="146" spans="1:5" x14ac:dyDescent="0.3">
      <c r="A146" s="30" t="s">
        <v>215</v>
      </c>
      <c r="B146" s="31">
        <v>3517</v>
      </c>
      <c r="C146" s="32" t="s">
        <v>52</v>
      </c>
      <c r="D146" s="33" t="s">
        <v>322</v>
      </c>
      <c r="E146" s="56"/>
    </row>
    <row r="147" spans="1:5" x14ac:dyDescent="0.3">
      <c r="A147" s="30" t="s">
        <v>76</v>
      </c>
      <c r="B147" s="31">
        <v>1429</v>
      </c>
      <c r="C147" s="32" t="s">
        <v>52</v>
      </c>
      <c r="D147" s="33" t="s">
        <v>322</v>
      </c>
      <c r="E147" s="56"/>
    </row>
    <row r="148" spans="1:5" x14ac:dyDescent="0.3">
      <c r="A148" s="30" t="s">
        <v>182</v>
      </c>
      <c r="B148" s="31">
        <v>917</v>
      </c>
      <c r="C148" s="32" t="s">
        <v>52</v>
      </c>
      <c r="D148" s="33" t="s">
        <v>322</v>
      </c>
      <c r="E148" s="56"/>
    </row>
    <row r="149" spans="1:5" x14ac:dyDescent="0.3">
      <c r="A149" s="30" t="s">
        <v>495</v>
      </c>
      <c r="B149" s="31">
        <v>9844</v>
      </c>
      <c r="C149" s="32" t="s">
        <v>52</v>
      </c>
      <c r="D149" s="33" t="s">
        <v>322</v>
      </c>
      <c r="E149" s="56"/>
    </row>
    <row r="150" spans="1:5" x14ac:dyDescent="0.3">
      <c r="A150" s="30" t="s">
        <v>199</v>
      </c>
      <c r="B150" s="31">
        <v>7606</v>
      </c>
      <c r="C150" s="32" t="s">
        <v>52</v>
      </c>
      <c r="D150" s="33" t="s">
        <v>322</v>
      </c>
      <c r="E150" s="56"/>
    </row>
    <row r="151" spans="1:5" x14ac:dyDescent="0.3">
      <c r="A151" s="30" t="s">
        <v>195</v>
      </c>
      <c r="B151" s="31">
        <v>9195</v>
      </c>
      <c r="C151" s="32" t="s">
        <v>52</v>
      </c>
      <c r="D151" s="33" t="s">
        <v>322</v>
      </c>
      <c r="E151" s="56"/>
    </row>
    <row r="152" spans="1:5" x14ac:dyDescent="0.3">
      <c r="A152" s="30" t="s">
        <v>159</v>
      </c>
      <c r="B152" s="31">
        <v>3621</v>
      </c>
      <c r="C152" s="32" t="s">
        <v>52</v>
      </c>
      <c r="D152" s="33" t="s">
        <v>322</v>
      </c>
      <c r="E152" s="56"/>
    </row>
    <row r="153" spans="1:5" x14ac:dyDescent="0.3">
      <c r="A153" s="30" t="s">
        <v>136</v>
      </c>
      <c r="B153" s="31">
        <v>1458</v>
      </c>
      <c r="C153" s="32" t="s">
        <v>52</v>
      </c>
      <c r="D153" s="33" t="s">
        <v>322</v>
      </c>
      <c r="E153" s="56"/>
    </row>
    <row r="154" spans="1:5" x14ac:dyDescent="0.3">
      <c r="A154" s="30" t="s">
        <v>266</v>
      </c>
      <c r="B154" s="31">
        <v>3661</v>
      </c>
      <c r="C154" s="32" t="s">
        <v>52</v>
      </c>
      <c r="D154" s="33" t="s">
        <v>322</v>
      </c>
      <c r="E154" s="56"/>
    </row>
    <row r="155" spans="1:5" x14ac:dyDescent="0.3">
      <c r="A155" s="30" t="s">
        <v>200</v>
      </c>
      <c r="B155" s="31">
        <v>2810</v>
      </c>
      <c r="C155" s="32" t="s">
        <v>52</v>
      </c>
      <c r="D155" s="33" t="s">
        <v>322</v>
      </c>
      <c r="E155" s="56"/>
    </row>
    <row r="156" spans="1:5" x14ac:dyDescent="0.3">
      <c r="A156" s="30" t="s">
        <v>137</v>
      </c>
      <c r="B156" s="31">
        <v>2549</v>
      </c>
      <c r="C156" s="32" t="s">
        <v>52</v>
      </c>
      <c r="D156" s="33" t="s">
        <v>322</v>
      </c>
      <c r="E156" s="56"/>
    </row>
    <row r="157" spans="1:5" x14ac:dyDescent="0.3">
      <c r="A157" s="30" t="s">
        <v>142</v>
      </c>
      <c r="B157" s="31">
        <v>9063</v>
      </c>
      <c r="C157" s="32" t="s">
        <v>52</v>
      </c>
      <c r="D157" s="33" t="s">
        <v>322</v>
      </c>
      <c r="E157" s="56"/>
    </row>
    <row r="158" spans="1:5" x14ac:dyDescent="0.3">
      <c r="A158" s="30" t="s">
        <v>153</v>
      </c>
      <c r="B158" s="31">
        <v>1699</v>
      </c>
      <c r="C158" s="32" t="s">
        <v>52</v>
      </c>
      <c r="D158" s="33" t="s">
        <v>322</v>
      </c>
      <c r="E158" s="56"/>
    </row>
    <row r="159" spans="1:5" x14ac:dyDescent="0.3">
      <c r="A159" s="30" t="s">
        <v>145</v>
      </c>
      <c r="B159" s="31">
        <v>248</v>
      </c>
      <c r="C159" s="32" t="s">
        <v>52</v>
      </c>
      <c r="D159" s="33" t="s">
        <v>322</v>
      </c>
      <c r="E159" s="56"/>
    </row>
    <row r="160" spans="1:5" x14ac:dyDescent="0.3">
      <c r="A160" s="30" t="s">
        <v>433</v>
      </c>
      <c r="B160" s="31">
        <v>3368</v>
      </c>
      <c r="C160" s="32" t="s">
        <v>52</v>
      </c>
      <c r="D160" s="33" t="s">
        <v>322</v>
      </c>
      <c r="E160" s="56"/>
    </row>
    <row r="161" spans="1:5" x14ac:dyDescent="0.3">
      <c r="A161" s="30" t="s">
        <v>144</v>
      </c>
      <c r="B161" s="31">
        <v>879</v>
      </c>
      <c r="C161" s="32" t="s">
        <v>52</v>
      </c>
      <c r="D161" s="33" t="s">
        <v>322</v>
      </c>
      <c r="E161" s="56"/>
    </row>
    <row r="162" spans="1:5" x14ac:dyDescent="0.3">
      <c r="A162" s="30" t="s">
        <v>140</v>
      </c>
      <c r="B162" s="31">
        <v>9035</v>
      </c>
      <c r="C162" s="32" t="s">
        <v>52</v>
      </c>
      <c r="D162" s="33" t="s">
        <v>322</v>
      </c>
      <c r="E162" s="56"/>
    </row>
    <row r="163" spans="1:5" x14ac:dyDescent="0.3">
      <c r="A163" s="30" t="s">
        <v>147</v>
      </c>
      <c r="B163" s="31">
        <v>847</v>
      </c>
      <c r="C163" s="32" t="s">
        <v>52</v>
      </c>
      <c r="D163" s="33" t="s">
        <v>322</v>
      </c>
      <c r="E163" s="56"/>
    </row>
    <row r="164" spans="1:5" x14ac:dyDescent="0.3">
      <c r="A164" s="30" t="s">
        <v>235</v>
      </c>
      <c r="B164" s="31">
        <v>9527</v>
      </c>
      <c r="C164" s="32" t="s">
        <v>52</v>
      </c>
      <c r="D164" s="33" t="s">
        <v>322</v>
      </c>
      <c r="E164" s="56"/>
    </row>
    <row r="165" spans="1:5" x14ac:dyDescent="0.3">
      <c r="A165" s="30" t="s">
        <v>154</v>
      </c>
      <c r="B165" s="31">
        <v>9152</v>
      </c>
      <c r="C165" s="32" t="s">
        <v>52</v>
      </c>
      <c r="D165" s="33" t="s">
        <v>322</v>
      </c>
      <c r="E165" s="56"/>
    </row>
    <row r="166" spans="1:5" x14ac:dyDescent="0.3">
      <c r="A166" s="30" t="s">
        <v>261</v>
      </c>
      <c r="B166" s="50">
        <v>2913</v>
      </c>
      <c r="C166" s="32" t="s">
        <v>52</v>
      </c>
      <c r="D166" s="33" t="s">
        <v>322</v>
      </c>
      <c r="E166" s="56"/>
    </row>
    <row r="167" spans="1:5" x14ac:dyDescent="0.3">
      <c r="A167" s="30" t="s">
        <v>141</v>
      </c>
      <c r="B167" s="31">
        <v>243</v>
      </c>
      <c r="C167" s="32" t="s">
        <v>52</v>
      </c>
      <c r="D167" s="33" t="s">
        <v>322</v>
      </c>
      <c r="E167" s="56"/>
    </row>
    <row r="168" spans="1:5" x14ac:dyDescent="0.3">
      <c r="A168" s="30" t="s">
        <v>226</v>
      </c>
      <c r="B168" s="31">
        <v>9720</v>
      </c>
      <c r="C168" s="32" t="s">
        <v>52</v>
      </c>
      <c r="D168" s="33" t="s">
        <v>322</v>
      </c>
      <c r="E168" s="56"/>
    </row>
    <row r="169" spans="1:5" x14ac:dyDescent="0.3">
      <c r="A169" s="30" t="s">
        <v>150</v>
      </c>
      <c r="B169" s="31">
        <v>222</v>
      </c>
      <c r="C169" s="32" t="s">
        <v>52</v>
      </c>
      <c r="D169" s="33" t="s">
        <v>322</v>
      </c>
      <c r="E169" s="56"/>
    </row>
    <row r="170" spans="1:5" x14ac:dyDescent="0.3">
      <c r="A170" s="30" t="s">
        <v>156</v>
      </c>
      <c r="B170" s="31">
        <v>9112</v>
      </c>
      <c r="C170" s="32" t="s">
        <v>52</v>
      </c>
      <c r="D170" s="33" t="s">
        <v>322</v>
      </c>
      <c r="E170" s="56"/>
    </row>
    <row r="171" spans="1:5" x14ac:dyDescent="0.3">
      <c r="A171" s="30" t="s">
        <v>149</v>
      </c>
      <c r="B171" s="31">
        <v>220</v>
      </c>
      <c r="C171" s="32" t="s">
        <v>52</v>
      </c>
      <c r="D171" s="33" t="s">
        <v>322</v>
      </c>
      <c r="E171" s="56"/>
    </row>
    <row r="172" spans="1:5" x14ac:dyDescent="0.3">
      <c r="A172" s="30" t="s">
        <v>152</v>
      </c>
      <c r="B172" s="31">
        <v>9132</v>
      </c>
      <c r="C172" s="32" t="s">
        <v>52</v>
      </c>
      <c r="D172" s="33" t="s">
        <v>322</v>
      </c>
      <c r="E172" s="56"/>
    </row>
    <row r="173" spans="1:5" x14ac:dyDescent="0.3">
      <c r="A173" s="30" t="s">
        <v>279</v>
      </c>
      <c r="B173" s="31">
        <v>9376</v>
      </c>
      <c r="C173" s="32" t="s">
        <v>52</v>
      </c>
      <c r="D173" s="33" t="s">
        <v>322</v>
      </c>
      <c r="E173" s="56"/>
    </row>
    <row r="174" spans="1:5" x14ac:dyDescent="0.3">
      <c r="A174" s="30" t="s">
        <v>165</v>
      </c>
      <c r="B174" s="31">
        <v>9333</v>
      </c>
      <c r="C174" s="32" t="s">
        <v>52</v>
      </c>
      <c r="D174" s="33" t="s">
        <v>322</v>
      </c>
      <c r="E174" s="56"/>
    </row>
    <row r="175" spans="1:5" x14ac:dyDescent="0.3">
      <c r="A175" s="30" t="s">
        <v>228</v>
      </c>
      <c r="B175" s="50">
        <v>1541</v>
      </c>
      <c r="C175" s="32" t="s">
        <v>52</v>
      </c>
      <c r="D175" s="33" t="s">
        <v>322</v>
      </c>
      <c r="E175" s="56"/>
    </row>
    <row r="176" spans="1:5" x14ac:dyDescent="0.3">
      <c r="A176" s="30" t="s">
        <v>161</v>
      </c>
      <c r="B176" s="31">
        <v>2390</v>
      </c>
      <c r="C176" s="32" t="s">
        <v>52</v>
      </c>
      <c r="D176" s="33" t="s">
        <v>322</v>
      </c>
      <c r="E176" s="56"/>
    </row>
    <row r="177" spans="1:5" x14ac:dyDescent="0.3">
      <c r="A177" s="30" t="s">
        <v>169</v>
      </c>
      <c r="B177" s="50">
        <v>9204</v>
      </c>
      <c r="C177" s="32" t="s">
        <v>52</v>
      </c>
      <c r="D177" s="33" t="s">
        <v>322</v>
      </c>
      <c r="E177" s="56"/>
    </row>
    <row r="178" spans="1:5" x14ac:dyDescent="0.3">
      <c r="A178" s="30" t="s">
        <v>336</v>
      </c>
      <c r="B178" s="31">
        <v>3917</v>
      </c>
      <c r="C178" s="32" t="s">
        <v>52</v>
      </c>
      <c r="D178" s="33" t="s">
        <v>322</v>
      </c>
      <c r="E178" s="56"/>
    </row>
    <row r="179" spans="1:5" x14ac:dyDescent="0.3">
      <c r="A179" s="30" t="s">
        <v>179</v>
      </c>
      <c r="B179" s="31">
        <v>9617</v>
      </c>
      <c r="C179" s="32" t="s">
        <v>52</v>
      </c>
      <c r="D179" s="33" t="s">
        <v>322</v>
      </c>
      <c r="E179" s="56"/>
    </row>
    <row r="180" spans="1:5" x14ac:dyDescent="0.3">
      <c r="A180" s="30" t="s">
        <v>282</v>
      </c>
      <c r="B180" s="31">
        <v>3180</v>
      </c>
      <c r="C180" s="32" t="s">
        <v>52</v>
      </c>
      <c r="D180" s="33" t="s">
        <v>322</v>
      </c>
      <c r="E180" s="56"/>
    </row>
    <row r="181" spans="1:5" x14ac:dyDescent="0.3">
      <c r="A181" s="30" t="s">
        <v>260</v>
      </c>
      <c r="B181" s="31">
        <v>3812</v>
      </c>
      <c r="C181" s="32" t="s">
        <v>52</v>
      </c>
      <c r="D181" s="33" t="s">
        <v>322</v>
      </c>
      <c r="E181" s="56"/>
    </row>
    <row r="182" spans="1:5" x14ac:dyDescent="0.3">
      <c r="A182" s="30" t="s">
        <v>196</v>
      </c>
      <c r="B182" s="31">
        <v>3607</v>
      </c>
      <c r="C182" s="32" t="s">
        <v>52</v>
      </c>
      <c r="D182" s="33" t="s">
        <v>322</v>
      </c>
      <c r="E182" s="56"/>
    </row>
    <row r="183" spans="1:5" x14ac:dyDescent="0.3">
      <c r="A183" s="30" t="s">
        <v>247</v>
      </c>
      <c r="B183" s="31">
        <v>9658</v>
      </c>
      <c r="C183" s="32" t="s">
        <v>52</v>
      </c>
      <c r="D183" s="33" t="s">
        <v>322</v>
      </c>
      <c r="E183" s="56"/>
    </row>
    <row r="184" spans="1:5" x14ac:dyDescent="0.3">
      <c r="A184" s="30" t="s">
        <v>175</v>
      </c>
      <c r="B184" s="31">
        <v>9490</v>
      </c>
      <c r="C184" s="32" t="s">
        <v>52</v>
      </c>
      <c r="D184" s="33" t="s">
        <v>322</v>
      </c>
      <c r="E184" s="56"/>
    </row>
    <row r="185" spans="1:5" x14ac:dyDescent="0.3">
      <c r="A185" s="30" t="s">
        <v>187</v>
      </c>
      <c r="B185" s="31">
        <v>9624</v>
      </c>
      <c r="C185" s="32" t="s">
        <v>52</v>
      </c>
      <c r="D185" s="33" t="s">
        <v>322</v>
      </c>
      <c r="E185" s="56"/>
    </row>
    <row r="186" spans="1:5" x14ac:dyDescent="0.3">
      <c r="A186" s="30" t="s">
        <v>209</v>
      </c>
      <c r="B186" s="31">
        <v>9950</v>
      </c>
      <c r="C186" s="32" t="s">
        <v>52</v>
      </c>
      <c r="D186" s="33" t="s">
        <v>322</v>
      </c>
      <c r="E186" s="56"/>
    </row>
    <row r="187" spans="1:5" x14ac:dyDescent="0.3">
      <c r="A187" s="30" t="s">
        <v>176</v>
      </c>
      <c r="B187" s="31">
        <v>927</v>
      </c>
      <c r="C187" s="32" t="s">
        <v>52</v>
      </c>
      <c r="D187" s="33" t="s">
        <v>322</v>
      </c>
      <c r="E187" s="56"/>
    </row>
    <row r="188" spans="1:5" x14ac:dyDescent="0.3">
      <c r="A188" s="30" t="s">
        <v>256</v>
      </c>
      <c r="B188" s="31">
        <v>9837</v>
      </c>
      <c r="C188" s="32" t="s">
        <v>52</v>
      </c>
      <c r="D188" s="33" t="s">
        <v>322</v>
      </c>
      <c r="E188" s="56"/>
    </row>
    <row r="189" spans="1:5" x14ac:dyDescent="0.3">
      <c r="A189" s="30" t="s">
        <v>194</v>
      </c>
      <c r="B189" s="31">
        <v>9795</v>
      </c>
      <c r="C189" s="32" t="s">
        <v>52</v>
      </c>
      <c r="D189" s="33" t="s">
        <v>322</v>
      </c>
      <c r="E189" s="56"/>
    </row>
    <row r="190" spans="1:5" x14ac:dyDescent="0.3">
      <c r="A190" s="30" t="s">
        <v>188</v>
      </c>
      <c r="B190" s="31">
        <v>9672</v>
      </c>
      <c r="C190" s="32" t="s">
        <v>52</v>
      </c>
      <c r="D190" s="33" t="s">
        <v>322</v>
      </c>
      <c r="E190" s="56"/>
    </row>
    <row r="191" spans="1:5" x14ac:dyDescent="0.3">
      <c r="A191" s="30" t="s">
        <v>184</v>
      </c>
      <c r="B191" s="31">
        <v>292</v>
      </c>
      <c r="C191" s="32" t="s">
        <v>52</v>
      </c>
      <c r="D191" s="33" t="s">
        <v>322</v>
      </c>
      <c r="E191" s="56"/>
    </row>
    <row r="192" spans="1:5" x14ac:dyDescent="0.3">
      <c r="A192" s="30" t="s">
        <v>192</v>
      </c>
      <c r="B192" s="31">
        <v>9769</v>
      </c>
      <c r="C192" s="32" t="s">
        <v>52</v>
      </c>
      <c r="D192" s="33" t="s">
        <v>322</v>
      </c>
      <c r="E192" s="56"/>
    </row>
    <row r="193" spans="1:5" x14ac:dyDescent="0.3">
      <c r="A193" s="30" t="s">
        <v>185</v>
      </c>
      <c r="B193" s="31">
        <v>821</v>
      </c>
      <c r="C193" s="32" t="s">
        <v>52</v>
      </c>
      <c r="D193" s="33" t="s">
        <v>322</v>
      </c>
      <c r="E193" s="56"/>
    </row>
    <row r="194" spans="1:5" x14ac:dyDescent="0.3">
      <c r="A194" s="30" t="s">
        <v>292</v>
      </c>
      <c r="B194" s="31">
        <v>3815</v>
      </c>
      <c r="C194" s="32" t="s">
        <v>52</v>
      </c>
      <c r="D194" s="33" t="s">
        <v>322</v>
      </c>
      <c r="E194" s="56"/>
    </row>
    <row r="195" spans="1:5" x14ac:dyDescent="0.3">
      <c r="A195" s="30" t="s">
        <v>186</v>
      </c>
      <c r="B195" s="31">
        <v>2349</v>
      </c>
      <c r="C195" s="32" t="s">
        <v>52</v>
      </c>
      <c r="D195" s="33" t="s">
        <v>322</v>
      </c>
      <c r="E195" s="56"/>
    </row>
    <row r="196" spans="1:5" x14ac:dyDescent="0.3">
      <c r="A196" s="30" t="s">
        <v>421</v>
      </c>
      <c r="B196" s="31">
        <v>2609</v>
      </c>
      <c r="C196" s="32" t="s">
        <v>52</v>
      </c>
      <c r="D196" s="33" t="s">
        <v>322</v>
      </c>
      <c r="E196" s="56"/>
    </row>
    <row r="197" spans="1:5" x14ac:dyDescent="0.3">
      <c r="A197" s="30" t="s">
        <v>243</v>
      </c>
      <c r="B197" s="31">
        <v>2722</v>
      </c>
      <c r="C197" s="32" t="s">
        <v>52</v>
      </c>
      <c r="D197" s="33" t="s">
        <v>322</v>
      </c>
      <c r="E197" s="56"/>
    </row>
    <row r="198" spans="1:5" x14ac:dyDescent="0.3">
      <c r="A198" s="55" t="s">
        <v>210</v>
      </c>
      <c r="B198" s="31">
        <v>9980</v>
      </c>
      <c r="C198" s="32" t="s">
        <v>52</v>
      </c>
      <c r="D198" s="33" t="s">
        <v>322</v>
      </c>
      <c r="E198" s="56"/>
    </row>
    <row r="199" spans="1:5" x14ac:dyDescent="0.3">
      <c r="A199" s="30" t="s">
        <v>201</v>
      </c>
      <c r="B199" s="31">
        <v>9645</v>
      </c>
      <c r="C199" s="32" t="s">
        <v>52</v>
      </c>
      <c r="D199" s="33" t="s">
        <v>322</v>
      </c>
      <c r="E199" s="56"/>
    </row>
    <row r="200" spans="1:5" x14ac:dyDescent="0.3">
      <c r="A200" s="30" t="s">
        <v>203</v>
      </c>
      <c r="B200" s="31">
        <v>9938</v>
      </c>
      <c r="C200" s="32" t="s">
        <v>52</v>
      </c>
      <c r="D200" s="33" t="s">
        <v>322</v>
      </c>
      <c r="E200" s="56"/>
    </row>
    <row r="201" spans="1:5" x14ac:dyDescent="0.3">
      <c r="A201" s="30" t="s">
        <v>242</v>
      </c>
      <c r="B201" s="31">
        <v>9630</v>
      </c>
      <c r="C201" s="32" t="s">
        <v>52</v>
      </c>
      <c r="D201" s="33" t="s">
        <v>322</v>
      </c>
      <c r="E201" s="56"/>
    </row>
    <row r="202" spans="1:5" x14ac:dyDescent="0.3">
      <c r="A202" s="30" t="s">
        <v>267</v>
      </c>
      <c r="B202" s="31">
        <v>3643</v>
      </c>
      <c r="C202" s="32" t="s">
        <v>52</v>
      </c>
      <c r="D202" s="33" t="s">
        <v>322</v>
      </c>
      <c r="E202" s="56"/>
    </row>
    <row r="203" spans="1:5" x14ac:dyDescent="0.3">
      <c r="A203" s="30" t="s">
        <v>204</v>
      </c>
      <c r="B203" s="31">
        <v>3079</v>
      </c>
      <c r="C203" s="32" t="s">
        <v>52</v>
      </c>
      <c r="D203" s="33" t="s">
        <v>322</v>
      </c>
      <c r="E203" s="56"/>
    </row>
    <row r="204" spans="1:5" x14ac:dyDescent="0.3">
      <c r="A204" s="30" t="s">
        <v>496</v>
      </c>
      <c r="B204" s="31">
        <v>1713</v>
      </c>
      <c r="C204" s="32" t="s">
        <v>52</v>
      </c>
      <c r="D204" s="33" t="s">
        <v>322</v>
      </c>
      <c r="E204" s="56"/>
    </row>
    <row r="205" spans="1:5" x14ac:dyDescent="0.3">
      <c r="A205" s="30" t="s">
        <v>238</v>
      </c>
      <c r="B205" s="31">
        <v>9172</v>
      </c>
      <c r="C205" s="32" t="s">
        <v>52</v>
      </c>
      <c r="D205" s="33" t="s">
        <v>322</v>
      </c>
      <c r="E205" s="56"/>
    </row>
    <row r="206" spans="1:5" x14ac:dyDescent="0.3">
      <c r="A206" s="30" t="s">
        <v>220</v>
      </c>
      <c r="B206" s="31">
        <v>688</v>
      </c>
      <c r="C206" s="32" t="s">
        <v>52</v>
      </c>
      <c r="D206" s="33" t="s">
        <v>322</v>
      </c>
      <c r="E206" s="56"/>
    </row>
    <row r="207" spans="1:5" x14ac:dyDescent="0.3">
      <c r="A207" s="30" t="s">
        <v>293</v>
      </c>
      <c r="B207" s="31">
        <v>9120</v>
      </c>
      <c r="C207" s="32" t="s">
        <v>52</v>
      </c>
      <c r="D207" s="33" t="s">
        <v>322</v>
      </c>
      <c r="E207" s="56"/>
    </row>
    <row r="208" spans="1:5" x14ac:dyDescent="0.3">
      <c r="A208" s="30" t="s">
        <v>213</v>
      </c>
      <c r="B208" s="31">
        <v>9922</v>
      </c>
      <c r="C208" s="32" t="s">
        <v>52</v>
      </c>
      <c r="D208" s="33" t="s">
        <v>322</v>
      </c>
      <c r="E208" s="56"/>
    </row>
    <row r="209" spans="1:5" x14ac:dyDescent="0.3">
      <c r="A209" s="30" t="s">
        <v>207</v>
      </c>
      <c r="B209" s="31">
        <v>3006</v>
      </c>
      <c r="C209" s="32" t="s">
        <v>52</v>
      </c>
      <c r="D209" s="33" t="s">
        <v>322</v>
      </c>
      <c r="E209" s="56"/>
    </row>
    <row r="210" spans="1:5" x14ac:dyDescent="0.3">
      <c r="A210" s="30" t="s">
        <v>218</v>
      </c>
      <c r="B210" s="31">
        <v>5023</v>
      </c>
      <c r="C210" s="32" t="s">
        <v>52</v>
      </c>
      <c r="D210" s="33" t="s">
        <v>322</v>
      </c>
      <c r="E210" s="56"/>
    </row>
    <row r="211" spans="1:5" x14ac:dyDescent="0.3">
      <c r="A211" s="30" t="s">
        <v>294</v>
      </c>
      <c r="B211" s="31">
        <v>3730</v>
      </c>
      <c r="C211" s="32" t="s">
        <v>52</v>
      </c>
      <c r="D211" s="33" t="s">
        <v>322</v>
      </c>
      <c r="E211" s="56"/>
    </row>
    <row r="212" spans="1:5" x14ac:dyDescent="0.3">
      <c r="A212" s="30" t="s">
        <v>277</v>
      </c>
      <c r="B212" s="31">
        <v>1549</v>
      </c>
      <c r="C212" s="32" t="s">
        <v>52</v>
      </c>
      <c r="D212" s="33" t="s">
        <v>322</v>
      </c>
      <c r="E212" s="56"/>
    </row>
    <row r="213" spans="1:5" x14ac:dyDescent="0.3">
      <c r="A213" s="30" t="s">
        <v>227</v>
      </c>
      <c r="B213" s="31">
        <v>793</v>
      </c>
      <c r="C213" s="32" t="s">
        <v>52</v>
      </c>
      <c r="D213" s="33" t="s">
        <v>322</v>
      </c>
      <c r="E213" s="56"/>
    </row>
    <row r="214" spans="1:5" x14ac:dyDescent="0.3">
      <c r="A214" s="30" t="s">
        <v>241</v>
      </c>
      <c r="B214" s="31">
        <v>1891</v>
      </c>
      <c r="C214" s="32" t="s">
        <v>52</v>
      </c>
      <c r="D214" s="33" t="s">
        <v>322</v>
      </c>
      <c r="E214" s="56"/>
    </row>
    <row r="215" spans="1:5" x14ac:dyDescent="0.3">
      <c r="A215" s="30" t="s">
        <v>337</v>
      </c>
      <c r="B215" s="31">
        <v>1847</v>
      </c>
      <c r="C215" s="32" t="s">
        <v>52</v>
      </c>
      <c r="D215" s="33" t="s">
        <v>322</v>
      </c>
      <c r="E215" s="56"/>
    </row>
    <row r="216" spans="1:5" x14ac:dyDescent="0.3">
      <c r="A216" s="30" t="s">
        <v>438</v>
      </c>
      <c r="B216" s="31">
        <v>3744</v>
      </c>
      <c r="C216" s="32" t="s">
        <v>52</v>
      </c>
      <c r="D216" s="33" t="s">
        <v>322</v>
      </c>
      <c r="E216" s="56"/>
    </row>
    <row r="217" spans="1:5" x14ac:dyDescent="0.3">
      <c r="A217" s="30" t="s">
        <v>295</v>
      </c>
      <c r="B217" s="31">
        <v>3806</v>
      </c>
      <c r="C217" s="32" t="s">
        <v>52</v>
      </c>
      <c r="D217" s="33" t="s">
        <v>322</v>
      </c>
      <c r="E217" s="56"/>
    </row>
    <row r="218" spans="1:5" x14ac:dyDescent="0.3">
      <c r="A218" s="30" t="s">
        <v>231</v>
      </c>
      <c r="B218" s="31">
        <v>1698</v>
      </c>
      <c r="C218" s="32" t="s">
        <v>52</v>
      </c>
      <c r="D218" s="33" t="s">
        <v>322</v>
      </c>
      <c r="E218" s="56"/>
    </row>
    <row r="219" spans="1:5" x14ac:dyDescent="0.3">
      <c r="A219" s="30" t="s">
        <v>424</v>
      </c>
      <c r="B219" s="31">
        <v>2852</v>
      </c>
      <c r="C219" s="32" t="s">
        <v>52</v>
      </c>
      <c r="D219" s="33" t="s">
        <v>322</v>
      </c>
      <c r="E219" s="56"/>
    </row>
    <row r="220" spans="1:5" x14ac:dyDescent="0.3">
      <c r="A220" s="30" t="s">
        <v>274</v>
      </c>
      <c r="B220" s="31">
        <v>1675</v>
      </c>
      <c r="C220" s="32" t="s">
        <v>52</v>
      </c>
      <c r="D220" s="33" t="s">
        <v>322</v>
      </c>
      <c r="E220" s="56"/>
    </row>
    <row r="221" spans="1:5" x14ac:dyDescent="0.3">
      <c r="A221" s="30" t="s">
        <v>269</v>
      </c>
      <c r="B221" s="31">
        <v>3663</v>
      </c>
      <c r="C221" s="32" t="s">
        <v>52</v>
      </c>
      <c r="D221" s="33" t="s">
        <v>322</v>
      </c>
      <c r="E221" s="56"/>
    </row>
    <row r="222" spans="1:5" x14ac:dyDescent="0.3">
      <c r="A222" s="30" t="s">
        <v>250</v>
      </c>
      <c r="B222" s="31">
        <v>709</v>
      </c>
      <c r="C222" s="32" t="s">
        <v>52</v>
      </c>
      <c r="D222" s="33" t="s">
        <v>322</v>
      </c>
      <c r="E222" s="56"/>
    </row>
    <row r="223" spans="1:5" x14ac:dyDescent="0.3">
      <c r="A223" s="30" t="s">
        <v>258</v>
      </c>
      <c r="B223" s="31">
        <v>3575</v>
      </c>
      <c r="C223" s="32" t="s">
        <v>52</v>
      </c>
      <c r="D223" s="33" t="s">
        <v>322</v>
      </c>
      <c r="E223" s="56"/>
    </row>
    <row r="224" spans="1:5" x14ac:dyDescent="0.3">
      <c r="A224" s="30" t="s">
        <v>296</v>
      </c>
      <c r="B224" s="31">
        <v>9377</v>
      </c>
      <c r="C224" s="32" t="s">
        <v>52</v>
      </c>
      <c r="D224" s="33" t="s">
        <v>322</v>
      </c>
      <c r="E224" s="56"/>
    </row>
    <row r="225" spans="1:5" x14ac:dyDescent="0.3">
      <c r="A225" s="30" t="s">
        <v>297</v>
      </c>
      <c r="B225" s="31">
        <v>3594</v>
      </c>
      <c r="C225" s="32" t="s">
        <v>52</v>
      </c>
      <c r="D225" s="33" t="s">
        <v>322</v>
      </c>
      <c r="E225" s="56"/>
    </row>
    <row r="226" spans="1:5" x14ac:dyDescent="0.3">
      <c r="A226" s="30" t="s">
        <v>257</v>
      </c>
      <c r="B226" s="31">
        <v>1878</v>
      </c>
      <c r="C226" s="32" t="s">
        <v>52</v>
      </c>
      <c r="D226" s="33" t="s">
        <v>322</v>
      </c>
      <c r="E226" s="56"/>
    </row>
    <row r="227" spans="1:5" x14ac:dyDescent="0.3">
      <c r="A227" s="30" t="s">
        <v>262</v>
      </c>
      <c r="B227" s="31">
        <v>9110</v>
      </c>
      <c r="C227" s="32" t="s">
        <v>52</v>
      </c>
      <c r="D227" s="33" t="s">
        <v>322</v>
      </c>
      <c r="E227" s="56"/>
    </row>
    <row r="228" spans="1:5" x14ac:dyDescent="0.3">
      <c r="A228" s="30" t="s">
        <v>298</v>
      </c>
      <c r="B228" s="31">
        <v>1550</v>
      </c>
      <c r="C228" s="32" t="s">
        <v>52</v>
      </c>
      <c r="D228" s="33" t="s">
        <v>322</v>
      </c>
      <c r="E228" s="56"/>
    </row>
    <row r="229" spans="1:5" x14ac:dyDescent="0.3">
      <c r="A229" s="30" t="s">
        <v>276</v>
      </c>
      <c r="B229" s="31">
        <v>411</v>
      </c>
      <c r="C229" s="32" t="s">
        <v>52</v>
      </c>
      <c r="D229" s="33" t="s">
        <v>322</v>
      </c>
      <c r="E229" s="56"/>
    </row>
    <row r="230" spans="1:5" x14ac:dyDescent="0.3">
      <c r="A230" s="30" t="s">
        <v>275</v>
      </c>
      <c r="B230" s="31">
        <v>205</v>
      </c>
      <c r="C230" s="32" t="s">
        <v>52</v>
      </c>
      <c r="D230" s="33" t="s">
        <v>322</v>
      </c>
      <c r="E230" s="56"/>
    </row>
    <row r="231" spans="1:5" x14ac:dyDescent="0.3">
      <c r="A231" s="30" t="s">
        <v>268</v>
      </c>
      <c r="B231" s="31">
        <v>858</v>
      </c>
      <c r="C231" s="32" t="s">
        <v>52</v>
      </c>
      <c r="D231" s="33" t="s">
        <v>322</v>
      </c>
      <c r="E231" s="56"/>
    </row>
    <row r="232" spans="1:5" x14ac:dyDescent="0.3">
      <c r="A232" s="30" t="s">
        <v>272</v>
      </c>
      <c r="B232" s="31">
        <v>9742</v>
      </c>
      <c r="C232" s="32" t="s">
        <v>52</v>
      </c>
      <c r="D232" s="33" t="s">
        <v>322</v>
      </c>
      <c r="E232" s="56"/>
    </row>
    <row r="233" spans="1:5" x14ac:dyDescent="0.3">
      <c r="A233" s="30" t="s">
        <v>264</v>
      </c>
      <c r="B233" s="31">
        <v>3061</v>
      </c>
      <c r="C233" s="32" t="s">
        <v>52</v>
      </c>
      <c r="D233" s="33" t="s">
        <v>322</v>
      </c>
      <c r="E233" s="56"/>
    </row>
    <row r="234" spans="1:5" x14ac:dyDescent="0.3">
      <c r="A234" s="30" t="s">
        <v>299</v>
      </c>
      <c r="B234" s="31">
        <v>3833</v>
      </c>
      <c r="C234" s="32" t="s">
        <v>52</v>
      </c>
      <c r="D234" s="33" t="s">
        <v>322</v>
      </c>
      <c r="E234" s="56"/>
    </row>
    <row r="235" spans="1:5" x14ac:dyDescent="0.3">
      <c r="A235" s="30" t="s">
        <v>301</v>
      </c>
      <c r="B235" s="31">
        <v>3799</v>
      </c>
      <c r="C235" s="32" t="s">
        <v>52</v>
      </c>
      <c r="D235" s="33" t="s">
        <v>322</v>
      </c>
      <c r="E235" s="56"/>
    </row>
    <row r="236" spans="1:5" x14ac:dyDescent="0.3">
      <c r="A236" s="30" t="s">
        <v>302</v>
      </c>
      <c r="B236" s="31">
        <v>1146</v>
      </c>
      <c r="C236" s="32" t="s">
        <v>52</v>
      </c>
      <c r="D236" s="33" t="s">
        <v>322</v>
      </c>
      <c r="E236" s="56"/>
    </row>
    <row r="237" spans="1:5" x14ac:dyDescent="0.3">
      <c r="A237" s="30" t="s">
        <v>303</v>
      </c>
      <c r="B237" s="31">
        <v>3816</v>
      </c>
      <c r="C237" s="32" t="s">
        <v>52</v>
      </c>
      <c r="D237" s="33" t="s">
        <v>322</v>
      </c>
      <c r="E237" s="56"/>
    </row>
    <row r="238" spans="1:5" x14ac:dyDescent="0.3">
      <c r="A238" s="30" t="s">
        <v>304</v>
      </c>
      <c r="B238" s="31">
        <v>3842</v>
      </c>
      <c r="C238" s="32" t="s">
        <v>52</v>
      </c>
      <c r="D238" s="33" t="s">
        <v>322</v>
      </c>
      <c r="E238" s="56"/>
    </row>
    <row r="239" spans="1:5" x14ac:dyDescent="0.3">
      <c r="A239" s="30" t="s">
        <v>305</v>
      </c>
      <c r="B239" s="31">
        <v>3855</v>
      </c>
      <c r="C239" s="32" t="s">
        <v>52</v>
      </c>
      <c r="D239" s="33" t="s">
        <v>322</v>
      </c>
      <c r="E239" s="56"/>
    </row>
    <row r="240" spans="1:5" x14ac:dyDescent="0.3">
      <c r="A240" s="30" t="s">
        <v>306</v>
      </c>
      <c r="B240" s="31">
        <v>785</v>
      </c>
      <c r="C240" s="32" t="s">
        <v>52</v>
      </c>
      <c r="D240" s="33" t="s">
        <v>322</v>
      </c>
      <c r="E240" s="56"/>
    </row>
    <row r="241" spans="1:5" x14ac:dyDescent="0.3">
      <c r="A241" s="30" t="s">
        <v>307</v>
      </c>
      <c r="B241" s="31">
        <v>2653</v>
      </c>
      <c r="C241" s="32" t="s">
        <v>52</v>
      </c>
      <c r="D241" s="33" t="s">
        <v>322</v>
      </c>
      <c r="E241" s="56"/>
    </row>
    <row r="242" spans="1:5" x14ac:dyDescent="0.3">
      <c r="A242" s="30" t="s">
        <v>338</v>
      </c>
      <c r="B242" s="31">
        <v>2597</v>
      </c>
      <c r="C242" s="32" t="s">
        <v>52</v>
      </c>
      <c r="D242" s="33" t="s">
        <v>322</v>
      </c>
      <c r="E242" s="56"/>
    </row>
    <row r="243" spans="1:5" x14ac:dyDescent="0.3">
      <c r="A243" s="30" t="s">
        <v>497</v>
      </c>
      <c r="B243" s="31">
        <v>319</v>
      </c>
      <c r="C243" s="32" t="s">
        <v>52</v>
      </c>
      <c r="D243" s="33" t="s">
        <v>322</v>
      </c>
      <c r="E243" s="56"/>
    </row>
    <row r="244" spans="1:5" x14ac:dyDescent="0.3">
      <c r="A244" s="30" t="s">
        <v>308</v>
      </c>
      <c r="B244" s="31">
        <v>684</v>
      </c>
      <c r="C244" s="32" t="s">
        <v>52</v>
      </c>
      <c r="D244" s="33" t="s">
        <v>322</v>
      </c>
      <c r="E244" s="56"/>
    </row>
    <row r="245" spans="1:5" x14ac:dyDescent="0.3">
      <c r="A245" s="30" t="s">
        <v>309</v>
      </c>
      <c r="B245" s="31">
        <v>3938</v>
      </c>
      <c r="C245" s="32" t="s">
        <v>52</v>
      </c>
      <c r="D245" s="33" t="s">
        <v>322</v>
      </c>
      <c r="E245" s="56"/>
    </row>
    <row r="246" spans="1:5" x14ac:dyDescent="0.3">
      <c r="A246" s="30" t="s">
        <v>139</v>
      </c>
      <c r="B246" s="31">
        <v>2020</v>
      </c>
      <c r="C246" s="32" t="s">
        <v>52</v>
      </c>
      <c r="D246" s="33" t="s">
        <v>322</v>
      </c>
      <c r="E246" s="56"/>
    </row>
    <row r="247" spans="1:5" x14ac:dyDescent="0.3">
      <c r="A247" s="30" t="s">
        <v>208</v>
      </c>
      <c r="B247" s="31">
        <v>9480</v>
      </c>
      <c r="C247" s="32" t="s">
        <v>52</v>
      </c>
      <c r="D247" s="33" t="s">
        <v>322</v>
      </c>
      <c r="E247" s="56"/>
    </row>
    <row r="248" spans="1:5" x14ac:dyDescent="0.3">
      <c r="A248" s="30" t="s">
        <v>148</v>
      </c>
      <c r="B248" s="31">
        <v>3460</v>
      </c>
      <c r="C248" s="32" t="s">
        <v>52</v>
      </c>
      <c r="D248" s="33" t="s">
        <v>322</v>
      </c>
      <c r="E248" s="56"/>
    </row>
    <row r="249" spans="1:5" x14ac:dyDescent="0.3">
      <c r="A249" s="30" t="s">
        <v>240</v>
      </c>
      <c r="B249" s="31">
        <v>7581</v>
      </c>
      <c r="C249" s="32" t="s">
        <v>52</v>
      </c>
      <c r="D249" s="33" t="s">
        <v>322</v>
      </c>
      <c r="E249" s="56"/>
    </row>
    <row r="250" spans="1:5" x14ac:dyDescent="0.3">
      <c r="A250" s="30" t="s">
        <v>310</v>
      </c>
      <c r="B250" s="31">
        <v>217</v>
      </c>
      <c r="C250" s="32" t="s">
        <v>52</v>
      </c>
      <c r="D250" s="33" t="s">
        <v>322</v>
      </c>
      <c r="E250" s="56"/>
    </row>
    <row r="251" spans="1:5" x14ac:dyDescent="0.3">
      <c r="A251" s="55" t="s">
        <v>69</v>
      </c>
      <c r="B251" s="31">
        <v>865</v>
      </c>
      <c r="C251" s="32" t="s">
        <v>52</v>
      </c>
      <c r="D251" s="33" t="s">
        <v>322</v>
      </c>
      <c r="E251" s="56"/>
    </row>
    <row r="252" spans="1:5" x14ac:dyDescent="0.3">
      <c r="A252" s="55" t="s">
        <v>311</v>
      </c>
      <c r="B252" s="31">
        <v>3740</v>
      </c>
      <c r="C252" s="32" t="s">
        <v>52</v>
      </c>
      <c r="D252" s="33" t="s">
        <v>322</v>
      </c>
      <c r="E252" s="56"/>
    </row>
    <row r="253" spans="1:5" x14ac:dyDescent="0.3">
      <c r="A253" s="55" t="s">
        <v>172</v>
      </c>
      <c r="B253" s="31">
        <v>3398</v>
      </c>
      <c r="C253" s="32" t="s">
        <v>52</v>
      </c>
      <c r="D253" s="33" t="s">
        <v>322</v>
      </c>
      <c r="E253" s="56"/>
    </row>
    <row r="254" spans="1:5" x14ac:dyDescent="0.3">
      <c r="A254" s="55" t="s">
        <v>216</v>
      </c>
      <c r="B254" s="31">
        <v>223</v>
      </c>
      <c r="C254" s="32" t="s">
        <v>52</v>
      </c>
      <c r="D254" s="33" t="s">
        <v>322</v>
      </c>
      <c r="E254" s="56"/>
    </row>
    <row r="255" spans="1:5" x14ac:dyDescent="0.3">
      <c r="A255" s="55" t="s">
        <v>263</v>
      </c>
      <c r="B255" s="31">
        <v>561</v>
      </c>
      <c r="C255" s="32" t="s">
        <v>52</v>
      </c>
      <c r="D255" s="33" t="s">
        <v>322</v>
      </c>
      <c r="E255" s="56"/>
    </row>
    <row r="256" spans="1:5" x14ac:dyDescent="0.3">
      <c r="A256" s="55" t="s">
        <v>339</v>
      </c>
      <c r="B256" s="31">
        <v>679</v>
      </c>
      <c r="C256" s="32" t="s">
        <v>52</v>
      </c>
      <c r="D256" s="33" t="s">
        <v>322</v>
      </c>
      <c r="E256" s="56"/>
    </row>
    <row r="257" spans="1:5" x14ac:dyDescent="0.3">
      <c r="A257" s="55" t="s">
        <v>151</v>
      </c>
      <c r="B257" s="31">
        <v>9134</v>
      </c>
      <c r="C257" s="32" t="s">
        <v>52</v>
      </c>
      <c r="D257" s="33" t="s">
        <v>322</v>
      </c>
      <c r="E257" s="56"/>
    </row>
    <row r="258" spans="1:5" x14ac:dyDescent="0.3">
      <c r="A258" s="55" t="s">
        <v>171</v>
      </c>
      <c r="B258" s="31">
        <v>1424</v>
      </c>
      <c r="C258" s="32" t="s">
        <v>52</v>
      </c>
      <c r="D258" s="33" t="s">
        <v>322</v>
      </c>
      <c r="E258" s="56"/>
    </row>
    <row r="259" spans="1:5" x14ac:dyDescent="0.3">
      <c r="A259" s="55" t="s">
        <v>484</v>
      </c>
      <c r="B259" s="31">
        <v>9701</v>
      </c>
      <c r="C259" s="32" t="s">
        <v>52</v>
      </c>
      <c r="D259" s="33" t="s">
        <v>322</v>
      </c>
      <c r="E259" s="56"/>
    </row>
    <row r="260" spans="1:5" x14ac:dyDescent="0.3">
      <c r="A260" s="55" t="s">
        <v>177</v>
      </c>
      <c r="B260" s="31">
        <v>735</v>
      </c>
      <c r="C260" s="32" t="s">
        <v>52</v>
      </c>
      <c r="D260" s="33" t="s">
        <v>322</v>
      </c>
      <c r="E260" s="56"/>
    </row>
    <row r="261" spans="1:5" x14ac:dyDescent="0.3">
      <c r="A261" s="55" t="s">
        <v>72</v>
      </c>
      <c r="B261" s="31">
        <v>988</v>
      </c>
      <c r="C261" s="32" t="s">
        <v>52</v>
      </c>
      <c r="D261" s="33" t="s">
        <v>322</v>
      </c>
      <c r="E261" s="56"/>
    </row>
    <row r="262" spans="1:5" x14ac:dyDescent="0.3">
      <c r="A262" s="55" t="s">
        <v>160</v>
      </c>
      <c r="B262" s="31">
        <v>9190</v>
      </c>
      <c r="C262" s="32" t="s">
        <v>52</v>
      </c>
      <c r="D262" s="33" t="s">
        <v>323</v>
      </c>
      <c r="E262" s="56"/>
    </row>
    <row r="263" spans="1:5" x14ac:dyDescent="0.3">
      <c r="A263" s="55" t="s">
        <v>183</v>
      </c>
      <c r="B263" s="31">
        <v>3708</v>
      </c>
      <c r="C263" s="32" t="s">
        <v>52</v>
      </c>
      <c r="D263" s="33" t="s">
        <v>322</v>
      </c>
      <c r="E263" s="56"/>
    </row>
    <row r="264" spans="1:5" x14ac:dyDescent="0.3">
      <c r="A264" s="55" t="s">
        <v>214</v>
      </c>
      <c r="B264" s="31">
        <v>3461</v>
      </c>
      <c r="C264" s="32" t="s">
        <v>52</v>
      </c>
      <c r="D264" s="33" t="s">
        <v>322</v>
      </c>
      <c r="E264" s="56"/>
    </row>
    <row r="265" spans="1:5" x14ac:dyDescent="0.3">
      <c r="A265" s="55" t="s">
        <v>312</v>
      </c>
      <c r="B265" s="31">
        <v>3818</v>
      </c>
      <c r="C265" s="32" t="s">
        <v>52</v>
      </c>
      <c r="D265" s="33" t="s">
        <v>322</v>
      </c>
      <c r="E265" s="56"/>
    </row>
    <row r="266" spans="1:5" x14ac:dyDescent="0.3">
      <c r="A266" s="55" t="s">
        <v>313</v>
      </c>
      <c r="B266" s="31">
        <v>3956</v>
      </c>
      <c r="C266" s="32" t="s">
        <v>52</v>
      </c>
      <c r="D266" s="33" t="s">
        <v>322</v>
      </c>
      <c r="E266" s="56"/>
    </row>
    <row r="267" spans="1:5" x14ac:dyDescent="0.3">
      <c r="A267" s="55" t="s">
        <v>315</v>
      </c>
      <c r="B267" s="31">
        <v>3934</v>
      </c>
      <c r="C267" s="32" t="s">
        <v>52</v>
      </c>
      <c r="D267" s="33" t="s">
        <v>322</v>
      </c>
      <c r="E267" s="56"/>
    </row>
    <row r="268" spans="1:5" x14ac:dyDescent="0.3">
      <c r="A268" s="55" t="s">
        <v>316</v>
      </c>
      <c r="B268" s="31">
        <v>3829</v>
      </c>
      <c r="C268" s="32" t="s">
        <v>52</v>
      </c>
      <c r="D268" s="33" t="s">
        <v>322</v>
      </c>
      <c r="E268" s="56"/>
    </row>
    <row r="269" spans="1:5" x14ac:dyDescent="0.3">
      <c r="A269" s="55" t="s">
        <v>318</v>
      </c>
      <c r="B269" s="31">
        <v>3685</v>
      </c>
      <c r="C269" s="32" t="s">
        <v>52</v>
      </c>
      <c r="D269" s="33" t="s">
        <v>322</v>
      </c>
      <c r="E269" s="56"/>
    </row>
    <row r="270" spans="1:5" x14ac:dyDescent="0.3">
      <c r="A270" s="55" t="s">
        <v>319</v>
      </c>
      <c r="B270" s="31">
        <v>3070</v>
      </c>
      <c r="C270" s="32" t="s">
        <v>52</v>
      </c>
      <c r="D270" s="33" t="s">
        <v>322</v>
      </c>
      <c r="E270" s="56"/>
    </row>
    <row r="271" spans="1:5" x14ac:dyDescent="0.3">
      <c r="A271" s="55" t="s">
        <v>320</v>
      </c>
      <c r="B271" s="31">
        <v>3948</v>
      </c>
      <c r="C271" s="32" t="s">
        <v>52</v>
      </c>
      <c r="D271" s="33" t="s">
        <v>322</v>
      </c>
      <c r="E271" s="56"/>
    </row>
    <row r="272" spans="1:5" x14ac:dyDescent="0.3">
      <c r="A272" s="55" t="s">
        <v>498</v>
      </c>
      <c r="B272" s="31">
        <v>245</v>
      </c>
      <c r="C272" s="32" t="s">
        <v>52</v>
      </c>
      <c r="D272" s="33" t="s">
        <v>322</v>
      </c>
      <c r="E272" s="56"/>
    </row>
    <row r="273" spans="1:5" x14ac:dyDescent="0.3">
      <c r="A273" s="55" t="s">
        <v>321</v>
      </c>
      <c r="B273" s="31">
        <v>818</v>
      </c>
      <c r="C273" s="32" t="s">
        <v>52</v>
      </c>
      <c r="D273" s="33" t="s">
        <v>322</v>
      </c>
      <c r="E273" s="56"/>
    </row>
    <row r="274" spans="1:5" x14ac:dyDescent="0.3">
      <c r="A274" s="55" t="s">
        <v>345</v>
      </c>
      <c r="B274" s="31">
        <v>9510</v>
      </c>
      <c r="C274" s="32" t="s">
        <v>52</v>
      </c>
      <c r="D274" s="33" t="s">
        <v>322</v>
      </c>
      <c r="E274" s="56"/>
    </row>
    <row r="275" spans="1:5" x14ac:dyDescent="0.3">
      <c r="A275" s="55" t="s">
        <v>346</v>
      </c>
      <c r="B275" s="31">
        <v>219</v>
      </c>
      <c r="C275" s="32" t="s">
        <v>52</v>
      </c>
      <c r="D275" s="33" t="s">
        <v>322</v>
      </c>
      <c r="E275" s="56"/>
    </row>
    <row r="276" spans="1:5" x14ac:dyDescent="0.3">
      <c r="A276" s="55" t="s">
        <v>347</v>
      </c>
      <c r="B276" s="31">
        <v>3449</v>
      </c>
      <c r="C276" s="32" t="s">
        <v>52</v>
      </c>
      <c r="D276" s="33" t="s">
        <v>322</v>
      </c>
      <c r="E276" s="56"/>
    </row>
    <row r="277" spans="1:5" x14ac:dyDescent="0.3">
      <c r="A277" s="55" t="s">
        <v>348</v>
      </c>
      <c r="B277" s="31">
        <v>207</v>
      </c>
      <c r="C277" s="32" t="s">
        <v>52</v>
      </c>
      <c r="D277" s="33" t="s">
        <v>322</v>
      </c>
      <c r="E277" s="56"/>
    </row>
    <row r="278" spans="1:5" x14ac:dyDescent="0.3">
      <c r="A278" s="55" t="s">
        <v>349</v>
      </c>
      <c r="B278" s="31">
        <v>4055</v>
      </c>
      <c r="C278" s="32" t="s">
        <v>52</v>
      </c>
      <c r="D278" s="33" t="s">
        <v>322</v>
      </c>
      <c r="E278" s="56"/>
    </row>
    <row r="279" spans="1:5" x14ac:dyDescent="0.3">
      <c r="A279" s="55" t="s">
        <v>350</v>
      </c>
      <c r="B279" s="31">
        <v>774</v>
      </c>
      <c r="C279" s="32" t="s">
        <v>52</v>
      </c>
      <c r="D279" s="33" t="s">
        <v>322</v>
      </c>
      <c r="E279" s="56"/>
    </row>
    <row r="280" spans="1:5" x14ac:dyDescent="0.3">
      <c r="A280" s="55" t="s">
        <v>351</v>
      </c>
      <c r="B280" s="31">
        <v>9935</v>
      </c>
      <c r="C280" s="32" t="s">
        <v>52</v>
      </c>
      <c r="D280" s="33" t="s">
        <v>322</v>
      </c>
      <c r="E280" s="56"/>
    </row>
    <row r="281" spans="1:5" x14ac:dyDescent="0.3">
      <c r="A281" s="55" t="s">
        <v>352</v>
      </c>
      <c r="B281" s="31">
        <v>4042</v>
      </c>
      <c r="C281" s="32" t="s">
        <v>52</v>
      </c>
      <c r="D281" s="33" t="s">
        <v>322</v>
      </c>
      <c r="E281" s="56"/>
    </row>
    <row r="282" spans="1:5" x14ac:dyDescent="0.3">
      <c r="A282" s="55" t="s">
        <v>353</v>
      </c>
      <c r="B282" s="31">
        <v>226</v>
      </c>
      <c r="C282" s="32" t="s">
        <v>52</v>
      </c>
      <c r="D282" s="33" t="s">
        <v>322</v>
      </c>
      <c r="E282" s="57"/>
    </row>
    <row r="283" spans="1:5" x14ac:dyDescent="0.3">
      <c r="A283" s="55" t="s">
        <v>354</v>
      </c>
      <c r="B283" s="31">
        <v>3959</v>
      </c>
      <c r="C283" s="32" t="s">
        <v>52</v>
      </c>
      <c r="D283" s="33" t="s">
        <v>322</v>
      </c>
      <c r="E283" s="56"/>
    </row>
    <row r="284" spans="1:5" x14ac:dyDescent="0.3">
      <c r="A284" s="55" t="s">
        <v>355</v>
      </c>
      <c r="B284" s="31">
        <v>7038</v>
      </c>
      <c r="C284" s="32" t="s">
        <v>52</v>
      </c>
      <c r="D284" s="33" t="s">
        <v>322</v>
      </c>
      <c r="E284" s="56"/>
    </row>
    <row r="285" spans="1:5" x14ac:dyDescent="0.3">
      <c r="A285" s="55" t="s">
        <v>356</v>
      </c>
      <c r="B285" s="31">
        <v>2777</v>
      </c>
      <c r="C285" s="32" t="s">
        <v>52</v>
      </c>
      <c r="D285" s="33" t="s">
        <v>322</v>
      </c>
      <c r="E285" s="56"/>
    </row>
    <row r="286" spans="1:5" x14ac:dyDescent="0.3">
      <c r="A286" s="55" t="s">
        <v>357</v>
      </c>
      <c r="B286" s="31">
        <v>2746</v>
      </c>
      <c r="C286" s="32" t="s">
        <v>52</v>
      </c>
      <c r="D286" s="33" t="s">
        <v>322</v>
      </c>
      <c r="E286" s="56"/>
    </row>
    <row r="287" spans="1:5" x14ac:dyDescent="0.3">
      <c r="A287" s="55" t="s">
        <v>358</v>
      </c>
      <c r="B287" s="31">
        <v>1786</v>
      </c>
      <c r="C287" s="32" t="s">
        <v>52</v>
      </c>
      <c r="D287" s="33" t="s">
        <v>322</v>
      </c>
      <c r="E287" s="56"/>
    </row>
    <row r="288" spans="1:5" x14ac:dyDescent="0.3">
      <c r="A288" s="55" t="s">
        <v>359</v>
      </c>
      <c r="B288" s="31">
        <v>3198</v>
      </c>
      <c r="C288" s="32" t="s">
        <v>52</v>
      </c>
      <c r="D288" s="33" t="s">
        <v>322</v>
      </c>
      <c r="E288" s="56"/>
    </row>
    <row r="289" spans="1:5" x14ac:dyDescent="0.3">
      <c r="A289" s="55" t="s">
        <v>360</v>
      </c>
      <c r="B289" s="31">
        <v>9740</v>
      </c>
      <c r="C289" s="32" t="s">
        <v>52</v>
      </c>
      <c r="D289" s="33" t="s">
        <v>322</v>
      </c>
      <c r="E289" s="56"/>
    </row>
    <row r="290" spans="1:5" x14ac:dyDescent="0.3">
      <c r="A290" s="55" t="s">
        <v>361</v>
      </c>
      <c r="B290" s="31">
        <v>2394</v>
      </c>
      <c r="C290" s="32" t="s">
        <v>52</v>
      </c>
      <c r="D290" s="33" t="s">
        <v>322</v>
      </c>
      <c r="E290" s="56"/>
    </row>
    <row r="291" spans="1:5" x14ac:dyDescent="0.3">
      <c r="A291" s="55" t="s">
        <v>362</v>
      </c>
      <c r="B291" s="31">
        <v>4029</v>
      </c>
      <c r="C291" s="32" t="s">
        <v>52</v>
      </c>
      <c r="D291" s="33" t="s">
        <v>322</v>
      </c>
      <c r="E291" s="56"/>
    </row>
    <row r="292" spans="1:5" x14ac:dyDescent="0.3">
      <c r="A292" s="55" t="s">
        <v>363</v>
      </c>
      <c r="B292" s="31">
        <v>3787</v>
      </c>
      <c r="C292" s="32" t="s">
        <v>52</v>
      </c>
      <c r="D292" s="33" t="s">
        <v>322</v>
      </c>
      <c r="E292" s="56"/>
    </row>
    <row r="293" spans="1:5" x14ac:dyDescent="0.3">
      <c r="A293" s="55" t="s">
        <v>364</v>
      </c>
      <c r="B293" s="31">
        <v>3554</v>
      </c>
      <c r="C293" s="32" t="s">
        <v>52</v>
      </c>
      <c r="D293" s="33" t="s">
        <v>322</v>
      </c>
      <c r="E293" s="56"/>
    </row>
    <row r="294" spans="1:5" x14ac:dyDescent="0.3">
      <c r="A294" s="55" t="s">
        <v>499</v>
      </c>
      <c r="B294" s="31">
        <v>2849</v>
      </c>
      <c r="C294" s="32" t="s">
        <v>52</v>
      </c>
      <c r="D294" s="33" t="s">
        <v>323</v>
      </c>
      <c r="E294" s="56"/>
    </row>
    <row r="295" spans="1:5" x14ac:dyDescent="0.3">
      <c r="A295" s="55" t="s">
        <v>365</v>
      </c>
      <c r="B295" s="31">
        <v>2218</v>
      </c>
      <c r="C295" s="32" t="s">
        <v>52</v>
      </c>
      <c r="D295" s="33" t="s">
        <v>322</v>
      </c>
      <c r="E295" s="56"/>
    </row>
    <row r="296" spans="1:5" x14ac:dyDescent="0.3">
      <c r="A296" s="55" t="s">
        <v>366</v>
      </c>
      <c r="B296" s="31">
        <v>1615</v>
      </c>
      <c r="C296" s="32" t="s">
        <v>52</v>
      </c>
      <c r="D296" s="33" t="s">
        <v>322</v>
      </c>
      <c r="E296" s="56"/>
    </row>
    <row r="297" spans="1:5" x14ac:dyDescent="0.3">
      <c r="A297" s="55" t="s">
        <v>368</v>
      </c>
      <c r="B297" s="31">
        <v>3242</v>
      </c>
      <c r="C297" s="32" t="s">
        <v>52</v>
      </c>
      <c r="D297" s="33" t="s">
        <v>322</v>
      </c>
      <c r="E297" s="56"/>
    </row>
    <row r="298" spans="1:5" x14ac:dyDescent="0.3">
      <c r="A298" s="55" t="s">
        <v>369</v>
      </c>
      <c r="B298" s="31">
        <v>1502</v>
      </c>
      <c r="C298" s="32" t="s">
        <v>52</v>
      </c>
      <c r="D298" s="33" t="s">
        <v>322</v>
      </c>
      <c r="E298" s="56"/>
    </row>
    <row r="299" spans="1:5" x14ac:dyDescent="0.3">
      <c r="A299" s="55" t="s">
        <v>370</v>
      </c>
      <c r="B299" s="31">
        <v>1422</v>
      </c>
      <c r="C299" s="32" t="s">
        <v>52</v>
      </c>
      <c r="D299" s="33" t="s">
        <v>322</v>
      </c>
      <c r="E299" s="56"/>
    </row>
    <row r="300" spans="1:5" x14ac:dyDescent="0.3">
      <c r="A300" s="55" t="s">
        <v>371</v>
      </c>
      <c r="B300" s="31">
        <v>1453</v>
      </c>
      <c r="C300" s="32" t="s">
        <v>52</v>
      </c>
      <c r="D300" s="33" t="s">
        <v>322</v>
      </c>
      <c r="E300" s="56"/>
    </row>
    <row r="301" spans="1:5" x14ac:dyDescent="0.3">
      <c r="A301" s="55" t="s">
        <v>372</v>
      </c>
      <c r="B301" s="31">
        <v>4072</v>
      </c>
      <c r="C301" s="32" t="s">
        <v>52</v>
      </c>
      <c r="D301" s="33" t="s">
        <v>322</v>
      </c>
      <c r="E301" s="56"/>
    </row>
    <row r="302" spans="1:5" x14ac:dyDescent="0.3">
      <c r="A302" s="55" t="s">
        <v>373</v>
      </c>
      <c r="B302" s="31">
        <v>127</v>
      </c>
      <c r="C302" s="32" t="s">
        <v>52</v>
      </c>
      <c r="D302" s="33" t="s">
        <v>322</v>
      </c>
      <c r="E302" s="56"/>
    </row>
    <row r="303" spans="1:5" x14ac:dyDescent="0.3">
      <c r="A303" s="55" t="s">
        <v>374</v>
      </c>
      <c r="B303" s="31">
        <v>4070</v>
      </c>
      <c r="C303" s="32" t="s">
        <v>52</v>
      </c>
      <c r="D303" s="33" t="s">
        <v>322</v>
      </c>
      <c r="E303" s="56"/>
    </row>
    <row r="304" spans="1:5" x14ac:dyDescent="0.3">
      <c r="A304" s="55" t="s">
        <v>375</v>
      </c>
      <c r="B304" s="31">
        <v>515</v>
      </c>
      <c r="C304" s="32" t="s">
        <v>52</v>
      </c>
      <c r="D304" s="33" t="s">
        <v>322</v>
      </c>
      <c r="E304" s="56"/>
    </row>
    <row r="305" spans="1:5" x14ac:dyDescent="0.3">
      <c r="A305" s="55" t="s">
        <v>376</v>
      </c>
      <c r="B305" s="31">
        <v>412</v>
      </c>
      <c r="C305" s="32" t="s">
        <v>52</v>
      </c>
      <c r="D305" s="33" t="s">
        <v>322</v>
      </c>
      <c r="E305" s="56"/>
    </row>
    <row r="306" spans="1:5" x14ac:dyDescent="0.3">
      <c r="A306" s="55" t="s">
        <v>500</v>
      </c>
      <c r="B306" s="31">
        <v>2467</v>
      </c>
      <c r="C306" s="32" t="s">
        <v>52</v>
      </c>
      <c r="D306" s="33" t="s">
        <v>322</v>
      </c>
      <c r="E306" s="56"/>
    </row>
    <row r="307" spans="1:5" x14ac:dyDescent="0.3">
      <c r="A307" s="55" t="s">
        <v>96</v>
      </c>
      <c r="B307" s="31">
        <v>3113</v>
      </c>
      <c r="C307" s="32" t="s">
        <v>52</v>
      </c>
      <c r="D307" s="33" t="s">
        <v>322</v>
      </c>
      <c r="E307" s="56"/>
    </row>
    <row r="308" spans="1:5" x14ac:dyDescent="0.3">
      <c r="A308" s="55" t="s">
        <v>377</v>
      </c>
      <c r="B308" s="31">
        <v>3638</v>
      </c>
      <c r="C308" s="32" t="s">
        <v>52</v>
      </c>
      <c r="D308" s="33" t="s">
        <v>322</v>
      </c>
      <c r="E308" s="56"/>
    </row>
    <row r="309" spans="1:5" x14ac:dyDescent="0.3">
      <c r="A309" s="55" t="s">
        <v>426</v>
      </c>
      <c r="B309" s="31">
        <v>3014</v>
      </c>
      <c r="C309" s="32" t="s">
        <v>52</v>
      </c>
      <c r="D309" s="33" t="s">
        <v>322</v>
      </c>
      <c r="E309" s="56"/>
    </row>
    <row r="310" spans="1:5" x14ac:dyDescent="0.3">
      <c r="A310" s="55" t="s">
        <v>92</v>
      </c>
      <c r="B310" s="31">
        <v>2674</v>
      </c>
      <c r="C310" s="32" t="s">
        <v>52</v>
      </c>
      <c r="D310" s="33" t="s">
        <v>322</v>
      </c>
      <c r="E310" s="56"/>
    </row>
    <row r="311" spans="1:5" x14ac:dyDescent="0.3">
      <c r="A311" s="55" t="s">
        <v>92</v>
      </c>
      <c r="B311" s="31">
        <v>9045</v>
      </c>
      <c r="C311" s="32" t="s">
        <v>52</v>
      </c>
      <c r="D311" s="33" t="s">
        <v>322</v>
      </c>
      <c r="E311" s="56"/>
    </row>
    <row r="312" spans="1:5" x14ac:dyDescent="0.3">
      <c r="A312" s="55" t="s">
        <v>501</v>
      </c>
      <c r="B312" s="31">
        <v>3381</v>
      </c>
      <c r="C312" s="32" t="s">
        <v>52</v>
      </c>
      <c r="D312" s="33" t="s">
        <v>322</v>
      </c>
      <c r="E312" s="56"/>
    </row>
    <row r="313" spans="1:5" x14ac:dyDescent="0.3">
      <c r="A313" s="55" t="s">
        <v>415</v>
      </c>
      <c r="B313" s="31">
        <v>2014</v>
      </c>
      <c r="C313" s="32" t="s">
        <v>52</v>
      </c>
      <c r="D313" s="33" t="s">
        <v>322</v>
      </c>
      <c r="E313" s="56"/>
    </row>
    <row r="314" spans="1:5" x14ac:dyDescent="0.3">
      <c r="A314" s="55" t="s">
        <v>379</v>
      </c>
      <c r="B314" s="31">
        <v>3954</v>
      </c>
      <c r="C314" s="32" t="s">
        <v>52</v>
      </c>
      <c r="D314" s="33" t="s">
        <v>322</v>
      </c>
      <c r="E314" s="56"/>
    </row>
    <row r="315" spans="1:5" x14ac:dyDescent="0.3">
      <c r="A315" s="55" t="s">
        <v>380</v>
      </c>
      <c r="B315" s="31">
        <v>4073</v>
      </c>
      <c r="C315" s="32" t="s">
        <v>52</v>
      </c>
      <c r="D315" s="33" t="s">
        <v>322</v>
      </c>
      <c r="E315" s="56"/>
    </row>
    <row r="316" spans="1:5" x14ac:dyDescent="0.3">
      <c r="A316" s="55" t="s">
        <v>381</v>
      </c>
      <c r="B316" s="31">
        <v>1844</v>
      </c>
      <c r="C316" s="32" t="s">
        <v>52</v>
      </c>
      <c r="D316" s="33" t="s">
        <v>322</v>
      </c>
      <c r="E316" s="56"/>
    </row>
    <row r="317" spans="1:5" x14ac:dyDescent="0.3">
      <c r="A317" s="55" t="s">
        <v>236</v>
      </c>
      <c r="B317" s="31">
        <v>2416</v>
      </c>
      <c r="C317" s="32" t="s">
        <v>52</v>
      </c>
      <c r="D317" s="33" t="s">
        <v>322</v>
      </c>
      <c r="E317" s="56"/>
    </row>
    <row r="318" spans="1:5" x14ac:dyDescent="0.3">
      <c r="A318" s="55" t="s">
        <v>382</v>
      </c>
      <c r="B318" s="31">
        <v>7106</v>
      </c>
      <c r="C318" s="32" t="s">
        <v>52</v>
      </c>
      <c r="D318" s="33" t="s">
        <v>323</v>
      </c>
      <c r="E318" s="56"/>
    </row>
    <row r="319" spans="1:5" x14ac:dyDescent="0.3">
      <c r="A319" s="55" t="s">
        <v>383</v>
      </c>
      <c r="B319" s="31">
        <v>3924</v>
      </c>
      <c r="C319" s="32" t="s">
        <v>52</v>
      </c>
      <c r="D319" s="33" t="s">
        <v>322</v>
      </c>
      <c r="E319" s="56"/>
    </row>
    <row r="320" spans="1:5" x14ac:dyDescent="0.3">
      <c r="A320" s="55" t="s">
        <v>239</v>
      </c>
      <c r="B320" s="31">
        <v>2189</v>
      </c>
      <c r="C320" s="32" t="s">
        <v>52</v>
      </c>
      <c r="D320" s="33" t="s">
        <v>322</v>
      </c>
      <c r="E320" s="56"/>
    </row>
    <row r="321" spans="1:5" x14ac:dyDescent="0.3">
      <c r="A321" s="55" t="s">
        <v>384</v>
      </c>
      <c r="B321" s="31">
        <v>4145</v>
      </c>
      <c r="C321" s="32" t="s">
        <v>52</v>
      </c>
      <c r="D321" s="33" t="s">
        <v>322</v>
      </c>
      <c r="E321" s="56"/>
    </row>
    <row r="322" spans="1:5" x14ac:dyDescent="0.3">
      <c r="A322" s="55" t="s">
        <v>385</v>
      </c>
      <c r="B322" s="31">
        <v>4026</v>
      </c>
      <c r="C322" s="32" t="s">
        <v>52</v>
      </c>
      <c r="D322" s="33" t="s">
        <v>322</v>
      </c>
      <c r="E322" s="56"/>
    </row>
    <row r="323" spans="1:5" x14ac:dyDescent="0.3">
      <c r="A323" s="55" t="s">
        <v>386</v>
      </c>
      <c r="B323" s="31">
        <v>3912</v>
      </c>
      <c r="C323" s="32" t="s">
        <v>52</v>
      </c>
      <c r="D323" s="33" t="s">
        <v>322</v>
      </c>
      <c r="E323" s="56"/>
    </row>
    <row r="324" spans="1:5" x14ac:dyDescent="0.3">
      <c r="A324" s="55" t="s">
        <v>387</v>
      </c>
      <c r="B324" s="31">
        <v>3939</v>
      </c>
      <c r="C324" s="32" t="s">
        <v>52</v>
      </c>
      <c r="D324" s="33" t="s">
        <v>322</v>
      </c>
      <c r="E324" s="56"/>
    </row>
    <row r="325" spans="1:5" x14ac:dyDescent="0.3">
      <c r="A325" s="55" t="s">
        <v>388</v>
      </c>
      <c r="B325" s="31">
        <v>3691</v>
      </c>
      <c r="C325" s="32" t="s">
        <v>52</v>
      </c>
      <c r="D325" s="33" t="s">
        <v>322</v>
      </c>
      <c r="E325" s="56"/>
    </row>
    <row r="326" spans="1:5" x14ac:dyDescent="0.3">
      <c r="A326" s="55" t="s">
        <v>389</v>
      </c>
      <c r="B326" s="31">
        <v>1591</v>
      </c>
      <c r="C326" s="32" t="s">
        <v>52</v>
      </c>
      <c r="D326" s="33" t="s">
        <v>322</v>
      </c>
      <c r="E326" s="56"/>
    </row>
    <row r="327" spans="1:5" x14ac:dyDescent="0.3">
      <c r="A327" s="55" t="s">
        <v>180</v>
      </c>
      <c r="B327" s="31">
        <v>9637</v>
      </c>
      <c r="C327" s="32" t="s">
        <v>52</v>
      </c>
      <c r="D327" s="33" t="s">
        <v>322</v>
      </c>
      <c r="E327" s="56"/>
    </row>
    <row r="328" spans="1:5" x14ac:dyDescent="0.3">
      <c r="A328" s="55" t="s">
        <v>281</v>
      </c>
      <c r="B328" s="31">
        <v>3768</v>
      </c>
      <c r="C328" s="32" t="s">
        <v>52</v>
      </c>
      <c r="D328" s="33" t="s">
        <v>322</v>
      </c>
      <c r="E328" s="56"/>
    </row>
    <row r="329" spans="1:5" x14ac:dyDescent="0.3">
      <c r="A329" s="55" t="s">
        <v>253</v>
      </c>
      <c r="B329" s="31">
        <v>3509</v>
      </c>
      <c r="C329" s="32" t="s">
        <v>52</v>
      </c>
      <c r="D329" s="33" t="s">
        <v>322</v>
      </c>
      <c r="E329" s="56"/>
    </row>
    <row r="330" spans="1:5" x14ac:dyDescent="0.3">
      <c r="A330" s="55" t="s">
        <v>390</v>
      </c>
      <c r="B330" s="31">
        <v>3568</v>
      </c>
      <c r="C330" s="32" t="s">
        <v>52</v>
      </c>
      <c r="D330" s="33" t="s">
        <v>322</v>
      </c>
      <c r="E330" s="56"/>
    </row>
    <row r="331" spans="1:5" x14ac:dyDescent="0.3">
      <c r="A331" s="55" t="s">
        <v>114</v>
      </c>
      <c r="B331" s="31">
        <v>541</v>
      </c>
      <c r="C331" s="32" t="s">
        <v>52</v>
      </c>
      <c r="D331" s="33" t="s">
        <v>322</v>
      </c>
      <c r="E331" s="56"/>
    </row>
    <row r="332" spans="1:5" x14ac:dyDescent="0.3">
      <c r="A332" s="55" t="s">
        <v>391</v>
      </c>
      <c r="B332" s="31">
        <v>9177</v>
      </c>
      <c r="C332" s="32" t="s">
        <v>52</v>
      </c>
      <c r="D332" s="33" t="s">
        <v>322</v>
      </c>
      <c r="E332" s="56"/>
    </row>
    <row r="333" spans="1:5" x14ac:dyDescent="0.3">
      <c r="A333" s="55" t="s">
        <v>392</v>
      </c>
      <c r="B333" s="31">
        <v>3840</v>
      </c>
      <c r="C333" s="32" t="s">
        <v>52</v>
      </c>
      <c r="D333" s="33" t="s">
        <v>322</v>
      </c>
      <c r="E333" s="56"/>
    </row>
    <row r="334" spans="1:5" x14ac:dyDescent="0.3">
      <c r="A334" s="55" t="s">
        <v>90</v>
      </c>
      <c r="B334" s="31">
        <v>224</v>
      </c>
      <c r="C334" s="32" t="s">
        <v>52</v>
      </c>
      <c r="D334" s="33" t="s">
        <v>322</v>
      </c>
      <c r="E334" s="56"/>
    </row>
    <row r="335" spans="1:5" x14ac:dyDescent="0.3">
      <c r="A335" s="55" t="s">
        <v>278</v>
      </c>
      <c r="B335" s="31">
        <v>3695</v>
      </c>
      <c r="C335" s="32" t="s">
        <v>52</v>
      </c>
      <c r="D335" s="33" t="s">
        <v>322</v>
      </c>
      <c r="E335" s="56"/>
    </row>
    <row r="336" spans="1:5" x14ac:dyDescent="0.3">
      <c r="A336" s="55" t="s">
        <v>163</v>
      </c>
      <c r="B336" s="31">
        <v>677</v>
      </c>
      <c r="C336" s="32" t="s">
        <v>52</v>
      </c>
      <c r="D336" s="33" t="s">
        <v>322</v>
      </c>
      <c r="E336" s="56"/>
    </row>
    <row r="337" spans="1:5" x14ac:dyDescent="0.3">
      <c r="A337" s="55" t="s">
        <v>393</v>
      </c>
      <c r="B337" s="31">
        <v>233</v>
      </c>
      <c r="C337" s="32" t="s">
        <v>52</v>
      </c>
      <c r="D337" s="33" t="s">
        <v>322</v>
      </c>
      <c r="E337" s="56"/>
    </row>
    <row r="338" spans="1:5" x14ac:dyDescent="0.3">
      <c r="A338" s="55" t="s">
        <v>447</v>
      </c>
      <c r="B338" s="31">
        <v>4100</v>
      </c>
      <c r="C338" s="32" t="s">
        <v>52</v>
      </c>
      <c r="D338" s="33" t="s">
        <v>322</v>
      </c>
      <c r="E338" s="56"/>
    </row>
    <row r="339" spans="1:5" x14ac:dyDescent="0.3">
      <c r="A339" s="55" t="s">
        <v>407</v>
      </c>
      <c r="B339" s="31">
        <v>1480</v>
      </c>
      <c r="C339" s="32" t="s">
        <v>52</v>
      </c>
      <c r="D339" s="33" t="s">
        <v>322</v>
      </c>
      <c r="E339" s="56"/>
    </row>
    <row r="340" spans="1:5" x14ac:dyDescent="0.3">
      <c r="A340" s="55" t="s">
        <v>423</v>
      </c>
      <c r="B340" s="31">
        <v>2850</v>
      </c>
      <c r="C340" s="32" t="s">
        <v>52</v>
      </c>
      <c r="D340" s="33" t="s">
        <v>322</v>
      </c>
      <c r="E340" s="56"/>
    </row>
    <row r="341" spans="1:5" x14ac:dyDescent="0.3">
      <c r="A341" s="55" t="s">
        <v>431</v>
      </c>
      <c r="B341" s="31">
        <v>3335</v>
      </c>
      <c r="C341" s="32" t="s">
        <v>52</v>
      </c>
      <c r="D341" s="33" t="s">
        <v>322</v>
      </c>
      <c r="E341" s="56"/>
    </row>
    <row r="342" spans="1:5" x14ac:dyDescent="0.3">
      <c r="A342" s="55" t="s">
        <v>437</v>
      </c>
      <c r="B342" s="31">
        <v>3719</v>
      </c>
      <c r="C342" s="32" t="s">
        <v>52</v>
      </c>
      <c r="D342" s="33" t="s">
        <v>322</v>
      </c>
      <c r="E342" s="56"/>
    </row>
    <row r="343" spans="1:5" x14ac:dyDescent="0.3">
      <c r="A343" s="55" t="s">
        <v>429</v>
      </c>
      <c r="B343" s="31">
        <v>3127</v>
      </c>
      <c r="C343" s="32" t="s">
        <v>52</v>
      </c>
      <c r="D343" s="33" t="s">
        <v>322</v>
      </c>
      <c r="E343" s="56"/>
    </row>
    <row r="344" spans="1:5" x14ac:dyDescent="0.3">
      <c r="A344" s="55" t="s">
        <v>422</v>
      </c>
      <c r="B344" s="31">
        <v>2784</v>
      </c>
      <c r="C344" s="32" t="s">
        <v>52</v>
      </c>
      <c r="D344" s="33" t="s">
        <v>322</v>
      </c>
      <c r="E344" s="56"/>
    </row>
    <row r="345" spans="1:5" x14ac:dyDescent="0.3">
      <c r="A345" s="55" t="s">
        <v>453</v>
      </c>
      <c r="B345" s="31">
        <v>4181</v>
      </c>
      <c r="C345" s="32" t="s">
        <v>52</v>
      </c>
      <c r="D345" s="33" t="s">
        <v>322</v>
      </c>
      <c r="E345" s="56"/>
    </row>
    <row r="346" spans="1:5" x14ac:dyDescent="0.3">
      <c r="A346" s="55" t="s">
        <v>478</v>
      </c>
      <c r="B346" s="31">
        <v>7629</v>
      </c>
      <c r="C346" s="32" t="s">
        <v>52</v>
      </c>
      <c r="D346" s="33" t="s">
        <v>322</v>
      </c>
      <c r="E346" s="56"/>
    </row>
    <row r="347" spans="1:5" x14ac:dyDescent="0.3">
      <c r="A347" s="55" t="s">
        <v>434</v>
      </c>
      <c r="B347" s="31">
        <v>3399</v>
      </c>
      <c r="C347" s="32" t="s">
        <v>52</v>
      </c>
      <c r="D347" s="33" t="s">
        <v>322</v>
      </c>
      <c r="E347" s="56"/>
    </row>
    <row r="348" spans="1:5" x14ac:dyDescent="0.3">
      <c r="A348" s="55" t="s">
        <v>502</v>
      </c>
      <c r="B348" s="31">
        <v>446</v>
      </c>
      <c r="C348" s="32" t="s">
        <v>52</v>
      </c>
      <c r="D348" s="33" t="s">
        <v>322</v>
      </c>
      <c r="E348" s="56"/>
    </row>
    <row r="349" spans="1:5" x14ac:dyDescent="0.3">
      <c r="A349" s="55" t="s">
        <v>457</v>
      </c>
      <c r="B349" s="31">
        <v>4251</v>
      </c>
      <c r="C349" s="32" t="s">
        <v>52</v>
      </c>
      <c r="D349" s="33" t="s">
        <v>322</v>
      </c>
      <c r="E349" s="56"/>
    </row>
    <row r="350" spans="1:5" x14ac:dyDescent="0.3">
      <c r="A350" s="55" t="s">
        <v>413</v>
      </c>
      <c r="B350" s="31">
        <v>1874</v>
      </c>
      <c r="C350" s="32" t="s">
        <v>52</v>
      </c>
      <c r="D350" s="33" t="s">
        <v>322</v>
      </c>
      <c r="E350" s="56"/>
    </row>
    <row r="351" spans="1:5" x14ac:dyDescent="0.3">
      <c r="A351" s="55" t="s">
        <v>403</v>
      </c>
      <c r="B351" s="31">
        <v>957</v>
      </c>
      <c r="C351" s="32" t="s">
        <v>52</v>
      </c>
      <c r="D351" s="33" t="s">
        <v>322</v>
      </c>
      <c r="E351" s="56"/>
    </row>
    <row r="352" spans="1:5" x14ac:dyDescent="0.3">
      <c r="A352" s="55" t="s">
        <v>451</v>
      </c>
      <c r="B352" s="31">
        <v>4154</v>
      </c>
      <c r="C352" s="32" t="s">
        <v>52</v>
      </c>
      <c r="D352" s="33" t="s">
        <v>322</v>
      </c>
      <c r="E352" s="56"/>
    </row>
    <row r="353" spans="1:5" x14ac:dyDescent="0.3">
      <c r="A353" s="55" t="s">
        <v>446</v>
      </c>
      <c r="B353" s="31">
        <v>4099</v>
      </c>
      <c r="C353" s="32" t="s">
        <v>52</v>
      </c>
      <c r="D353" s="33" t="s">
        <v>322</v>
      </c>
      <c r="E353" s="56"/>
    </row>
    <row r="354" spans="1:5" x14ac:dyDescent="0.3">
      <c r="A354" s="55" t="s">
        <v>477</v>
      </c>
      <c r="B354" s="31">
        <v>7109</v>
      </c>
      <c r="C354" s="32" t="s">
        <v>52</v>
      </c>
      <c r="D354" s="33" t="s">
        <v>322</v>
      </c>
      <c r="E354" s="56"/>
    </row>
    <row r="355" spans="1:5" x14ac:dyDescent="0.3">
      <c r="A355" s="55" t="s">
        <v>479</v>
      </c>
      <c r="B355" s="31">
        <v>9102</v>
      </c>
      <c r="C355" s="32" t="s">
        <v>52</v>
      </c>
      <c r="D355" s="33" t="s">
        <v>322</v>
      </c>
      <c r="E355" s="56"/>
    </row>
    <row r="356" spans="1:5" x14ac:dyDescent="0.3">
      <c r="A356" s="55" t="s">
        <v>488</v>
      </c>
      <c r="B356" s="31">
        <v>9891</v>
      </c>
      <c r="C356" s="32" t="s">
        <v>52</v>
      </c>
      <c r="D356" s="33" t="s">
        <v>322</v>
      </c>
      <c r="E356" s="56"/>
    </row>
    <row r="357" spans="1:5" x14ac:dyDescent="0.3">
      <c r="A357" s="55" t="s">
        <v>449</v>
      </c>
      <c r="B357" s="31">
        <v>4135</v>
      </c>
      <c r="C357" s="32" t="s">
        <v>52</v>
      </c>
      <c r="D357" s="33" t="s">
        <v>322</v>
      </c>
      <c r="E357" s="56"/>
    </row>
    <row r="358" spans="1:5" x14ac:dyDescent="0.3">
      <c r="A358" s="55" t="s">
        <v>486</v>
      </c>
      <c r="B358" s="31">
        <v>9834</v>
      </c>
      <c r="C358" s="32" t="s">
        <v>52</v>
      </c>
      <c r="D358" s="33" t="s">
        <v>322</v>
      </c>
      <c r="E358" s="56"/>
    </row>
    <row r="359" spans="1:5" x14ac:dyDescent="0.3">
      <c r="A359" s="55" t="s">
        <v>105</v>
      </c>
      <c r="B359" s="31">
        <v>3504</v>
      </c>
      <c r="C359" s="32" t="s">
        <v>52</v>
      </c>
      <c r="D359" s="33" t="s">
        <v>322</v>
      </c>
      <c r="E359" s="56"/>
    </row>
    <row r="360" spans="1:5" x14ac:dyDescent="0.3">
      <c r="A360" s="55" t="s">
        <v>452</v>
      </c>
      <c r="B360" s="31">
        <v>4163</v>
      </c>
      <c r="C360" s="32" t="s">
        <v>52</v>
      </c>
      <c r="D360" s="33" t="s">
        <v>322</v>
      </c>
      <c r="E360" s="56"/>
    </row>
    <row r="361" spans="1:5" x14ac:dyDescent="0.3">
      <c r="A361" s="55" t="s">
        <v>450</v>
      </c>
      <c r="B361" s="31">
        <v>4138</v>
      </c>
      <c r="C361" s="32" t="s">
        <v>52</v>
      </c>
      <c r="D361" s="33" t="s">
        <v>322</v>
      </c>
      <c r="E361" s="56"/>
    </row>
    <row r="362" spans="1:5" x14ac:dyDescent="0.3">
      <c r="A362" s="55" t="s">
        <v>454</v>
      </c>
      <c r="B362" s="31">
        <v>4183</v>
      </c>
      <c r="C362" s="32" t="s">
        <v>52</v>
      </c>
      <c r="D362" s="33" t="s">
        <v>322</v>
      </c>
      <c r="E362" s="56"/>
    </row>
    <row r="363" spans="1:5" x14ac:dyDescent="0.3">
      <c r="A363" s="55" t="s">
        <v>432</v>
      </c>
      <c r="B363" s="31">
        <v>3348</v>
      </c>
      <c r="C363" s="32" t="s">
        <v>52</v>
      </c>
      <c r="D363" s="33" t="s">
        <v>322</v>
      </c>
      <c r="E363" s="56"/>
    </row>
    <row r="364" spans="1:5" x14ac:dyDescent="0.3">
      <c r="A364" s="55" t="s">
        <v>412</v>
      </c>
      <c r="B364" s="31">
        <v>1868</v>
      </c>
      <c r="C364" s="32" t="s">
        <v>52</v>
      </c>
      <c r="D364" s="33" t="s">
        <v>322</v>
      </c>
      <c r="E364" s="56"/>
    </row>
    <row r="365" spans="1:5" x14ac:dyDescent="0.3">
      <c r="A365" s="55" t="s">
        <v>400</v>
      </c>
      <c r="B365" s="31">
        <v>781</v>
      </c>
      <c r="C365" s="32" t="s">
        <v>52</v>
      </c>
      <c r="D365" s="33" t="s">
        <v>322</v>
      </c>
      <c r="E365" s="56"/>
    </row>
    <row r="366" spans="1:5" x14ac:dyDescent="0.3">
      <c r="A366" s="55" t="s">
        <v>436</v>
      </c>
      <c r="B366" s="31">
        <v>3666</v>
      </c>
      <c r="C366" s="32" t="s">
        <v>52</v>
      </c>
      <c r="D366" s="33" t="s">
        <v>322</v>
      </c>
      <c r="E366" s="56"/>
    </row>
    <row r="367" spans="1:5" x14ac:dyDescent="0.3">
      <c r="A367" s="55" t="s">
        <v>402</v>
      </c>
      <c r="B367" s="31">
        <v>951</v>
      </c>
      <c r="C367" s="32" t="s">
        <v>52</v>
      </c>
      <c r="D367" s="33" t="s">
        <v>322</v>
      </c>
      <c r="E367" s="56"/>
    </row>
    <row r="368" spans="1:5" x14ac:dyDescent="0.3">
      <c r="A368" s="55" t="s">
        <v>441</v>
      </c>
      <c r="B368" s="31">
        <v>3905</v>
      </c>
      <c r="C368" s="32" t="s">
        <v>52</v>
      </c>
      <c r="D368" s="33" t="s">
        <v>322</v>
      </c>
      <c r="E368" s="56"/>
    </row>
    <row r="369" spans="1:5" x14ac:dyDescent="0.3">
      <c r="A369" s="55" t="s">
        <v>459</v>
      </c>
      <c r="B369" s="31">
        <v>4278</v>
      </c>
      <c r="C369" s="32" t="s">
        <v>52</v>
      </c>
      <c r="D369" s="33" t="s">
        <v>322</v>
      </c>
      <c r="E369" s="56"/>
    </row>
    <row r="370" spans="1:5" x14ac:dyDescent="0.3">
      <c r="A370" s="55" t="s">
        <v>425</v>
      </c>
      <c r="B370" s="31">
        <v>2961</v>
      </c>
      <c r="C370" s="32" t="s">
        <v>52</v>
      </c>
      <c r="D370" s="33" t="s">
        <v>322</v>
      </c>
      <c r="E370" s="56"/>
    </row>
    <row r="371" spans="1:5" x14ac:dyDescent="0.3">
      <c r="A371" s="55" t="s">
        <v>463</v>
      </c>
      <c r="B371" s="31">
        <v>4300</v>
      </c>
      <c r="C371" s="32" t="s">
        <v>52</v>
      </c>
      <c r="D371" s="33" t="s">
        <v>322</v>
      </c>
      <c r="E371" s="56"/>
    </row>
    <row r="372" spans="1:5" x14ac:dyDescent="0.3">
      <c r="A372" s="55" t="s">
        <v>401</v>
      </c>
      <c r="B372" s="31">
        <v>803</v>
      </c>
      <c r="C372" s="32" t="s">
        <v>52</v>
      </c>
      <c r="D372" s="33" t="s">
        <v>322</v>
      </c>
      <c r="E372" s="56"/>
    </row>
    <row r="373" spans="1:5" x14ac:dyDescent="0.3">
      <c r="A373" s="55" t="s">
        <v>181</v>
      </c>
      <c r="B373" s="31">
        <v>1425</v>
      </c>
      <c r="C373" s="32" t="s">
        <v>52</v>
      </c>
      <c r="D373" s="33" t="s">
        <v>322</v>
      </c>
      <c r="E373" s="56"/>
    </row>
    <row r="374" spans="1:5" x14ac:dyDescent="0.3">
      <c r="A374" s="55" t="s">
        <v>482</v>
      </c>
      <c r="B374" s="31">
        <v>9354</v>
      </c>
      <c r="C374" s="32" t="s">
        <v>52</v>
      </c>
      <c r="D374" s="33" t="s">
        <v>322</v>
      </c>
      <c r="E374" s="56"/>
    </row>
    <row r="375" spans="1:5" x14ac:dyDescent="0.3">
      <c r="A375" s="55" t="s">
        <v>118</v>
      </c>
      <c r="B375" s="31">
        <v>722</v>
      </c>
      <c r="C375" s="32" t="s">
        <v>52</v>
      </c>
      <c r="D375" s="33" t="s">
        <v>322</v>
      </c>
      <c r="E375" s="56"/>
    </row>
    <row r="376" spans="1:5" x14ac:dyDescent="0.3">
      <c r="A376" s="55" t="s">
        <v>219</v>
      </c>
      <c r="B376" s="31">
        <v>9099</v>
      </c>
      <c r="C376" s="32" t="s">
        <v>52</v>
      </c>
      <c r="D376" s="33" t="s">
        <v>322</v>
      </c>
      <c r="E376" s="56"/>
    </row>
    <row r="377" spans="1:5" x14ac:dyDescent="0.3">
      <c r="A377" s="55" t="s">
        <v>464</v>
      </c>
      <c r="B377" s="31">
        <v>4301</v>
      </c>
      <c r="C377" s="32" t="s">
        <v>52</v>
      </c>
      <c r="D377" s="33" t="s">
        <v>322</v>
      </c>
      <c r="E377" s="56"/>
    </row>
    <row r="378" spans="1:5" x14ac:dyDescent="0.3">
      <c r="A378" s="55" t="s">
        <v>98</v>
      </c>
      <c r="B378" s="31">
        <v>3138</v>
      </c>
      <c r="C378" s="32" t="s">
        <v>52</v>
      </c>
      <c r="D378" s="33" t="s">
        <v>322</v>
      </c>
      <c r="E378" s="56"/>
    </row>
    <row r="379" spans="1:5" x14ac:dyDescent="0.3">
      <c r="A379" s="55" t="s">
        <v>445</v>
      </c>
      <c r="B379" s="31">
        <v>4078</v>
      </c>
      <c r="C379" s="32" t="s">
        <v>52</v>
      </c>
      <c r="D379" s="33" t="s">
        <v>322</v>
      </c>
      <c r="E379" s="56"/>
    </row>
    <row r="380" spans="1:5" x14ac:dyDescent="0.3">
      <c r="A380" s="55" t="s">
        <v>419</v>
      </c>
      <c r="B380" s="31">
        <v>2583</v>
      </c>
      <c r="C380" s="32" t="s">
        <v>52</v>
      </c>
      <c r="D380" s="33" t="s">
        <v>322</v>
      </c>
      <c r="E380" s="56"/>
    </row>
    <row r="381" spans="1:5" x14ac:dyDescent="0.3">
      <c r="A381" s="55" t="s">
        <v>237</v>
      </c>
      <c r="B381" s="31">
        <v>3613</v>
      </c>
      <c r="C381" s="32" t="s">
        <v>52</v>
      </c>
      <c r="D381" s="33" t="s">
        <v>322</v>
      </c>
      <c r="E381" s="56"/>
    </row>
    <row r="382" spans="1:5" x14ac:dyDescent="0.3">
      <c r="A382" s="55" t="s">
        <v>467</v>
      </c>
      <c r="B382" s="31">
        <v>4311</v>
      </c>
      <c r="C382" s="32" t="s">
        <v>52</v>
      </c>
      <c r="D382" s="33" t="s">
        <v>323</v>
      </c>
      <c r="E382" s="56"/>
    </row>
    <row r="383" spans="1:5" x14ac:dyDescent="0.3">
      <c r="A383" s="55" t="s">
        <v>410</v>
      </c>
      <c r="B383" s="31">
        <v>1798</v>
      </c>
      <c r="C383" s="32" t="s">
        <v>52</v>
      </c>
      <c r="D383" s="33" t="s">
        <v>322</v>
      </c>
      <c r="E383" s="56"/>
    </row>
    <row r="384" spans="1:5" x14ac:dyDescent="0.3">
      <c r="A384" s="55" t="s">
        <v>443</v>
      </c>
      <c r="B384" s="31">
        <v>3951</v>
      </c>
      <c r="C384" s="32" t="s">
        <v>52</v>
      </c>
      <c r="D384" s="33" t="s">
        <v>322</v>
      </c>
      <c r="E384" s="56"/>
    </row>
    <row r="385" spans="1:5" x14ac:dyDescent="0.3">
      <c r="A385" s="55" t="s">
        <v>211</v>
      </c>
      <c r="B385" s="31">
        <v>1595</v>
      </c>
      <c r="C385" s="32" t="s">
        <v>52</v>
      </c>
      <c r="D385" s="33" t="s">
        <v>322</v>
      </c>
      <c r="E385" s="56"/>
    </row>
    <row r="386" spans="1:5" x14ac:dyDescent="0.3">
      <c r="A386" s="55" t="s">
        <v>395</v>
      </c>
      <c r="B386" s="31">
        <v>291</v>
      </c>
      <c r="C386" s="32" t="s">
        <v>52</v>
      </c>
      <c r="D386" s="33" t="s">
        <v>322</v>
      </c>
      <c r="E386" s="56"/>
    </row>
    <row r="387" spans="1:5" x14ac:dyDescent="0.3">
      <c r="A387" s="55" t="s">
        <v>394</v>
      </c>
      <c r="B387" s="31">
        <v>9821</v>
      </c>
      <c r="C387" s="32" t="s">
        <v>52</v>
      </c>
      <c r="D387" s="33" t="s">
        <v>322</v>
      </c>
      <c r="E387" s="57"/>
    </row>
    <row r="388" spans="1:5" x14ac:dyDescent="0.3">
      <c r="A388" s="55" t="s">
        <v>367</v>
      </c>
      <c r="B388" s="31">
        <v>4103</v>
      </c>
      <c r="C388" s="32" t="s">
        <v>52</v>
      </c>
      <c r="D388" s="33" t="s">
        <v>322</v>
      </c>
      <c r="E388" s="56"/>
    </row>
    <row r="389" spans="1:5" x14ac:dyDescent="0.3">
      <c r="A389" s="55" t="s">
        <v>503</v>
      </c>
      <c r="B389" s="31">
        <v>4295</v>
      </c>
      <c r="C389" s="32" t="s">
        <v>52</v>
      </c>
      <c r="D389" s="33" t="s">
        <v>322</v>
      </c>
      <c r="E389" s="56"/>
    </row>
    <row r="390" spans="1:5" x14ac:dyDescent="0.3">
      <c r="A390" s="55" t="s">
        <v>480</v>
      </c>
      <c r="B390" s="31">
        <v>9158</v>
      </c>
      <c r="C390" s="32" t="s">
        <v>52</v>
      </c>
      <c r="D390" s="33" t="s">
        <v>322</v>
      </c>
      <c r="E390" s="56"/>
    </row>
    <row r="391" spans="1:5" x14ac:dyDescent="0.3">
      <c r="A391" s="55" t="s">
        <v>469</v>
      </c>
      <c r="B391" s="31">
        <v>4331</v>
      </c>
      <c r="C391" s="32" t="s">
        <v>52</v>
      </c>
      <c r="D391" s="33" t="s">
        <v>322</v>
      </c>
      <c r="E391" s="56"/>
    </row>
    <row r="392" spans="1:5" x14ac:dyDescent="0.3">
      <c r="A392" s="55" t="s">
        <v>440</v>
      </c>
      <c r="B392" s="31">
        <v>3838</v>
      </c>
      <c r="C392" s="32" t="s">
        <v>52</v>
      </c>
      <c r="D392" s="33" t="s">
        <v>322</v>
      </c>
      <c r="E392" s="56"/>
    </row>
    <row r="393" spans="1:5" x14ac:dyDescent="0.3">
      <c r="A393" s="55" t="s">
        <v>378</v>
      </c>
      <c r="B393" s="31">
        <v>3386</v>
      </c>
      <c r="C393" s="32" t="s">
        <v>52</v>
      </c>
      <c r="D393" s="33" t="s">
        <v>322</v>
      </c>
      <c r="E393" s="56"/>
    </row>
    <row r="394" spans="1:5" x14ac:dyDescent="0.3">
      <c r="A394" s="55" t="s">
        <v>461</v>
      </c>
      <c r="B394" s="31">
        <v>4294</v>
      </c>
      <c r="C394" s="32" t="s">
        <v>52</v>
      </c>
      <c r="D394" s="33" t="s">
        <v>322</v>
      </c>
      <c r="E394" s="56"/>
    </row>
    <row r="395" spans="1:5" x14ac:dyDescent="0.3">
      <c r="A395" s="55" t="s">
        <v>406</v>
      </c>
      <c r="B395" s="31">
        <v>1441</v>
      </c>
      <c r="C395" s="32" t="s">
        <v>52</v>
      </c>
      <c r="D395" s="33" t="s">
        <v>322</v>
      </c>
      <c r="E395" s="56"/>
    </row>
    <row r="396" spans="1:5" x14ac:dyDescent="0.3">
      <c r="A396" s="55" t="s">
        <v>285</v>
      </c>
      <c r="B396" s="31">
        <v>1894</v>
      </c>
      <c r="C396" s="32" t="s">
        <v>52</v>
      </c>
      <c r="D396" s="33" t="s">
        <v>322</v>
      </c>
      <c r="E396" s="56"/>
    </row>
    <row r="397" spans="1:5" x14ac:dyDescent="0.3">
      <c r="A397" s="55" t="s">
        <v>456</v>
      </c>
      <c r="B397" s="31">
        <v>4196</v>
      </c>
      <c r="C397" s="32" t="s">
        <v>52</v>
      </c>
      <c r="D397" s="33" t="s">
        <v>322</v>
      </c>
      <c r="E397" s="56"/>
    </row>
    <row r="398" spans="1:5" x14ac:dyDescent="0.3">
      <c r="A398" s="55" t="s">
        <v>471</v>
      </c>
      <c r="B398" s="31">
        <v>4337</v>
      </c>
      <c r="C398" s="32" t="s">
        <v>52</v>
      </c>
      <c r="D398" s="33" t="s">
        <v>322</v>
      </c>
      <c r="E398" s="56"/>
    </row>
    <row r="399" spans="1:5" x14ac:dyDescent="0.3">
      <c r="A399" s="55" t="s">
        <v>489</v>
      </c>
      <c r="B399" s="31">
        <v>9896</v>
      </c>
      <c r="C399" s="32" t="s">
        <v>52</v>
      </c>
      <c r="D399" s="33" t="s">
        <v>322</v>
      </c>
      <c r="E399" s="56"/>
    </row>
    <row r="400" spans="1:5" x14ac:dyDescent="0.3">
      <c r="A400" s="55" t="s">
        <v>334</v>
      </c>
      <c r="B400" s="31">
        <v>2356</v>
      </c>
      <c r="C400" s="32" t="s">
        <v>52</v>
      </c>
      <c r="D400" s="33" t="s">
        <v>322</v>
      </c>
      <c r="E400" s="56"/>
    </row>
    <row r="401" spans="1:5" x14ac:dyDescent="0.3">
      <c r="A401" s="55" t="s">
        <v>466</v>
      </c>
      <c r="B401" s="31">
        <v>4306</v>
      </c>
      <c r="C401" s="32" t="s">
        <v>52</v>
      </c>
      <c r="D401" s="33" t="s">
        <v>322</v>
      </c>
      <c r="E401" s="56"/>
    </row>
    <row r="402" spans="1:5" x14ac:dyDescent="0.3">
      <c r="A402" s="55" t="s">
        <v>430</v>
      </c>
      <c r="B402" s="31">
        <v>3206</v>
      </c>
      <c r="C402" s="32" t="s">
        <v>52</v>
      </c>
      <c r="D402" s="33" t="s">
        <v>322</v>
      </c>
      <c r="E402" s="56"/>
    </row>
    <row r="403" spans="1:5" x14ac:dyDescent="0.3">
      <c r="A403" s="55" t="s">
        <v>458</v>
      </c>
      <c r="B403" s="31">
        <v>4266</v>
      </c>
      <c r="C403" s="32" t="s">
        <v>52</v>
      </c>
      <c r="D403" s="33" t="s">
        <v>322</v>
      </c>
      <c r="E403" s="56"/>
    </row>
    <row r="404" spans="1:5" x14ac:dyDescent="0.3">
      <c r="A404" s="55" t="s">
        <v>487</v>
      </c>
      <c r="B404" s="31">
        <v>9887</v>
      </c>
      <c r="C404" s="32" t="s">
        <v>52</v>
      </c>
      <c r="D404" s="33" t="s">
        <v>322</v>
      </c>
      <c r="E404" s="56"/>
    </row>
    <row r="405" spans="1:5" x14ac:dyDescent="0.3">
      <c r="A405" s="55" t="s">
        <v>485</v>
      </c>
      <c r="B405" s="31">
        <v>9820</v>
      </c>
      <c r="C405" s="32" t="s">
        <v>52</v>
      </c>
      <c r="D405" s="33" t="s">
        <v>322</v>
      </c>
      <c r="E405" s="56"/>
    </row>
    <row r="406" spans="1:5" x14ac:dyDescent="0.3">
      <c r="A406" s="55" t="s">
        <v>404</v>
      </c>
      <c r="B406" s="31">
        <v>1209</v>
      </c>
      <c r="C406" s="32" t="s">
        <v>52</v>
      </c>
      <c r="D406" s="33" t="s">
        <v>322</v>
      </c>
      <c r="E406" s="56"/>
    </row>
    <row r="407" spans="1:5" x14ac:dyDescent="0.3">
      <c r="A407" s="55" t="s">
        <v>408</v>
      </c>
      <c r="B407" s="31">
        <v>1543</v>
      </c>
      <c r="C407" s="32" t="s">
        <v>52</v>
      </c>
      <c r="D407" s="33" t="s">
        <v>322</v>
      </c>
      <c r="E407" s="56"/>
    </row>
    <row r="408" spans="1:5" x14ac:dyDescent="0.3">
      <c r="A408" s="55" t="s">
        <v>59</v>
      </c>
      <c r="B408" s="31">
        <v>754</v>
      </c>
      <c r="C408" s="32" t="s">
        <v>52</v>
      </c>
      <c r="D408" s="33" t="s">
        <v>322</v>
      </c>
      <c r="E408" s="56"/>
    </row>
    <row r="409" spans="1:5" x14ac:dyDescent="0.3">
      <c r="A409" s="55" t="s">
        <v>81</v>
      </c>
      <c r="B409" s="31">
        <v>1485</v>
      </c>
      <c r="C409" s="32" t="s">
        <v>52</v>
      </c>
      <c r="D409" s="33" t="s">
        <v>322</v>
      </c>
      <c r="E409" s="56"/>
    </row>
    <row r="410" spans="1:5" x14ac:dyDescent="0.3">
      <c r="A410" s="55" t="s">
        <v>87</v>
      </c>
      <c r="B410" s="31">
        <v>7028</v>
      </c>
      <c r="C410" s="32" t="s">
        <v>52</v>
      </c>
      <c r="D410" s="33" t="s">
        <v>322</v>
      </c>
      <c r="E410" s="56"/>
    </row>
    <row r="411" spans="1:5" x14ac:dyDescent="0.3">
      <c r="A411" s="55" t="s">
        <v>427</v>
      </c>
      <c r="B411" s="31">
        <v>3049</v>
      </c>
      <c r="C411" s="32" t="s">
        <v>52</v>
      </c>
      <c r="D411" s="33" t="s">
        <v>322</v>
      </c>
      <c r="E411" s="56"/>
    </row>
    <row r="412" spans="1:5" x14ac:dyDescent="0.3">
      <c r="A412" s="55" t="s">
        <v>416</v>
      </c>
      <c r="B412" s="31">
        <v>2060</v>
      </c>
      <c r="C412" s="32" t="s">
        <v>52</v>
      </c>
      <c r="D412" s="33" t="s">
        <v>323</v>
      </c>
      <c r="E412" s="56"/>
    </row>
    <row r="413" spans="1:5" x14ac:dyDescent="0.3">
      <c r="A413" s="55" t="s">
        <v>428</v>
      </c>
      <c r="B413" s="31">
        <v>3095</v>
      </c>
      <c r="C413" s="32" t="s">
        <v>52</v>
      </c>
      <c r="D413" s="33" t="s">
        <v>322</v>
      </c>
      <c r="E413" s="56"/>
    </row>
    <row r="414" spans="1:5" x14ac:dyDescent="0.3">
      <c r="A414" s="55" t="s">
        <v>465</v>
      </c>
      <c r="B414" s="31">
        <v>4302</v>
      </c>
      <c r="C414" s="32" t="s">
        <v>52</v>
      </c>
      <c r="D414" s="33" t="s">
        <v>322</v>
      </c>
      <c r="E414" s="56"/>
    </row>
    <row r="415" spans="1:5" x14ac:dyDescent="0.3">
      <c r="A415" s="55" t="s">
        <v>474</v>
      </c>
      <c r="B415" s="31">
        <v>4357</v>
      </c>
      <c r="C415" s="32" t="s">
        <v>52</v>
      </c>
      <c r="D415" s="33" t="s">
        <v>322</v>
      </c>
      <c r="E415" s="56"/>
    </row>
    <row r="416" spans="1:5" x14ac:dyDescent="0.3">
      <c r="A416" s="55" t="s">
        <v>460</v>
      </c>
      <c r="B416" s="31">
        <v>4290</v>
      </c>
      <c r="C416" s="32" t="s">
        <v>52</v>
      </c>
      <c r="D416" s="33" t="s">
        <v>322</v>
      </c>
      <c r="E416" s="56"/>
    </row>
    <row r="417" spans="1:5" x14ac:dyDescent="0.3">
      <c r="A417" s="55" t="s">
        <v>291</v>
      </c>
      <c r="B417" s="31">
        <v>3810</v>
      </c>
      <c r="C417" s="32" t="s">
        <v>52</v>
      </c>
      <c r="D417" s="33" t="s">
        <v>322</v>
      </c>
      <c r="E417" s="56"/>
    </row>
    <row r="418" spans="1:5" x14ac:dyDescent="0.3">
      <c r="A418" s="55" t="s">
        <v>483</v>
      </c>
      <c r="B418" s="31">
        <v>9599</v>
      </c>
      <c r="C418" s="32" t="s">
        <v>52</v>
      </c>
      <c r="D418" s="33" t="s">
        <v>322</v>
      </c>
      <c r="E418" s="56"/>
    </row>
    <row r="419" spans="1:5" x14ac:dyDescent="0.3">
      <c r="A419" s="55" t="s">
        <v>399</v>
      </c>
      <c r="B419" s="31">
        <v>715</v>
      </c>
      <c r="C419" s="32" t="s">
        <v>52</v>
      </c>
      <c r="D419" s="33" t="s">
        <v>322</v>
      </c>
      <c r="E419" s="56"/>
    </row>
    <row r="420" spans="1:5" x14ac:dyDescent="0.3">
      <c r="A420" s="55" t="s">
        <v>300</v>
      </c>
      <c r="B420" s="31">
        <v>9234</v>
      </c>
      <c r="C420" s="32" t="s">
        <v>52</v>
      </c>
      <c r="D420" s="33" t="s">
        <v>322</v>
      </c>
      <c r="E420" s="56"/>
    </row>
    <row r="421" spans="1:5" x14ac:dyDescent="0.3">
      <c r="A421" s="55" t="s">
        <v>409</v>
      </c>
      <c r="B421" s="31">
        <v>1793</v>
      </c>
      <c r="C421" s="32" t="s">
        <v>52</v>
      </c>
      <c r="D421" s="33" t="s">
        <v>322</v>
      </c>
      <c r="E421" s="56"/>
    </row>
    <row r="422" spans="1:5" x14ac:dyDescent="0.3">
      <c r="A422" s="55" t="s">
        <v>472</v>
      </c>
      <c r="B422" s="31">
        <v>4354</v>
      </c>
      <c r="C422" s="32" t="s">
        <v>52</v>
      </c>
      <c r="D422" s="33" t="s">
        <v>322</v>
      </c>
      <c r="E422" s="56"/>
    </row>
    <row r="423" spans="1:5" x14ac:dyDescent="0.3">
      <c r="A423" s="55" t="s">
        <v>475</v>
      </c>
      <c r="B423" s="31">
        <v>4364</v>
      </c>
      <c r="C423" s="32" t="s">
        <v>52</v>
      </c>
      <c r="D423" s="33" t="s">
        <v>322</v>
      </c>
      <c r="E423" s="56"/>
    </row>
    <row r="424" spans="1:5" x14ac:dyDescent="0.3">
      <c r="A424" s="55" t="s">
        <v>468</v>
      </c>
      <c r="B424" s="31">
        <v>4312</v>
      </c>
      <c r="C424" s="32" t="s">
        <v>52</v>
      </c>
      <c r="D424" s="33" t="s">
        <v>322</v>
      </c>
      <c r="E424" s="56"/>
    </row>
    <row r="425" spans="1:5" x14ac:dyDescent="0.3">
      <c r="A425" s="55" t="s">
        <v>411</v>
      </c>
      <c r="B425" s="31">
        <v>1828</v>
      </c>
      <c r="C425" s="32" t="s">
        <v>52</v>
      </c>
      <c r="D425" s="33" t="s">
        <v>322</v>
      </c>
      <c r="E425" s="56"/>
    </row>
    <row r="426" spans="1:5" x14ac:dyDescent="0.3">
      <c r="A426" s="55" t="s">
        <v>470</v>
      </c>
      <c r="B426" s="31">
        <v>4334</v>
      </c>
      <c r="C426" s="32" t="s">
        <v>52</v>
      </c>
      <c r="D426" s="33" t="s">
        <v>322</v>
      </c>
      <c r="E426" s="56"/>
    </row>
    <row r="427" spans="1:5" x14ac:dyDescent="0.3">
      <c r="A427" s="55" t="s">
        <v>435</v>
      </c>
      <c r="B427" s="31">
        <v>3572</v>
      </c>
      <c r="C427" s="32" t="s">
        <v>52</v>
      </c>
      <c r="D427" s="33" t="s">
        <v>322</v>
      </c>
      <c r="E427" s="56"/>
    </row>
    <row r="428" spans="1:5" x14ac:dyDescent="0.3">
      <c r="A428" s="55" t="s">
        <v>444</v>
      </c>
      <c r="B428" s="31">
        <v>4041</v>
      </c>
      <c r="C428" s="32" t="s">
        <v>52</v>
      </c>
      <c r="D428" s="33" t="s">
        <v>322</v>
      </c>
      <c r="E428" s="57"/>
    </row>
    <row r="429" spans="1:5" x14ac:dyDescent="0.3">
      <c r="A429" s="55" t="s">
        <v>455</v>
      </c>
      <c r="B429" s="31">
        <v>4186</v>
      </c>
      <c r="C429" s="32" t="s">
        <v>52</v>
      </c>
      <c r="D429" s="33" t="s">
        <v>322</v>
      </c>
      <c r="E429" s="56"/>
    </row>
    <row r="430" spans="1:5" x14ac:dyDescent="0.3">
      <c r="A430" s="55" t="s">
        <v>314</v>
      </c>
      <c r="B430" s="31">
        <v>3913</v>
      </c>
      <c r="C430" s="32" t="s">
        <v>52</v>
      </c>
      <c r="D430" s="33" t="s">
        <v>322</v>
      </c>
      <c r="E430" s="56"/>
    </row>
    <row r="431" spans="1:5" x14ac:dyDescent="0.3">
      <c r="A431" s="55" t="s">
        <v>178</v>
      </c>
      <c r="B431" s="31">
        <v>9382</v>
      </c>
      <c r="C431" s="32" t="s">
        <v>52</v>
      </c>
      <c r="D431" s="33" t="s">
        <v>322</v>
      </c>
      <c r="E431" s="56"/>
    </row>
    <row r="432" spans="1:5" x14ac:dyDescent="0.3">
      <c r="A432" s="55" t="s">
        <v>448</v>
      </c>
      <c r="B432" s="31">
        <v>4121</v>
      </c>
      <c r="C432" s="32" t="s">
        <v>52</v>
      </c>
      <c r="D432" s="33" t="s">
        <v>322</v>
      </c>
      <c r="E432" s="56"/>
    </row>
    <row r="433" spans="1:5" x14ac:dyDescent="0.3">
      <c r="A433" s="55" t="s">
        <v>476</v>
      </c>
      <c r="B433" s="31">
        <v>4365</v>
      </c>
      <c r="C433" s="32" t="s">
        <v>52</v>
      </c>
      <c r="D433" s="33" t="s">
        <v>322</v>
      </c>
      <c r="E433" s="56"/>
    </row>
    <row r="434" spans="1:5" x14ac:dyDescent="0.3">
      <c r="A434" s="55" t="s">
        <v>473</v>
      </c>
      <c r="B434" s="31">
        <v>4356</v>
      </c>
      <c r="C434" s="32" t="s">
        <v>52</v>
      </c>
      <c r="D434" s="33" t="s">
        <v>322</v>
      </c>
      <c r="E434" s="56"/>
    </row>
    <row r="435" spans="1:5" x14ac:dyDescent="0.3">
      <c r="A435" s="55" t="s">
        <v>138</v>
      </c>
      <c r="B435" s="31">
        <v>7085</v>
      </c>
      <c r="C435" s="32" t="s">
        <v>52</v>
      </c>
      <c r="D435" s="33" t="s">
        <v>322</v>
      </c>
      <c r="E435" s="56"/>
    </row>
    <row r="436" spans="1:5" x14ac:dyDescent="0.3">
      <c r="A436" s="55" t="s">
        <v>490</v>
      </c>
      <c r="B436" s="31">
        <v>4173</v>
      </c>
      <c r="C436" s="32" t="s">
        <v>52</v>
      </c>
      <c r="D436" s="33" t="s">
        <v>323</v>
      </c>
      <c r="E436" s="56"/>
    </row>
    <row r="437" spans="1:5" x14ac:dyDescent="0.3">
      <c r="A437" s="55" t="s">
        <v>481</v>
      </c>
      <c r="B437" s="31">
        <v>9302</v>
      </c>
      <c r="C437" s="32" t="s">
        <v>52</v>
      </c>
      <c r="D437" s="33" t="s">
        <v>322</v>
      </c>
      <c r="E437" s="56"/>
    </row>
    <row r="438" spans="1:5" x14ac:dyDescent="0.3">
      <c r="A438" s="55" t="s">
        <v>442</v>
      </c>
      <c r="B438" s="31">
        <v>3943</v>
      </c>
      <c r="C438" s="32" t="s">
        <v>52</v>
      </c>
      <c r="D438" s="33" t="s">
        <v>322</v>
      </c>
      <c r="E438" s="56"/>
    </row>
    <row r="439" spans="1:5" x14ac:dyDescent="0.3">
      <c r="A439" s="55" t="s">
        <v>491</v>
      </c>
      <c r="B439" s="31">
        <v>2225</v>
      </c>
      <c r="C439" s="32" t="s">
        <v>52</v>
      </c>
      <c r="D439" s="33" t="s">
        <v>323</v>
      </c>
      <c r="E439" s="56"/>
    </row>
    <row r="440" spans="1:5" x14ac:dyDescent="0.3">
      <c r="A440" s="55" t="s">
        <v>462</v>
      </c>
      <c r="B440" s="31">
        <v>4296</v>
      </c>
      <c r="C440" s="32" t="s">
        <v>52</v>
      </c>
      <c r="D440" s="33" t="s">
        <v>322</v>
      </c>
      <c r="E440" s="56"/>
    </row>
    <row r="441" spans="1:5" x14ac:dyDescent="0.3">
      <c r="A441" s="55" t="s">
        <v>234</v>
      </c>
      <c r="B441" s="31">
        <v>2980</v>
      </c>
      <c r="C441" s="32" t="s">
        <v>52</v>
      </c>
      <c r="D441" s="33" t="s">
        <v>322</v>
      </c>
      <c r="E441" s="56"/>
    </row>
    <row r="442" spans="1:5" x14ac:dyDescent="0.3">
      <c r="A442" s="55" t="s">
        <v>233</v>
      </c>
      <c r="B442" s="31">
        <v>4206</v>
      </c>
      <c r="C442" s="32" t="s">
        <v>52</v>
      </c>
      <c r="D442" s="33" t="s">
        <v>322</v>
      </c>
      <c r="E442" s="56"/>
    </row>
    <row r="443" spans="1:5" x14ac:dyDescent="0.3">
      <c r="A443" s="55" t="s">
        <v>233</v>
      </c>
      <c r="B443" s="31">
        <v>4218</v>
      </c>
      <c r="C443" s="32" t="s">
        <v>52</v>
      </c>
      <c r="D443" s="33" t="s">
        <v>322</v>
      </c>
      <c r="E443" s="56"/>
    </row>
    <row r="444" spans="1:5" x14ac:dyDescent="0.3">
      <c r="A444" s="55" t="s">
        <v>232</v>
      </c>
      <c r="B444" s="31">
        <v>2983</v>
      </c>
      <c r="C444" s="32" t="s">
        <v>52</v>
      </c>
      <c r="D444" s="33" t="s">
        <v>322</v>
      </c>
      <c r="E444" s="56"/>
    </row>
    <row r="445" spans="1:5" x14ac:dyDescent="0.3">
      <c r="A445" s="55" t="s">
        <v>232</v>
      </c>
      <c r="B445" s="31">
        <v>4217</v>
      </c>
      <c r="C445" s="32" t="s">
        <v>52</v>
      </c>
      <c r="D445" s="33" t="s">
        <v>322</v>
      </c>
      <c r="E445" s="56"/>
    </row>
    <row r="446" spans="1:5" x14ac:dyDescent="0.3">
      <c r="A446" s="55" t="s">
        <v>504</v>
      </c>
      <c r="B446" s="31">
        <v>4205</v>
      </c>
      <c r="C446" s="32" t="s">
        <v>52</v>
      </c>
      <c r="D446" s="33" t="s">
        <v>322</v>
      </c>
      <c r="E446" s="56"/>
    </row>
    <row r="447" spans="1:5" x14ac:dyDescent="0.3">
      <c r="A447" s="55" t="s">
        <v>504</v>
      </c>
      <c r="B447" s="31">
        <v>2984</v>
      </c>
      <c r="C447" s="32" t="s">
        <v>52</v>
      </c>
      <c r="D447" s="33" t="s">
        <v>322</v>
      </c>
      <c r="E447" s="56"/>
    </row>
    <row r="448" spans="1:5" x14ac:dyDescent="0.3">
      <c r="A448" s="55" t="s">
        <v>246</v>
      </c>
      <c r="B448" s="31">
        <v>4175</v>
      </c>
      <c r="C448" s="32" t="s">
        <v>52</v>
      </c>
      <c r="D448" s="33" t="s">
        <v>322</v>
      </c>
      <c r="E448" s="56"/>
    </row>
    <row r="449" spans="1:5" x14ac:dyDescent="0.3">
      <c r="A449" s="55" t="s">
        <v>246</v>
      </c>
      <c r="B449" s="31">
        <v>4323</v>
      </c>
      <c r="C449" s="32" t="s">
        <v>52</v>
      </c>
      <c r="D449" s="33" t="s">
        <v>322</v>
      </c>
      <c r="E449" s="56"/>
    </row>
    <row r="450" spans="1:5" x14ac:dyDescent="0.3">
      <c r="A450" s="58" t="s">
        <v>244</v>
      </c>
      <c r="B450" s="31">
        <v>4208</v>
      </c>
      <c r="C450" s="32" t="s">
        <v>52</v>
      </c>
      <c r="D450" s="33" t="s">
        <v>322</v>
      </c>
      <c r="E450" s="56"/>
    </row>
    <row r="451" spans="1:5" x14ac:dyDescent="0.3">
      <c r="A451" s="58" t="s">
        <v>244</v>
      </c>
      <c r="B451" s="31">
        <v>4211</v>
      </c>
      <c r="C451" s="32" t="s">
        <v>52</v>
      </c>
      <c r="D451" s="33" t="s">
        <v>322</v>
      </c>
      <c r="E451" s="56"/>
    </row>
    <row r="452" spans="1:5" x14ac:dyDescent="0.3">
      <c r="A452" s="58" t="s">
        <v>340</v>
      </c>
      <c r="B452" s="31">
        <v>2987</v>
      </c>
      <c r="C452" s="32" t="s">
        <v>52</v>
      </c>
      <c r="D452" s="33" t="s">
        <v>322</v>
      </c>
      <c r="E452" s="56"/>
    </row>
    <row r="453" spans="1:5" x14ac:dyDescent="0.3">
      <c r="A453" s="58" t="s">
        <v>340</v>
      </c>
      <c r="B453" s="31">
        <v>4215</v>
      </c>
      <c r="C453" s="32" t="s">
        <v>52</v>
      </c>
      <c r="D453" s="33" t="s">
        <v>322</v>
      </c>
      <c r="E453" s="56"/>
    </row>
    <row r="454" spans="1:5" x14ac:dyDescent="0.3">
      <c r="A454" s="58" t="s">
        <v>317</v>
      </c>
      <c r="B454" s="31">
        <v>2979</v>
      </c>
      <c r="C454" s="32" t="s">
        <v>52</v>
      </c>
      <c r="D454" s="33" t="s">
        <v>322</v>
      </c>
      <c r="E454" s="56"/>
    </row>
    <row r="455" spans="1:5" x14ac:dyDescent="0.3">
      <c r="A455" s="58" t="s">
        <v>317</v>
      </c>
      <c r="B455" s="31">
        <v>2986</v>
      </c>
      <c r="C455" s="32" t="s">
        <v>52</v>
      </c>
      <c r="D455" s="33" t="s">
        <v>322</v>
      </c>
      <c r="E455" s="56"/>
    </row>
    <row r="456" spans="1:5" x14ac:dyDescent="0.3">
      <c r="A456" s="58" t="s">
        <v>341</v>
      </c>
      <c r="B456" s="31">
        <v>2974</v>
      </c>
      <c r="C456" s="32" t="s">
        <v>52</v>
      </c>
      <c r="D456" s="33" t="s">
        <v>322</v>
      </c>
      <c r="E456" s="56"/>
    </row>
    <row r="457" spans="1:5" x14ac:dyDescent="0.3">
      <c r="A457" s="58" t="s">
        <v>341</v>
      </c>
      <c r="B457" s="31">
        <v>2976</v>
      </c>
      <c r="C457" s="32" t="s">
        <v>52</v>
      </c>
      <c r="D457" s="33" t="s">
        <v>322</v>
      </c>
      <c r="E457" s="56"/>
    </row>
    <row r="458" spans="1:5" x14ac:dyDescent="0.3">
      <c r="A458" s="58" t="s">
        <v>342</v>
      </c>
      <c r="B458" s="31">
        <v>4201</v>
      </c>
      <c r="C458" s="32" t="s">
        <v>52</v>
      </c>
      <c r="D458" s="33" t="s">
        <v>322</v>
      </c>
      <c r="E458" s="56"/>
    </row>
    <row r="459" spans="1:5" x14ac:dyDescent="0.3">
      <c r="A459" s="58" t="s">
        <v>343</v>
      </c>
      <c r="B459" s="31">
        <v>4172</v>
      </c>
      <c r="C459" s="32" t="s">
        <v>52</v>
      </c>
      <c r="D459" s="33" t="s">
        <v>322</v>
      </c>
      <c r="E459" s="56"/>
    </row>
    <row r="460" spans="1:5" x14ac:dyDescent="0.3">
      <c r="A460" s="58" t="s">
        <v>344</v>
      </c>
      <c r="B460" s="31">
        <v>4176</v>
      </c>
      <c r="C460" s="32" t="s">
        <v>52</v>
      </c>
      <c r="D460" s="33" t="s">
        <v>322</v>
      </c>
      <c r="E460" s="56"/>
    </row>
  </sheetData>
  <conditionalFormatting sqref="A1">
    <cfRule type="duplicateValues" dxfId="480" priority="265168"/>
    <cfRule type="duplicateValues" dxfId="479" priority="265169"/>
  </conditionalFormatting>
  <conditionalFormatting sqref="A2:A439">
    <cfRule type="duplicateValues" dxfId="478" priority="267148"/>
  </conditionalFormatting>
  <conditionalFormatting sqref="A440:A449">
    <cfRule type="duplicateValues" dxfId="477" priority="636"/>
  </conditionalFormatting>
  <conditionalFormatting sqref="A450:A460">
    <cfRule type="duplicateValues" dxfId="476" priority="265170"/>
  </conditionalFormatting>
  <conditionalFormatting sqref="B1">
    <cfRule type="duplicateValues" dxfId="475" priority="265165"/>
    <cfRule type="duplicateValues" dxfId="474" priority="265166"/>
    <cfRule type="duplicateValues" dxfId="473" priority="265167"/>
  </conditionalFormatting>
  <conditionalFormatting sqref="B2:B439">
    <cfRule type="duplicateValues" dxfId="472" priority="267150"/>
  </conditionalFormatting>
  <conditionalFormatting sqref="B440:B449">
    <cfRule type="duplicateValues" dxfId="471" priority="632"/>
  </conditionalFormatting>
  <conditionalFormatting sqref="B450:B460">
    <cfRule type="duplicateValues" dxfId="470" priority="265171"/>
  </conditionalFormatting>
  <conditionalFormatting sqref="C2:C396">
    <cfRule type="containsText" dxfId="469" priority="623" operator="containsText" text="PEX BLOQUEADO">
      <formula>NOT(ISERROR(SEARCH("PEX BLOQUEADO",C2)))</formula>
    </cfRule>
    <cfRule type="containsText" dxfId="468" priority="624" operator="containsText" text="PEX DESAFILIADO">
      <formula>NOT(ISERROR(SEARCH("PEX DESAFILIADO",C2)))</formula>
    </cfRule>
    <cfRule type="containsText" dxfId="467" priority="625" operator="containsText" text="NO INSTALADO">
      <formula>NOT(ISERROR(SEARCH("NO INSTALADO",C2)))</formula>
    </cfRule>
    <cfRule type="cellIs" dxfId="466" priority="626" operator="equal">
      <formula>"NO"</formula>
    </cfRule>
    <cfRule type="containsText" dxfId="465" priority="627" operator="containsText" text="PEX BLOQUEADO">
      <formula>NOT(ISERROR(SEARCH("PEX BLOQUEADO",C2)))</formula>
    </cfRule>
    <cfRule type="containsText" dxfId="464" priority="628" operator="containsText" text="PEX DESAFILIADO">
      <formula>NOT(ISERROR(SEARCH("PEX DESAFILIADO",C2)))</formula>
    </cfRule>
    <cfRule type="containsText" dxfId="463" priority="629" operator="containsText" text="NO INSTALADO">
      <formula>NOT(ISERROR(SEARCH("NO INSTALADO",C2)))</formula>
    </cfRule>
    <cfRule type="cellIs" dxfId="462" priority="630" operator="equal">
      <formula>"NO"</formula>
    </cfRule>
  </conditionalFormatting>
  <conditionalFormatting sqref="C2:C450">
    <cfRule type="containsText" dxfId="461" priority="519" operator="containsText" text="PEX BLOQUEADO">
      <formula>NOT(ISERROR(SEARCH("PEX BLOQUEADO",C2)))</formula>
    </cfRule>
    <cfRule type="containsText" dxfId="460" priority="520" operator="containsText" text="PEX DESAFILIADO">
      <formula>NOT(ISERROR(SEARCH("PEX DESAFILIADO",C2)))</formula>
    </cfRule>
    <cfRule type="containsText" dxfId="459" priority="521" operator="containsText" text="NO INSTALADO">
      <formula>NOT(ISERROR(SEARCH("NO INSTALADO",C2)))</formula>
    </cfRule>
    <cfRule type="cellIs" dxfId="458" priority="522" operator="equal">
      <formula>"NO"</formula>
    </cfRule>
    <cfRule type="containsText" dxfId="457" priority="523" operator="containsText" text="PEX BLOQUEADO">
      <formula>NOT(ISERROR(SEARCH("PEX BLOQUEADO",C2)))</formula>
    </cfRule>
    <cfRule type="containsText" dxfId="456" priority="524" operator="containsText" text="PEX DESAFILIADO">
      <formula>NOT(ISERROR(SEARCH("PEX DESAFILIADO",C2)))</formula>
    </cfRule>
    <cfRule type="containsText" dxfId="455" priority="525" operator="containsText" text="NO INSTALADO">
      <formula>NOT(ISERROR(SEARCH("NO INSTALADO",C2)))</formula>
    </cfRule>
    <cfRule type="cellIs" dxfId="454" priority="526" operator="equal">
      <formula>"NO"</formula>
    </cfRule>
    <cfRule type="containsText" dxfId="453" priority="527" operator="containsText" text="PEX BLOQUEADO">
      <formula>NOT(ISERROR(SEARCH("PEX BLOQUEADO",C2)))</formula>
    </cfRule>
    <cfRule type="containsText" dxfId="452" priority="528" operator="containsText" text="PEX DESAFILIADO">
      <formula>NOT(ISERROR(SEARCH("PEX DESAFILIADO",C2)))</formula>
    </cfRule>
    <cfRule type="containsText" dxfId="451" priority="529" operator="containsText" text="NO INSTALADO">
      <formula>NOT(ISERROR(SEARCH("NO INSTALADO",C2)))</formula>
    </cfRule>
    <cfRule type="cellIs" dxfId="450" priority="530" operator="equal">
      <formula>"NO"</formula>
    </cfRule>
    <cfRule type="containsText" dxfId="449" priority="531" operator="containsText" text="PEX BLOQUEADO">
      <formula>NOT(ISERROR(SEARCH("PEX BLOQUEADO",C2)))</formula>
    </cfRule>
    <cfRule type="containsText" dxfId="448" priority="532" operator="containsText" text="PEX DESAFILIADO">
      <formula>NOT(ISERROR(SEARCH("PEX DESAFILIADO",C2)))</formula>
    </cfRule>
    <cfRule type="containsText" dxfId="447" priority="533" operator="containsText" text="NO INSTALADO">
      <formula>NOT(ISERROR(SEARCH("NO INSTALADO",C2)))</formula>
    </cfRule>
    <cfRule type="cellIs" dxfId="446" priority="534" operator="equal">
      <formula>"NO"</formula>
    </cfRule>
    <cfRule type="containsText" dxfId="445" priority="535" operator="containsText" text="PEX BLOQUEADO">
      <formula>NOT(ISERROR(SEARCH("PEX BLOQUEADO",C2)))</formula>
    </cfRule>
    <cfRule type="containsText" dxfId="444" priority="536" operator="containsText" text="PEX DESAFILIADO">
      <formula>NOT(ISERROR(SEARCH("PEX DESAFILIADO",C2)))</formula>
    </cfRule>
    <cfRule type="containsText" dxfId="443" priority="537" operator="containsText" text="NO INSTALADO">
      <formula>NOT(ISERROR(SEARCH("NO INSTALADO",C2)))</formula>
    </cfRule>
    <cfRule type="cellIs" dxfId="442" priority="538" operator="equal">
      <formula>"NO"</formula>
    </cfRule>
    <cfRule type="containsText" dxfId="441" priority="539" operator="containsText" text="PEX BLOQUEADO">
      <formula>NOT(ISERROR(SEARCH("PEX BLOQUEADO",C2)))</formula>
    </cfRule>
    <cfRule type="containsText" dxfId="440" priority="540" operator="containsText" text="PEX DESAFILIADO">
      <formula>NOT(ISERROR(SEARCH("PEX DESAFILIADO",C2)))</formula>
    </cfRule>
    <cfRule type="containsText" dxfId="439" priority="541" operator="containsText" text="NO INSTALADO">
      <formula>NOT(ISERROR(SEARCH("NO INSTALADO",C2)))</formula>
    </cfRule>
    <cfRule type="cellIs" dxfId="438" priority="542" operator="equal">
      <formula>"NO"</formula>
    </cfRule>
    <cfRule type="containsText" dxfId="437" priority="543" operator="containsText" text="PEX BLOQUEADO">
      <formula>NOT(ISERROR(SEARCH("PEX BLOQUEADO",C2)))</formula>
    </cfRule>
    <cfRule type="containsText" dxfId="436" priority="544" operator="containsText" text="PEX DESAFILIADO">
      <formula>NOT(ISERROR(SEARCH("PEX DESAFILIADO",C2)))</formula>
    </cfRule>
    <cfRule type="containsText" dxfId="435" priority="545" operator="containsText" text="NO INSTALADO">
      <formula>NOT(ISERROR(SEARCH("NO INSTALADO",C2)))</formula>
    </cfRule>
    <cfRule type="cellIs" dxfId="434" priority="546" operator="equal">
      <formula>"NO"</formula>
    </cfRule>
    <cfRule type="containsText" dxfId="433" priority="547" operator="containsText" text="PEX BLOQUEADO">
      <formula>NOT(ISERROR(SEARCH("PEX BLOQUEADO",C2)))</formula>
    </cfRule>
    <cfRule type="containsText" dxfId="432" priority="548" operator="containsText" text="PEX DESAFILIADO">
      <formula>NOT(ISERROR(SEARCH("PEX DESAFILIADO",C2)))</formula>
    </cfRule>
    <cfRule type="containsText" dxfId="431" priority="549" operator="containsText" text="NO INSTALADO">
      <formula>NOT(ISERROR(SEARCH("NO INSTALADO",C2)))</formula>
    </cfRule>
    <cfRule type="cellIs" dxfId="430" priority="550" operator="equal">
      <formula>"NO"</formula>
    </cfRule>
    <cfRule type="containsText" dxfId="429" priority="551" operator="containsText" text="PEX BLOQUEADO">
      <formula>NOT(ISERROR(SEARCH("PEX BLOQUEADO",C2)))</formula>
    </cfRule>
    <cfRule type="containsText" dxfId="428" priority="552" operator="containsText" text="PEX DESAFILIADO">
      <formula>NOT(ISERROR(SEARCH("PEX DESAFILIADO",C2)))</formula>
    </cfRule>
    <cfRule type="containsText" dxfId="427" priority="553" operator="containsText" text="NO INSTALADO">
      <formula>NOT(ISERROR(SEARCH("NO INSTALADO",C2)))</formula>
    </cfRule>
    <cfRule type="cellIs" dxfId="426" priority="554" operator="equal">
      <formula>"NO"</formula>
    </cfRule>
    <cfRule type="containsText" dxfId="425" priority="555" operator="containsText" text="PEX BLOQUEADO">
      <formula>NOT(ISERROR(SEARCH("PEX BLOQUEADO",C2)))</formula>
    </cfRule>
    <cfRule type="containsText" dxfId="424" priority="556" operator="containsText" text="PEX DESAFILIADO">
      <formula>NOT(ISERROR(SEARCH("PEX DESAFILIADO",C2)))</formula>
    </cfRule>
    <cfRule type="containsText" dxfId="423" priority="557" operator="containsText" text="NO INSTALADO">
      <formula>NOT(ISERROR(SEARCH("NO INSTALADO",C2)))</formula>
    </cfRule>
    <cfRule type="cellIs" dxfId="422" priority="558" operator="equal">
      <formula>"NO"</formula>
    </cfRule>
    <cfRule type="containsText" dxfId="421" priority="559" operator="containsText" text="PEX BLOQUEADO">
      <formula>NOT(ISERROR(SEARCH("PEX BLOQUEADO",C2)))</formula>
    </cfRule>
    <cfRule type="containsText" dxfId="420" priority="560" operator="containsText" text="PEX DESAFILIADO">
      <formula>NOT(ISERROR(SEARCH("PEX DESAFILIADO",C2)))</formula>
    </cfRule>
    <cfRule type="containsText" dxfId="419" priority="561" operator="containsText" text="NO INSTALADO">
      <formula>NOT(ISERROR(SEARCH("NO INSTALADO",C2)))</formula>
    </cfRule>
    <cfRule type="cellIs" dxfId="418" priority="562" operator="equal">
      <formula>"NO"</formula>
    </cfRule>
    <cfRule type="containsText" dxfId="417" priority="563" operator="containsText" text="PEX BLOQUEADO">
      <formula>NOT(ISERROR(SEARCH("PEX BLOQUEADO",C2)))</formula>
    </cfRule>
    <cfRule type="containsText" dxfId="416" priority="564" operator="containsText" text="PEX DESAFILIADO">
      <formula>NOT(ISERROR(SEARCH("PEX DESAFILIADO",C2)))</formula>
    </cfRule>
    <cfRule type="containsText" dxfId="415" priority="565" operator="containsText" text="NO INSTALADO">
      <formula>NOT(ISERROR(SEARCH("NO INSTALADO",C2)))</formula>
    </cfRule>
    <cfRule type="cellIs" dxfId="414" priority="566" operator="equal">
      <formula>"NO"</formula>
    </cfRule>
    <cfRule type="containsText" dxfId="413" priority="567" operator="containsText" text="PEX BLOQUEADO">
      <formula>NOT(ISERROR(SEARCH("PEX BLOQUEADO",C2)))</formula>
    </cfRule>
    <cfRule type="containsText" dxfId="412" priority="568" operator="containsText" text="PEX DESAFILIADO">
      <formula>NOT(ISERROR(SEARCH("PEX DESAFILIADO",C2)))</formula>
    </cfRule>
    <cfRule type="containsText" dxfId="411" priority="569" operator="containsText" text="NO INSTALADO">
      <formula>NOT(ISERROR(SEARCH("NO INSTALADO",C2)))</formula>
    </cfRule>
    <cfRule type="cellIs" dxfId="410" priority="570" operator="equal">
      <formula>"NO"</formula>
    </cfRule>
    <cfRule type="containsText" dxfId="409" priority="571" operator="containsText" text="PEX BLOQUEADO">
      <formula>NOT(ISERROR(SEARCH("PEX BLOQUEADO",C2)))</formula>
    </cfRule>
    <cfRule type="containsText" dxfId="408" priority="572" operator="containsText" text="PEX DESAFILIADO">
      <formula>NOT(ISERROR(SEARCH("PEX DESAFILIADO",C2)))</formula>
    </cfRule>
    <cfRule type="containsText" dxfId="407" priority="573" operator="containsText" text="NO INSTALADO">
      <formula>NOT(ISERROR(SEARCH("NO INSTALADO",C2)))</formula>
    </cfRule>
    <cfRule type="cellIs" dxfId="406" priority="574" operator="equal">
      <formula>"NO"</formula>
    </cfRule>
    <cfRule type="containsText" dxfId="405" priority="575" operator="containsText" text="PEX BLOQUEADO">
      <formula>NOT(ISERROR(SEARCH("PEX BLOQUEADO",C2)))</formula>
    </cfRule>
    <cfRule type="containsText" dxfId="404" priority="576" operator="containsText" text="PEX DESAFILIADO">
      <formula>NOT(ISERROR(SEARCH("PEX DESAFILIADO",C2)))</formula>
    </cfRule>
    <cfRule type="containsText" dxfId="403" priority="577" operator="containsText" text="NO INSTALADO">
      <formula>NOT(ISERROR(SEARCH("NO INSTALADO",C2)))</formula>
    </cfRule>
    <cfRule type="cellIs" dxfId="402" priority="578" operator="equal">
      <formula>"NO"</formula>
    </cfRule>
    <cfRule type="containsText" dxfId="401" priority="579" operator="containsText" text="PEX BLOQUEADO">
      <formula>NOT(ISERROR(SEARCH("PEX BLOQUEADO",C2)))</formula>
    </cfRule>
    <cfRule type="containsText" dxfId="400" priority="580" operator="containsText" text="PEX DESAFILIADO">
      <formula>NOT(ISERROR(SEARCH("PEX DESAFILIADO",C2)))</formula>
    </cfRule>
    <cfRule type="containsText" dxfId="399" priority="581" operator="containsText" text="NO INSTALADO">
      <formula>NOT(ISERROR(SEARCH("NO INSTALADO",C2)))</formula>
    </cfRule>
    <cfRule type="cellIs" dxfId="398" priority="582" operator="equal">
      <formula>"NO"</formula>
    </cfRule>
    <cfRule type="containsText" dxfId="397" priority="583" operator="containsText" text="PEX BLOQUEADO">
      <formula>NOT(ISERROR(SEARCH("PEX BLOQUEADO",C2)))</formula>
    </cfRule>
    <cfRule type="containsText" dxfId="396" priority="584" operator="containsText" text="PEX DESAFILIADO">
      <formula>NOT(ISERROR(SEARCH("PEX DESAFILIADO",C2)))</formula>
    </cfRule>
    <cfRule type="containsText" dxfId="395" priority="585" operator="containsText" text="NO INSTALADO">
      <formula>NOT(ISERROR(SEARCH("NO INSTALADO",C2)))</formula>
    </cfRule>
    <cfRule type="cellIs" dxfId="394" priority="586" operator="equal">
      <formula>"NO"</formula>
    </cfRule>
    <cfRule type="containsText" dxfId="393" priority="587" operator="containsText" text="PEX BLOQUEADO">
      <formula>NOT(ISERROR(SEARCH("PEX BLOQUEADO",C2)))</formula>
    </cfRule>
    <cfRule type="containsText" dxfId="392" priority="588" operator="containsText" text="PEX DESAFILIADO">
      <formula>NOT(ISERROR(SEARCH("PEX DESAFILIADO",C2)))</formula>
    </cfRule>
    <cfRule type="containsText" dxfId="391" priority="589" operator="containsText" text="NO INSTALADO">
      <formula>NOT(ISERROR(SEARCH("NO INSTALADO",C2)))</formula>
    </cfRule>
    <cfRule type="cellIs" dxfId="390" priority="590" operator="equal">
      <formula>"NO"</formula>
    </cfRule>
    <cfRule type="containsText" dxfId="389" priority="591" operator="containsText" text="PEX BLOQUEADO">
      <formula>NOT(ISERROR(SEARCH("PEX BLOQUEADO",C2)))</formula>
    </cfRule>
    <cfRule type="containsText" dxfId="388" priority="592" operator="containsText" text="PEX DESAFILIADO">
      <formula>NOT(ISERROR(SEARCH("PEX DESAFILIADO",C2)))</formula>
    </cfRule>
    <cfRule type="containsText" dxfId="387" priority="593" operator="containsText" text="NO INSTALADO">
      <formula>NOT(ISERROR(SEARCH("NO INSTALADO",C2)))</formula>
    </cfRule>
    <cfRule type="cellIs" dxfId="386" priority="594" operator="equal">
      <formula>"NO"</formula>
    </cfRule>
    <cfRule type="containsText" dxfId="385" priority="595" operator="containsText" text="PEX BLOQUEADO">
      <formula>NOT(ISERROR(SEARCH("PEX BLOQUEADO",C2)))</formula>
    </cfRule>
    <cfRule type="containsText" dxfId="384" priority="596" operator="containsText" text="PEX DESAFILIADO">
      <formula>NOT(ISERROR(SEARCH("PEX DESAFILIADO",C2)))</formula>
    </cfRule>
    <cfRule type="containsText" dxfId="383" priority="597" operator="containsText" text="NO INSTALADO">
      <formula>NOT(ISERROR(SEARCH("NO INSTALADO",C2)))</formula>
    </cfRule>
    <cfRule type="cellIs" dxfId="382" priority="598" operator="equal">
      <formula>"NO"</formula>
    </cfRule>
    <cfRule type="containsText" dxfId="381" priority="599" operator="containsText" text="PEX BLOQUEADO">
      <formula>NOT(ISERROR(SEARCH("PEX BLOQUEADO",C2)))</formula>
    </cfRule>
    <cfRule type="containsText" dxfId="380" priority="600" operator="containsText" text="PEX DESAFILIADO">
      <formula>NOT(ISERROR(SEARCH("PEX DESAFILIADO",C2)))</formula>
    </cfRule>
    <cfRule type="containsText" dxfId="379" priority="601" operator="containsText" text="NO INSTALADO">
      <formula>NOT(ISERROR(SEARCH("NO INSTALADO",C2)))</formula>
    </cfRule>
    <cfRule type="cellIs" dxfId="378" priority="602" operator="equal">
      <formula>"NO"</formula>
    </cfRule>
    <cfRule type="containsText" dxfId="377" priority="603" operator="containsText" text="PEX BLOQUEADO">
      <formula>NOT(ISERROR(SEARCH("PEX BLOQUEADO",C2)))</formula>
    </cfRule>
    <cfRule type="containsText" dxfId="376" priority="604" operator="containsText" text="PEX DESAFILIADO">
      <formula>NOT(ISERROR(SEARCH("PEX DESAFILIADO",C2)))</formula>
    </cfRule>
    <cfRule type="containsText" dxfId="375" priority="605" operator="containsText" text="NO INSTALADO">
      <formula>NOT(ISERROR(SEARCH("NO INSTALADO",C2)))</formula>
    </cfRule>
    <cfRule type="cellIs" dxfId="374" priority="606" operator="equal">
      <formula>"NO"</formula>
    </cfRule>
    <cfRule type="containsText" dxfId="373" priority="607" operator="containsText" text="PEX BLOQUEADO">
      <formula>NOT(ISERROR(SEARCH("PEX BLOQUEADO",C2)))</formula>
    </cfRule>
    <cfRule type="containsText" dxfId="372" priority="608" operator="containsText" text="PEX DESAFILIADO">
      <formula>NOT(ISERROR(SEARCH("PEX DESAFILIADO",C2)))</formula>
    </cfRule>
    <cfRule type="containsText" dxfId="371" priority="609" operator="containsText" text="NO INSTALADO">
      <formula>NOT(ISERROR(SEARCH("NO INSTALADO",C2)))</formula>
    </cfRule>
    <cfRule type="cellIs" dxfId="370" priority="610" operator="equal">
      <formula>"NO"</formula>
    </cfRule>
    <cfRule type="containsText" dxfId="369" priority="611" operator="containsText" text="PEX BLOQUEADO">
      <formula>NOT(ISERROR(SEARCH("PEX BLOQUEADO",C2)))</formula>
    </cfRule>
    <cfRule type="containsText" dxfId="368" priority="612" operator="containsText" text="PEX DESAFILIADO">
      <formula>NOT(ISERROR(SEARCH("PEX DESAFILIADO",C2)))</formula>
    </cfRule>
    <cfRule type="containsText" dxfId="367" priority="613" operator="containsText" text="NO INSTALADO">
      <formula>NOT(ISERROR(SEARCH("NO INSTALADO",C2)))</formula>
    </cfRule>
    <cfRule type="cellIs" dxfId="366" priority="614" operator="equal">
      <formula>"NO"</formula>
    </cfRule>
    <cfRule type="containsText" dxfId="365" priority="615" operator="containsText" text="PEX BLOQUEADO">
      <formula>NOT(ISERROR(SEARCH("PEX BLOQUEADO",C2)))</formula>
    </cfRule>
    <cfRule type="containsText" dxfId="364" priority="616" operator="containsText" text="PEX DESAFILIADO">
      <formula>NOT(ISERROR(SEARCH("PEX DESAFILIADO",C2)))</formula>
    </cfRule>
    <cfRule type="containsText" dxfId="363" priority="617" operator="containsText" text="NO INSTALADO">
      <formula>NOT(ISERROR(SEARCH("NO INSTALADO",C2)))</formula>
    </cfRule>
    <cfRule type="cellIs" dxfId="362" priority="618" operator="equal">
      <formula>"NO"</formula>
    </cfRule>
    <cfRule type="containsText" dxfId="361" priority="619" operator="containsText" text="PEX BLOQUEADO">
      <formula>NOT(ISERROR(SEARCH("PEX BLOQUEADO",C2)))</formula>
    </cfRule>
    <cfRule type="containsText" dxfId="360" priority="620" operator="containsText" text="PEX DESAFILIADO">
      <formula>NOT(ISERROR(SEARCH("PEX DESAFILIADO",C2)))</formula>
    </cfRule>
    <cfRule type="containsText" dxfId="359" priority="621" operator="containsText" text="NO INSTALADO">
      <formula>NOT(ISERROR(SEARCH("NO INSTALADO",C2)))</formula>
    </cfRule>
    <cfRule type="cellIs" dxfId="358" priority="622" operator="equal">
      <formula>"NO"</formula>
    </cfRule>
  </conditionalFormatting>
  <conditionalFormatting sqref="C58:C82 C114:C120 C150 C252:C302">
    <cfRule type="containsText" dxfId="357" priority="511" operator="containsText" text="PEX BLOQUEADO">
      <formula>NOT(ISERROR(SEARCH("PEX BLOQUEADO",C58)))</formula>
    </cfRule>
    <cfRule type="containsText" dxfId="356" priority="512" operator="containsText" text="PEX DESAFILIADO">
      <formula>NOT(ISERROR(SEARCH("PEX DESAFILIADO",C58)))</formula>
    </cfRule>
    <cfRule type="containsText" dxfId="355" priority="513" operator="containsText" text="NO INSTALADO">
      <formula>NOT(ISERROR(SEARCH("NO INSTALADO",C58)))</formula>
    </cfRule>
    <cfRule type="cellIs" dxfId="354" priority="514" operator="equal">
      <formula>"NO"</formula>
    </cfRule>
    <cfRule type="containsText" dxfId="353" priority="515" operator="containsText" text="PEX BLOQUEADO">
      <formula>NOT(ISERROR(SEARCH("PEX BLOQUEADO",C58)))</formula>
    </cfRule>
    <cfRule type="containsText" dxfId="352" priority="516" operator="containsText" text="PEX DESAFILIADO">
      <formula>NOT(ISERROR(SEARCH("PEX DESAFILIADO",C58)))</formula>
    </cfRule>
    <cfRule type="containsText" dxfId="351" priority="517" operator="containsText" text="NO INSTALADO">
      <formula>NOT(ISERROR(SEARCH("NO INSTALADO",C58)))</formula>
    </cfRule>
    <cfRule type="cellIs" dxfId="350" priority="518" operator="equal">
      <formula>"NO"</formula>
    </cfRule>
  </conditionalFormatting>
  <conditionalFormatting sqref="C58:C82 C114:C141 C150 C231:C325">
    <cfRule type="containsText" dxfId="349" priority="439" operator="containsText" text="PEX BLOQUEADO">
      <formula>NOT(ISERROR(SEARCH("PEX BLOQUEADO",C58)))</formula>
    </cfRule>
    <cfRule type="containsText" dxfId="348" priority="440" operator="containsText" text="PEX DESAFILIADO">
      <formula>NOT(ISERROR(SEARCH("PEX DESAFILIADO",C58)))</formula>
    </cfRule>
    <cfRule type="containsText" dxfId="347" priority="441" operator="containsText" text="NO INSTALADO">
      <formula>NOT(ISERROR(SEARCH("NO INSTALADO",C58)))</formula>
    </cfRule>
    <cfRule type="cellIs" dxfId="346" priority="442" operator="equal">
      <formula>"NO"</formula>
    </cfRule>
    <cfRule type="containsText" dxfId="345" priority="443" operator="containsText" text="PEX BLOQUEADO">
      <formula>NOT(ISERROR(SEARCH("PEX BLOQUEADO",C58)))</formula>
    </cfRule>
    <cfRule type="containsText" dxfId="344" priority="444" operator="containsText" text="PEX DESAFILIADO">
      <formula>NOT(ISERROR(SEARCH("PEX DESAFILIADO",C58)))</formula>
    </cfRule>
    <cfRule type="containsText" dxfId="343" priority="445" operator="containsText" text="NO INSTALADO">
      <formula>NOT(ISERROR(SEARCH("NO INSTALADO",C58)))</formula>
    </cfRule>
    <cfRule type="cellIs" dxfId="342" priority="446" operator="equal">
      <formula>"NO"</formula>
    </cfRule>
    <cfRule type="containsText" dxfId="341" priority="447" operator="containsText" text="PEX BLOQUEADO">
      <formula>NOT(ISERROR(SEARCH("PEX BLOQUEADO",C58)))</formula>
    </cfRule>
    <cfRule type="containsText" dxfId="340" priority="448" operator="containsText" text="PEX DESAFILIADO">
      <formula>NOT(ISERROR(SEARCH("PEX DESAFILIADO",C58)))</formula>
    </cfRule>
    <cfRule type="containsText" dxfId="339" priority="449" operator="containsText" text="NO INSTALADO">
      <formula>NOT(ISERROR(SEARCH("NO INSTALADO",C58)))</formula>
    </cfRule>
    <cfRule type="cellIs" dxfId="338" priority="450" operator="equal">
      <formula>"NO"</formula>
    </cfRule>
    <cfRule type="containsText" dxfId="337" priority="451" operator="containsText" text="PEX BLOQUEADO">
      <formula>NOT(ISERROR(SEARCH("PEX BLOQUEADO",C58)))</formula>
    </cfRule>
    <cfRule type="containsText" dxfId="336" priority="452" operator="containsText" text="PEX DESAFILIADO">
      <formula>NOT(ISERROR(SEARCH("PEX DESAFILIADO",C58)))</formula>
    </cfRule>
    <cfRule type="containsText" dxfId="335" priority="453" operator="containsText" text="NO INSTALADO">
      <formula>NOT(ISERROR(SEARCH("NO INSTALADO",C58)))</formula>
    </cfRule>
    <cfRule type="cellIs" dxfId="334" priority="454" operator="equal">
      <formula>"NO"</formula>
    </cfRule>
    <cfRule type="containsText" dxfId="333" priority="455" operator="containsText" text="PEX BLOQUEADO">
      <formula>NOT(ISERROR(SEARCH("PEX BLOQUEADO",C58)))</formula>
    </cfRule>
    <cfRule type="containsText" dxfId="332" priority="456" operator="containsText" text="PEX DESAFILIADO">
      <formula>NOT(ISERROR(SEARCH("PEX DESAFILIADO",C58)))</formula>
    </cfRule>
    <cfRule type="containsText" dxfId="331" priority="457" operator="containsText" text="NO INSTALADO">
      <formula>NOT(ISERROR(SEARCH("NO INSTALADO",C58)))</formula>
    </cfRule>
    <cfRule type="cellIs" dxfId="330" priority="458" operator="equal">
      <formula>"NO"</formula>
    </cfRule>
    <cfRule type="containsText" dxfId="329" priority="459" operator="containsText" text="PEX BLOQUEADO">
      <formula>NOT(ISERROR(SEARCH("PEX BLOQUEADO",C58)))</formula>
    </cfRule>
    <cfRule type="containsText" dxfId="328" priority="460" operator="containsText" text="PEX DESAFILIADO">
      <formula>NOT(ISERROR(SEARCH("PEX DESAFILIADO",C58)))</formula>
    </cfRule>
    <cfRule type="containsText" dxfId="327" priority="461" operator="containsText" text="NO INSTALADO">
      <formula>NOT(ISERROR(SEARCH("NO INSTALADO",C58)))</formula>
    </cfRule>
    <cfRule type="cellIs" dxfId="326" priority="462" operator="equal">
      <formula>"NO"</formula>
    </cfRule>
    <cfRule type="containsText" dxfId="325" priority="463" operator="containsText" text="PEX BLOQUEADO">
      <formula>NOT(ISERROR(SEARCH("PEX BLOQUEADO",C58)))</formula>
    </cfRule>
    <cfRule type="containsText" dxfId="324" priority="464" operator="containsText" text="PEX DESAFILIADO">
      <formula>NOT(ISERROR(SEARCH("PEX DESAFILIADO",C58)))</formula>
    </cfRule>
    <cfRule type="containsText" dxfId="323" priority="465" operator="containsText" text="NO INSTALADO">
      <formula>NOT(ISERROR(SEARCH("NO INSTALADO",C58)))</formula>
    </cfRule>
    <cfRule type="cellIs" dxfId="322" priority="466" operator="equal">
      <formula>"NO"</formula>
    </cfRule>
    <cfRule type="containsText" dxfId="321" priority="467" operator="containsText" text="PEX BLOQUEADO">
      <formula>NOT(ISERROR(SEARCH("PEX BLOQUEADO",C58)))</formula>
    </cfRule>
    <cfRule type="containsText" dxfId="320" priority="468" operator="containsText" text="PEX DESAFILIADO">
      <formula>NOT(ISERROR(SEARCH("PEX DESAFILIADO",C58)))</formula>
    </cfRule>
    <cfRule type="containsText" dxfId="319" priority="469" operator="containsText" text="NO INSTALADO">
      <formula>NOT(ISERROR(SEARCH("NO INSTALADO",C58)))</formula>
    </cfRule>
    <cfRule type="cellIs" dxfId="318" priority="470" operator="equal">
      <formula>"NO"</formula>
    </cfRule>
    <cfRule type="containsText" dxfId="317" priority="471" operator="containsText" text="PEX BLOQUEADO">
      <formula>NOT(ISERROR(SEARCH("PEX BLOQUEADO",C58)))</formula>
    </cfRule>
    <cfRule type="containsText" dxfId="316" priority="472" operator="containsText" text="PEX DESAFILIADO">
      <formula>NOT(ISERROR(SEARCH("PEX DESAFILIADO",C58)))</formula>
    </cfRule>
    <cfRule type="containsText" dxfId="315" priority="473" operator="containsText" text="NO INSTALADO">
      <formula>NOT(ISERROR(SEARCH("NO INSTALADO",C58)))</formula>
    </cfRule>
    <cfRule type="cellIs" dxfId="314" priority="474" operator="equal">
      <formula>"NO"</formula>
    </cfRule>
    <cfRule type="containsText" dxfId="313" priority="475" operator="containsText" text="PEX BLOQUEADO">
      <formula>NOT(ISERROR(SEARCH("PEX BLOQUEADO",C58)))</formula>
    </cfRule>
    <cfRule type="containsText" dxfId="312" priority="476" operator="containsText" text="PEX DESAFILIADO">
      <formula>NOT(ISERROR(SEARCH("PEX DESAFILIADO",C58)))</formula>
    </cfRule>
    <cfRule type="containsText" dxfId="311" priority="477" operator="containsText" text="NO INSTALADO">
      <formula>NOT(ISERROR(SEARCH("NO INSTALADO",C58)))</formula>
    </cfRule>
    <cfRule type="cellIs" dxfId="310" priority="478" operator="equal">
      <formula>"NO"</formula>
    </cfRule>
    <cfRule type="containsText" dxfId="309" priority="479" operator="containsText" text="PEX BLOQUEADO">
      <formula>NOT(ISERROR(SEARCH("PEX BLOQUEADO",C58)))</formula>
    </cfRule>
    <cfRule type="containsText" dxfId="308" priority="480" operator="containsText" text="PEX DESAFILIADO">
      <formula>NOT(ISERROR(SEARCH("PEX DESAFILIADO",C58)))</formula>
    </cfRule>
    <cfRule type="containsText" dxfId="307" priority="481" operator="containsText" text="NO INSTALADO">
      <formula>NOT(ISERROR(SEARCH("NO INSTALADO",C58)))</formula>
    </cfRule>
    <cfRule type="cellIs" dxfId="306" priority="482" operator="equal">
      <formula>"NO"</formula>
    </cfRule>
    <cfRule type="containsText" dxfId="305" priority="483" operator="containsText" text="PEX BLOQUEADO">
      <formula>NOT(ISERROR(SEARCH("PEX BLOQUEADO",C58)))</formula>
    </cfRule>
    <cfRule type="containsText" dxfId="304" priority="484" operator="containsText" text="PEX DESAFILIADO">
      <formula>NOT(ISERROR(SEARCH("PEX DESAFILIADO",C58)))</formula>
    </cfRule>
    <cfRule type="containsText" dxfId="303" priority="485" operator="containsText" text="NO INSTALADO">
      <formula>NOT(ISERROR(SEARCH("NO INSTALADO",C58)))</formula>
    </cfRule>
    <cfRule type="cellIs" dxfId="302" priority="486" operator="equal">
      <formula>"NO"</formula>
    </cfRule>
    <cfRule type="containsText" dxfId="301" priority="487" operator="containsText" text="PEX BLOQUEADO">
      <formula>NOT(ISERROR(SEARCH("PEX BLOQUEADO",C58)))</formula>
    </cfRule>
    <cfRule type="containsText" dxfId="300" priority="488" operator="containsText" text="PEX DESAFILIADO">
      <formula>NOT(ISERROR(SEARCH("PEX DESAFILIADO",C58)))</formula>
    </cfRule>
    <cfRule type="containsText" dxfId="299" priority="489" operator="containsText" text="NO INSTALADO">
      <formula>NOT(ISERROR(SEARCH("NO INSTALADO",C58)))</formula>
    </cfRule>
    <cfRule type="cellIs" dxfId="298" priority="490" operator="equal">
      <formula>"NO"</formula>
    </cfRule>
    <cfRule type="containsText" dxfId="297" priority="491" operator="containsText" text="PEX BLOQUEADO">
      <formula>NOT(ISERROR(SEARCH("PEX BLOQUEADO",C58)))</formula>
    </cfRule>
    <cfRule type="containsText" dxfId="296" priority="492" operator="containsText" text="PEX DESAFILIADO">
      <formula>NOT(ISERROR(SEARCH("PEX DESAFILIADO",C58)))</formula>
    </cfRule>
    <cfRule type="containsText" dxfId="295" priority="493" operator="containsText" text="NO INSTALADO">
      <formula>NOT(ISERROR(SEARCH("NO INSTALADO",C58)))</formula>
    </cfRule>
    <cfRule type="cellIs" dxfId="294" priority="494" operator="equal">
      <formula>"NO"</formula>
    </cfRule>
    <cfRule type="containsText" dxfId="293" priority="495" operator="containsText" text="PEX BLOQUEADO">
      <formula>NOT(ISERROR(SEARCH("PEX BLOQUEADO",C58)))</formula>
    </cfRule>
    <cfRule type="containsText" dxfId="292" priority="496" operator="containsText" text="PEX DESAFILIADO">
      <formula>NOT(ISERROR(SEARCH("PEX DESAFILIADO",C58)))</formula>
    </cfRule>
    <cfRule type="containsText" dxfId="291" priority="497" operator="containsText" text="NO INSTALADO">
      <formula>NOT(ISERROR(SEARCH("NO INSTALADO",C58)))</formula>
    </cfRule>
    <cfRule type="cellIs" dxfId="290" priority="498" operator="equal">
      <formula>"NO"</formula>
    </cfRule>
    <cfRule type="containsText" dxfId="289" priority="499" operator="containsText" text="PEX BLOQUEADO">
      <formula>NOT(ISERROR(SEARCH("PEX BLOQUEADO",C58)))</formula>
    </cfRule>
    <cfRule type="containsText" dxfId="288" priority="500" operator="containsText" text="PEX DESAFILIADO">
      <formula>NOT(ISERROR(SEARCH("PEX DESAFILIADO",C58)))</formula>
    </cfRule>
    <cfRule type="containsText" dxfId="287" priority="501" operator="containsText" text="NO INSTALADO">
      <formula>NOT(ISERROR(SEARCH("NO INSTALADO",C58)))</formula>
    </cfRule>
    <cfRule type="cellIs" dxfId="286" priority="502" operator="equal">
      <formula>"NO"</formula>
    </cfRule>
    <cfRule type="containsText" dxfId="285" priority="503" operator="containsText" text="PEX BLOQUEADO">
      <formula>NOT(ISERROR(SEARCH("PEX BLOQUEADO",C58)))</formula>
    </cfRule>
    <cfRule type="containsText" dxfId="284" priority="504" operator="containsText" text="PEX DESAFILIADO">
      <formula>NOT(ISERROR(SEARCH("PEX DESAFILIADO",C58)))</formula>
    </cfRule>
    <cfRule type="containsText" dxfId="283" priority="505" operator="containsText" text="NO INSTALADO">
      <formula>NOT(ISERROR(SEARCH("NO INSTALADO",C58)))</formula>
    </cfRule>
    <cfRule type="cellIs" dxfId="282" priority="506" operator="equal">
      <formula>"NO"</formula>
    </cfRule>
    <cfRule type="containsText" dxfId="281" priority="507" operator="containsText" text="PEX BLOQUEADO">
      <formula>NOT(ISERROR(SEARCH("PEX BLOQUEADO",C58)))</formula>
    </cfRule>
    <cfRule type="containsText" dxfId="280" priority="508" operator="containsText" text="PEX DESAFILIADO">
      <formula>NOT(ISERROR(SEARCH("PEX DESAFILIADO",C58)))</formula>
    </cfRule>
    <cfRule type="containsText" dxfId="279" priority="509" operator="containsText" text="NO INSTALADO">
      <formula>NOT(ISERROR(SEARCH("NO INSTALADO",C58)))</formula>
    </cfRule>
    <cfRule type="cellIs" dxfId="278" priority="510" operator="equal">
      <formula>"NO"</formula>
    </cfRule>
  </conditionalFormatting>
  <conditionalFormatting sqref="C58:C387">
    <cfRule type="containsText" dxfId="277" priority="434" operator="containsText" text="PEX BLOQUEADO">
      <formula>NOT(ISERROR(SEARCH("PEX BLOQUEADO",C58)))</formula>
    </cfRule>
    <cfRule type="containsText" dxfId="276" priority="435" operator="containsText" text="PEX DESAFILIADO">
      <formula>NOT(ISERROR(SEARCH("PEX DESAFILIADO",C58)))</formula>
    </cfRule>
    <cfRule type="containsText" dxfId="275" priority="436" operator="containsText" text="NO INSTALADO">
      <formula>NOT(ISERROR(SEARCH("NO INSTALADO",C58)))</formula>
    </cfRule>
    <cfRule type="cellIs" dxfId="274" priority="437" operator="equal">
      <formula>"NO"</formula>
    </cfRule>
  </conditionalFormatting>
  <conditionalFormatting sqref="C83:C113 C121:C149 C151:C277 C303:C387">
    <cfRule type="containsText" dxfId="273" priority="422" operator="containsText" text="PEX BLOQUEADO">
      <formula>NOT(ISERROR(SEARCH("PEX BLOQUEADO",C83)))</formula>
    </cfRule>
    <cfRule type="containsText" dxfId="272" priority="423" operator="containsText" text="PEX DESAFILIADO">
      <formula>NOT(ISERROR(SEARCH("PEX DESAFILIADO",C83)))</formula>
    </cfRule>
    <cfRule type="containsText" dxfId="271" priority="424" operator="containsText" text="NO INSTALADO">
      <formula>NOT(ISERROR(SEARCH("NO INSTALADO",C83)))</formula>
    </cfRule>
    <cfRule type="cellIs" dxfId="270" priority="425" operator="equal">
      <formula>"NO"</formula>
    </cfRule>
  </conditionalFormatting>
  <conditionalFormatting sqref="C83:C113 C142:C149 C151:C230 C326:C387">
    <cfRule type="cellIs" dxfId="269" priority="349" operator="equal">
      <formula>"NO"</formula>
    </cfRule>
    <cfRule type="containsText" dxfId="268" priority="350" operator="containsText" text="PEX BLOQUEADO">
      <formula>NOT(ISERROR(SEARCH("PEX BLOQUEADO",C83)))</formula>
    </cfRule>
    <cfRule type="containsText" dxfId="267" priority="351" operator="containsText" text="PEX DESAFILIADO">
      <formula>NOT(ISERROR(SEARCH("PEX DESAFILIADO",C83)))</formula>
    </cfRule>
    <cfRule type="containsText" dxfId="266" priority="352" operator="containsText" text="NO INSTALADO">
      <formula>NOT(ISERROR(SEARCH("NO INSTALADO",C83)))</formula>
    </cfRule>
    <cfRule type="cellIs" dxfId="265" priority="353" operator="equal">
      <formula>"NO"</formula>
    </cfRule>
    <cfRule type="containsText" dxfId="264" priority="354" operator="containsText" text="PEX BLOQUEADO">
      <formula>NOT(ISERROR(SEARCH("PEX BLOQUEADO",C83)))</formula>
    </cfRule>
    <cfRule type="containsText" dxfId="263" priority="355" operator="containsText" text="PEX DESAFILIADO">
      <formula>NOT(ISERROR(SEARCH("PEX DESAFILIADO",C83)))</formula>
    </cfRule>
    <cfRule type="containsText" dxfId="262" priority="356" operator="containsText" text="NO INSTALADO">
      <formula>NOT(ISERROR(SEARCH("NO INSTALADO",C83)))</formula>
    </cfRule>
    <cfRule type="cellIs" dxfId="261" priority="357" operator="equal">
      <formula>"NO"</formula>
    </cfRule>
    <cfRule type="containsText" dxfId="260" priority="358" operator="containsText" text="PEX BLOQUEADO">
      <formula>NOT(ISERROR(SEARCH("PEX BLOQUEADO",C83)))</formula>
    </cfRule>
    <cfRule type="containsText" dxfId="259" priority="359" operator="containsText" text="PEX DESAFILIADO">
      <formula>NOT(ISERROR(SEARCH("PEX DESAFILIADO",C83)))</formula>
    </cfRule>
    <cfRule type="containsText" dxfId="258" priority="360" operator="containsText" text="NO INSTALADO">
      <formula>NOT(ISERROR(SEARCH("NO INSTALADO",C83)))</formula>
    </cfRule>
    <cfRule type="cellIs" dxfId="257" priority="361" operator="equal">
      <formula>"NO"</formula>
    </cfRule>
    <cfRule type="containsText" dxfId="256" priority="362" operator="containsText" text="PEX BLOQUEADO">
      <formula>NOT(ISERROR(SEARCH("PEX BLOQUEADO",C83)))</formula>
    </cfRule>
    <cfRule type="containsText" dxfId="255" priority="363" operator="containsText" text="PEX DESAFILIADO">
      <formula>NOT(ISERROR(SEARCH("PEX DESAFILIADO",C83)))</formula>
    </cfRule>
    <cfRule type="containsText" dxfId="254" priority="364" operator="containsText" text="NO INSTALADO">
      <formula>NOT(ISERROR(SEARCH("NO INSTALADO",C83)))</formula>
    </cfRule>
    <cfRule type="cellIs" dxfId="253" priority="365" operator="equal">
      <formula>"NO"</formula>
    </cfRule>
    <cfRule type="containsText" dxfId="252" priority="366" operator="containsText" text="PEX BLOQUEADO">
      <formula>NOT(ISERROR(SEARCH("PEX BLOQUEADO",C83)))</formula>
    </cfRule>
    <cfRule type="containsText" dxfId="251" priority="367" operator="containsText" text="PEX DESAFILIADO">
      <formula>NOT(ISERROR(SEARCH("PEX DESAFILIADO",C83)))</formula>
    </cfRule>
    <cfRule type="containsText" dxfId="250" priority="368" operator="containsText" text="NO INSTALADO">
      <formula>NOT(ISERROR(SEARCH("NO INSTALADO",C83)))</formula>
    </cfRule>
    <cfRule type="cellIs" dxfId="249" priority="369" operator="equal">
      <formula>"NO"</formula>
    </cfRule>
    <cfRule type="containsText" dxfId="248" priority="370" operator="containsText" text="PEX BLOQUEADO">
      <formula>NOT(ISERROR(SEARCH("PEX BLOQUEADO",C83)))</formula>
    </cfRule>
    <cfRule type="containsText" dxfId="247" priority="371" operator="containsText" text="PEX DESAFILIADO">
      <formula>NOT(ISERROR(SEARCH("PEX DESAFILIADO",C83)))</formula>
    </cfRule>
    <cfRule type="containsText" dxfId="246" priority="372" operator="containsText" text="NO INSTALADO">
      <formula>NOT(ISERROR(SEARCH("NO INSTALADO",C83)))</formula>
    </cfRule>
    <cfRule type="cellIs" dxfId="245" priority="373" operator="equal">
      <formula>"NO"</formula>
    </cfRule>
    <cfRule type="containsText" dxfId="244" priority="374" operator="containsText" text="PEX BLOQUEADO">
      <formula>NOT(ISERROR(SEARCH("PEX BLOQUEADO",C83)))</formula>
    </cfRule>
    <cfRule type="containsText" dxfId="243" priority="375" operator="containsText" text="PEX DESAFILIADO">
      <formula>NOT(ISERROR(SEARCH("PEX DESAFILIADO",C83)))</formula>
    </cfRule>
    <cfRule type="containsText" dxfId="242" priority="376" operator="containsText" text="NO INSTALADO">
      <formula>NOT(ISERROR(SEARCH("NO INSTALADO",C83)))</formula>
    </cfRule>
    <cfRule type="cellIs" dxfId="241" priority="377" operator="equal">
      <formula>"NO"</formula>
    </cfRule>
    <cfRule type="containsText" dxfId="240" priority="378" operator="containsText" text="PEX BLOQUEADO">
      <formula>NOT(ISERROR(SEARCH("PEX BLOQUEADO",C83)))</formula>
    </cfRule>
    <cfRule type="containsText" dxfId="239" priority="379" operator="containsText" text="PEX DESAFILIADO">
      <formula>NOT(ISERROR(SEARCH("PEX DESAFILIADO",C83)))</formula>
    </cfRule>
    <cfRule type="containsText" dxfId="238" priority="380" operator="containsText" text="NO INSTALADO">
      <formula>NOT(ISERROR(SEARCH("NO INSTALADO",C83)))</formula>
    </cfRule>
    <cfRule type="cellIs" dxfId="237" priority="381" operator="equal">
      <formula>"NO"</formula>
    </cfRule>
    <cfRule type="containsText" dxfId="236" priority="382" operator="containsText" text="PEX BLOQUEADO">
      <formula>NOT(ISERROR(SEARCH("PEX BLOQUEADO",C83)))</formula>
    </cfRule>
    <cfRule type="containsText" dxfId="235" priority="383" operator="containsText" text="PEX DESAFILIADO">
      <formula>NOT(ISERROR(SEARCH("PEX DESAFILIADO",C83)))</formula>
    </cfRule>
    <cfRule type="containsText" dxfId="234" priority="384" operator="containsText" text="NO INSTALADO">
      <formula>NOT(ISERROR(SEARCH("NO INSTALADO",C83)))</formula>
    </cfRule>
    <cfRule type="cellIs" dxfId="233" priority="385" operator="equal">
      <formula>"NO"</formula>
    </cfRule>
    <cfRule type="containsText" dxfId="232" priority="386" operator="containsText" text="PEX BLOQUEADO">
      <formula>NOT(ISERROR(SEARCH("PEX BLOQUEADO",C83)))</formula>
    </cfRule>
    <cfRule type="containsText" dxfId="231" priority="387" operator="containsText" text="PEX DESAFILIADO">
      <formula>NOT(ISERROR(SEARCH("PEX DESAFILIADO",C83)))</formula>
    </cfRule>
    <cfRule type="containsText" dxfId="230" priority="388" operator="containsText" text="NO INSTALADO">
      <formula>NOT(ISERROR(SEARCH("NO INSTALADO",C83)))</formula>
    </cfRule>
    <cfRule type="cellIs" dxfId="229" priority="389" operator="equal">
      <formula>"NO"</formula>
    </cfRule>
    <cfRule type="containsText" dxfId="228" priority="390" operator="containsText" text="PEX BLOQUEADO">
      <formula>NOT(ISERROR(SEARCH("PEX BLOQUEADO",C83)))</formula>
    </cfRule>
    <cfRule type="containsText" dxfId="227" priority="391" operator="containsText" text="PEX DESAFILIADO">
      <formula>NOT(ISERROR(SEARCH("PEX DESAFILIADO",C83)))</formula>
    </cfRule>
    <cfRule type="containsText" dxfId="226" priority="392" operator="containsText" text="NO INSTALADO">
      <formula>NOT(ISERROR(SEARCH("NO INSTALADO",C83)))</formula>
    </cfRule>
    <cfRule type="cellIs" dxfId="225" priority="393" operator="equal">
      <formula>"NO"</formula>
    </cfRule>
    <cfRule type="containsText" dxfId="224" priority="394" operator="containsText" text="PEX BLOQUEADO">
      <formula>NOT(ISERROR(SEARCH("PEX BLOQUEADO",C83)))</formula>
    </cfRule>
    <cfRule type="containsText" dxfId="223" priority="395" operator="containsText" text="PEX DESAFILIADO">
      <formula>NOT(ISERROR(SEARCH("PEX DESAFILIADO",C83)))</formula>
    </cfRule>
    <cfRule type="containsText" dxfId="222" priority="396" operator="containsText" text="NO INSTALADO">
      <formula>NOT(ISERROR(SEARCH("NO INSTALADO",C83)))</formula>
    </cfRule>
    <cfRule type="cellIs" dxfId="221" priority="397" operator="equal">
      <formula>"NO"</formula>
    </cfRule>
    <cfRule type="containsText" dxfId="220" priority="398" operator="containsText" text="PEX BLOQUEADO">
      <formula>NOT(ISERROR(SEARCH("PEX BLOQUEADO",C83)))</formula>
    </cfRule>
    <cfRule type="containsText" dxfId="219" priority="399" operator="containsText" text="PEX DESAFILIADO">
      <formula>NOT(ISERROR(SEARCH("PEX DESAFILIADO",C83)))</formula>
    </cfRule>
    <cfRule type="containsText" dxfId="218" priority="400" operator="containsText" text="NO INSTALADO">
      <formula>NOT(ISERROR(SEARCH("NO INSTALADO",C83)))</formula>
    </cfRule>
    <cfRule type="cellIs" dxfId="217" priority="401" operator="equal">
      <formula>"NO"</formula>
    </cfRule>
    <cfRule type="containsText" dxfId="216" priority="402" operator="containsText" text="PEX BLOQUEADO">
      <formula>NOT(ISERROR(SEARCH("PEX BLOQUEADO",C83)))</formula>
    </cfRule>
    <cfRule type="containsText" dxfId="215" priority="403" operator="containsText" text="PEX DESAFILIADO">
      <formula>NOT(ISERROR(SEARCH("PEX DESAFILIADO",C83)))</formula>
    </cfRule>
    <cfRule type="containsText" dxfId="214" priority="404" operator="containsText" text="NO INSTALADO">
      <formula>NOT(ISERROR(SEARCH("NO INSTALADO",C83)))</formula>
    </cfRule>
    <cfRule type="cellIs" dxfId="213" priority="405" operator="equal">
      <formula>"NO"</formula>
    </cfRule>
    <cfRule type="containsText" dxfId="212" priority="406" operator="containsText" text="PEX BLOQUEADO">
      <formula>NOT(ISERROR(SEARCH("PEX BLOQUEADO",C83)))</formula>
    </cfRule>
    <cfRule type="containsText" dxfId="211" priority="407" operator="containsText" text="PEX DESAFILIADO">
      <formula>NOT(ISERROR(SEARCH("PEX DESAFILIADO",C83)))</formula>
    </cfRule>
    <cfRule type="containsText" dxfId="210" priority="408" operator="containsText" text="NO INSTALADO">
      <formula>NOT(ISERROR(SEARCH("NO INSTALADO",C83)))</formula>
    </cfRule>
    <cfRule type="cellIs" dxfId="209" priority="409" operator="equal">
      <formula>"NO"</formula>
    </cfRule>
    <cfRule type="containsText" dxfId="208" priority="410" operator="containsText" text="PEX BLOQUEADO">
      <formula>NOT(ISERROR(SEARCH("PEX BLOQUEADO",C83)))</formula>
    </cfRule>
    <cfRule type="containsText" dxfId="207" priority="411" operator="containsText" text="PEX DESAFILIADO">
      <formula>NOT(ISERROR(SEARCH("PEX DESAFILIADO",C83)))</formula>
    </cfRule>
    <cfRule type="containsText" dxfId="206" priority="412" operator="containsText" text="NO INSTALADO">
      <formula>NOT(ISERROR(SEARCH("NO INSTALADO",C83)))</formula>
    </cfRule>
    <cfRule type="cellIs" dxfId="205" priority="413" operator="equal">
      <formula>"NO"</formula>
    </cfRule>
    <cfRule type="containsText" dxfId="204" priority="414" operator="containsText" text="PEX BLOQUEADO">
      <formula>NOT(ISERROR(SEARCH("PEX BLOQUEADO",C83)))</formula>
    </cfRule>
    <cfRule type="containsText" dxfId="203" priority="415" operator="containsText" text="PEX DESAFILIADO">
      <formula>NOT(ISERROR(SEARCH("PEX DESAFILIADO",C83)))</formula>
    </cfRule>
    <cfRule type="containsText" dxfId="202" priority="416" operator="containsText" text="NO INSTALADO">
      <formula>NOT(ISERROR(SEARCH("NO INSTALADO",C83)))</formula>
    </cfRule>
    <cfRule type="cellIs" dxfId="201" priority="417" operator="equal">
      <formula>"NO"</formula>
    </cfRule>
    <cfRule type="containsText" dxfId="200" priority="418" operator="containsText" text="PEX BLOQUEADO">
      <formula>NOT(ISERROR(SEARCH("PEX BLOQUEADO",C83)))</formula>
    </cfRule>
    <cfRule type="containsText" dxfId="199" priority="419" operator="containsText" text="PEX DESAFILIADO">
      <formula>NOT(ISERROR(SEARCH("PEX DESAFILIADO",C83)))</formula>
    </cfRule>
    <cfRule type="containsText" dxfId="198" priority="420" operator="containsText" text="NO INSTALADO">
      <formula>NOT(ISERROR(SEARCH("NO INSTALADO",C83)))</formula>
    </cfRule>
    <cfRule type="cellIs" dxfId="197" priority="421" operator="equal">
      <formula>"NO"</formula>
    </cfRule>
  </conditionalFormatting>
  <conditionalFormatting sqref="C83:C149 C151:C387">
    <cfRule type="containsText" dxfId="196" priority="342" operator="containsText" text="PEX BLOQUEADO">
      <formula>NOT(ISERROR(SEARCH("PEX BLOQUEADO",C83)))</formula>
    </cfRule>
    <cfRule type="containsText" dxfId="195" priority="343" operator="containsText" text="PEX DESAFILIADO">
      <formula>NOT(ISERROR(SEARCH("PEX DESAFILIADO",C83)))</formula>
    </cfRule>
    <cfRule type="containsText" dxfId="194" priority="344" operator="containsText" text="NO INSTALADO">
      <formula>NOT(ISERROR(SEARCH("NO INSTALADO",C83)))</formula>
    </cfRule>
  </conditionalFormatting>
  <conditionalFormatting sqref="C83:C149">
    <cfRule type="cellIs" dxfId="193" priority="341" operator="equal">
      <formula>"NO"</formula>
    </cfRule>
  </conditionalFormatting>
  <conditionalFormatting sqref="C151:C230 C240:C277">
    <cfRule type="containsText" dxfId="192" priority="255" operator="containsText" text="PEX BLOQUEADO">
      <formula>NOT(ISERROR(SEARCH("PEX BLOQUEADO",C151)))</formula>
    </cfRule>
    <cfRule type="containsText" dxfId="191" priority="256" operator="containsText" text="PEX DESAFILIADO">
      <formula>NOT(ISERROR(SEARCH("PEX DESAFILIADO",C151)))</formula>
    </cfRule>
    <cfRule type="containsText" dxfId="190" priority="257" operator="containsText" text="NO INSTALADO">
      <formula>NOT(ISERROR(SEARCH("NO INSTALADO",C151)))</formula>
    </cfRule>
    <cfRule type="cellIs" dxfId="189" priority="258" operator="equal">
      <formula>"NO"</formula>
    </cfRule>
    <cfRule type="containsText" dxfId="188" priority="259" operator="containsText" text="PEX BLOQUEADO">
      <formula>NOT(ISERROR(SEARCH("PEX BLOQUEADO",C151)))</formula>
    </cfRule>
    <cfRule type="containsText" dxfId="187" priority="260" operator="containsText" text="PEX DESAFILIADO">
      <formula>NOT(ISERROR(SEARCH("PEX DESAFILIADO",C151)))</formula>
    </cfRule>
    <cfRule type="containsText" dxfId="186" priority="261" operator="containsText" text="NO INSTALADO">
      <formula>NOT(ISERROR(SEARCH("NO INSTALADO",C151)))</formula>
    </cfRule>
    <cfRule type="cellIs" dxfId="185" priority="262" operator="equal">
      <formula>"NO"</formula>
    </cfRule>
    <cfRule type="containsText" dxfId="184" priority="263" operator="containsText" text="PEX BLOQUEADO">
      <formula>NOT(ISERROR(SEARCH("PEX BLOQUEADO",C151)))</formula>
    </cfRule>
    <cfRule type="containsText" dxfId="183" priority="264" operator="containsText" text="PEX DESAFILIADO">
      <formula>NOT(ISERROR(SEARCH("PEX DESAFILIADO",C151)))</formula>
    </cfRule>
    <cfRule type="containsText" dxfId="182" priority="265" operator="containsText" text="NO INSTALADO">
      <formula>NOT(ISERROR(SEARCH("NO INSTALADO",C151)))</formula>
    </cfRule>
    <cfRule type="cellIs" dxfId="181" priority="266" operator="equal">
      <formula>"NO"</formula>
    </cfRule>
    <cfRule type="containsText" dxfId="180" priority="267" operator="containsText" text="PEX BLOQUEADO">
      <formula>NOT(ISERROR(SEARCH("PEX BLOQUEADO",C151)))</formula>
    </cfRule>
    <cfRule type="containsText" dxfId="179" priority="268" operator="containsText" text="PEX DESAFILIADO">
      <formula>NOT(ISERROR(SEARCH("PEX DESAFILIADO",C151)))</formula>
    </cfRule>
    <cfRule type="containsText" dxfId="178" priority="269" operator="containsText" text="NO INSTALADO">
      <formula>NOT(ISERROR(SEARCH("NO INSTALADO",C151)))</formula>
    </cfRule>
    <cfRule type="cellIs" dxfId="177" priority="270" operator="equal">
      <formula>"NO"</formula>
    </cfRule>
    <cfRule type="containsText" dxfId="176" priority="271" operator="containsText" text="PEX BLOQUEADO">
      <formula>NOT(ISERROR(SEARCH("PEX BLOQUEADO",C151)))</formula>
    </cfRule>
    <cfRule type="containsText" dxfId="175" priority="272" operator="containsText" text="PEX DESAFILIADO">
      <formula>NOT(ISERROR(SEARCH("PEX DESAFILIADO",C151)))</formula>
    </cfRule>
    <cfRule type="containsText" dxfId="174" priority="273" operator="containsText" text="NO INSTALADO">
      <formula>NOT(ISERROR(SEARCH("NO INSTALADO",C151)))</formula>
    </cfRule>
    <cfRule type="cellIs" dxfId="173" priority="274" operator="equal">
      <formula>"NO"</formula>
    </cfRule>
    <cfRule type="containsText" dxfId="172" priority="275" operator="containsText" text="PEX BLOQUEADO">
      <formula>NOT(ISERROR(SEARCH("PEX BLOQUEADO",C151)))</formula>
    </cfRule>
    <cfRule type="containsText" dxfId="171" priority="276" operator="containsText" text="PEX DESAFILIADO">
      <formula>NOT(ISERROR(SEARCH("PEX DESAFILIADO",C151)))</formula>
    </cfRule>
    <cfRule type="containsText" dxfId="170" priority="277" operator="containsText" text="NO INSTALADO">
      <formula>NOT(ISERROR(SEARCH("NO INSTALADO",C151)))</formula>
    </cfRule>
    <cfRule type="cellIs" dxfId="169" priority="278" operator="equal">
      <formula>"NO"</formula>
    </cfRule>
    <cfRule type="containsText" dxfId="168" priority="279" operator="containsText" text="PEX BLOQUEADO">
      <formula>NOT(ISERROR(SEARCH("PEX BLOQUEADO",C151)))</formula>
    </cfRule>
    <cfRule type="containsText" dxfId="167" priority="280" operator="containsText" text="PEX DESAFILIADO">
      <formula>NOT(ISERROR(SEARCH("PEX DESAFILIADO",C151)))</formula>
    </cfRule>
    <cfRule type="containsText" dxfId="166" priority="281" operator="containsText" text="NO INSTALADO">
      <formula>NOT(ISERROR(SEARCH("NO INSTALADO",C151)))</formula>
    </cfRule>
    <cfRule type="cellIs" dxfId="165" priority="282" operator="equal">
      <formula>"NO"</formula>
    </cfRule>
    <cfRule type="containsText" dxfId="164" priority="283" operator="containsText" text="PEX BLOQUEADO">
      <formula>NOT(ISERROR(SEARCH("PEX BLOQUEADO",C151)))</formula>
    </cfRule>
    <cfRule type="containsText" dxfId="163" priority="284" operator="containsText" text="PEX DESAFILIADO">
      <formula>NOT(ISERROR(SEARCH("PEX DESAFILIADO",C151)))</formula>
    </cfRule>
    <cfRule type="containsText" dxfId="162" priority="285" operator="containsText" text="NO INSTALADO">
      <formula>NOT(ISERROR(SEARCH("NO INSTALADO",C151)))</formula>
    </cfRule>
    <cfRule type="cellIs" dxfId="161" priority="286" operator="equal">
      <formula>"NO"</formula>
    </cfRule>
    <cfRule type="containsText" dxfId="160" priority="287" operator="containsText" text="PEX BLOQUEADO">
      <formula>NOT(ISERROR(SEARCH("PEX BLOQUEADO",C151)))</formula>
    </cfRule>
    <cfRule type="containsText" dxfId="159" priority="288" operator="containsText" text="PEX DESAFILIADO">
      <formula>NOT(ISERROR(SEARCH("PEX DESAFILIADO",C151)))</formula>
    </cfRule>
    <cfRule type="containsText" dxfId="158" priority="289" operator="containsText" text="NO INSTALADO">
      <formula>NOT(ISERROR(SEARCH("NO INSTALADO",C151)))</formula>
    </cfRule>
    <cfRule type="cellIs" dxfId="157" priority="290" operator="equal">
      <formula>"NO"</formula>
    </cfRule>
    <cfRule type="containsText" dxfId="156" priority="291" operator="containsText" text="PEX BLOQUEADO">
      <formula>NOT(ISERROR(SEARCH("PEX BLOQUEADO",C151)))</formula>
    </cfRule>
    <cfRule type="containsText" dxfId="155" priority="292" operator="containsText" text="PEX DESAFILIADO">
      <formula>NOT(ISERROR(SEARCH("PEX DESAFILIADO",C151)))</formula>
    </cfRule>
    <cfRule type="containsText" dxfId="154" priority="293" operator="containsText" text="NO INSTALADO">
      <formula>NOT(ISERROR(SEARCH("NO INSTALADO",C151)))</formula>
    </cfRule>
    <cfRule type="cellIs" dxfId="153" priority="294" operator="equal">
      <formula>"NO"</formula>
    </cfRule>
    <cfRule type="containsText" dxfId="152" priority="295" operator="containsText" text="PEX BLOQUEADO">
      <formula>NOT(ISERROR(SEARCH("PEX BLOQUEADO",C151)))</formula>
    </cfRule>
    <cfRule type="containsText" dxfId="151" priority="296" operator="containsText" text="PEX DESAFILIADO">
      <formula>NOT(ISERROR(SEARCH("PEX DESAFILIADO",C151)))</formula>
    </cfRule>
    <cfRule type="containsText" dxfId="150" priority="297" operator="containsText" text="NO INSTALADO">
      <formula>NOT(ISERROR(SEARCH("NO INSTALADO",C151)))</formula>
    </cfRule>
    <cfRule type="cellIs" dxfId="149" priority="298" operator="equal">
      <formula>"NO"</formula>
    </cfRule>
    <cfRule type="containsText" dxfId="148" priority="299" operator="containsText" text="PEX BLOQUEADO">
      <formula>NOT(ISERROR(SEARCH("PEX BLOQUEADO",C151)))</formula>
    </cfRule>
    <cfRule type="containsText" dxfId="147" priority="300" operator="containsText" text="PEX DESAFILIADO">
      <formula>NOT(ISERROR(SEARCH("PEX DESAFILIADO",C151)))</formula>
    </cfRule>
    <cfRule type="containsText" dxfId="146" priority="301" operator="containsText" text="NO INSTALADO">
      <formula>NOT(ISERROR(SEARCH("NO INSTALADO",C151)))</formula>
    </cfRule>
    <cfRule type="cellIs" dxfId="145" priority="302" operator="equal">
      <formula>"NO"</formula>
    </cfRule>
    <cfRule type="containsText" dxfId="144" priority="303" operator="containsText" text="PEX BLOQUEADO">
      <formula>NOT(ISERROR(SEARCH("PEX BLOQUEADO",C151)))</formula>
    </cfRule>
    <cfRule type="containsText" dxfId="143" priority="304" operator="containsText" text="PEX DESAFILIADO">
      <formula>NOT(ISERROR(SEARCH("PEX DESAFILIADO",C151)))</formula>
    </cfRule>
    <cfRule type="containsText" dxfId="142" priority="305" operator="containsText" text="NO INSTALADO">
      <formula>NOT(ISERROR(SEARCH("NO INSTALADO",C151)))</formula>
    </cfRule>
    <cfRule type="cellIs" dxfId="141" priority="306" operator="equal">
      <formula>"NO"</formula>
    </cfRule>
    <cfRule type="containsText" dxfId="140" priority="307" operator="containsText" text="PEX BLOQUEADO">
      <formula>NOT(ISERROR(SEARCH("PEX BLOQUEADO",C151)))</formula>
    </cfRule>
    <cfRule type="containsText" dxfId="139" priority="308" operator="containsText" text="PEX DESAFILIADO">
      <formula>NOT(ISERROR(SEARCH("PEX DESAFILIADO",C151)))</formula>
    </cfRule>
    <cfRule type="containsText" dxfId="138" priority="309" operator="containsText" text="NO INSTALADO">
      <formula>NOT(ISERROR(SEARCH("NO INSTALADO",C151)))</formula>
    </cfRule>
    <cfRule type="cellIs" dxfId="137" priority="310" operator="equal">
      <formula>"NO"</formula>
    </cfRule>
    <cfRule type="containsText" dxfId="136" priority="311" operator="containsText" text="PEX BLOQUEADO">
      <formula>NOT(ISERROR(SEARCH("PEX BLOQUEADO",C151)))</formula>
    </cfRule>
    <cfRule type="containsText" dxfId="135" priority="312" operator="containsText" text="PEX DESAFILIADO">
      <formula>NOT(ISERROR(SEARCH("PEX DESAFILIADO",C151)))</formula>
    </cfRule>
    <cfRule type="containsText" dxfId="134" priority="313" operator="containsText" text="NO INSTALADO">
      <formula>NOT(ISERROR(SEARCH("NO INSTALADO",C151)))</formula>
    </cfRule>
    <cfRule type="cellIs" dxfId="133" priority="314" operator="equal">
      <formula>"NO"</formula>
    </cfRule>
    <cfRule type="containsText" dxfId="132" priority="315" operator="containsText" text="PEX BLOQUEADO">
      <formula>NOT(ISERROR(SEARCH("PEX BLOQUEADO",C151)))</formula>
    </cfRule>
    <cfRule type="containsText" dxfId="131" priority="316" operator="containsText" text="PEX DESAFILIADO">
      <formula>NOT(ISERROR(SEARCH("PEX DESAFILIADO",C151)))</formula>
    </cfRule>
    <cfRule type="containsText" dxfId="130" priority="317" operator="containsText" text="NO INSTALADO">
      <formula>NOT(ISERROR(SEARCH("NO INSTALADO",C151)))</formula>
    </cfRule>
    <cfRule type="cellIs" dxfId="129" priority="318" operator="equal">
      <formula>"NO"</formula>
    </cfRule>
    <cfRule type="containsText" dxfId="128" priority="319" operator="containsText" text="PEX BLOQUEADO">
      <formula>NOT(ISERROR(SEARCH("PEX BLOQUEADO",C151)))</formula>
    </cfRule>
    <cfRule type="containsText" dxfId="127" priority="320" operator="containsText" text="PEX DESAFILIADO">
      <formula>NOT(ISERROR(SEARCH("PEX DESAFILIADO",C151)))</formula>
    </cfRule>
    <cfRule type="containsText" dxfId="126" priority="321" operator="containsText" text="NO INSTALADO">
      <formula>NOT(ISERROR(SEARCH("NO INSTALADO",C151)))</formula>
    </cfRule>
    <cfRule type="cellIs" dxfId="125" priority="322" operator="equal">
      <formula>"NO"</formula>
    </cfRule>
    <cfRule type="containsText" dxfId="124" priority="323" operator="containsText" text="PEX BLOQUEADO">
      <formula>NOT(ISERROR(SEARCH("PEX BLOQUEADO",C151)))</formula>
    </cfRule>
    <cfRule type="containsText" dxfId="123" priority="324" operator="containsText" text="PEX DESAFILIADO">
      <formula>NOT(ISERROR(SEARCH("PEX DESAFILIADO",C151)))</formula>
    </cfRule>
    <cfRule type="containsText" dxfId="122" priority="325" operator="containsText" text="NO INSTALADO">
      <formula>NOT(ISERROR(SEARCH("NO INSTALADO",C151)))</formula>
    </cfRule>
    <cfRule type="cellIs" dxfId="121" priority="326" operator="equal">
      <formula>"NO"</formula>
    </cfRule>
    <cfRule type="containsText" dxfId="120" priority="327" operator="containsText" text="PEX BLOQUEADO">
      <formula>NOT(ISERROR(SEARCH("PEX BLOQUEADO",C151)))</formula>
    </cfRule>
    <cfRule type="containsText" dxfId="119" priority="328" operator="containsText" text="PEX DESAFILIADO">
      <formula>NOT(ISERROR(SEARCH("PEX DESAFILIADO",C151)))</formula>
    </cfRule>
    <cfRule type="containsText" dxfId="118" priority="329" operator="containsText" text="NO INSTALADO">
      <formula>NOT(ISERROR(SEARCH("NO INSTALADO",C151)))</formula>
    </cfRule>
    <cfRule type="cellIs" dxfId="117" priority="330" operator="equal">
      <formula>"NO"</formula>
    </cfRule>
    <cfRule type="containsText" dxfId="116" priority="331" operator="containsText" text="PEX BLOQUEADO">
      <formula>NOT(ISERROR(SEARCH("PEX BLOQUEADO",C151)))</formula>
    </cfRule>
    <cfRule type="containsText" dxfId="115" priority="332" operator="containsText" text="PEX DESAFILIADO">
      <formula>NOT(ISERROR(SEARCH("PEX DESAFILIADO",C151)))</formula>
    </cfRule>
    <cfRule type="containsText" dxfId="114" priority="333" operator="containsText" text="NO INSTALADO">
      <formula>NOT(ISERROR(SEARCH("NO INSTALADO",C151)))</formula>
    </cfRule>
  </conditionalFormatting>
  <conditionalFormatting sqref="C151:C387">
    <cfRule type="cellIs" dxfId="113" priority="334" operator="equal">
      <formula>"NO"</formula>
    </cfRule>
  </conditionalFormatting>
  <conditionalFormatting sqref="C303:C387">
    <cfRule type="containsText" dxfId="112" priority="426" operator="containsText" text="PEX BLOQUEADO">
      <formula>NOT(ISERROR(SEARCH("PEX BLOQUEADO",C303)))</formula>
    </cfRule>
    <cfRule type="containsText" dxfId="111" priority="427" operator="containsText" text="PEX DESAFILIADO">
      <formula>NOT(ISERROR(SEARCH("PEX DESAFILIADO",C303)))</formula>
    </cfRule>
    <cfRule type="containsText" dxfId="110" priority="428" operator="containsText" text="NO INSTALADO">
      <formula>NOT(ISERROR(SEARCH("NO INSTALADO",C303)))</formula>
    </cfRule>
    <cfRule type="cellIs" dxfId="109" priority="429" operator="equal">
      <formula>"NO"</formula>
    </cfRule>
    <cfRule type="containsText" dxfId="108" priority="430" operator="containsText" text="PEX BLOQUEADO">
      <formula>NOT(ISERROR(SEARCH("PEX BLOQUEADO",C303)))</formula>
    </cfRule>
    <cfRule type="containsText" dxfId="107" priority="431" operator="containsText" text="PEX DESAFILIADO">
      <formula>NOT(ISERROR(SEARCH("PEX DESAFILIADO",C303)))</formula>
    </cfRule>
    <cfRule type="containsText" dxfId="106" priority="432" operator="containsText" text="NO INSTALADO">
      <formula>NOT(ISERROR(SEARCH("NO INSTALADO",C303)))</formula>
    </cfRule>
    <cfRule type="cellIs" dxfId="105" priority="433" operator="equal">
      <formula>"NO"</formula>
    </cfRule>
  </conditionalFormatting>
  <conditionalFormatting sqref="C326:C387">
    <cfRule type="containsText" dxfId="104" priority="252" operator="containsText" text="PEX BLOQUEADO">
      <formula>NOT(ISERROR(SEARCH("PEX BLOQUEADO",C326)))</formula>
    </cfRule>
    <cfRule type="containsText" dxfId="103" priority="253" operator="containsText" text="PEX DESAFILIADO">
      <formula>NOT(ISERROR(SEARCH("PEX DESAFILIADO",C326)))</formula>
    </cfRule>
    <cfRule type="containsText" dxfId="102" priority="254" operator="containsText" text="NO INSTALADO">
      <formula>NOT(ISERROR(SEARCH("NO INSTALADO",C326)))</formula>
    </cfRule>
  </conditionalFormatting>
  <conditionalFormatting sqref="C361:C387">
    <cfRule type="containsText" dxfId="101" priority="248" operator="containsText" text="PEX BLOQUEADO">
      <formula>NOT(ISERROR(SEARCH("PEX BLOQUEADO",C361)))</formula>
    </cfRule>
    <cfRule type="containsText" dxfId="100" priority="249" operator="containsText" text="PEX DESAFILIADO">
      <formula>NOT(ISERROR(SEARCH("PEX DESAFILIADO",C361)))</formula>
    </cfRule>
    <cfRule type="containsText" dxfId="99" priority="250" operator="containsText" text="NO INSTALADO">
      <formula>NOT(ISERROR(SEARCH("NO INSTALADO",C361)))</formula>
    </cfRule>
    <cfRule type="cellIs" dxfId="98" priority="251" operator="equal">
      <formula>"NO"</formula>
    </cfRule>
  </conditionalFormatting>
  <conditionalFormatting sqref="C373:C387">
    <cfRule type="cellIs" dxfId="97" priority="247" operator="equal">
      <formula>"NO"</formula>
    </cfRule>
  </conditionalFormatting>
  <conditionalFormatting sqref="C397:C460">
    <cfRule type="containsText" dxfId="96" priority="179" operator="containsText" text="PEX BLOQUEADO">
      <formula>NOT(ISERROR(SEARCH("PEX BLOQUEADO",C397)))</formula>
    </cfRule>
    <cfRule type="containsText" dxfId="95" priority="180" operator="containsText" text="PEX DESAFILIADO">
      <formula>NOT(ISERROR(SEARCH("PEX DESAFILIADO",C397)))</formula>
    </cfRule>
    <cfRule type="containsText" dxfId="94" priority="181" operator="containsText" text="NO INSTALADO">
      <formula>NOT(ISERROR(SEARCH("NO INSTALADO",C397)))</formula>
    </cfRule>
    <cfRule type="cellIs" dxfId="93" priority="182" operator="equal">
      <formula>"NO"</formula>
    </cfRule>
  </conditionalFormatting>
  <conditionalFormatting sqref="C451:C460">
    <cfRule type="containsText" dxfId="92" priority="95" operator="containsText" text="PEX BLOQUEADO">
      <formula>NOT(ISERROR(SEARCH("PEX BLOQUEADO",C451)))</formula>
    </cfRule>
    <cfRule type="containsText" dxfId="91" priority="96" operator="containsText" text="PEX DESAFILIADO">
      <formula>NOT(ISERROR(SEARCH("PEX DESAFILIADO",C451)))</formula>
    </cfRule>
    <cfRule type="containsText" dxfId="90" priority="97" operator="containsText" text="NO INSTALADO">
      <formula>NOT(ISERROR(SEARCH("NO INSTALADO",C451)))</formula>
    </cfRule>
    <cfRule type="cellIs" dxfId="89" priority="98" operator="equal">
      <formula>"NO"</formula>
    </cfRule>
    <cfRule type="containsText" dxfId="88" priority="99" operator="containsText" text="PEX BLOQUEADO">
      <formula>NOT(ISERROR(SEARCH("PEX BLOQUEADO",C451)))</formula>
    </cfRule>
    <cfRule type="containsText" dxfId="87" priority="100" operator="containsText" text="PEX DESAFILIADO">
      <formula>NOT(ISERROR(SEARCH("PEX DESAFILIADO",C451)))</formula>
    </cfRule>
    <cfRule type="containsText" dxfId="86" priority="101" operator="containsText" text="NO INSTALADO">
      <formula>NOT(ISERROR(SEARCH("NO INSTALADO",C451)))</formula>
    </cfRule>
    <cfRule type="cellIs" dxfId="85" priority="102" operator="equal">
      <formula>"NO"</formula>
    </cfRule>
    <cfRule type="containsText" dxfId="84" priority="103" operator="containsText" text="PEX BLOQUEADO">
      <formula>NOT(ISERROR(SEARCH("PEX BLOQUEADO",C451)))</formula>
    </cfRule>
    <cfRule type="containsText" dxfId="83" priority="104" operator="containsText" text="PEX DESAFILIADO">
      <formula>NOT(ISERROR(SEARCH("PEX DESAFILIADO",C451)))</formula>
    </cfRule>
    <cfRule type="containsText" dxfId="82" priority="105" operator="containsText" text="NO INSTALADO">
      <formula>NOT(ISERROR(SEARCH("NO INSTALADO",C451)))</formula>
    </cfRule>
    <cfRule type="cellIs" dxfId="81" priority="106" operator="equal">
      <formula>"NO"</formula>
    </cfRule>
    <cfRule type="containsText" dxfId="80" priority="107" operator="containsText" text="PEX BLOQUEADO">
      <formula>NOT(ISERROR(SEARCH("PEX BLOQUEADO",C451)))</formula>
    </cfRule>
    <cfRule type="containsText" dxfId="79" priority="108" operator="containsText" text="PEX DESAFILIADO">
      <formula>NOT(ISERROR(SEARCH("PEX DESAFILIADO",C451)))</formula>
    </cfRule>
    <cfRule type="containsText" dxfId="78" priority="109" operator="containsText" text="NO INSTALADO">
      <formula>NOT(ISERROR(SEARCH("NO INSTALADO",C451)))</formula>
    </cfRule>
    <cfRule type="cellIs" dxfId="77" priority="110" operator="equal">
      <formula>"NO"</formula>
    </cfRule>
    <cfRule type="containsText" dxfId="76" priority="111" operator="containsText" text="PEX BLOQUEADO">
      <formula>NOT(ISERROR(SEARCH("PEX BLOQUEADO",C451)))</formula>
    </cfRule>
    <cfRule type="containsText" dxfId="75" priority="112" operator="containsText" text="PEX DESAFILIADO">
      <formula>NOT(ISERROR(SEARCH("PEX DESAFILIADO",C451)))</formula>
    </cfRule>
    <cfRule type="containsText" dxfId="74" priority="113" operator="containsText" text="NO INSTALADO">
      <formula>NOT(ISERROR(SEARCH("NO INSTALADO",C451)))</formula>
    </cfRule>
    <cfRule type="cellIs" dxfId="73" priority="114" operator="equal">
      <formula>"NO"</formula>
    </cfRule>
    <cfRule type="containsText" dxfId="72" priority="115" operator="containsText" text="PEX BLOQUEADO">
      <formula>NOT(ISERROR(SEARCH("PEX BLOQUEADO",C451)))</formula>
    </cfRule>
    <cfRule type="containsText" dxfId="71" priority="116" operator="containsText" text="PEX DESAFILIADO">
      <formula>NOT(ISERROR(SEARCH("PEX DESAFILIADO",C451)))</formula>
    </cfRule>
    <cfRule type="containsText" dxfId="70" priority="117" operator="containsText" text="NO INSTALADO">
      <formula>NOT(ISERROR(SEARCH("NO INSTALADO",C451)))</formula>
    </cfRule>
    <cfRule type="cellIs" dxfId="69" priority="118" operator="equal">
      <formula>"NO"</formula>
    </cfRule>
    <cfRule type="containsText" dxfId="68" priority="119" operator="containsText" text="PEX BLOQUEADO">
      <formula>NOT(ISERROR(SEARCH("PEX BLOQUEADO",C451)))</formula>
    </cfRule>
    <cfRule type="containsText" dxfId="67" priority="120" operator="containsText" text="PEX DESAFILIADO">
      <formula>NOT(ISERROR(SEARCH("PEX DESAFILIADO",C451)))</formula>
    </cfRule>
    <cfRule type="containsText" dxfId="66" priority="121" operator="containsText" text="NO INSTALADO">
      <formula>NOT(ISERROR(SEARCH("NO INSTALADO",C451)))</formula>
    </cfRule>
    <cfRule type="cellIs" dxfId="65" priority="122" operator="equal">
      <formula>"NO"</formula>
    </cfRule>
    <cfRule type="containsText" dxfId="64" priority="123" operator="containsText" text="PEX BLOQUEADO">
      <formula>NOT(ISERROR(SEARCH("PEX BLOQUEADO",C451)))</formula>
    </cfRule>
    <cfRule type="containsText" dxfId="63" priority="124" operator="containsText" text="PEX DESAFILIADO">
      <formula>NOT(ISERROR(SEARCH("PEX DESAFILIADO",C451)))</formula>
    </cfRule>
    <cfRule type="containsText" dxfId="62" priority="125" operator="containsText" text="NO INSTALADO">
      <formula>NOT(ISERROR(SEARCH("NO INSTALADO",C451)))</formula>
    </cfRule>
    <cfRule type="cellIs" dxfId="61" priority="126" operator="equal">
      <formula>"NO"</formula>
    </cfRule>
    <cfRule type="containsText" dxfId="60" priority="127" operator="containsText" text="PEX BLOQUEADO">
      <formula>NOT(ISERROR(SEARCH("PEX BLOQUEADO",C451)))</formula>
    </cfRule>
    <cfRule type="containsText" dxfId="59" priority="128" operator="containsText" text="PEX DESAFILIADO">
      <formula>NOT(ISERROR(SEARCH("PEX DESAFILIADO",C451)))</formula>
    </cfRule>
    <cfRule type="containsText" dxfId="58" priority="129" operator="containsText" text="NO INSTALADO">
      <formula>NOT(ISERROR(SEARCH("NO INSTALADO",C451)))</formula>
    </cfRule>
    <cfRule type="cellIs" dxfId="57" priority="130" operator="equal">
      <formula>"NO"</formula>
    </cfRule>
    <cfRule type="containsText" dxfId="56" priority="131" operator="containsText" text="PEX BLOQUEADO">
      <formula>NOT(ISERROR(SEARCH("PEX BLOQUEADO",C451)))</formula>
    </cfRule>
    <cfRule type="containsText" dxfId="55" priority="132" operator="containsText" text="PEX DESAFILIADO">
      <formula>NOT(ISERROR(SEARCH("PEX DESAFILIADO",C451)))</formula>
    </cfRule>
    <cfRule type="containsText" dxfId="54" priority="133" operator="containsText" text="NO INSTALADO">
      <formula>NOT(ISERROR(SEARCH("NO INSTALADO",C451)))</formula>
    </cfRule>
    <cfRule type="cellIs" dxfId="53" priority="134" operator="equal">
      <formula>"NO"</formula>
    </cfRule>
    <cfRule type="containsText" dxfId="52" priority="135" operator="containsText" text="PEX BLOQUEADO">
      <formula>NOT(ISERROR(SEARCH("PEX BLOQUEADO",C451)))</formula>
    </cfRule>
    <cfRule type="containsText" dxfId="51" priority="136" operator="containsText" text="PEX DESAFILIADO">
      <formula>NOT(ISERROR(SEARCH("PEX DESAFILIADO",C451)))</formula>
    </cfRule>
    <cfRule type="containsText" dxfId="50" priority="137" operator="containsText" text="NO INSTALADO">
      <formula>NOT(ISERROR(SEARCH("NO INSTALADO",C451)))</formula>
    </cfRule>
    <cfRule type="cellIs" dxfId="49" priority="138" operator="equal">
      <formula>"NO"</formula>
    </cfRule>
    <cfRule type="containsText" dxfId="48" priority="139" operator="containsText" text="PEX BLOQUEADO">
      <formula>NOT(ISERROR(SEARCH("PEX BLOQUEADO",C451)))</formula>
    </cfRule>
    <cfRule type="containsText" dxfId="47" priority="140" operator="containsText" text="PEX DESAFILIADO">
      <formula>NOT(ISERROR(SEARCH("PEX DESAFILIADO",C451)))</formula>
    </cfRule>
    <cfRule type="containsText" dxfId="46" priority="141" operator="containsText" text="NO INSTALADO">
      <formula>NOT(ISERROR(SEARCH("NO INSTALADO",C451)))</formula>
    </cfRule>
    <cfRule type="cellIs" dxfId="45" priority="142" operator="equal">
      <formula>"NO"</formula>
    </cfRule>
    <cfRule type="containsText" dxfId="44" priority="143" operator="containsText" text="PEX BLOQUEADO">
      <formula>NOT(ISERROR(SEARCH("PEX BLOQUEADO",C451)))</formula>
    </cfRule>
    <cfRule type="containsText" dxfId="43" priority="144" operator="containsText" text="PEX DESAFILIADO">
      <formula>NOT(ISERROR(SEARCH("PEX DESAFILIADO",C451)))</formula>
    </cfRule>
    <cfRule type="containsText" dxfId="42" priority="145" operator="containsText" text="NO INSTALADO">
      <formula>NOT(ISERROR(SEARCH("NO INSTALADO",C451)))</formula>
    </cfRule>
    <cfRule type="cellIs" dxfId="41" priority="146" operator="equal">
      <formula>"NO"</formula>
    </cfRule>
    <cfRule type="containsText" dxfId="40" priority="147" operator="containsText" text="PEX BLOQUEADO">
      <formula>NOT(ISERROR(SEARCH("PEX BLOQUEADO",C451)))</formula>
    </cfRule>
    <cfRule type="containsText" dxfId="39" priority="148" operator="containsText" text="PEX DESAFILIADO">
      <formula>NOT(ISERROR(SEARCH("PEX DESAFILIADO",C451)))</formula>
    </cfRule>
    <cfRule type="containsText" dxfId="38" priority="149" operator="containsText" text="NO INSTALADO">
      <formula>NOT(ISERROR(SEARCH("NO INSTALADO",C451)))</formula>
    </cfRule>
    <cfRule type="cellIs" dxfId="37" priority="150" operator="equal">
      <formula>"NO"</formula>
    </cfRule>
    <cfRule type="containsText" dxfId="36" priority="151" operator="containsText" text="PEX BLOQUEADO">
      <formula>NOT(ISERROR(SEARCH("PEX BLOQUEADO",C451)))</formula>
    </cfRule>
    <cfRule type="containsText" dxfId="35" priority="152" operator="containsText" text="PEX DESAFILIADO">
      <formula>NOT(ISERROR(SEARCH("PEX DESAFILIADO",C451)))</formula>
    </cfRule>
    <cfRule type="containsText" dxfId="34" priority="153" operator="containsText" text="NO INSTALADO">
      <formula>NOT(ISERROR(SEARCH("NO INSTALADO",C451)))</formula>
    </cfRule>
    <cfRule type="cellIs" dxfId="33" priority="154" operator="equal">
      <formula>"NO"</formula>
    </cfRule>
    <cfRule type="containsText" dxfId="32" priority="155" operator="containsText" text="PEX BLOQUEADO">
      <formula>NOT(ISERROR(SEARCH("PEX BLOQUEADO",C451)))</formula>
    </cfRule>
    <cfRule type="containsText" dxfId="31" priority="156" operator="containsText" text="PEX DESAFILIADO">
      <formula>NOT(ISERROR(SEARCH("PEX DESAFILIADO",C451)))</formula>
    </cfRule>
    <cfRule type="containsText" dxfId="30" priority="157" operator="containsText" text="NO INSTALADO">
      <formula>NOT(ISERROR(SEARCH("NO INSTALADO",C451)))</formula>
    </cfRule>
    <cfRule type="cellIs" dxfId="29" priority="158" operator="equal">
      <formula>"NO"</formula>
    </cfRule>
    <cfRule type="containsText" dxfId="28" priority="159" operator="containsText" text="PEX BLOQUEADO">
      <formula>NOT(ISERROR(SEARCH("PEX BLOQUEADO",C451)))</formula>
    </cfRule>
    <cfRule type="containsText" dxfId="27" priority="160" operator="containsText" text="PEX DESAFILIADO">
      <formula>NOT(ISERROR(SEARCH("PEX DESAFILIADO",C451)))</formula>
    </cfRule>
    <cfRule type="containsText" dxfId="26" priority="161" operator="containsText" text="NO INSTALADO">
      <formula>NOT(ISERROR(SEARCH("NO INSTALADO",C451)))</formula>
    </cfRule>
    <cfRule type="cellIs" dxfId="25" priority="162" operator="equal">
      <formula>"NO"</formula>
    </cfRule>
    <cfRule type="containsText" dxfId="24" priority="163" operator="containsText" text="PEX BLOQUEADO">
      <formula>NOT(ISERROR(SEARCH("PEX BLOQUEADO",C451)))</formula>
    </cfRule>
    <cfRule type="containsText" dxfId="23" priority="164" operator="containsText" text="PEX DESAFILIADO">
      <formula>NOT(ISERROR(SEARCH("PEX DESAFILIADO",C451)))</formula>
    </cfRule>
    <cfRule type="containsText" dxfId="22" priority="165" operator="containsText" text="NO INSTALADO">
      <formula>NOT(ISERROR(SEARCH("NO INSTALADO",C451)))</formula>
    </cfRule>
    <cfRule type="cellIs" dxfId="21" priority="166" operator="equal">
      <formula>"NO"</formula>
    </cfRule>
    <cfRule type="containsText" dxfId="20" priority="167" operator="containsText" text="PEX BLOQUEADO">
      <formula>NOT(ISERROR(SEARCH("PEX BLOQUEADO",C451)))</formula>
    </cfRule>
    <cfRule type="containsText" dxfId="19" priority="168" operator="containsText" text="PEX DESAFILIADO">
      <formula>NOT(ISERROR(SEARCH("PEX DESAFILIADO",C451)))</formula>
    </cfRule>
    <cfRule type="containsText" dxfId="18" priority="169" operator="containsText" text="NO INSTALADO">
      <formula>NOT(ISERROR(SEARCH("NO INSTALADO",C451)))</formula>
    </cfRule>
    <cfRule type="cellIs" dxfId="17" priority="170" operator="equal">
      <formula>"NO"</formula>
    </cfRule>
    <cfRule type="containsText" dxfId="16" priority="171" operator="containsText" text="PEX BLOQUEADO">
      <formula>NOT(ISERROR(SEARCH("PEX BLOQUEADO",C451)))</formula>
    </cfRule>
    <cfRule type="containsText" dxfId="15" priority="172" operator="containsText" text="PEX DESAFILIADO">
      <formula>NOT(ISERROR(SEARCH("PEX DESAFILIADO",C451)))</formula>
    </cfRule>
    <cfRule type="containsText" dxfId="14" priority="173" operator="containsText" text="NO INSTALADO">
      <formula>NOT(ISERROR(SEARCH("NO INSTALADO",C451)))</formula>
    </cfRule>
    <cfRule type="cellIs" dxfId="13" priority="174" operator="equal">
      <formula>"NO"</formula>
    </cfRule>
    <cfRule type="containsText" dxfId="12" priority="175" operator="containsText" text="PEX BLOQUEADO">
      <formula>NOT(ISERROR(SEARCH("PEX BLOQUEADO",C451)))</formula>
    </cfRule>
    <cfRule type="containsText" dxfId="11" priority="176" operator="containsText" text="PEX DESAFILIADO">
      <formula>NOT(ISERROR(SEARCH("PEX DESAFILIADO",C451)))</formula>
    </cfRule>
    <cfRule type="containsText" dxfId="10" priority="177" operator="containsText" text="NO INSTALADO">
      <formula>NOT(ISERROR(SEARCH("NO INSTALADO",C451)))</formula>
    </cfRule>
    <cfRule type="cellIs" dxfId="9" priority="178" operator="equal">
      <formula>"NO"</formula>
    </cfRule>
  </conditionalFormatting>
  <conditionalFormatting sqref="D2:D460">
    <cfRule type="containsText" dxfId="8" priority="1" operator="containsText" text="CONECTADO">
      <formula>NOT(ISERROR(SEARCH("CONECTADO",D2)))</formula>
    </cfRule>
    <cfRule type="containsText" dxfId="7" priority="2" operator="containsText" text="SIN CONEXIÓN">
      <formula>NOT(ISERROR(SEARCH("SIN CONEXIÓN",D2)))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VALIDACION WARI-WALLY</vt:lpstr>
      <vt:lpstr>VALIDACION PEX</vt:lpstr>
      <vt:lpstr>REEMBOLSOS</vt:lpstr>
      <vt:lpstr>DESCUENTOS</vt:lpstr>
      <vt:lpstr>DESCUENTO POR FLOTAS</vt:lpstr>
      <vt:lpstr>CONDUCTORES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Vilchez</dc:creator>
  <cp:keywords/>
  <dc:description/>
  <cp:lastModifiedBy>Taxi Directo 05</cp:lastModifiedBy>
  <cp:revision/>
  <dcterms:created xsi:type="dcterms:W3CDTF">2023-07-31T20:55:31Z</dcterms:created>
  <dcterms:modified xsi:type="dcterms:W3CDTF">2026-06-10T14:41:36Z</dcterms:modified>
  <cp:category/>
  <cp:contentStatus/>
</cp:coreProperties>
</file>